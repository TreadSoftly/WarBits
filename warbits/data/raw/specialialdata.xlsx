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bbc1cc0fa6a8fb3/Desktop/DEV/CUSTOM_GPTs/War Thunder/War Thunder GPT KnowledgeDb/"/>
    </mc:Choice>
  </mc:AlternateContent>
  <xr:revisionPtr revIDLastSave="0" documentId="14_{EA563ECD-371A-4656-A5EA-1E0ACA4D3C11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Welcome" sheetId="1" r:id="rId1"/>
    <sheet name="Updates" sheetId="2" r:id="rId2"/>
    <sheet name="Custom Loadouts" sheetId="3" state="hidden" r:id="rId3"/>
    <sheet name="Leaks" sheetId="4" r:id="rId4"/>
    <sheet name="Teasers" sheetId="5" r:id="rId5"/>
    <sheet name="Dev streams" sheetId="6" r:id="rId6"/>
    <sheet name="Dev servers" sheetId="7" r:id="rId7"/>
    <sheet name="Summary" sheetId="8" r:id="rId8"/>
    <sheet name="Devblogs" sheetId="9" r:id="rId9"/>
    <sheet name="Battle Pass devblogs" sheetId="10" r:id="rId10"/>
    <sheet name="Events (grouped by events)" sheetId="11" r:id="rId11"/>
    <sheet name="Events (grouped by days)" sheetId="12" r:id="rId12"/>
    <sheet name="Single vehicle event devblogs" sheetId="13" r:id="rId13"/>
    <sheet name="Summer  winter event devblogs" sheetId="14" r:id="rId14"/>
    <sheet name="Crafting event devblogs" sheetId="15" r:id="rId15"/>
    <sheet name="BR changes" sheetId="16" r:id="rId16"/>
    <sheet name="Economy changes" sheetId="17" r:id="rId17"/>
    <sheet name="Q&amp;As" sheetId="18" r:id="rId18"/>
    <sheet name="Twitch Drops" sheetId="19" r:id="rId19"/>
    <sheet name="Language filters" sheetId="20" state="hidden" r:id="rId2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" i="15" l="1"/>
  <c r="AH8" i="15"/>
  <c r="AH7" i="15"/>
  <c r="AH6" i="15"/>
  <c r="AE6" i="15"/>
  <c r="Y6" i="15"/>
  <c r="V6" i="15"/>
  <c r="S6" i="15"/>
  <c r="P6" i="15"/>
  <c r="M6" i="15"/>
  <c r="J6" i="15"/>
  <c r="G6" i="15"/>
  <c r="AH5" i="15"/>
  <c r="AE5" i="15"/>
  <c r="Y5" i="15"/>
  <c r="V5" i="15"/>
  <c r="S5" i="15"/>
  <c r="P5" i="15"/>
  <c r="M5" i="15"/>
  <c r="J5" i="15"/>
  <c r="G5" i="15"/>
  <c r="AH4" i="15"/>
  <c r="AE4" i="15"/>
  <c r="Y4" i="15"/>
  <c r="V4" i="15"/>
  <c r="S4" i="15"/>
  <c r="P4" i="15"/>
  <c r="M4" i="15"/>
  <c r="J4" i="15"/>
  <c r="G4" i="15"/>
  <c r="AH3" i="15"/>
  <c r="AE3" i="15"/>
  <c r="Y3" i="15"/>
  <c r="V3" i="15"/>
  <c r="S3" i="15"/>
  <c r="P3" i="15"/>
  <c r="M3" i="15"/>
  <c r="J3" i="15"/>
  <c r="G3" i="15"/>
  <c r="AK2" i="15"/>
  <c r="AH2" i="15"/>
  <c r="AE2" i="15"/>
  <c r="AB2" i="15"/>
  <c r="Y2" i="15"/>
  <c r="V2" i="15"/>
  <c r="S2" i="15"/>
  <c r="P2" i="15"/>
  <c r="M2" i="15"/>
  <c r="J2" i="15"/>
  <c r="G2" i="15"/>
  <c r="B19" i="15" s="1"/>
  <c r="AB8" i="14"/>
  <c r="AB7" i="14"/>
  <c r="AB6" i="14"/>
  <c r="P6" i="14"/>
  <c r="AB5" i="14"/>
  <c r="P5" i="14"/>
  <c r="AT4" i="14"/>
  <c r="AN4" i="14"/>
  <c r="AH4" i="14"/>
  <c r="AB4" i="14"/>
  <c r="P4" i="14"/>
  <c r="BO3" i="14"/>
  <c r="AT3" i="14"/>
  <c r="AN3" i="14"/>
  <c r="AH3" i="14"/>
  <c r="AB3" i="14"/>
  <c r="P3" i="14"/>
  <c r="BU2" i="14"/>
  <c r="BR2" i="14"/>
  <c r="BO2" i="14"/>
  <c r="BL2" i="14"/>
  <c r="BI2" i="14"/>
  <c r="BF2" i="14"/>
  <c r="BC2" i="14"/>
  <c r="AZ2" i="14"/>
  <c r="AW2" i="14"/>
  <c r="AT2" i="14"/>
  <c r="AQ2" i="14"/>
  <c r="AN2" i="14"/>
  <c r="AK2" i="14"/>
  <c r="AH2" i="14"/>
  <c r="AE2" i="14"/>
  <c r="AB2" i="14"/>
  <c r="Y2" i="14"/>
  <c r="V2" i="14"/>
  <c r="S2" i="14"/>
  <c r="P2" i="14"/>
  <c r="M2" i="14"/>
  <c r="J2" i="14"/>
  <c r="G2" i="14"/>
  <c r="B20" i="13"/>
  <c r="B16" i="13"/>
  <c r="BC4" i="13"/>
  <c r="P4" i="13"/>
  <c r="BC3" i="13"/>
  <c r="AZ3" i="13"/>
  <c r="AW3" i="13"/>
  <c r="AT3" i="13"/>
  <c r="AQ3" i="13"/>
  <c r="AN3" i="13"/>
  <c r="AK3" i="13"/>
  <c r="AH3" i="13"/>
  <c r="AE3" i="13"/>
  <c r="AB3" i="13"/>
  <c r="Y3" i="13"/>
  <c r="V3" i="13"/>
  <c r="S3" i="13"/>
  <c r="P3" i="13"/>
  <c r="M3" i="13"/>
  <c r="J3" i="13"/>
  <c r="G3" i="13"/>
  <c r="BF2" i="13"/>
  <c r="BC2" i="13"/>
  <c r="AZ2" i="13"/>
  <c r="AW2" i="13"/>
  <c r="AT2" i="13"/>
  <c r="AQ2" i="13"/>
  <c r="AN2" i="13"/>
  <c r="AK2" i="13"/>
  <c r="AH2" i="13"/>
  <c r="AE2" i="13"/>
  <c r="AB2" i="13"/>
  <c r="Y2" i="13"/>
  <c r="V2" i="13"/>
  <c r="S2" i="13"/>
  <c r="P2" i="13"/>
  <c r="M2" i="13"/>
  <c r="J2" i="13"/>
  <c r="G2" i="13"/>
  <c r="XZ43" i="12"/>
  <c r="YA28" i="12" s="1"/>
  <c r="XL43" i="12"/>
  <c r="XM10" i="12" s="1"/>
  <c r="WZ43" i="12"/>
  <c r="WX43" i="12"/>
  <c r="WY28" i="12" s="1"/>
  <c r="WL43" i="12"/>
  <c r="WM34" i="12" s="1"/>
  <c r="VX43" i="12"/>
  <c r="VY14" i="12" s="1"/>
  <c r="VL43" i="12"/>
  <c r="VJ43" i="12"/>
  <c r="UX43" i="12"/>
  <c r="UT43" i="12"/>
  <c r="UJ43" i="12"/>
  <c r="UK26" i="12" s="1"/>
  <c r="TX43" i="12"/>
  <c r="TY24" i="12" s="1"/>
  <c r="TV43" i="12"/>
  <c r="TJ43" i="12"/>
  <c r="SV43" i="12"/>
  <c r="SW4" i="12" s="1"/>
  <c r="SJ43" i="12"/>
  <c r="SK34" i="12" s="1"/>
  <c r="SH43" i="12"/>
  <c r="RV43" i="12"/>
  <c r="RJ43" i="12"/>
  <c r="RH43" i="12"/>
  <c r="RI8" i="12" s="1"/>
  <c r="RF43" i="12"/>
  <c r="QX43" i="12"/>
  <c r="QV43" i="12"/>
  <c r="QT43" i="12"/>
  <c r="QH43" i="12"/>
  <c r="PT43" i="12"/>
  <c r="PU34" i="12" s="1"/>
  <c r="PH43" i="12"/>
  <c r="PI34" i="12" s="1"/>
  <c r="PF43" i="12"/>
  <c r="PG28" i="12" s="1"/>
  <c r="OT43" i="12"/>
  <c r="OF43" i="12"/>
  <c r="OG21" i="12" s="1"/>
  <c r="NT43" i="12"/>
  <c r="NR43" i="12"/>
  <c r="NF43" i="12"/>
  <c r="NB43" i="12"/>
  <c r="MR43" i="12"/>
  <c r="MS34" i="12" s="1"/>
  <c r="MF43" i="12"/>
  <c r="MG18" i="12" s="1"/>
  <c r="MD43" i="12"/>
  <c r="LR43" i="12"/>
  <c r="LD43" i="12"/>
  <c r="LE28" i="12" s="1"/>
  <c r="KR43" i="12"/>
  <c r="KP43" i="12"/>
  <c r="KD43" i="12"/>
  <c r="JR43" i="12"/>
  <c r="JP43" i="12"/>
  <c r="JQ26" i="12" s="1"/>
  <c r="JN43" i="12"/>
  <c r="JF43" i="12"/>
  <c r="JD43" i="12"/>
  <c r="JB43" i="12"/>
  <c r="IP43" i="12"/>
  <c r="IQ5" i="12" s="1"/>
  <c r="IB43" i="12"/>
  <c r="IC31" i="12" s="1"/>
  <c r="HP43" i="12"/>
  <c r="HN43" i="12"/>
  <c r="HB43" i="12"/>
  <c r="GN43" i="12"/>
  <c r="GO28" i="12" s="1"/>
  <c r="GB43" i="12"/>
  <c r="FZ43" i="12"/>
  <c r="FN43" i="12"/>
  <c r="FJ43" i="12"/>
  <c r="FK34" i="12" s="1"/>
  <c r="EZ43" i="12"/>
  <c r="FA34" i="12" s="1"/>
  <c r="EN43" i="12"/>
  <c r="EO31" i="12" s="1"/>
  <c r="EL43" i="12"/>
  <c r="DZ43" i="12"/>
  <c r="EA5" i="12" s="1"/>
  <c r="DL43" i="12"/>
  <c r="DM31" i="12" s="1"/>
  <c r="CZ43" i="12"/>
  <c r="CX43" i="12"/>
  <c r="CL43" i="12"/>
  <c r="BZ43" i="12"/>
  <c r="BX43" i="12"/>
  <c r="BV43" i="12"/>
  <c r="BW26" i="12" s="1"/>
  <c r="BN43" i="12"/>
  <c r="BL43" i="12"/>
  <c r="BM8" i="12" s="1"/>
  <c r="BJ43" i="12"/>
  <c r="BK5" i="12" s="1"/>
  <c r="AX43" i="12"/>
  <c r="AJ43" i="12"/>
  <c r="X43" i="12"/>
  <c r="Y10" i="12" s="1"/>
  <c r="V43" i="12"/>
  <c r="W31" i="12" s="1"/>
  <c r="J43" i="12"/>
  <c r="YE42" i="12"/>
  <c r="YD42" i="12"/>
  <c r="YD43" i="12" s="1"/>
  <c r="YC42" i="12"/>
  <c r="YB42" i="12"/>
  <c r="YB43" i="12" s="1"/>
  <c r="YA42" i="12"/>
  <c r="XZ42" i="12"/>
  <c r="XY42" i="12"/>
  <c r="XX42" i="12"/>
  <c r="XX43" i="12" s="1"/>
  <c r="XW42" i="12"/>
  <c r="XV42" i="12"/>
  <c r="XV43" i="12" s="1"/>
  <c r="XU42" i="12"/>
  <c r="XT42" i="12"/>
  <c r="XT43" i="12" s="1"/>
  <c r="XS42" i="12"/>
  <c r="XR42" i="12"/>
  <c r="XR43" i="12" s="1"/>
  <c r="XS8" i="12" s="1"/>
  <c r="XQ42" i="12"/>
  <c r="XP42" i="12"/>
  <c r="XP43" i="12" s="1"/>
  <c r="XO42" i="12"/>
  <c r="XN42" i="12"/>
  <c r="XN43" i="12" s="1"/>
  <c r="XM42" i="12"/>
  <c r="XL42" i="12"/>
  <c r="XK42" i="12"/>
  <c r="XJ42" i="12"/>
  <c r="XJ43" i="12" s="1"/>
  <c r="XI42" i="12"/>
  <c r="XH42" i="12"/>
  <c r="XH43" i="12" s="1"/>
  <c r="XG42" i="12"/>
  <c r="XF42" i="12"/>
  <c r="XF43" i="12" s="1"/>
  <c r="XE42" i="12"/>
  <c r="XD42" i="12"/>
  <c r="XD43" i="12" s="1"/>
  <c r="XC42" i="12"/>
  <c r="XB42" i="12"/>
  <c r="XB43" i="12" s="1"/>
  <c r="XA42" i="12"/>
  <c r="WZ42" i="12"/>
  <c r="WY42" i="12"/>
  <c r="WX42" i="12"/>
  <c r="WW42" i="12"/>
  <c r="WV42" i="12"/>
  <c r="WV43" i="12" s="1"/>
  <c r="WW34" i="12" s="1"/>
  <c r="WU42" i="12"/>
  <c r="WT42" i="12"/>
  <c r="WT43" i="12" s="1"/>
  <c r="WU4" i="12" s="1"/>
  <c r="WS42" i="12"/>
  <c r="WR42" i="12"/>
  <c r="WR43" i="12" s="1"/>
  <c r="WS28" i="12" s="1"/>
  <c r="WQ42" i="12"/>
  <c r="WP42" i="12"/>
  <c r="WP43" i="12" s="1"/>
  <c r="WQ8" i="12" s="1"/>
  <c r="WO42" i="12"/>
  <c r="WN42" i="12"/>
  <c r="WN43" i="12" s="1"/>
  <c r="WM42" i="12"/>
  <c r="WL42" i="12"/>
  <c r="WK42" i="12"/>
  <c r="WJ42" i="12"/>
  <c r="WJ43" i="12" s="1"/>
  <c r="WI42" i="12"/>
  <c r="WH42" i="12"/>
  <c r="WH43" i="12" s="1"/>
  <c r="WG42" i="12"/>
  <c r="WF42" i="12"/>
  <c r="WF43" i="12" s="1"/>
  <c r="WE42" i="12"/>
  <c r="WD42" i="12"/>
  <c r="WD43" i="12" s="1"/>
  <c r="WE5" i="12" s="1"/>
  <c r="WC42" i="12"/>
  <c r="WB42" i="12"/>
  <c r="WB43" i="12" s="1"/>
  <c r="WA42" i="12"/>
  <c r="VZ42" i="12"/>
  <c r="VZ43" i="12" s="1"/>
  <c r="WA10" i="12" s="1"/>
  <c r="VY42" i="12"/>
  <c r="VX42" i="12"/>
  <c r="VW42" i="12"/>
  <c r="VV42" i="12"/>
  <c r="VV43" i="12" s="1"/>
  <c r="VW10" i="12" s="1"/>
  <c r="VU42" i="12"/>
  <c r="VT42" i="12"/>
  <c r="VT43" i="12" s="1"/>
  <c r="VU31" i="12" s="1"/>
  <c r="VS42" i="12"/>
  <c r="VR42" i="12"/>
  <c r="VR43" i="12" s="1"/>
  <c r="VS4" i="12" s="1"/>
  <c r="VQ42" i="12"/>
  <c r="VP42" i="12"/>
  <c r="VP43" i="12" s="1"/>
  <c r="VO42" i="12"/>
  <c r="VN42" i="12"/>
  <c r="VN43" i="12" s="1"/>
  <c r="VO26" i="12" s="1"/>
  <c r="VM42" i="12"/>
  <c r="VL42" i="12"/>
  <c r="VK42" i="12"/>
  <c r="VJ42" i="12"/>
  <c r="VI42" i="12"/>
  <c r="VH42" i="12"/>
  <c r="VH43" i="12" s="1"/>
  <c r="VG42" i="12"/>
  <c r="VF42" i="12"/>
  <c r="VF43" i="12" s="1"/>
  <c r="VE42" i="12"/>
  <c r="VD42" i="12"/>
  <c r="VD43" i="12" s="1"/>
  <c r="VC42" i="12"/>
  <c r="VB42" i="12"/>
  <c r="VB43" i="12" s="1"/>
  <c r="VA42" i="12"/>
  <c r="UZ42" i="12"/>
  <c r="UZ43" i="12" s="1"/>
  <c r="UY42" i="12"/>
  <c r="UX42" i="12"/>
  <c r="UW42" i="12"/>
  <c r="UV42" i="12"/>
  <c r="UV43" i="12" s="1"/>
  <c r="UU42" i="12"/>
  <c r="UT42" i="12"/>
  <c r="US42" i="12"/>
  <c r="UR42" i="12"/>
  <c r="UR43" i="12" s="1"/>
  <c r="UQ42" i="12"/>
  <c r="UP42" i="12"/>
  <c r="UP43" i="12" s="1"/>
  <c r="UQ5" i="12" s="1"/>
  <c r="UO42" i="12"/>
  <c r="UN42" i="12"/>
  <c r="UN43" i="12" s="1"/>
  <c r="UM42" i="12"/>
  <c r="UL42" i="12"/>
  <c r="UL43" i="12" s="1"/>
  <c r="UK42" i="12"/>
  <c r="UJ42" i="12"/>
  <c r="UI42" i="12"/>
  <c r="UH42" i="12"/>
  <c r="UH43" i="12" s="1"/>
  <c r="UG42" i="12"/>
  <c r="UF42" i="12"/>
  <c r="UF43" i="12" s="1"/>
  <c r="UE42" i="12"/>
  <c r="UD42" i="12"/>
  <c r="UD43" i="12" s="1"/>
  <c r="UC42" i="12"/>
  <c r="UB42" i="12"/>
  <c r="UB43" i="12" s="1"/>
  <c r="UA42" i="12"/>
  <c r="TZ42" i="12"/>
  <c r="TZ43" i="12" s="1"/>
  <c r="UA31" i="12" s="1"/>
  <c r="TY42" i="12"/>
  <c r="TX42" i="12"/>
  <c r="TW42" i="12"/>
  <c r="TV42" i="12"/>
  <c r="TU42" i="12"/>
  <c r="TT42" i="12"/>
  <c r="TT43" i="12" s="1"/>
  <c r="TS42" i="12"/>
  <c r="TR42" i="12"/>
  <c r="TR43" i="12" s="1"/>
  <c r="TQ42" i="12"/>
  <c r="TP42" i="12"/>
  <c r="TP43" i="12" s="1"/>
  <c r="TO42" i="12"/>
  <c r="TN42" i="12"/>
  <c r="TN43" i="12" s="1"/>
  <c r="TM42" i="12"/>
  <c r="TL42" i="12"/>
  <c r="TL43" i="12" s="1"/>
  <c r="TK42" i="12"/>
  <c r="TJ42" i="12"/>
  <c r="TI42" i="12"/>
  <c r="TH42" i="12"/>
  <c r="TH43" i="12" s="1"/>
  <c r="TG42" i="12"/>
  <c r="TF42" i="12"/>
  <c r="TF43" i="12" s="1"/>
  <c r="TE42" i="12"/>
  <c r="TD42" i="12"/>
  <c r="TD43" i="12" s="1"/>
  <c r="TC42" i="12"/>
  <c r="TB42" i="12"/>
  <c r="TB43" i="12" s="1"/>
  <c r="TC34" i="12" s="1"/>
  <c r="TA42" i="12"/>
  <c r="SZ42" i="12"/>
  <c r="SZ43" i="12" s="1"/>
  <c r="TA10" i="12" s="1"/>
  <c r="SY42" i="12"/>
  <c r="SX42" i="12"/>
  <c r="SX43" i="12" s="1"/>
  <c r="SY28" i="12" s="1"/>
  <c r="SW42" i="12"/>
  <c r="SV42" i="12"/>
  <c r="SU42" i="12"/>
  <c r="ST42" i="12"/>
  <c r="ST43" i="12" s="1"/>
  <c r="SS42" i="12"/>
  <c r="SR42" i="12"/>
  <c r="SR43" i="12" s="1"/>
  <c r="SQ42" i="12"/>
  <c r="SP42" i="12"/>
  <c r="SP43" i="12" s="1"/>
  <c r="SO42" i="12"/>
  <c r="SN42" i="12"/>
  <c r="SN43" i="12" s="1"/>
  <c r="SM42" i="12"/>
  <c r="SL42" i="12"/>
  <c r="SL43" i="12" s="1"/>
  <c r="SK42" i="12"/>
  <c r="SJ42" i="12"/>
  <c r="SI42" i="12"/>
  <c r="SH42" i="12"/>
  <c r="SG42" i="12"/>
  <c r="SF42" i="12"/>
  <c r="SF43" i="12" s="1"/>
  <c r="SE42" i="12"/>
  <c r="SD42" i="12"/>
  <c r="SD43" i="12" s="1"/>
  <c r="SE10" i="12" s="1"/>
  <c r="SC42" i="12"/>
  <c r="SB42" i="12"/>
  <c r="SB43" i="12" s="1"/>
  <c r="SC28" i="12" s="1"/>
  <c r="SA42" i="12"/>
  <c r="RZ42" i="12"/>
  <c r="RZ43" i="12" s="1"/>
  <c r="SA31" i="12" s="1"/>
  <c r="RY42" i="12"/>
  <c r="RX42" i="12"/>
  <c r="RX43" i="12" s="1"/>
  <c r="RY5" i="12" s="1"/>
  <c r="RW42" i="12"/>
  <c r="RV42" i="12"/>
  <c r="RU42" i="12"/>
  <c r="RT42" i="12"/>
  <c r="RT43" i="12" s="1"/>
  <c r="RS42" i="12"/>
  <c r="RR42" i="12"/>
  <c r="RR43" i="12" s="1"/>
  <c r="RQ42" i="12"/>
  <c r="RP42" i="12"/>
  <c r="RP43" i="12" s="1"/>
  <c r="RQ28" i="12" s="1"/>
  <c r="RO42" i="12"/>
  <c r="RN42" i="12"/>
  <c r="RN43" i="12" s="1"/>
  <c r="RO31" i="12" s="1"/>
  <c r="RM42" i="12"/>
  <c r="RL42" i="12"/>
  <c r="RL43" i="12" s="1"/>
  <c r="RK42" i="12"/>
  <c r="RJ42" i="12"/>
  <c r="RI42" i="12"/>
  <c r="RH42" i="12"/>
  <c r="RG42" i="12"/>
  <c r="RF42" i="12"/>
  <c r="RE42" i="12"/>
  <c r="RD42" i="12"/>
  <c r="RD43" i="12" s="1"/>
  <c r="RC42" i="12"/>
  <c r="RB42" i="12"/>
  <c r="RB43" i="12" s="1"/>
  <c r="RC31" i="12" s="1"/>
  <c r="RA42" i="12"/>
  <c r="QZ42" i="12"/>
  <c r="QZ43" i="12" s="1"/>
  <c r="QY42" i="12"/>
  <c r="QX42" i="12"/>
  <c r="QW42" i="12"/>
  <c r="QV42" i="12"/>
  <c r="QU42" i="12"/>
  <c r="QT42" i="12"/>
  <c r="QS42" i="12"/>
  <c r="QR42" i="12"/>
  <c r="QR43" i="12" s="1"/>
  <c r="QS34" i="12" s="1"/>
  <c r="QQ42" i="12"/>
  <c r="QP42" i="12"/>
  <c r="QP43" i="12" s="1"/>
  <c r="QO42" i="12"/>
  <c r="QN42" i="12"/>
  <c r="QN43" i="12" s="1"/>
  <c r="QM42" i="12"/>
  <c r="QL42" i="12"/>
  <c r="QL43" i="12" s="1"/>
  <c r="QM24" i="12" s="1"/>
  <c r="QK42" i="12"/>
  <c r="QJ42" i="12"/>
  <c r="QJ43" i="12" s="1"/>
  <c r="QI42" i="12"/>
  <c r="QH42" i="12"/>
  <c r="QG42" i="12"/>
  <c r="QF42" i="12"/>
  <c r="QF43" i="12" s="1"/>
  <c r="QE42" i="12"/>
  <c r="QD42" i="12"/>
  <c r="QD43" i="12" s="1"/>
  <c r="QC42" i="12"/>
  <c r="QB42" i="12"/>
  <c r="QB43" i="12" s="1"/>
  <c r="QA42" i="12"/>
  <c r="PZ42" i="12"/>
  <c r="PZ43" i="12" s="1"/>
  <c r="PY42" i="12"/>
  <c r="PX42" i="12"/>
  <c r="PX43" i="12" s="1"/>
  <c r="PY34" i="12" s="1"/>
  <c r="PW42" i="12"/>
  <c r="PV42" i="12"/>
  <c r="PV43" i="12" s="1"/>
  <c r="PU42" i="12"/>
  <c r="PT42" i="12"/>
  <c r="PS42" i="12"/>
  <c r="PR42" i="12"/>
  <c r="PR43" i="12" s="1"/>
  <c r="PS31" i="12" s="1"/>
  <c r="PQ42" i="12"/>
  <c r="PP42" i="12"/>
  <c r="PP43" i="12" s="1"/>
  <c r="PQ5" i="12" s="1"/>
  <c r="PO42" i="12"/>
  <c r="PN42" i="12"/>
  <c r="PN43" i="12" s="1"/>
  <c r="PM42" i="12"/>
  <c r="PL42" i="12"/>
  <c r="PL43" i="12" s="1"/>
  <c r="PK42" i="12"/>
  <c r="PJ42" i="12"/>
  <c r="PJ43" i="12" s="1"/>
  <c r="PK34" i="12" s="1"/>
  <c r="PI42" i="12"/>
  <c r="PH42" i="12"/>
  <c r="PG42" i="12"/>
  <c r="PF42" i="12"/>
  <c r="PE42" i="12"/>
  <c r="PD42" i="12"/>
  <c r="PD43" i="12" s="1"/>
  <c r="PC42" i="12"/>
  <c r="PB42" i="12"/>
  <c r="PB43" i="12" s="1"/>
  <c r="PA42" i="12"/>
  <c r="OZ42" i="12"/>
  <c r="OZ43" i="12" s="1"/>
  <c r="OY42" i="12"/>
  <c r="OX42" i="12"/>
  <c r="OX43" i="12" s="1"/>
  <c r="OY31" i="12" s="1"/>
  <c r="OW42" i="12"/>
  <c r="OV42" i="12"/>
  <c r="OV43" i="12" s="1"/>
  <c r="OU42" i="12"/>
  <c r="OT42" i="12"/>
  <c r="OS42" i="12"/>
  <c r="OR42" i="12"/>
  <c r="OR43" i="12" s="1"/>
  <c r="OQ42" i="12"/>
  <c r="OP42" i="12"/>
  <c r="OP43" i="12" s="1"/>
  <c r="OQ31" i="12" s="1"/>
  <c r="OO42" i="12"/>
  <c r="ON42" i="12"/>
  <c r="ON43" i="12" s="1"/>
  <c r="OO34" i="12" s="1"/>
  <c r="OM42" i="12"/>
  <c r="OL42" i="12"/>
  <c r="OL43" i="12" s="1"/>
  <c r="OK42" i="12"/>
  <c r="OJ42" i="12"/>
  <c r="OJ43" i="12" s="1"/>
  <c r="OK10" i="12" s="1"/>
  <c r="OI42" i="12"/>
  <c r="OH42" i="12"/>
  <c r="OH43" i="12" s="1"/>
  <c r="OG42" i="12"/>
  <c r="OF42" i="12"/>
  <c r="OE42" i="12"/>
  <c r="OD42" i="12"/>
  <c r="OD43" i="12" s="1"/>
  <c r="OC42" i="12"/>
  <c r="OB42" i="12"/>
  <c r="OB43" i="12" s="1"/>
  <c r="OC5" i="12" s="1"/>
  <c r="OA42" i="12"/>
  <c r="NZ42" i="12"/>
  <c r="NZ43" i="12" s="1"/>
  <c r="NY42" i="12"/>
  <c r="NX42" i="12"/>
  <c r="NX43" i="12" s="1"/>
  <c r="NW42" i="12"/>
  <c r="NV42" i="12"/>
  <c r="NV43" i="12" s="1"/>
  <c r="NU42" i="12"/>
  <c r="NT42" i="12"/>
  <c r="NS42" i="12"/>
  <c r="NR42" i="12"/>
  <c r="NQ42" i="12"/>
  <c r="NP42" i="12"/>
  <c r="NP43" i="12" s="1"/>
  <c r="NO42" i="12"/>
  <c r="NN42" i="12"/>
  <c r="NN43" i="12" s="1"/>
  <c r="NO26" i="12" s="1"/>
  <c r="NM42" i="12"/>
  <c r="NL42" i="12"/>
  <c r="NL43" i="12" s="1"/>
  <c r="NM28" i="12" s="1"/>
  <c r="NK42" i="12"/>
  <c r="NJ42" i="12"/>
  <c r="NJ43" i="12" s="1"/>
  <c r="NK28" i="12" s="1"/>
  <c r="NI42" i="12"/>
  <c r="NH42" i="12"/>
  <c r="NH43" i="12" s="1"/>
  <c r="NG42" i="12"/>
  <c r="NF42" i="12"/>
  <c r="NE42" i="12"/>
  <c r="ND42" i="12"/>
  <c r="ND43" i="12" s="1"/>
  <c r="NE5" i="12" s="1"/>
  <c r="NC42" i="12"/>
  <c r="NB42" i="12"/>
  <c r="NA42" i="12"/>
  <c r="MZ42" i="12"/>
  <c r="MZ43" i="12" s="1"/>
  <c r="NA8" i="12" s="1"/>
  <c r="MY42" i="12"/>
  <c r="MX42" i="12"/>
  <c r="MX43" i="12" s="1"/>
  <c r="MY8" i="12" s="1"/>
  <c r="MW42" i="12"/>
  <c r="MV42" i="12"/>
  <c r="MV43" i="12" s="1"/>
  <c r="MU42" i="12"/>
  <c r="MT42" i="12"/>
  <c r="MT43" i="12" s="1"/>
  <c r="MS42" i="12"/>
  <c r="MR42" i="12"/>
  <c r="MQ42" i="12"/>
  <c r="MP42" i="12"/>
  <c r="MP43" i="12" s="1"/>
  <c r="MQ4" i="12" s="1"/>
  <c r="MO42" i="12"/>
  <c r="MN42" i="12"/>
  <c r="MN43" i="12" s="1"/>
  <c r="MO8" i="12" s="1"/>
  <c r="MM42" i="12"/>
  <c r="ML42" i="12"/>
  <c r="ML43" i="12" s="1"/>
  <c r="MK42" i="12"/>
  <c r="MJ42" i="12"/>
  <c r="MJ43" i="12" s="1"/>
  <c r="MK28" i="12" s="1"/>
  <c r="MI42" i="12"/>
  <c r="MH42" i="12"/>
  <c r="MH43" i="12" s="1"/>
  <c r="MG42" i="12"/>
  <c r="MF42" i="12"/>
  <c r="ME42" i="12"/>
  <c r="MD42" i="12"/>
  <c r="MC42" i="12"/>
  <c r="MB42" i="12"/>
  <c r="MB43" i="12" s="1"/>
  <c r="MC5" i="12" s="1"/>
  <c r="MA42" i="12"/>
  <c r="LZ42" i="12"/>
  <c r="LZ43" i="12" s="1"/>
  <c r="MA5" i="12" s="1"/>
  <c r="LY42" i="12"/>
  <c r="LX42" i="12"/>
  <c r="LX43" i="12" s="1"/>
  <c r="LW42" i="12"/>
  <c r="LV42" i="12"/>
  <c r="LV43" i="12" s="1"/>
  <c r="LW10" i="12" s="1"/>
  <c r="LU42" i="12"/>
  <c r="LT42" i="12"/>
  <c r="LT43" i="12" s="1"/>
  <c r="LU14" i="12" s="1"/>
  <c r="LS42" i="12"/>
  <c r="LR42" i="12"/>
  <c r="LQ42" i="12"/>
  <c r="LP42" i="12"/>
  <c r="LP43" i="12" s="1"/>
  <c r="LO42" i="12"/>
  <c r="LN42" i="12"/>
  <c r="LN43" i="12" s="1"/>
  <c r="LM42" i="12"/>
  <c r="LL42" i="12"/>
  <c r="LL43" i="12" s="1"/>
  <c r="LK42" i="12"/>
  <c r="LJ42" i="12"/>
  <c r="LJ43" i="12" s="1"/>
  <c r="LI42" i="12"/>
  <c r="LH42" i="12"/>
  <c r="LH43" i="12" s="1"/>
  <c r="LI28" i="12" s="1"/>
  <c r="LG42" i="12"/>
  <c r="LF42" i="12"/>
  <c r="LF43" i="12" s="1"/>
  <c r="LE42" i="12"/>
  <c r="LD42" i="12"/>
  <c r="LC42" i="12"/>
  <c r="LB42" i="12"/>
  <c r="LB43" i="12" s="1"/>
  <c r="LA42" i="12"/>
  <c r="KZ42" i="12"/>
  <c r="KZ43" i="12" s="1"/>
  <c r="LA21" i="12" s="1"/>
  <c r="KY42" i="12"/>
  <c r="KX42" i="12"/>
  <c r="KX43" i="12" s="1"/>
  <c r="KY28" i="12" s="1"/>
  <c r="KW42" i="12"/>
  <c r="KV42" i="12"/>
  <c r="KV43" i="12" s="1"/>
  <c r="KU42" i="12"/>
  <c r="KT42" i="12"/>
  <c r="KT43" i="12" s="1"/>
  <c r="KS42" i="12"/>
  <c r="KR42" i="12"/>
  <c r="KQ42" i="12"/>
  <c r="KP42" i="12"/>
  <c r="KO42" i="12"/>
  <c r="KN42" i="12"/>
  <c r="KN43" i="12" s="1"/>
  <c r="KO8" i="12" s="1"/>
  <c r="KM42" i="12"/>
  <c r="KL42" i="12"/>
  <c r="KL43" i="12" s="1"/>
  <c r="KK42" i="12"/>
  <c r="KJ42" i="12"/>
  <c r="KJ43" i="12" s="1"/>
  <c r="KK28" i="12" s="1"/>
  <c r="KI42" i="12"/>
  <c r="KH42" i="12"/>
  <c r="KH43" i="12" s="1"/>
  <c r="KI34" i="12" s="1"/>
  <c r="KG42" i="12"/>
  <c r="KF42" i="12"/>
  <c r="KF43" i="12" s="1"/>
  <c r="KE42" i="12"/>
  <c r="KD42" i="12"/>
  <c r="KC42" i="12"/>
  <c r="KB42" i="12"/>
  <c r="KB43" i="12" s="1"/>
  <c r="KC26" i="12" s="1"/>
  <c r="KA42" i="12"/>
  <c r="JZ42" i="12"/>
  <c r="JZ43" i="12" s="1"/>
  <c r="JY42" i="12"/>
  <c r="JX42" i="12"/>
  <c r="JX43" i="12" s="1"/>
  <c r="JW42" i="12"/>
  <c r="JV42" i="12"/>
  <c r="JV43" i="12" s="1"/>
  <c r="JW4" i="12" s="1"/>
  <c r="JU42" i="12"/>
  <c r="JT42" i="12"/>
  <c r="JT43" i="12" s="1"/>
  <c r="JS42" i="12"/>
  <c r="JR42" i="12"/>
  <c r="JQ42" i="12"/>
  <c r="JP42" i="12"/>
  <c r="JO42" i="12"/>
  <c r="JN42" i="12"/>
  <c r="JM42" i="12"/>
  <c r="JL42" i="12"/>
  <c r="JL43" i="12" s="1"/>
  <c r="JK42" i="12"/>
  <c r="JJ42" i="12"/>
  <c r="JJ43" i="12" s="1"/>
  <c r="JI42" i="12"/>
  <c r="JH42" i="12"/>
  <c r="JH43" i="12" s="1"/>
  <c r="JI34" i="12" s="1"/>
  <c r="JG42" i="12"/>
  <c r="JF42" i="12"/>
  <c r="JE42" i="12"/>
  <c r="JD42" i="12"/>
  <c r="JC42" i="12"/>
  <c r="JB42" i="12"/>
  <c r="JA42" i="12"/>
  <c r="IZ42" i="12"/>
  <c r="IZ43" i="12" s="1"/>
  <c r="IY42" i="12"/>
  <c r="IX42" i="12"/>
  <c r="IX43" i="12" s="1"/>
  <c r="IY8" i="12" s="1"/>
  <c r="IW42" i="12"/>
  <c r="IV42" i="12"/>
  <c r="IV43" i="12" s="1"/>
  <c r="IU42" i="12"/>
  <c r="IT42" i="12"/>
  <c r="IT43" i="12" s="1"/>
  <c r="IU34" i="12" s="1"/>
  <c r="IS42" i="12"/>
  <c r="IR42" i="12"/>
  <c r="IR43" i="12" s="1"/>
  <c r="IQ42" i="12"/>
  <c r="IP42" i="12"/>
  <c r="IO42" i="12"/>
  <c r="IN42" i="12"/>
  <c r="IN43" i="12" s="1"/>
  <c r="IO31" i="12" s="1"/>
  <c r="IM42" i="12"/>
  <c r="IL42" i="12"/>
  <c r="IL43" i="12" s="1"/>
  <c r="IK42" i="12"/>
  <c r="IJ42" i="12"/>
  <c r="IJ43" i="12" s="1"/>
  <c r="IK34" i="12" s="1"/>
  <c r="II42" i="12"/>
  <c r="IH42" i="12"/>
  <c r="IH43" i="12" s="1"/>
  <c r="II5" i="12" s="1"/>
  <c r="IG42" i="12"/>
  <c r="IF42" i="12"/>
  <c r="IF43" i="12" s="1"/>
  <c r="IG8" i="12" s="1"/>
  <c r="IE42" i="12"/>
  <c r="ID42" i="12"/>
  <c r="ID43" i="12" s="1"/>
  <c r="IE21" i="12" s="1"/>
  <c r="IC42" i="12"/>
  <c r="IB42" i="12"/>
  <c r="IA42" i="12"/>
  <c r="HZ42" i="12"/>
  <c r="HZ43" i="12" s="1"/>
  <c r="IA14" i="12" s="1"/>
  <c r="HY42" i="12"/>
  <c r="HX42" i="12"/>
  <c r="HX43" i="12" s="1"/>
  <c r="HY31" i="12" s="1"/>
  <c r="HW42" i="12"/>
  <c r="HV42" i="12"/>
  <c r="HV43" i="12" s="1"/>
  <c r="HU42" i="12"/>
  <c r="HT42" i="12"/>
  <c r="HT43" i="12" s="1"/>
  <c r="HS42" i="12"/>
  <c r="HR42" i="12"/>
  <c r="HR43" i="12" s="1"/>
  <c r="HQ42" i="12"/>
  <c r="HP42" i="12"/>
  <c r="HO42" i="12"/>
  <c r="HN42" i="12"/>
  <c r="HM42" i="12"/>
  <c r="HL42" i="12"/>
  <c r="HL43" i="12" s="1"/>
  <c r="HM34" i="12" s="1"/>
  <c r="HK42" i="12"/>
  <c r="HJ42" i="12"/>
  <c r="HJ43" i="12" s="1"/>
  <c r="HI42" i="12"/>
  <c r="HH42" i="12"/>
  <c r="HH43" i="12" s="1"/>
  <c r="HG42" i="12"/>
  <c r="HF42" i="12"/>
  <c r="HF43" i="12" s="1"/>
  <c r="HG31" i="12" s="1"/>
  <c r="HE42" i="12"/>
  <c r="HD42" i="12"/>
  <c r="HD43" i="12" s="1"/>
  <c r="HE26" i="12" s="1"/>
  <c r="HC42" i="12"/>
  <c r="HB42" i="12"/>
  <c r="HA42" i="12"/>
  <c r="GZ42" i="12"/>
  <c r="GZ43" i="12" s="1"/>
  <c r="HA31" i="12" s="1"/>
  <c r="GY42" i="12"/>
  <c r="GX42" i="12"/>
  <c r="GX43" i="12" s="1"/>
  <c r="GW42" i="12"/>
  <c r="GV42" i="12"/>
  <c r="GV43" i="12" s="1"/>
  <c r="GW34" i="12" s="1"/>
  <c r="GU42" i="12"/>
  <c r="GT42" i="12"/>
  <c r="GT43" i="12" s="1"/>
  <c r="GU34" i="12" s="1"/>
  <c r="GS42" i="12"/>
  <c r="GR42" i="12"/>
  <c r="GR43" i="12" s="1"/>
  <c r="GQ42" i="12"/>
  <c r="GP42" i="12"/>
  <c r="GP43" i="12" s="1"/>
  <c r="GO42" i="12"/>
  <c r="GN42" i="12"/>
  <c r="GM42" i="12"/>
  <c r="GL42" i="12"/>
  <c r="GL43" i="12" s="1"/>
  <c r="GK42" i="12"/>
  <c r="GJ42" i="12"/>
  <c r="GJ43" i="12" s="1"/>
  <c r="GI42" i="12"/>
  <c r="GH42" i="12"/>
  <c r="GH43" i="12" s="1"/>
  <c r="GG42" i="12"/>
  <c r="GF42" i="12"/>
  <c r="GF43" i="12" s="1"/>
  <c r="GG28" i="12" s="1"/>
  <c r="GE42" i="12"/>
  <c r="GD42" i="12"/>
  <c r="GD43" i="12" s="1"/>
  <c r="GC42" i="12"/>
  <c r="GB42" i="12"/>
  <c r="GA42" i="12"/>
  <c r="FZ42" i="12"/>
  <c r="FY42" i="12"/>
  <c r="FX42" i="12"/>
  <c r="FX43" i="12" s="1"/>
  <c r="FY31" i="12" s="1"/>
  <c r="FW42" i="12"/>
  <c r="FV42" i="12"/>
  <c r="FV43" i="12" s="1"/>
  <c r="FW5" i="12" s="1"/>
  <c r="FU42" i="12"/>
  <c r="FT42" i="12"/>
  <c r="FT43" i="12" s="1"/>
  <c r="FS42" i="12"/>
  <c r="FR42" i="12"/>
  <c r="FR43" i="12" s="1"/>
  <c r="FS18" i="12" s="1"/>
  <c r="FQ42" i="12"/>
  <c r="FP42" i="12"/>
  <c r="FP43" i="12" s="1"/>
  <c r="FO42" i="12"/>
  <c r="FN42" i="12"/>
  <c r="FM42" i="12"/>
  <c r="FL42" i="12"/>
  <c r="FL43" i="12" s="1"/>
  <c r="FK42" i="12"/>
  <c r="FJ42" i="12"/>
  <c r="FI42" i="12"/>
  <c r="FH42" i="12"/>
  <c r="FH43" i="12" s="1"/>
  <c r="FG42" i="12"/>
  <c r="FF42" i="12"/>
  <c r="FF43" i="12" s="1"/>
  <c r="FG31" i="12" s="1"/>
  <c r="FE42" i="12"/>
  <c r="FD42" i="12"/>
  <c r="FD43" i="12" s="1"/>
  <c r="FC42" i="12"/>
  <c r="FB42" i="12"/>
  <c r="FB43" i="12" s="1"/>
  <c r="FC34" i="12" s="1"/>
  <c r="FA42" i="12"/>
  <c r="EZ42" i="12"/>
  <c r="EY42" i="12"/>
  <c r="EX42" i="12"/>
  <c r="EX43" i="12" s="1"/>
  <c r="EY5" i="12" s="1"/>
  <c r="EW42" i="12"/>
  <c r="EV42" i="12"/>
  <c r="EV43" i="12" s="1"/>
  <c r="EW28" i="12" s="1"/>
  <c r="EU42" i="12"/>
  <c r="ET42" i="12"/>
  <c r="ET43" i="12" s="1"/>
  <c r="EU14" i="12" s="1"/>
  <c r="ES42" i="12"/>
  <c r="ER42" i="12"/>
  <c r="ER43" i="12" s="1"/>
  <c r="EQ42" i="12"/>
  <c r="EP42" i="12"/>
  <c r="EP43" i="12" s="1"/>
  <c r="EO42" i="12"/>
  <c r="EN42" i="12"/>
  <c r="EM42" i="12"/>
  <c r="EL42" i="12"/>
  <c r="EK42" i="12"/>
  <c r="EJ42" i="12"/>
  <c r="EJ43" i="12" s="1"/>
  <c r="EK21" i="12" s="1"/>
  <c r="EI42" i="12"/>
  <c r="EH42" i="12"/>
  <c r="EH43" i="12" s="1"/>
  <c r="EI10" i="12" s="1"/>
  <c r="EG42" i="12"/>
  <c r="EF42" i="12"/>
  <c r="EF43" i="12" s="1"/>
  <c r="EE42" i="12"/>
  <c r="ED42" i="12"/>
  <c r="ED43" i="12" s="1"/>
  <c r="EC42" i="12"/>
  <c r="EB42" i="12"/>
  <c r="EB43" i="12" s="1"/>
  <c r="EC28" i="12" s="1"/>
  <c r="EA42" i="12"/>
  <c r="DZ42" i="12"/>
  <c r="DY42" i="12"/>
  <c r="DX42" i="12"/>
  <c r="DX43" i="12" s="1"/>
  <c r="DW42" i="12"/>
  <c r="DV42" i="12"/>
  <c r="DV43" i="12" s="1"/>
  <c r="DW34" i="12" s="1"/>
  <c r="DU42" i="12"/>
  <c r="DT42" i="12"/>
  <c r="DT43" i="12" s="1"/>
  <c r="DU5" i="12" s="1"/>
  <c r="DS42" i="12"/>
  <c r="DR42" i="12"/>
  <c r="DR43" i="12" s="1"/>
  <c r="DQ42" i="12"/>
  <c r="DP42" i="12"/>
  <c r="DP43" i="12" s="1"/>
  <c r="DO42" i="12"/>
  <c r="DN42" i="12"/>
  <c r="DN43" i="12" s="1"/>
  <c r="DM42" i="12"/>
  <c r="DL42" i="12"/>
  <c r="DK42" i="12"/>
  <c r="DJ42" i="12"/>
  <c r="DJ43" i="12" s="1"/>
  <c r="DI42" i="12"/>
  <c r="DH42" i="12"/>
  <c r="DH43" i="12" s="1"/>
  <c r="DG42" i="12"/>
  <c r="DF42" i="12"/>
  <c r="DF43" i="12" s="1"/>
  <c r="DG14" i="12" s="1"/>
  <c r="DE42" i="12"/>
  <c r="DD42" i="12"/>
  <c r="DD43" i="12" s="1"/>
  <c r="DC42" i="12"/>
  <c r="DB42" i="12"/>
  <c r="DB43" i="12" s="1"/>
  <c r="DA42" i="12"/>
  <c r="CZ42" i="12"/>
  <c r="CY42" i="12"/>
  <c r="CX42" i="12"/>
  <c r="CW42" i="12"/>
  <c r="CV42" i="12"/>
  <c r="CV43" i="12" s="1"/>
  <c r="CW31" i="12" s="1"/>
  <c r="CU42" i="12"/>
  <c r="CT42" i="12"/>
  <c r="CT43" i="12" s="1"/>
  <c r="CS42" i="12"/>
  <c r="CR42" i="12"/>
  <c r="CR43" i="12" s="1"/>
  <c r="CQ42" i="12"/>
  <c r="CP42" i="12"/>
  <c r="CP43" i="12" s="1"/>
  <c r="CO42" i="12"/>
  <c r="CN42" i="12"/>
  <c r="CN43" i="12" s="1"/>
  <c r="CM42" i="12"/>
  <c r="CL42" i="12"/>
  <c r="CK42" i="12"/>
  <c r="CJ42" i="12"/>
  <c r="CJ43" i="12" s="1"/>
  <c r="CI42" i="12"/>
  <c r="CH42" i="12"/>
  <c r="CH43" i="12" s="1"/>
  <c r="CG42" i="12"/>
  <c r="CF42" i="12"/>
  <c r="CF43" i="12" s="1"/>
  <c r="CE42" i="12"/>
  <c r="CD42" i="12"/>
  <c r="CD43" i="12" s="1"/>
  <c r="CC42" i="12"/>
  <c r="CB42" i="12"/>
  <c r="CB43" i="12" s="1"/>
  <c r="CA42" i="12"/>
  <c r="BZ42" i="12"/>
  <c r="BY42" i="12"/>
  <c r="BX42" i="12"/>
  <c r="BW42" i="12"/>
  <c r="BV42" i="12"/>
  <c r="BU42" i="12"/>
  <c r="BT42" i="12"/>
  <c r="BT43" i="12" s="1"/>
  <c r="BS42" i="12"/>
  <c r="BR42" i="12"/>
  <c r="BR43" i="12" s="1"/>
  <c r="BS28" i="12" s="1"/>
  <c r="BQ42" i="12"/>
  <c r="BP42" i="12"/>
  <c r="BP43" i="12" s="1"/>
  <c r="BO42" i="12"/>
  <c r="BN42" i="12"/>
  <c r="BM42" i="12"/>
  <c r="BL42" i="12"/>
  <c r="BK42" i="12"/>
  <c r="BJ42" i="12"/>
  <c r="BI42" i="12"/>
  <c r="BH42" i="12"/>
  <c r="BH43" i="12" s="1"/>
  <c r="BG42" i="12"/>
  <c r="BF42" i="12"/>
  <c r="BF43" i="12" s="1"/>
  <c r="BE42" i="12"/>
  <c r="BD42" i="12"/>
  <c r="BD43" i="12" s="1"/>
  <c r="BE5" i="12" s="1"/>
  <c r="BC42" i="12"/>
  <c r="BB42" i="12"/>
  <c r="BB43" i="12" s="1"/>
  <c r="BA42" i="12"/>
  <c r="AZ42" i="12"/>
  <c r="AZ43" i="12" s="1"/>
  <c r="BA31" i="12" s="1"/>
  <c r="AY42" i="12"/>
  <c r="AX42" i="12"/>
  <c r="AW42" i="12"/>
  <c r="AV42" i="12"/>
  <c r="AV43" i="12" s="1"/>
  <c r="AU42" i="12"/>
  <c r="AT42" i="12"/>
  <c r="AT43" i="12" s="1"/>
  <c r="AS42" i="12"/>
  <c r="AR42" i="12"/>
  <c r="AR43" i="12" s="1"/>
  <c r="AS14" i="12" s="1"/>
  <c r="AQ42" i="12"/>
  <c r="AP42" i="12"/>
  <c r="AP43" i="12" s="1"/>
  <c r="AO42" i="12"/>
  <c r="AN42" i="12"/>
  <c r="AN43" i="12" s="1"/>
  <c r="AO21" i="12" s="1"/>
  <c r="AM42" i="12"/>
  <c r="AL42" i="12"/>
  <c r="AL43" i="12" s="1"/>
  <c r="AK42" i="12"/>
  <c r="AJ42" i="12"/>
  <c r="AI42" i="12"/>
  <c r="AH42" i="12"/>
  <c r="AH43" i="12" s="1"/>
  <c r="AI5" i="12" s="1"/>
  <c r="AG42" i="12"/>
  <c r="AF42" i="12"/>
  <c r="AF43" i="12" s="1"/>
  <c r="AG28" i="12" s="1"/>
  <c r="AE42" i="12"/>
  <c r="AD42" i="12"/>
  <c r="AD43" i="12" s="1"/>
  <c r="AC42" i="12"/>
  <c r="AB42" i="12"/>
  <c r="AB43" i="12" s="1"/>
  <c r="AC8" i="12" s="1"/>
  <c r="AA42" i="12"/>
  <c r="Z42" i="12"/>
  <c r="Z43" i="12" s="1"/>
  <c r="AA31" i="12" s="1"/>
  <c r="Y42" i="12"/>
  <c r="X42" i="12"/>
  <c r="W42" i="12"/>
  <c r="V42" i="12"/>
  <c r="U42" i="12"/>
  <c r="T42" i="12"/>
  <c r="T43" i="12" s="1"/>
  <c r="U5" i="12" s="1"/>
  <c r="S42" i="12"/>
  <c r="R42" i="12"/>
  <c r="R43" i="12" s="1"/>
  <c r="Q42" i="12"/>
  <c r="P42" i="12"/>
  <c r="P43" i="12" s="1"/>
  <c r="O42" i="12"/>
  <c r="N42" i="12"/>
  <c r="N43" i="12" s="1"/>
  <c r="M42" i="12"/>
  <c r="L42" i="12"/>
  <c r="L43" i="12" s="1"/>
  <c r="K42" i="12"/>
  <c r="J42" i="12"/>
  <c r="I42" i="12"/>
  <c r="H42" i="12"/>
  <c r="H43" i="12" s="1"/>
  <c r="G42" i="12"/>
  <c r="F42" i="12"/>
  <c r="F43" i="12" s="1"/>
  <c r="E42" i="12"/>
  <c r="D42" i="12"/>
  <c r="D43" i="12" s="1"/>
  <c r="E28" i="12" s="1"/>
  <c r="C42" i="12"/>
  <c r="B42" i="12"/>
  <c r="B43" i="12" s="1"/>
  <c r="C38" i="12" s="1"/>
  <c r="XU34" i="12"/>
  <c r="XA34" i="12"/>
  <c r="WU34" i="12"/>
  <c r="WE34" i="12"/>
  <c r="VY34" i="12"/>
  <c r="US34" i="12"/>
  <c r="TQ34" i="12"/>
  <c r="TA34" i="12"/>
  <c r="SA34" i="12"/>
  <c r="QW34" i="12"/>
  <c r="QA34" i="12"/>
  <c r="PG34" i="12"/>
  <c r="PC34" i="12"/>
  <c r="OQ34" i="12"/>
  <c r="OK34" i="12"/>
  <c r="NS34" i="12"/>
  <c r="NK34" i="12"/>
  <c r="LY34" i="12"/>
  <c r="LE34" i="12"/>
  <c r="KE34" i="12"/>
  <c r="JY34" i="12"/>
  <c r="JE34" i="12"/>
  <c r="IW34" i="12"/>
  <c r="IC34" i="12"/>
  <c r="HC34" i="12"/>
  <c r="GM34" i="12"/>
  <c r="EM34" i="12"/>
  <c r="DA34" i="12"/>
  <c r="W34" i="12"/>
  <c r="YA31" i="12"/>
  <c r="XU31" i="12"/>
  <c r="XA31" i="12"/>
  <c r="WS31" i="12"/>
  <c r="WM31" i="12"/>
  <c r="VY31" i="12"/>
  <c r="VE31" i="12"/>
  <c r="VA31" i="12"/>
  <c r="TE31" i="12"/>
  <c r="QU31" i="12"/>
  <c r="PI31" i="12"/>
  <c r="PG31" i="12"/>
  <c r="MC31" i="12"/>
  <c r="LY31" i="12"/>
  <c r="LU31" i="12"/>
  <c r="LE31" i="12"/>
  <c r="KQ31" i="12"/>
  <c r="JC31" i="12"/>
  <c r="IU31" i="12"/>
  <c r="HK31" i="12"/>
  <c r="FA31" i="12"/>
  <c r="DQ31" i="12"/>
  <c r="CQ31" i="12"/>
  <c r="CO31" i="12"/>
  <c r="BM31" i="12"/>
  <c r="O31" i="12"/>
  <c r="WM28" i="12"/>
  <c r="VY28" i="12"/>
  <c r="VG28" i="12"/>
  <c r="VA28" i="12"/>
  <c r="TW28" i="12"/>
  <c r="RW28" i="12"/>
  <c r="QI28" i="12"/>
  <c r="PI28" i="12"/>
  <c r="OK28" i="12"/>
  <c r="OG28" i="12"/>
  <c r="OC28" i="12"/>
  <c r="KQ28" i="12"/>
  <c r="JM28" i="12"/>
  <c r="JA28" i="12"/>
  <c r="HY28" i="12"/>
  <c r="HQ28" i="12"/>
  <c r="HI28" i="12"/>
  <c r="DU28" i="12"/>
  <c r="CW28" i="12"/>
  <c r="AS28" i="12"/>
  <c r="XM26" i="12"/>
  <c r="WM26" i="12"/>
  <c r="WC26" i="12"/>
  <c r="UQ26" i="12"/>
  <c r="RS26" i="12"/>
  <c r="QO26" i="12"/>
  <c r="NA26" i="12"/>
  <c r="EG26" i="12"/>
  <c r="XO24" i="12"/>
  <c r="HG24" i="12"/>
  <c r="AK24" i="12"/>
  <c r="VS21" i="12"/>
  <c r="TW21" i="12"/>
  <c r="QU21" i="12"/>
  <c r="QK21" i="12"/>
  <c r="MS21" i="12"/>
  <c r="LS21" i="12"/>
  <c r="KE21" i="12"/>
  <c r="UQ18" i="12"/>
  <c r="TW18" i="12"/>
  <c r="QM18" i="12"/>
  <c r="PY18" i="12"/>
  <c r="PE18" i="12"/>
  <c r="CE18" i="12"/>
  <c r="TW14" i="12"/>
  <c r="RO14" i="12"/>
  <c r="QW14" i="12"/>
  <c r="QS14" i="12"/>
  <c r="MW14" i="12"/>
  <c r="JA14" i="12"/>
  <c r="HU14" i="12"/>
  <c r="EG14" i="12"/>
  <c r="XA10" i="12"/>
  <c r="WM10" i="12"/>
  <c r="TK10" i="12"/>
  <c r="QO10" i="12"/>
  <c r="KY10" i="12"/>
  <c r="GA10" i="12"/>
  <c r="FK10" i="12"/>
  <c r="DI10" i="12"/>
  <c r="CM10" i="12"/>
  <c r="BY10" i="12"/>
  <c r="YE8" i="12"/>
  <c r="XQ8" i="12"/>
  <c r="VI8" i="12"/>
  <c r="TQ8" i="12"/>
  <c r="PI8" i="12"/>
  <c r="NQ8" i="12"/>
  <c r="MA8" i="12"/>
  <c r="JQ8" i="12"/>
  <c r="JC8" i="12"/>
  <c r="HW8" i="12"/>
  <c r="HG8" i="12"/>
  <c r="FM8" i="12"/>
  <c r="VS5" i="12"/>
  <c r="SQ5" i="12"/>
  <c r="QI5" i="12"/>
  <c r="OY5" i="12"/>
  <c r="NI5" i="12"/>
  <c r="KG5" i="12"/>
  <c r="JQ5" i="12"/>
  <c r="JE5" i="12"/>
  <c r="IC5" i="12"/>
  <c r="HE5" i="12"/>
  <c r="EU5" i="12"/>
  <c r="DY5" i="12"/>
  <c r="DS5" i="12"/>
  <c r="CU5" i="12"/>
  <c r="CO5" i="12"/>
  <c r="BY5" i="12"/>
  <c r="AK5" i="12"/>
  <c r="W5" i="12"/>
  <c r="YE4" i="12"/>
  <c r="XQ4" i="12"/>
  <c r="WQ4" i="12"/>
  <c r="UE4" i="12"/>
  <c r="TC4" i="12"/>
  <c r="RO4" i="12"/>
  <c r="PY4" i="12"/>
  <c r="OA4" i="12"/>
  <c r="MS4" i="12"/>
  <c r="KE4" i="12"/>
  <c r="HG4" i="12"/>
  <c r="CQ4" i="12"/>
  <c r="EG36" i="11"/>
  <c r="DW36" i="11"/>
  <c r="DU36" i="11"/>
  <c r="DS36" i="11"/>
  <c r="DI36" i="11"/>
  <c r="DE36" i="11"/>
  <c r="CW36" i="11"/>
  <c r="CS36" i="11"/>
  <c r="CO36" i="11"/>
  <c r="CK36" i="11"/>
  <c r="CI36" i="11"/>
  <c r="CC36" i="11"/>
  <c r="BU36" i="11"/>
  <c r="BQ36" i="11"/>
  <c r="BK36" i="11"/>
  <c r="AY36" i="11"/>
  <c r="AU36" i="11"/>
  <c r="AS36" i="11"/>
  <c r="AQ36" i="11"/>
  <c r="AM36" i="11"/>
  <c r="AG36" i="11"/>
  <c r="Y36" i="11"/>
  <c r="U36" i="11"/>
  <c r="M36" i="11"/>
  <c r="K36" i="11"/>
  <c r="I36" i="11"/>
  <c r="C36" i="11"/>
  <c r="AHY35" i="11"/>
  <c r="ACU35" i="11"/>
  <c r="LM35" i="11"/>
  <c r="AHY34" i="11"/>
  <c r="ACU34" i="11"/>
  <c r="VY34" i="11"/>
  <c r="OE34" i="11"/>
  <c r="LM34" i="11"/>
  <c r="AM34" i="11"/>
  <c r="AHY33" i="11"/>
  <c r="AHQ33" i="11"/>
  <c r="AHG33" i="11"/>
  <c r="AGY33" i="11"/>
  <c r="AGQ33" i="11"/>
  <c r="AGM33" i="11"/>
  <c r="AGI33" i="11"/>
  <c r="AGC33" i="11"/>
  <c r="AFY33" i="11"/>
  <c r="AFQ33" i="11"/>
  <c r="AFM33" i="11"/>
  <c r="AFE33" i="11"/>
  <c r="AFA33" i="11"/>
  <c r="AEY33" i="11"/>
  <c r="AEQ33" i="11"/>
  <c r="AEI33" i="11"/>
  <c r="AEC33" i="11"/>
  <c r="AEA33" i="11"/>
  <c r="ADQ33" i="11"/>
  <c r="ADO33" i="11"/>
  <c r="ADM33" i="11"/>
  <c r="ADK33" i="11"/>
  <c r="ADG33" i="11"/>
  <c r="ADC33" i="11"/>
  <c r="ADA33" i="11"/>
  <c r="ACY33" i="11"/>
  <c r="ACU33" i="11"/>
  <c r="ACS33" i="11"/>
  <c r="ACQ33" i="11"/>
  <c r="ACO33" i="11"/>
  <c r="ACI33" i="11"/>
  <c r="ACE33" i="11"/>
  <c r="ABU33" i="11"/>
  <c r="ABS33" i="11"/>
  <c r="ABQ33" i="11"/>
  <c r="ABM33" i="11"/>
  <c r="ABK33" i="11"/>
  <c r="ABI33" i="11"/>
  <c r="ABG33" i="11"/>
  <c r="ABC33" i="11"/>
  <c r="AAQ33" i="11"/>
  <c r="AAO33" i="11"/>
  <c r="AAM33" i="11"/>
  <c r="AAG33" i="11"/>
  <c r="AAA33" i="11"/>
  <c r="ZS33" i="11"/>
  <c r="ZQ33" i="11"/>
  <c r="ZO33" i="11"/>
  <c r="ZI33" i="11"/>
  <c r="YW33" i="11"/>
  <c r="YS33" i="11"/>
  <c r="YO33" i="11"/>
  <c r="YI33" i="11"/>
  <c r="YG33" i="11"/>
  <c r="YE33" i="11"/>
  <c r="XY33" i="11"/>
  <c r="XW33" i="11"/>
  <c r="XU33" i="11"/>
  <c r="XO33" i="11"/>
  <c r="XG33" i="11"/>
  <c r="XA33" i="11"/>
  <c r="WY33" i="11"/>
  <c r="WW33" i="11"/>
  <c r="WM33" i="11"/>
  <c r="WK33" i="11"/>
  <c r="WE33" i="11"/>
  <c r="VY33" i="11"/>
  <c r="VU33" i="11"/>
  <c r="VS33" i="11"/>
  <c r="VM33" i="11"/>
  <c r="VG33" i="11"/>
  <c r="VC33" i="11"/>
  <c r="UY33" i="11"/>
  <c r="UU33" i="11"/>
  <c r="UQ33" i="11"/>
  <c r="UO33" i="11"/>
  <c r="UM33" i="11"/>
  <c r="UE33" i="11"/>
  <c r="UC33" i="11"/>
  <c r="TW33" i="11"/>
  <c r="TS33" i="11"/>
  <c r="TQ33" i="11"/>
  <c r="TO33" i="11"/>
  <c r="TK33" i="11"/>
  <c r="TG33" i="11"/>
  <c r="TC33" i="11"/>
  <c r="TA33" i="11"/>
  <c r="SY33" i="11"/>
  <c r="SS33" i="11"/>
  <c r="SQ33" i="11"/>
  <c r="SI33" i="11"/>
  <c r="SG33" i="11"/>
  <c r="RY33" i="11"/>
  <c r="RQ33" i="11"/>
  <c r="RO33" i="11"/>
  <c r="RM33" i="11"/>
  <c r="RK33" i="11"/>
  <c r="RI33" i="11"/>
  <c r="RG33" i="11"/>
  <c r="RC33" i="11"/>
  <c r="RA33" i="11"/>
  <c r="QS33" i="11"/>
  <c r="QQ33" i="11"/>
  <c r="QE33" i="11"/>
  <c r="QC33" i="11"/>
  <c r="QA33" i="11"/>
  <c r="PY33" i="11"/>
  <c r="PO33" i="11"/>
  <c r="PI33" i="11"/>
  <c r="PG33" i="11"/>
  <c r="PC33" i="11"/>
  <c r="PA33" i="11"/>
  <c r="OU33" i="11"/>
  <c r="OQ33" i="11"/>
  <c r="OO33" i="11"/>
  <c r="OM33" i="11"/>
  <c r="OE33" i="11"/>
  <c r="OA33" i="11"/>
  <c r="NY33" i="11"/>
  <c r="NW33" i="11"/>
  <c r="NU33" i="11"/>
  <c r="NO33" i="11"/>
  <c r="NK33" i="11"/>
  <c r="NI33" i="11"/>
  <c r="MU33" i="11"/>
  <c r="MS33" i="11"/>
  <c r="MK33" i="11"/>
  <c r="MI33" i="11"/>
  <c r="MG33" i="11"/>
  <c r="LS33" i="11"/>
  <c r="LQ33" i="11"/>
  <c r="LM33" i="11"/>
  <c r="LI33" i="11"/>
  <c r="LC33" i="11"/>
  <c r="KO33" i="11"/>
  <c r="KM33" i="11"/>
  <c r="KA33" i="11"/>
  <c r="JY33" i="11"/>
  <c r="JW33" i="11"/>
  <c r="JS33" i="11"/>
  <c r="JO33" i="11"/>
  <c r="JI33" i="11"/>
  <c r="IY33" i="11"/>
  <c r="IS33" i="11"/>
  <c r="IM33" i="11"/>
  <c r="IK33" i="11"/>
  <c r="IC33" i="11"/>
  <c r="HW33" i="11"/>
  <c r="HQ33" i="11"/>
  <c r="HO33" i="11"/>
  <c r="HG33" i="11"/>
  <c r="HA33" i="11"/>
  <c r="GS33" i="11"/>
  <c r="GQ33" i="11"/>
  <c r="GM33" i="11"/>
  <c r="GI33" i="11"/>
  <c r="FW33" i="11"/>
  <c r="FU33" i="11"/>
  <c r="FO33" i="11"/>
  <c r="FG33" i="11"/>
  <c r="FA33" i="11"/>
  <c r="EY33" i="11"/>
  <c r="ES33" i="11"/>
  <c r="EO33" i="11"/>
  <c r="EK33" i="11"/>
  <c r="EG33" i="11"/>
  <c r="DW33" i="11"/>
  <c r="DU33" i="11"/>
  <c r="DK33" i="11"/>
  <c r="DI33" i="11"/>
  <c r="DE33" i="11"/>
  <c r="CW33" i="11"/>
  <c r="CS33" i="11"/>
  <c r="CO33" i="11"/>
  <c r="CK33" i="11"/>
  <c r="CI33" i="11"/>
  <c r="CE33" i="11"/>
  <c r="CC33" i="11"/>
  <c r="BU33" i="11"/>
  <c r="BQ33" i="11"/>
  <c r="BK33" i="11"/>
  <c r="BE33" i="11"/>
  <c r="AY33" i="11"/>
  <c r="AU33" i="11"/>
  <c r="AS33" i="11"/>
  <c r="AQ33" i="11"/>
  <c r="AM33" i="11"/>
  <c r="AI33" i="11"/>
  <c r="AG33" i="11"/>
  <c r="Y33" i="11"/>
  <c r="U33" i="11"/>
  <c r="K33" i="11"/>
  <c r="I33" i="11"/>
  <c r="C33" i="11"/>
  <c r="ACU32" i="11"/>
  <c r="OE32" i="11"/>
  <c r="LM32" i="11"/>
  <c r="AHY31" i="11"/>
  <c r="ACU31" i="11"/>
  <c r="RQ31" i="11"/>
  <c r="RM31" i="11"/>
  <c r="OE31" i="11"/>
  <c r="LM31" i="11"/>
  <c r="HO31" i="11"/>
  <c r="AIA30" i="11"/>
  <c r="AHY30" i="11"/>
  <c r="AHS30" i="11"/>
  <c r="AHQ30" i="11"/>
  <c r="AHG30" i="11"/>
  <c r="AGY30" i="11"/>
  <c r="AGQ30" i="11"/>
  <c r="AGI30" i="11"/>
  <c r="AFY30" i="11"/>
  <c r="AFM30" i="11"/>
  <c r="AFE30" i="11"/>
  <c r="AFC30" i="11"/>
  <c r="AEY30" i="11"/>
  <c r="AEQ30" i="11"/>
  <c r="AEI30" i="11"/>
  <c r="AEC30" i="11"/>
  <c r="AEA30" i="11"/>
  <c r="ADQ30" i="11"/>
  <c r="ADO30" i="11"/>
  <c r="ADM30" i="11"/>
  <c r="ADG30" i="11"/>
  <c r="ACW30" i="11"/>
  <c r="ACU30" i="11"/>
  <c r="ACS30" i="11"/>
  <c r="ACQ30" i="11"/>
  <c r="ACO30" i="11"/>
  <c r="ACI30" i="11"/>
  <c r="ACG30" i="11"/>
  <c r="ACE30" i="11"/>
  <c r="ABS30" i="11"/>
  <c r="ABK30" i="11"/>
  <c r="ABI30" i="11"/>
  <c r="ABC30" i="11"/>
  <c r="ABA30" i="11"/>
  <c r="AAS30" i="11"/>
  <c r="AAO30" i="11"/>
  <c r="AAG30" i="11"/>
  <c r="AAC30" i="11"/>
  <c r="ZS30" i="11"/>
  <c r="ZQ30" i="11"/>
  <c r="ZO30" i="11"/>
  <c r="ZI30" i="11"/>
  <c r="ZC30" i="11"/>
  <c r="YW30" i="11"/>
  <c r="YS30" i="11"/>
  <c r="YQ30" i="11"/>
  <c r="YO30" i="11"/>
  <c r="YG30" i="11"/>
  <c r="YE30" i="11"/>
  <c r="XY30" i="11"/>
  <c r="XW30" i="11"/>
  <c r="XO30" i="11"/>
  <c r="XG30" i="11"/>
  <c r="WY30" i="11"/>
  <c r="WW30" i="11"/>
  <c r="WM30" i="11"/>
  <c r="WK30" i="11"/>
  <c r="WE30" i="11"/>
  <c r="VY30" i="11"/>
  <c r="VU30" i="11"/>
  <c r="VM30" i="11"/>
  <c r="VG30" i="11"/>
  <c r="VC30" i="11"/>
  <c r="UY30" i="11"/>
  <c r="UQ30" i="11"/>
  <c r="UO30" i="11"/>
  <c r="UM30" i="11"/>
  <c r="UE30" i="11"/>
  <c r="UC30" i="11"/>
  <c r="TW30" i="11"/>
  <c r="TS30" i="11"/>
  <c r="TQ30" i="11"/>
  <c r="TO30" i="11"/>
  <c r="TK30" i="11"/>
  <c r="TG30" i="11"/>
  <c r="TC30" i="11"/>
  <c r="TA30" i="11"/>
  <c r="SY30" i="11"/>
  <c r="SS30" i="11"/>
  <c r="SQ30" i="11"/>
  <c r="SI30" i="11"/>
  <c r="SG30" i="11"/>
  <c r="SC30" i="11"/>
  <c r="RQ30" i="11"/>
  <c r="RO30" i="11"/>
  <c r="RM30" i="11"/>
  <c r="RK30" i="11"/>
  <c r="RG30" i="11"/>
  <c r="RC30" i="11"/>
  <c r="RA30" i="11"/>
  <c r="QY30" i="11"/>
  <c r="QS30" i="11"/>
  <c r="QE30" i="11"/>
  <c r="QC30" i="11"/>
  <c r="QA30" i="11"/>
  <c r="PO30" i="11"/>
  <c r="PI30" i="11"/>
  <c r="PG30" i="11"/>
  <c r="PC30" i="11"/>
  <c r="PA30" i="11"/>
  <c r="OU30" i="11"/>
  <c r="OQ30" i="11"/>
  <c r="OO30" i="11"/>
  <c r="OK30" i="11"/>
  <c r="OE30" i="11"/>
  <c r="OC30" i="11"/>
  <c r="OA30" i="11"/>
  <c r="NY30" i="11"/>
  <c r="NW30" i="11"/>
  <c r="NK30" i="11"/>
  <c r="NI30" i="11"/>
  <c r="NC30" i="11"/>
  <c r="MS30" i="11"/>
  <c r="MK30" i="11"/>
  <c r="MI30" i="11"/>
  <c r="MG30" i="11"/>
  <c r="LU30" i="11"/>
  <c r="LS30" i="11"/>
  <c r="LQ30" i="11"/>
  <c r="LM30" i="11"/>
  <c r="LI30" i="11"/>
  <c r="LC30" i="11"/>
  <c r="LA30" i="11"/>
  <c r="KQ30" i="11"/>
  <c r="KK30" i="11"/>
  <c r="KA30" i="11"/>
  <c r="JY30" i="11"/>
  <c r="JW30" i="11"/>
  <c r="JU30" i="11"/>
  <c r="JI30" i="11"/>
  <c r="JE30" i="11"/>
  <c r="IY30" i="11"/>
  <c r="IU30" i="11"/>
  <c r="IS30" i="11"/>
  <c r="IM30" i="11"/>
  <c r="IK30" i="11"/>
  <c r="IC30" i="11"/>
  <c r="HU30" i="11"/>
  <c r="HQ30" i="11"/>
  <c r="HO30" i="11"/>
  <c r="HK30" i="11"/>
  <c r="HG30" i="11"/>
  <c r="HE30" i="11"/>
  <c r="HA30" i="11"/>
  <c r="GQ30" i="11"/>
  <c r="GM30" i="11"/>
  <c r="GI30" i="11"/>
  <c r="GA30" i="11"/>
  <c r="FW30" i="11"/>
  <c r="FU30" i="11"/>
  <c r="FS30" i="11"/>
  <c r="FG30" i="11"/>
  <c r="FA30" i="11"/>
  <c r="EY30" i="11"/>
  <c r="ES30" i="11"/>
  <c r="EO30" i="11"/>
  <c r="EG30" i="11"/>
  <c r="DW30" i="11"/>
  <c r="DU30" i="11"/>
  <c r="DI30" i="11"/>
  <c r="DE30" i="11"/>
  <c r="CW30" i="11"/>
  <c r="CQ30" i="11"/>
  <c r="CO30" i="11"/>
  <c r="CK30" i="11"/>
  <c r="CI30" i="11"/>
  <c r="CC30" i="11"/>
  <c r="BU30" i="11"/>
  <c r="BO30" i="11"/>
  <c r="BI30" i="11"/>
  <c r="BG30" i="11"/>
  <c r="AY30" i="11"/>
  <c r="AU30" i="11"/>
  <c r="AO30" i="11"/>
  <c r="AM30" i="11"/>
  <c r="AG30" i="11"/>
  <c r="Y30" i="11"/>
  <c r="O30" i="11"/>
  <c r="K30" i="11"/>
  <c r="I30" i="11"/>
  <c r="E30" i="11"/>
  <c r="LM29" i="11"/>
  <c r="AHY28" i="11"/>
  <c r="AFE28" i="11"/>
  <c r="ACU28" i="11"/>
  <c r="OE28" i="11"/>
  <c r="OA28" i="11"/>
  <c r="LM28" i="11"/>
  <c r="AIA27" i="11"/>
  <c r="AHY27" i="11"/>
  <c r="AHO27" i="11"/>
  <c r="AHI27" i="11"/>
  <c r="AHE27" i="11"/>
  <c r="AHA27" i="11"/>
  <c r="AGQ27" i="11"/>
  <c r="AGO27" i="11"/>
  <c r="AGI27" i="11"/>
  <c r="AFY27" i="11"/>
  <c r="AFO27" i="11"/>
  <c r="AFE27" i="11"/>
  <c r="AFA27" i="11"/>
  <c r="AEQ27" i="11"/>
  <c r="AEI27" i="11"/>
  <c r="AEC27" i="11"/>
  <c r="AEA27" i="11"/>
  <c r="ADO27" i="11"/>
  <c r="ADM27" i="11"/>
  <c r="ADE27" i="11"/>
  <c r="ACY27" i="11"/>
  <c r="ACU27" i="11"/>
  <c r="ACS27" i="11"/>
  <c r="ACQ27" i="11"/>
  <c r="ACO27" i="11"/>
  <c r="ACI27" i="11"/>
  <c r="ACC27" i="11"/>
  <c r="ABI27" i="11"/>
  <c r="ABA27" i="11"/>
  <c r="AAS27" i="11"/>
  <c r="AAO27" i="11"/>
  <c r="AAK27" i="11"/>
  <c r="AAC27" i="11"/>
  <c r="ZW27" i="11"/>
  <c r="ZS27" i="11"/>
  <c r="ZO27" i="11"/>
  <c r="ZG27" i="11"/>
  <c r="YW27" i="11"/>
  <c r="YI27" i="11"/>
  <c r="YG27" i="11"/>
  <c r="YC27" i="11"/>
  <c r="XW27" i="11"/>
  <c r="XO27" i="11"/>
  <c r="XE27" i="11"/>
  <c r="WY27" i="11"/>
  <c r="WW27" i="11"/>
  <c r="WM27" i="11"/>
  <c r="WI27" i="11"/>
  <c r="WC27" i="11"/>
  <c r="VW27" i="11"/>
  <c r="VM27" i="11"/>
  <c r="VE27" i="11"/>
  <c r="VC27" i="11"/>
  <c r="US27" i="11"/>
  <c r="UO27" i="11"/>
  <c r="UM27" i="11"/>
  <c r="UK27" i="11"/>
  <c r="TY27" i="11"/>
  <c r="TQ27" i="11"/>
  <c r="TM27" i="11"/>
  <c r="TK27" i="11"/>
  <c r="TG27" i="11"/>
  <c r="SY27" i="11"/>
  <c r="SS27" i="11"/>
  <c r="SM27" i="11"/>
  <c r="SE27" i="11"/>
  <c r="RS27" i="11"/>
  <c r="RQ27" i="11"/>
  <c r="RO27" i="11"/>
  <c r="RK27" i="11"/>
  <c r="RE27" i="11"/>
  <c r="RC27" i="11"/>
  <c r="RA27" i="11"/>
  <c r="QY27" i="11"/>
  <c r="QS27" i="11"/>
  <c r="QM27" i="11"/>
  <c r="QE27" i="11"/>
  <c r="QC27" i="11"/>
  <c r="PY27" i="11"/>
  <c r="PO27" i="11"/>
  <c r="PI27" i="11"/>
  <c r="OY27" i="11"/>
  <c r="OU27" i="11"/>
  <c r="OQ27" i="11"/>
  <c r="OO27" i="11"/>
  <c r="OK27" i="11"/>
  <c r="OE27" i="11"/>
  <c r="OA27" i="11"/>
  <c r="NM27" i="11"/>
  <c r="NI27" i="11"/>
  <c r="NA27" i="11"/>
  <c r="MQ27" i="11"/>
  <c r="ME27" i="11"/>
  <c r="LU27" i="11"/>
  <c r="LS27" i="11"/>
  <c r="LQ27" i="11"/>
  <c r="LM27" i="11"/>
  <c r="LI27" i="11"/>
  <c r="LA27" i="11"/>
  <c r="KY27" i="11"/>
  <c r="KW27" i="11"/>
  <c r="KU27" i="11"/>
  <c r="KQ27" i="11"/>
  <c r="KK27" i="11"/>
  <c r="JU27" i="11"/>
  <c r="JK27" i="11"/>
  <c r="JC27" i="11"/>
  <c r="IW27" i="11"/>
  <c r="IO27" i="11"/>
  <c r="IM27" i="11"/>
  <c r="II27" i="11"/>
  <c r="IA27" i="11"/>
  <c r="HU27" i="11"/>
  <c r="HS27" i="11"/>
  <c r="HO27" i="11"/>
  <c r="HA27" i="11"/>
  <c r="GY27" i="11"/>
  <c r="GO27" i="11"/>
  <c r="GA27" i="11"/>
  <c r="FS27" i="11"/>
  <c r="FK27" i="11"/>
  <c r="FA27" i="11"/>
  <c r="EW27" i="11"/>
  <c r="ES27" i="11"/>
  <c r="EQ27" i="11"/>
  <c r="EM27" i="11"/>
  <c r="DU27" i="11"/>
  <c r="DG27" i="11"/>
  <c r="DE27" i="11"/>
  <c r="CO27" i="11"/>
  <c r="CK27" i="11"/>
  <c r="CI27" i="11"/>
  <c r="CA27" i="11"/>
  <c r="BU27" i="11"/>
  <c r="BG27" i="11"/>
  <c r="AU27" i="11"/>
  <c r="AG27" i="11"/>
  <c r="AA27" i="11"/>
  <c r="O27" i="11"/>
  <c r="E27" i="11"/>
  <c r="LM26" i="11"/>
  <c r="AHY25" i="11"/>
  <c r="ACU25" i="11"/>
  <c r="LM25" i="11"/>
  <c r="HO25" i="11"/>
  <c r="AHY24" i="11"/>
  <c r="AHM24" i="11"/>
  <c r="AHI24" i="11"/>
  <c r="AHA24" i="11"/>
  <c r="AGU24" i="11"/>
  <c r="AGQ24" i="11"/>
  <c r="AFY24" i="11"/>
  <c r="AFS24" i="11"/>
  <c r="AFO24" i="11"/>
  <c r="AEM24" i="11"/>
  <c r="AEK24" i="11"/>
  <c r="AEI24" i="11"/>
  <c r="AEC24" i="11"/>
  <c r="ADO24" i="11"/>
  <c r="ADM24" i="11"/>
  <c r="ADK24" i="11"/>
  <c r="ACU24" i="11"/>
  <c r="ACS24" i="11"/>
  <c r="ACO24" i="11"/>
  <c r="AAO24" i="11"/>
  <c r="ZS24" i="11"/>
  <c r="ZO24" i="11"/>
  <c r="YG24" i="11"/>
  <c r="XW24" i="11"/>
  <c r="WY24" i="11"/>
  <c r="UO24" i="11"/>
  <c r="TW24" i="11"/>
  <c r="TQ24" i="11"/>
  <c r="TK24" i="11"/>
  <c r="SS24" i="11"/>
  <c r="RK24" i="11"/>
  <c r="QY24" i="11"/>
  <c r="PI24" i="11"/>
  <c r="OQ24" i="11"/>
  <c r="OE24" i="11"/>
  <c r="LM24" i="11"/>
  <c r="JA24" i="11"/>
  <c r="IM24" i="11"/>
  <c r="HS24" i="11"/>
  <c r="HO24" i="11"/>
  <c r="GI24" i="11"/>
  <c r="FW24" i="11"/>
  <c r="FA24" i="11"/>
  <c r="DU24" i="11"/>
  <c r="CO24" i="11"/>
  <c r="BU24" i="11"/>
  <c r="AHY23" i="11"/>
  <c r="ACU23" i="11"/>
  <c r="LU23" i="11"/>
  <c r="LM23" i="11"/>
  <c r="AHY22" i="11"/>
  <c r="AHI22" i="11"/>
  <c r="AGU22" i="11"/>
  <c r="AEI22" i="11"/>
  <c r="ADM22" i="11"/>
  <c r="ACU22" i="11"/>
  <c r="ACO22" i="11"/>
  <c r="AAO22" i="11"/>
  <c r="ZS22" i="11"/>
  <c r="XW22" i="11"/>
  <c r="WY22" i="11"/>
  <c r="VQ22" i="11"/>
  <c r="UO22" i="11"/>
  <c r="TW22" i="11"/>
  <c r="TK22" i="11"/>
  <c r="SS22" i="11"/>
  <c r="RO22" i="11"/>
  <c r="RK22" i="11"/>
  <c r="PI22" i="11"/>
  <c r="OQ22" i="11"/>
  <c r="OE22" i="11"/>
  <c r="LU22" i="11"/>
  <c r="LM22" i="11"/>
  <c r="KI22" i="11"/>
  <c r="IM22" i="11"/>
  <c r="HO22" i="11"/>
  <c r="GI22" i="11"/>
  <c r="GC22" i="11"/>
  <c r="FA22" i="11"/>
  <c r="DU22" i="11"/>
  <c r="CO22" i="11"/>
  <c r="BU22" i="11"/>
  <c r="AHY20" i="11"/>
  <c r="ACU20" i="11"/>
  <c r="PU20" i="11"/>
  <c r="PI20" i="11"/>
  <c r="HO20" i="11"/>
  <c r="AIA19" i="11"/>
  <c r="AHY19" i="11"/>
  <c r="AHW19" i="11"/>
  <c r="AHI19" i="11"/>
  <c r="AEI19" i="11"/>
  <c r="ADM19" i="11"/>
  <c r="ACU19" i="11"/>
  <c r="ACO19" i="11"/>
  <c r="ZS19" i="11"/>
  <c r="ZO19" i="11"/>
  <c r="YG19" i="11"/>
  <c r="XW19" i="11"/>
  <c r="XS19" i="11"/>
  <c r="WY19" i="11"/>
  <c r="UO19" i="11"/>
  <c r="TK19" i="11"/>
  <c r="SS19" i="11"/>
  <c r="SQ19" i="11"/>
  <c r="RQ19" i="11"/>
  <c r="RO19" i="11"/>
  <c r="RM19" i="11"/>
  <c r="RK19" i="11"/>
  <c r="QG19" i="11"/>
  <c r="PU19" i="11"/>
  <c r="PS19" i="11"/>
  <c r="PI19" i="11"/>
  <c r="OQ19" i="11"/>
  <c r="OE19" i="11"/>
  <c r="LU19" i="11"/>
  <c r="LM19" i="11"/>
  <c r="HO19" i="11"/>
  <c r="GI19" i="11"/>
  <c r="FA19" i="11"/>
  <c r="DU19" i="11"/>
  <c r="DC19" i="11"/>
  <c r="CO19" i="11"/>
  <c r="BU19" i="11"/>
  <c r="AM19" i="11"/>
  <c r="HO18" i="11"/>
  <c r="AHY17" i="11"/>
  <c r="AGK17" i="11"/>
  <c r="ACU17" i="11"/>
  <c r="HO17" i="11"/>
  <c r="AIA16" i="11"/>
  <c r="AHY16" i="11"/>
  <c r="AHW16" i="11"/>
  <c r="AHK16" i="11"/>
  <c r="AHI16" i="11"/>
  <c r="AGW16" i="11"/>
  <c r="AGK16" i="11"/>
  <c r="ADW16" i="11"/>
  <c r="ADM16" i="11"/>
  <c r="ADK16" i="11"/>
  <c r="ACU16" i="11"/>
  <c r="ACO16" i="11"/>
  <c r="ZS16" i="11"/>
  <c r="XW16" i="11"/>
  <c r="WY16" i="11"/>
  <c r="TW16" i="11"/>
  <c r="RU16" i="11"/>
  <c r="RO16" i="11"/>
  <c r="RM16" i="11"/>
  <c r="RK16" i="11"/>
  <c r="PW16" i="11"/>
  <c r="PU16" i="11"/>
  <c r="PI16" i="11"/>
  <c r="PE16" i="11"/>
  <c r="LM16" i="11"/>
  <c r="IM16" i="11"/>
  <c r="HQ16" i="11"/>
  <c r="HO16" i="11"/>
  <c r="GI16" i="11"/>
  <c r="FW16" i="11"/>
  <c r="FA16" i="11"/>
  <c r="DU16" i="11"/>
  <c r="CO16" i="11"/>
  <c r="BW16" i="11"/>
  <c r="BS16" i="11"/>
  <c r="BG16" i="11"/>
  <c r="AI16" i="11"/>
  <c r="PU15" i="11"/>
  <c r="PE15" i="11"/>
  <c r="AIA14" i="11"/>
  <c r="AHY14" i="11"/>
  <c r="AEG14" i="11"/>
  <c r="ACU14" i="11"/>
  <c r="YG14" i="11"/>
  <c r="PU14" i="11"/>
  <c r="PE14" i="11"/>
  <c r="GG14" i="11"/>
  <c r="AI14" i="11"/>
  <c r="AIA13" i="11"/>
  <c r="AHY13" i="11"/>
  <c r="AHW13" i="11"/>
  <c r="AHI13" i="11"/>
  <c r="AGW13" i="11"/>
  <c r="AGU13" i="11"/>
  <c r="AGK13" i="11"/>
  <c r="AFU13" i="11"/>
  <c r="AFE13" i="11"/>
  <c r="AEI13" i="11"/>
  <c r="AEG13" i="11"/>
  <c r="ACU13" i="11"/>
  <c r="ACO13" i="11"/>
  <c r="ZS13" i="11"/>
  <c r="YU13" i="11"/>
  <c r="YG13" i="11"/>
  <c r="XW13" i="11"/>
  <c r="XK13" i="11"/>
  <c r="WY13" i="11"/>
  <c r="WG13" i="11"/>
  <c r="VO13" i="11"/>
  <c r="UO13" i="11"/>
  <c r="UA13" i="11"/>
  <c r="RU13" i="11"/>
  <c r="RM13" i="11"/>
  <c r="RK13" i="11"/>
  <c r="QW13" i="11"/>
  <c r="PU13" i="11"/>
  <c r="PI13" i="11"/>
  <c r="PE13" i="11"/>
  <c r="OE13" i="11"/>
  <c r="NS13" i="11"/>
  <c r="NG13" i="11"/>
  <c r="MY13" i="11"/>
  <c r="LM13" i="11"/>
  <c r="IM13" i="11"/>
  <c r="HO13" i="11"/>
  <c r="GU13" i="11"/>
  <c r="GG13" i="11"/>
  <c r="FW13" i="11"/>
  <c r="FA13" i="11"/>
  <c r="ES13" i="11"/>
  <c r="EA13" i="11"/>
  <c r="DU13" i="11"/>
  <c r="DA13" i="11"/>
  <c r="CO13" i="11"/>
  <c r="BW13" i="11"/>
  <c r="BG13" i="11"/>
  <c r="AI13" i="11"/>
  <c r="ABE12" i="11"/>
  <c r="AI12" i="11"/>
  <c r="AHY11" i="11"/>
  <c r="AFO11" i="11"/>
  <c r="AEG11" i="11"/>
  <c r="ACU11" i="11"/>
  <c r="ABE11" i="11"/>
  <c r="QW11" i="11"/>
  <c r="NG11" i="11"/>
  <c r="BS11" i="11"/>
  <c r="AI11" i="11"/>
  <c r="AHY10" i="11"/>
  <c r="AHW10" i="11"/>
  <c r="AHC10" i="11"/>
  <c r="AGW10" i="11"/>
  <c r="AGQ10" i="11"/>
  <c r="AGA10" i="11"/>
  <c r="AFU10" i="11"/>
  <c r="AFS10" i="11"/>
  <c r="AFO10" i="11"/>
  <c r="AEY10" i="11"/>
  <c r="AES10" i="11"/>
  <c r="AEI10" i="11"/>
  <c r="AEG10" i="11"/>
  <c r="ADY10" i="11"/>
  <c r="ADK10" i="11"/>
  <c r="ACU10" i="11"/>
  <c r="ACO10" i="11"/>
  <c r="ABG10" i="11"/>
  <c r="ABE10" i="11"/>
  <c r="AAE10" i="11"/>
  <c r="YU10" i="11"/>
  <c r="XW10" i="11"/>
  <c r="WY10" i="11"/>
  <c r="VK10" i="11"/>
  <c r="VA10" i="11"/>
  <c r="UO10" i="11"/>
  <c r="TU10" i="11"/>
  <c r="RW10" i="11"/>
  <c r="RM10" i="11"/>
  <c r="RK10" i="11"/>
  <c r="QW10" i="11"/>
  <c r="QK10" i="11"/>
  <c r="QG10" i="11"/>
  <c r="OQ10" i="11"/>
  <c r="OE10" i="11"/>
  <c r="NG10" i="11"/>
  <c r="MA10" i="11"/>
  <c r="LM10" i="11"/>
  <c r="LK10" i="11"/>
  <c r="IM10" i="11"/>
  <c r="HO10" i="11"/>
  <c r="GG10" i="11"/>
  <c r="FY10" i="11"/>
  <c r="FW10" i="11"/>
  <c r="FE10" i="11"/>
  <c r="EU10" i="11"/>
  <c r="DU10" i="11"/>
  <c r="DG10" i="11"/>
  <c r="CO10" i="11"/>
  <c r="BW10" i="11"/>
  <c r="BS10" i="11"/>
  <c r="AI10" i="11"/>
  <c r="S10" i="11"/>
  <c r="Q10" i="11"/>
  <c r="AGW9" i="11"/>
  <c r="ACU9" i="11"/>
  <c r="WM9" i="11"/>
  <c r="NG9" i="11"/>
  <c r="HO9" i="11"/>
  <c r="GI9" i="11"/>
  <c r="AI9" i="11"/>
  <c r="AIA8" i="11"/>
  <c r="AHY8" i="11"/>
  <c r="AHW8" i="11"/>
  <c r="AHK8" i="11"/>
  <c r="AGW8" i="11"/>
  <c r="AGG8" i="11"/>
  <c r="AGA8" i="11"/>
  <c r="AFS8" i="11"/>
  <c r="AFO8" i="11"/>
  <c r="AFK8" i="11"/>
  <c r="AEG8" i="11"/>
  <c r="ACU8" i="11"/>
  <c r="ACO8" i="11"/>
  <c r="ABE8" i="11"/>
  <c r="AAE8" i="11"/>
  <c r="ZS8" i="11"/>
  <c r="ZC8" i="11"/>
  <c r="YG8" i="11"/>
  <c r="XW8" i="11"/>
  <c r="XC8" i="11"/>
  <c r="WY8" i="11"/>
  <c r="WM8" i="11"/>
  <c r="WA8" i="11"/>
  <c r="VK8" i="11"/>
  <c r="VG8" i="11"/>
  <c r="UO8" i="11"/>
  <c r="TE8" i="11"/>
  <c r="SS8" i="11"/>
  <c r="SQ8" i="11"/>
  <c r="SA8" i="11"/>
  <c r="RM8" i="11"/>
  <c r="RK8" i="11"/>
  <c r="QI8" i="11"/>
  <c r="QG8" i="11"/>
  <c r="PQ8" i="11"/>
  <c r="PM8" i="11"/>
  <c r="PK8" i="11"/>
  <c r="PI8" i="11"/>
  <c r="OS8" i="11"/>
  <c r="OQ8" i="11"/>
  <c r="OE8" i="11"/>
  <c r="NS8" i="11"/>
  <c r="NQ8" i="11"/>
  <c r="NG8" i="11"/>
  <c r="NE8" i="11"/>
  <c r="MW8" i="11"/>
  <c r="MA8" i="11"/>
  <c r="LM8" i="11"/>
  <c r="LK8" i="11"/>
  <c r="KE8" i="11"/>
  <c r="JQ8" i="11"/>
  <c r="JA8" i="11"/>
  <c r="HO8" i="11"/>
  <c r="HI8" i="11"/>
  <c r="GI8" i="11"/>
  <c r="GG8" i="11"/>
  <c r="FW8" i="11"/>
  <c r="FA8" i="11"/>
  <c r="EM8" i="11"/>
  <c r="DQ8" i="11"/>
  <c r="DG8" i="11"/>
  <c r="CY8" i="11"/>
  <c r="CO8" i="11"/>
  <c r="BY8" i="11"/>
  <c r="BS8" i="11"/>
  <c r="BG8" i="11"/>
  <c r="BC8" i="11"/>
  <c r="AI8" i="11"/>
  <c r="S8" i="11"/>
  <c r="Q8" i="11"/>
  <c r="ACU6" i="11"/>
  <c r="ACM6" i="11"/>
  <c r="DM6" i="11"/>
  <c r="DG6" i="11"/>
  <c r="CM6" i="11"/>
  <c r="BS6" i="11"/>
  <c r="AI6" i="11"/>
  <c r="AIA5" i="11"/>
  <c r="AHY5" i="11"/>
  <c r="AHW5" i="11"/>
  <c r="AHI5" i="11"/>
  <c r="AGW5" i="11"/>
  <c r="AGQ5" i="11"/>
  <c r="AFS5" i="11"/>
  <c r="AFI5" i="11"/>
  <c r="AFG5" i="11"/>
  <c r="AFE5" i="11"/>
  <c r="AEW5" i="11"/>
  <c r="AEU5" i="11"/>
  <c r="AES5" i="11"/>
  <c r="AEO5" i="11"/>
  <c r="AEE5" i="11"/>
  <c r="AEC5" i="11"/>
  <c r="ADU5" i="11"/>
  <c r="ADS5" i="11"/>
  <c r="ADM5" i="11"/>
  <c r="ADK5" i="11"/>
  <c r="ADI5" i="11"/>
  <c r="ACY5" i="11"/>
  <c r="ACU5" i="11"/>
  <c r="ACO5" i="11"/>
  <c r="ACM5" i="11"/>
  <c r="ACA5" i="11"/>
  <c r="ABY5" i="11"/>
  <c r="ABO5" i="11"/>
  <c r="ABE5" i="11"/>
  <c r="AAW5" i="11"/>
  <c r="AAI5" i="11"/>
  <c r="ZY5" i="11"/>
  <c r="ZU5" i="11"/>
  <c r="ZS5" i="11"/>
  <c r="ZM5" i="11"/>
  <c r="ZA5" i="11"/>
  <c r="YY5" i="11"/>
  <c r="YM5" i="11"/>
  <c r="YG5" i="11"/>
  <c r="YA5" i="11"/>
  <c r="XW5" i="11"/>
  <c r="XM5" i="11"/>
  <c r="XK5" i="11"/>
  <c r="WU5" i="11"/>
  <c r="WS5" i="11"/>
  <c r="WQ5" i="11"/>
  <c r="WO5" i="11"/>
  <c r="VI5" i="11"/>
  <c r="VG5" i="11"/>
  <c r="UW5" i="11"/>
  <c r="UO5" i="11"/>
  <c r="UI5" i="11"/>
  <c r="UG5" i="11"/>
  <c r="TK5" i="11"/>
  <c r="TI5" i="11"/>
  <c r="SQ5" i="11"/>
  <c r="SO5" i="11"/>
  <c r="SK5" i="11"/>
  <c r="SE5" i="11"/>
  <c r="SA5" i="11"/>
  <c r="RM5" i="11"/>
  <c r="RK5" i="11"/>
  <c r="QU5" i="11"/>
  <c r="QO5" i="11"/>
  <c r="OW5" i="11"/>
  <c r="OI5" i="11"/>
  <c r="OG5" i="11"/>
  <c r="OE5" i="11"/>
  <c r="OA5" i="11"/>
  <c r="NQ5" i="11"/>
  <c r="NM5" i="11"/>
  <c r="NE5" i="11"/>
  <c r="MO5" i="11"/>
  <c r="MM5" i="11"/>
  <c r="MC5" i="11"/>
  <c r="LY5" i="11"/>
  <c r="LW5" i="11"/>
  <c r="LO5" i="11"/>
  <c r="LM5" i="11"/>
  <c r="LG5" i="11"/>
  <c r="LE5" i="11"/>
  <c r="KS5" i="11"/>
  <c r="KE5" i="11"/>
  <c r="KC5" i="11"/>
  <c r="JM5" i="11"/>
  <c r="JA5" i="11"/>
  <c r="IQ5" i="11"/>
  <c r="IM5" i="11"/>
  <c r="IK5" i="11"/>
  <c r="IG5" i="11"/>
  <c r="IE5" i="11"/>
  <c r="HY5" i="11"/>
  <c r="HQ5" i="11"/>
  <c r="HO5" i="11"/>
  <c r="HM5" i="11"/>
  <c r="HC5" i="11"/>
  <c r="GW5" i="11"/>
  <c r="GU5" i="11"/>
  <c r="GK5" i="11"/>
  <c r="GI5" i="11"/>
  <c r="GE5" i="11"/>
  <c r="FW5" i="11"/>
  <c r="FQ5" i="11"/>
  <c r="FM5" i="11"/>
  <c r="FI5" i="11"/>
  <c r="FC5" i="11"/>
  <c r="FA5" i="11"/>
  <c r="EI5" i="11"/>
  <c r="EE5" i="11"/>
  <c r="EC5" i="11"/>
  <c r="DY5" i="11"/>
  <c r="DO5" i="11"/>
  <c r="DM5" i="11"/>
  <c r="DG5" i="11"/>
  <c r="CU5" i="11"/>
  <c r="CO5" i="11"/>
  <c r="CM5" i="11"/>
  <c r="CG5" i="11"/>
  <c r="BW5" i="11"/>
  <c r="BS5" i="11"/>
  <c r="BM5" i="11"/>
  <c r="BA5" i="11"/>
  <c r="AW5" i="11"/>
  <c r="AM5" i="11"/>
  <c r="AK5" i="11"/>
  <c r="AI5" i="11"/>
  <c r="AE5" i="11"/>
  <c r="AC5" i="11"/>
  <c r="W5" i="11"/>
  <c r="G5" i="11"/>
  <c r="AIA4" i="11"/>
  <c r="AHU4" i="11"/>
  <c r="AHI4" i="11"/>
  <c r="AGS4" i="11"/>
  <c r="AGQ4" i="11"/>
  <c r="AGK4" i="11"/>
  <c r="AGE4" i="11"/>
  <c r="AFW4" i="11"/>
  <c r="AFS4" i="11"/>
  <c r="AFO4" i="11"/>
  <c r="AFE4" i="11"/>
  <c r="AES4" i="11"/>
  <c r="AEC4" i="11"/>
  <c r="ADU4" i="11"/>
  <c r="ADK4" i="11"/>
  <c r="ACY4" i="11"/>
  <c r="ACU4" i="11"/>
  <c r="ACO4" i="11"/>
  <c r="ACM4" i="11"/>
  <c r="ACK4" i="11"/>
  <c r="ABW4" i="11"/>
  <c r="ABQ4" i="11"/>
  <c r="ABO4" i="11"/>
  <c r="ABG4" i="11"/>
  <c r="AAY4" i="11"/>
  <c r="AAU4" i="11"/>
  <c r="ZS4" i="11"/>
  <c r="ZM4" i="11"/>
  <c r="ZK4" i="11"/>
  <c r="ZE4" i="11"/>
  <c r="YY4" i="11"/>
  <c r="YK4" i="11"/>
  <c r="XW4" i="11"/>
  <c r="XQ4" i="11"/>
  <c r="XM4" i="11"/>
  <c r="XK4" i="11"/>
  <c r="XI4" i="11"/>
  <c r="WY4" i="11"/>
  <c r="WM4" i="11"/>
  <c r="US4" i="11"/>
  <c r="UO4" i="11"/>
  <c r="UG4" i="11"/>
  <c r="SW4" i="11"/>
  <c r="SU4" i="11"/>
  <c r="SE4" i="11"/>
  <c r="RQ4" i="11"/>
  <c r="RK4" i="11"/>
  <c r="QG4" i="11"/>
  <c r="OQ4" i="11"/>
  <c r="OG4" i="11"/>
  <c r="OE4" i="11"/>
  <c r="OA4" i="11"/>
  <c r="NE4" i="11"/>
  <c r="MW4" i="11"/>
  <c r="LM4" i="11"/>
  <c r="KG4" i="11"/>
  <c r="JG4" i="11"/>
  <c r="HO4" i="11"/>
  <c r="GO4" i="11"/>
  <c r="GI4" i="11"/>
  <c r="EM4" i="11"/>
  <c r="DU4" i="11"/>
  <c r="CO4" i="11"/>
  <c r="BG4" i="11"/>
  <c r="AEC3" i="11"/>
  <c r="LM3" i="11"/>
  <c r="BC7" i="10"/>
  <c r="AZ7" i="10"/>
  <c r="AW7" i="10"/>
  <c r="AT7" i="10"/>
  <c r="AQ7" i="10"/>
  <c r="BC6" i="10"/>
  <c r="AZ6" i="10"/>
  <c r="AW6" i="10"/>
  <c r="AT6" i="10"/>
  <c r="AQ6" i="10"/>
  <c r="AN6" i="10"/>
  <c r="AK6" i="10"/>
  <c r="AH6" i="10"/>
  <c r="AE6" i="10"/>
  <c r="AB6" i="10"/>
  <c r="Y6" i="10"/>
  <c r="V6" i="10"/>
  <c r="S6" i="10"/>
  <c r="P6" i="10"/>
  <c r="BC5" i="10"/>
  <c r="AZ5" i="10"/>
  <c r="AW5" i="10"/>
  <c r="AT5" i="10"/>
  <c r="AQ5" i="10"/>
  <c r="AN5" i="10"/>
  <c r="AK5" i="10"/>
  <c r="AH5" i="10"/>
  <c r="AE5" i="10"/>
  <c r="AB5" i="10"/>
  <c r="Y5" i="10"/>
  <c r="V5" i="10"/>
  <c r="S5" i="10"/>
  <c r="P5" i="10"/>
  <c r="M5" i="10"/>
  <c r="J5" i="10"/>
  <c r="G5" i="10"/>
  <c r="BC4" i="10"/>
  <c r="AZ4" i="10"/>
  <c r="AW4" i="10"/>
  <c r="AT4" i="10"/>
  <c r="AQ4" i="10"/>
  <c r="AN4" i="10"/>
  <c r="AK4" i="10"/>
  <c r="AH4" i="10"/>
  <c r="AE4" i="10"/>
  <c r="AB4" i="10"/>
  <c r="Y4" i="10"/>
  <c r="V4" i="10"/>
  <c r="S4" i="10"/>
  <c r="P4" i="10"/>
  <c r="M4" i="10"/>
  <c r="J4" i="10"/>
  <c r="G4" i="10"/>
  <c r="BC3" i="10"/>
  <c r="AZ3" i="10"/>
  <c r="AW3" i="10"/>
  <c r="AT3" i="10"/>
  <c r="AQ3" i="10"/>
  <c r="AN3" i="10"/>
  <c r="AK3" i="10"/>
  <c r="AH3" i="10"/>
  <c r="AE3" i="10"/>
  <c r="AB3" i="10"/>
  <c r="Y3" i="10"/>
  <c r="V3" i="10"/>
  <c r="S3" i="10"/>
  <c r="P3" i="10"/>
  <c r="M3" i="10"/>
  <c r="J3" i="10"/>
  <c r="G3" i="10"/>
  <c r="BF2" i="10"/>
  <c r="BC2" i="10"/>
  <c r="AZ2" i="10"/>
  <c r="AW2" i="10"/>
  <c r="AT2" i="10"/>
  <c r="AQ2" i="10"/>
  <c r="B16" i="10" s="1"/>
  <c r="AN2" i="10"/>
  <c r="AK2" i="10"/>
  <c r="AH2" i="10"/>
  <c r="AE2" i="10"/>
  <c r="AB2" i="10"/>
  <c r="Y2" i="10"/>
  <c r="V2" i="10"/>
  <c r="S2" i="10"/>
  <c r="P2" i="10"/>
  <c r="M2" i="10"/>
  <c r="J2" i="10"/>
  <c r="G2" i="10"/>
  <c r="FO101" i="9"/>
  <c r="FL101" i="9"/>
  <c r="FI101" i="9"/>
  <c r="FF101" i="9"/>
  <c r="FC101" i="9"/>
  <c r="EZ101" i="9"/>
  <c r="EW101" i="9"/>
  <c r="ET101" i="9"/>
  <c r="EQ101" i="9"/>
  <c r="EN101" i="9"/>
  <c r="EK101" i="9"/>
  <c r="EH101" i="9"/>
  <c r="EE101" i="9"/>
  <c r="EB101" i="9"/>
  <c r="DY101" i="9"/>
  <c r="DV101" i="9"/>
  <c r="DS101" i="9"/>
  <c r="DP101" i="9"/>
  <c r="DM101" i="9"/>
  <c r="DJ101" i="9"/>
  <c r="DG101" i="9"/>
  <c r="DD101" i="9"/>
  <c r="DA101" i="9"/>
  <c r="CX101" i="9"/>
  <c r="CU101" i="9"/>
  <c r="CR101" i="9"/>
  <c r="CO101" i="9"/>
  <c r="CL101" i="9"/>
  <c r="CI101" i="9"/>
  <c r="CF101" i="9"/>
  <c r="CC101" i="9"/>
  <c r="BZ101" i="9"/>
  <c r="BW101" i="9"/>
  <c r="BT101" i="9"/>
  <c r="BQ101" i="9"/>
  <c r="BN101" i="9"/>
  <c r="BK101" i="9"/>
  <c r="BH101" i="9"/>
  <c r="BE101" i="9"/>
  <c r="BB101" i="9"/>
  <c r="AY101" i="9"/>
  <c r="AV101" i="9"/>
  <c r="AS101" i="9"/>
  <c r="AP101" i="9"/>
  <c r="AM101" i="9"/>
  <c r="AJ101" i="9"/>
  <c r="AG101" i="9"/>
  <c r="AD101" i="9"/>
  <c r="AA101" i="9"/>
  <c r="X101" i="9"/>
  <c r="U101" i="9"/>
  <c r="R101" i="9"/>
  <c r="O101" i="9"/>
  <c r="L101" i="9"/>
  <c r="I101" i="9"/>
  <c r="F101" i="9"/>
  <c r="FO100" i="9"/>
  <c r="FL100" i="9"/>
  <c r="FI100" i="9"/>
  <c r="FF100" i="9"/>
  <c r="FC100" i="9"/>
  <c r="EZ100" i="9"/>
  <c r="EW100" i="9"/>
  <c r="ET100" i="9"/>
  <c r="EQ100" i="9"/>
  <c r="EN100" i="9"/>
  <c r="EK100" i="9"/>
  <c r="EH100" i="9"/>
  <c r="EE100" i="9"/>
  <c r="EB100" i="9"/>
  <c r="DY100" i="9"/>
  <c r="DV100" i="9"/>
  <c r="DS100" i="9"/>
  <c r="DP100" i="9"/>
  <c r="DM100" i="9"/>
  <c r="DJ100" i="9"/>
  <c r="DG100" i="9"/>
  <c r="DD100" i="9"/>
  <c r="DA100" i="9"/>
  <c r="CX100" i="9"/>
  <c r="CU100" i="9"/>
  <c r="CR100" i="9"/>
  <c r="CO100" i="9"/>
  <c r="CL100" i="9"/>
  <c r="CI100" i="9"/>
  <c r="CF100" i="9"/>
  <c r="CC100" i="9"/>
  <c r="BZ100" i="9"/>
  <c r="BW100" i="9"/>
  <c r="BT100" i="9"/>
  <c r="BQ100" i="9"/>
  <c r="BN100" i="9"/>
  <c r="BK100" i="9"/>
  <c r="BH100" i="9"/>
  <c r="BE100" i="9"/>
  <c r="BB100" i="9"/>
  <c r="AY100" i="9"/>
  <c r="AV100" i="9"/>
  <c r="AS100" i="9"/>
  <c r="AP100" i="9"/>
  <c r="AM100" i="9"/>
  <c r="AJ100" i="9"/>
  <c r="AG100" i="9"/>
  <c r="AD100" i="9"/>
  <c r="AA100" i="9"/>
  <c r="X100" i="9"/>
  <c r="U100" i="9"/>
  <c r="R100" i="9"/>
  <c r="O100" i="9"/>
  <c r="L100" i="9"/>
  <c r="I100" i="9"/>
  <c r="F100" i="9"/>
  <c r="FO99" i="9"/>
  <c r="FL99" i="9"/>
  <c r="FI99" i="9"/>
  <c r="FF99" i="9"/>
  <c r="FC99" i="9"/>
  <c r="EZ99" i="9"/>
  <c r="EW99" i="9"/>
  <c r="ET99" i="9"/>
  <c r="EQ99" i="9"/>
  <c r="EN99" i="9"/>
  <c r="EK99" i="9"/>
  <c r="EH99" i="9"/>
  <c r="EE99" i="9"/>
  <c r="EB99" i="9"/>
  <c r="DY99" i="9"/>
  <c r="DV99" i="9"/>
  <c r="DS99" i="9"/>
  <c r="DP99" i="9"/>
  <c r="DM99" i="9"/>
  <c r="DJ99" i="9"/>
  <c r="DG99" i="9"/>
  <c r="DD99" i="9"/>
  <c r="DA99" i="9"/>
  <c r="CX99" i="9"/>
  <c r="CU99" i="9"/>
  <c r="CR99" i="9"/>
  <c r="CO99" i="9"/>
  <c r="CL99" i="9"/>
  <c r="CI99" i="9"/>
  <c r="CF99" i="9"/>
  <c r="CC99" i="9"/>
  <c r="BZ99" i="9"/>
  <c r="BW99" i="9"/>
  <c r="BT99" i="9"/>
  <c r="BQ99" i="9"/>
  <c r="BN99" i="9"/>
  <c r="BK99" i="9"/>
  <c r="BH99" i="9"/>
  <c r="BE99" i="9"/>
  <c r="BB99" i="9"/>
  <c r="AY99" i="9"/>
  <c r="AV99" i="9"/>
  <c r="AS99" i="9"/>
  <c r="AP99" i="9"/>
  <c r="AM99" i="9"/>
  <c r="AJ99" i="9"/>
  <c r="AG99" i="9"/>
  <c r="AD99" i="9"/>
  <c r="AA99" i="9"/>
  <c r="X99" i="9"/>
  <c r="U99" i="9"/>
  <c r="R99" i="9"/>
  <c r="O99" i="9"/>
  <c r="L99" i="9"/>
  <c r="I99" i="9"/>
  <c r="F99" i="9"/>
  <c r="FO98" i="9"/>
  <c r="FL98" i="9"/>
  <c r="FI98" i="9"/>
  <c r="FF98" i="9"/>
  <c r="FC98" i="9"/>
  <c r="EZ98" i="9"/>
  <c r="EW98" i="9"/>
  <c r="ET98" i="9"/>
  <c r="EQ98" i="9"/>
  <c r="EN98" i="9"/>
  <c r="EK98" i="9"/>
  <c r="EH98" i="9"/>
  <c r="EE98" i="9"/>
  <c r="EB98" i="9"/>
  <c r="DY98" i="9"/>
  <c r="DV98" i="9"/>
  <c r="DS98" i="9"/>
  <c r="DP98" i="9"/>
  <c r="DM98" i="9"/>
  <c r="DJ98" i="9"/>
  <c r="DG98" i="9"/>
  <c r="DD98" i="9"/>
  <c r="DA98" i="9"/>
  <c r="CX98" i="9"/>
  <c r="CU98" i="9"/>
  <c r="CR98" i="9"/>
  <c r="CO98" i="9"/>
  <c r="CL98" i="9"/>
  <c r="CI98" i="9"/>
  <c r="CF98" i="9"/>
  <c r="CC98" i="9"/>
  <c r="BZ98" i="9"/>
  <c r="BW98" i="9"/>
  <c r="BT98" i="9"/>
  <c r="BQ98" i="9"/>
  <c r="BN98" i="9"/>
  <c r="BK98" i="9"/>
  <c r="BH98" i="9"/>
  <c r="BE98" i="9"/>
  <c r="BB98" i="9"/>
  <c r="AY98" i="9"/>
  <c r="AV98" i="9"/>
  <c r="AS98" i="9"/>
  <c r="AP98" i="9"/>
  <c r="AM98" i="9"/>
  <c r="AJ98" i="9"/>
  <c r="AG98" i="9"/>
  <c r="AD98" i="9"/>
  <c r="AA98" i="9"/>
  <c r="X98" i="9"/>
  <c r="U98" i="9"/>
  <c r="R98" i="9"/>
  <c r="O98" i="9"/>
  <c r="L98" i="9"/>
  <c r="I98" i="9"/>
  <c r="F98" i="9"/>
  <c r="FO97" i="9"/>
  <c r="FL97" i="9"/>
  <c r="FI97" i="9"/>
  <c r="FF97" i="9"/>
  <c r="FC97" i="9"/>
  <c r="EZ97" i="9"/>
  <c r="EW97" i="9"/>
  <c r="ET97" i="9"/>
  <c r="EQ97" i="9"/>
  <c r="EN97" i="9"/>
  <c r="EK97" i="9"/>
  <c r="EH97" i="9"/>
  <c r="EE97" i="9"/>
  <c r="EB97" i="9"/>
  <c r="DY97" i="9"/>
  <c r="DV97" i="9"/>
  <c r="DS97" i="9"/>
  <c r="DP97" i="9"/>
  <c r="DM97" i="9"/>
  <c r="DJ97" i="9"/>
  <c r="DG97" i="9"/>
  <c r="DD97" i="9"/>
  <c r="DA97" i="9"/>
  <c r="CX97" i="9"/>
  <c r="CU97" i="9"/>
  <c r="CR97" i="9"/>
  <c r="CO97" i="9"/>
  <c r="CL97" i="9"/>
  <c r="CI97" i="9"/>
  <c r="CF97" i="9"/>
  <c r="CC97" i="9"/>
  <c r="BZ97" i="9"/>
  <c r="BW97" i="9"/>
  <c r="BT97" i="9"/>
  <c r="BQ97" i="9"/>
  <c r="BN97" i="9"/>
  <c r="BK97" i="9"/>
  <c r="BH97" i="9"/>
  <c r="BE97" i="9"/>
  <c r="BB97" i="9"/>
  <c r="AY97" i="9"/>
  <c r="AV97" i="9"/>
  <c r="AS97" i="9"/>
  <c r="AP97" i="9"/>
  <c r="AM97" i="9"/>
  <c r="AJ97" i="9"/>
  <c r="AG97" i="9"/>
  <c r="AD97" i="9"/>
  <c r="AA97" i="9"/>
  <c r="X97" i="9"/>
  <c r="U97" i="9"/>
  <c r="R97" i="9"/>
  <c r="O97" i="9"/>
  <c r="L97" i="9"/>
  <c r="I97" i="9"/>
  <c r="F97" i="9"/>
  <c r="FO96" i="9"/>
  <c r="FL96" i="9"/>
  <c r="FI96" i="9"/>
  <c r="FF96" i="9"/>
  <c r="FC96" i="9"/>
  <c r="EZ96" i="9"/>
  <c r="EW96" i="9"/>
  <c r="ET96" i="9"/>
  <c r="EQ96" i="9"/>
  <c r="EN96" i="9"/>
  <c r="EK96" i="9"/>
  <c r="EH96" i="9"/>
  <c r="EE96" i="9"/>
  <c r="EB96" i="9"/>
  <c r="DY96" i="9"/>
  <c r="DV96" i="9"/>
  <c r="DS96" i="9"/>
  <c r="DP96" i="9"/>
  <c r="DM96" i="9"/>
  <c r="DJ96" i="9"/>
  <c r="DG96" i="9"/>
  <c r="DD96" i="9"/>
  <c r="DA96" i="9"/>
  <c r="CX96" i="9"/>
  <c r="CU96" i="9"/>
  <c r="CR96" i="9"/>
  <c r="CO96" i="9"/>
  <c r="CL96" i="9"/>
  <c r="CI96" i="9"/>
  <c r="CF96" i="9"/>
  <c r="CC96" i="9"/>
  <c r="BZ96" i="9"/>
  <c r="BW96" i="9"/>
  <c r="BT96" i="9"/>
  <c r="BQ96" i="9"/>
  <c r="BN96" i="9"/>
  <c r="BK96" i="9"/>
  <c r="BH96" i="9"/>
  <c r="BE96" i="9"/>
  <c r="BB96" i="9"/>
  <c r="AY96" i="9"/>
  <c r="AV96" i="9"/>
  <c r="AS96" i="9"/>
  <c r="AP96" i="9"/>
  <c r="AM96" i="9"/>
  <c r="AJ96" i="9"/>
  <c r="AG96" i="9"/>
  <c r="AD96" i="9"/>
  <c r="AA96" i="9"/>
  <c r="X96" i="9"/>
  <c r="U96" i="9"/>
  <c r="R96" i="9"/>
  <c r="O96" i="9"/>
  <c r="L96" i="9"/>
  <c r="I96" i="9"/>
  <c r="F96" i="9"/>
  <c r="FO95" i="9"/>
  <c r="FL95" i="9"/>
  <c r="FI95" i="9"/>
  <c r="FF95" i="9"/>
  <c r="FC95" i="9"/>
  <c r="EZ95" i="9"/>
  <c r="EW95" i="9"/>
  <c r="ET95" i="9"/>
  <c r="EQ95" i="9"/>
  <c r="EN95" i="9"/>
  <c r="EK95" i="9"/>
  <c r="EH95" i="9"/>
  <c r="EE95" i="9"/>
  <c r="EB95" i="9"/>
  <c r="DY95" i="9"/>
  <c r="DV95" i="9"/>
  <c r="DS95" i="9"/>
  <c r="DP95" i="9"/>
  <c r="DM95" i="9"/>
  <c r="DJ95" i="9"/>
  <c r="DG95" i="9"/>
  <c r="DD95" i="9"/>
  <c r="DA95" i="9"/>
  <c r="CX95" i="9"/>
  <c r="CU95" i="9"/>
  <c r="CR95" i="9"/>
  <c r="CO95" i="9"/>
  <c r="CL95" i="9"/>
  <c r="CI95" i="9"/>
  <c r="CF95" i="9"/>
  <c r="CC95" i="9"/>
  <c r="BZ95" i="9"/>
  <c r="BW95" i="9"/>
  <c r="BT95" i="9"/>
  <c r="BQ95" i="9"/>
  <c r="BN95" i="9"/>
  <c r="BK95" i="9"/>
  <c r="BH95" i="9"/>
  <c r="BE95" i="9"/>
  <c r="BB95" i="9"/>
  <c r="AY95" i="9"/>
  <c r="AV95" i="9"/>
  <c r="AS95" i="9"/>
  <c r="AP95" i="9"/>
  <c r="AM95" i="9"/>
  <c r="AJ95" i="9"/>
  <c r="AG95" i="9"/>
  <c r="AD95" i="9"/>
  <c r="AA95" i="9"/>
  <c r="X95" i="9"/>
  <c r="U95" i="9"/>
  <c r="R95" i="9"/>
  <c r="O95" i="9"/>
  <c r="L95" i="9"/>
  <c r="I95" i="9"/>
  <c r="F95" i="9"/>
  <c r="FO94" i="9"/>
  <c r="FL94" i="9"/>
  <c r="FI94" i="9"/>
  <c r="FF94" i="9"/>
  <c r="FC94" i="9"/>
  <c r="EZ94" i="9"/>
  <c r="EW94" i="9"/>
  <c r="ET94" i="9"/>
  <c r="EQ94" i="9"/>
  <c r="EN94" i="9"/>
  <c r="EK94" i="9"/>
  <c r="EH94" i="9"/>
  <c r="EE94" i="9"/>
  <c r="EB94" i="9"/>
  <c r="DY94" i="9"/>
  <c r="DV94" i="9"/>
  <c r="DS94" i="9"/>
  <c r="DP94" i="9"/>
  <c r="DM94" i="9"/>
  <c r="DJ94" i="9"/>
  <c r="DG94" i="9"/>
  <c r="DD94" i="9"/>
  <c r="DA94" i="9"/>
  <c r="CX94" i="9"/>
  <c r="CU94" i="9"/>
  <c r="CR94" i="9"/>
  <c r="CO94" i="9"/>
  <c r="CL94" i="9"/>
  <c r="CI94" i="9"/>
  <c r="CF94" i="9"/>
  <c r="CC94" i="9"/>
  <c r="BZ94" i="9"/>
  <c r="BW94" i="9"/>
  <c r="BT94" i="9"/>
  <c r="BQ94" i="9"/>
  <c r="BN94" i="9"/>
  <c r="BK94" i="9"/>
  <c r="BH94" i="9"/>
  <c r="BE94" i="9"/>
  <c r="BB94" i="9"/>
  <c r="AY94" i="9"/>
  <c r="AV94" i="9"/>
  <c r="AS94" i="9"/>
  <c r="AP94" i="9"/>
  <c r="AM94" i="9"/>
  <c r="AJ94" i="9"/>
  <c r="AG94" i="9"/>
  <c r="AD94" i="9"/>
  <c r="AA94" i="9"/>
  <c r="X94" i="9"/>
  <c r="U94" i="9"/>
  <c r="R94" i="9"/>
  <c r="O94" i="9"/>
  <c r="L94" i="9"/>
  <c r="I94" i="9"/>
  <c r="F94" i="9"/>
  <c r="FO93" i="9"/>
  <c r="FL93" i="9"/>
  <c r="FI93" i="9"/>
  <c r="FF93" i="9"/>
  <c r="FC93" i="9"/>
  <c r="EZ93" i="9"/>
  <c r="EW93" i="9"/>
  <c r="ET93" i="9"/>
  <c r="EQ93" i="9"/>
  <c r="EN93" i="9"/>
  <c r="EK93" i="9"/>
  <c r="EH93" i="9"/>
  <c r="EE93" i="9"/>
  <c r="EB93" i="9"/>
  <c r="DY93" i="9"/>
  <c r="DV93" i="9"/>
  <c r="DS93" i="9"/>
  <c r="DP93" i="9"/>
  <c r="DM93" i="9"/>
  <c r="DJ93" i="9"/>
  <c r="DG93" i="9"/>
  <c r="DD93" i="9"/>
  <c r="DA93" i="9"/>
  <c r="CX93" i="9"/>
  <c r="CU93" i="9"/>
  <c r="CR93" i="9"/>
  <c r="CO93" i="9"/>
  <c r="CL93" i="9"/>
  <c r="CI93" i="9"/>
  <c r="CF93" i="9"/>
  <c r="CC93" i="9"/>
  <c r="BZ93" i="9"/>
  <c r="BW93" i="9"/>
  <c r="BT93" i="9"/>
  <c r="BQ93" i="9"/>
  <c r="BN93" i="9"/>
  <c r="BK93" i="9"/>
  <c r="BH93" i="9"/>
  <c r="BE93" i="9"/>
  <c r="BB93" i="9"/>
  <c r="AY93" i="9"/>
  <c r="AV93" i="9"/>
  <c r="AS93" i="9"/>
  <c r="AP93" i="9"/>
  <c r="AM93" i="9"/>
  <c r="AJ93" i="9"/>
  <c r="AG93" i="9"/>
  <c r="AD93" i="9"/>
  <c r="AA93" i="9"/>
  <c r="X93" i="9"/>
  <c r="U93" i="9"/>
  <c r="R93" i="9"/>
  <c r="O93" i="9"/>
  <c r="L93" i="9"/>
  <c r="I93" i="9"/>
  <c r="F93" i="9"/>
  <c r="FO92" i="9"/>
  <c r="FL92" i="9"/>
  <c r="FI92" i="9"/>
  <c r="FF92" i="9"/>
  <c r="FC92" i="9"/>
  <c r="EZ92" i="9"/>
  <c r="EW92" i="9"/>
  <c r="ET92" i="9"/>
  <c r="EQ92" i="9"/>
  <c r="EN92" i="9"/>
  <c r="EK92" i="9"/>
  <c r="EH92" i="9"/>
  <c r="EE92" i="9"/>
  <c r="EB92" i="9"/>
  <c r="DY92" i="9"/>
  <c r="DV92" i="9"/>
  <c r="DS92" i="9"/>
  <c r="DP92" i="9"/>
  <c r="DM92" i="9"/>
  <c r="DJ92" i="9"/>
  <c r="DG92" i="9"/>
  <c r="DD92" i="9"/>
  <c r="DA92" i="9"/>
  <c r="CX92" i="9"/>
  <c r="CU92" i="9"/>
  <c r="CR92" i="9"/>
  <c r="CO92" i="9"/>
  <c r="CL92" i="9"/>
  <c r="CI92" i="9"/>
  <c r="CF92" i="9"/>
  <c r="CC92" i="9"/>
  <c r="BZ92" i="9"/>
  <c r="BW92" i="9"/>
  <c r="BT92" i="9"/>
  <c r="BQ92" i="9"/>
  <c r="BN92" i="9"/>
  <c r="BK92" i="9"/>
  <c r="BH92" i="9"/>
  <c r="BE92" i="9"/>
  <c r="BB92" i="9"/>
  <c r="AY92" i="9"/>
  <c r="AV92" i="9"/>
  <c r="AS92" i="9"/>
  <c r="AP92" i="9"/>
  <c r="AM92" i="9"/>
  <c r="AJ92" i="9"/>
  <c r="AG92" i="9"/>
  <c r="AD92" i="9"/>
  <c r="AA92" i="9"/>
  <c r="X92" i="9"/>
  <c r="U92" i="9"/>
  <c r="R92" i="9"/>
  <c r="O92" i="9"/>
  <c r="L92" i="9"/>
  <c r="I92" i="9"/>
  <c r="F92" i="9"/>
  <c r="FO91" i="9"/>
  <c r="FL91" i="9"/>
  <c r="FI91" i="9"/>
  <c r="FF91" i="9"/>
  <c r="FC91" i="9"/>
  <c r="EZ91" i="9"/>
  <c r="EW91" i="9"/>
  <c r="ET91" i="9"/>
  <c r="EQ91" i="9"/>
  <c r="EN91" i="9"/>
  <c r="EK91" i="9"/>
  <c r="EH91" i="9"/>
  <c r="EE91" i="9"/>
  <c r="EB91" i="9"/>
  <c r="DY91" i="9"/>
  <c r="DV91" i="9"/>
  <c r="DS91" i="9"/>
  <c r="DP91" i="9"/>
  <c r="DM91" i="9"/>
  <c r="DJ91" i="9"/>
  <c r="DG91" i="9"/>
  <c r="DD91" i="9"/>
  <c r="DA91" i="9"/>
  <c r="CX91" i="9"/>
  <c r="CU91" i="9"/>
  <c r="CR91" i="9"/>
  <c r="CO91" i="9"/>
  <c r="CL91" i="9"/>
  <c r="CI91" i="9"/>
  <c r="CF91" i="9"/>
  <c r="CC91" i="9"/>
  <c r="BZ91" i="9"/>
  <c r="BW91" i="9"/>
  <c r="BT91" i="9"/>
  <c r="BQ91" i="9"/>
  <c r="BN91" i="9"/>
  <c r="BK91" i="9"/>
  <c r="BH91" i="9"/>
  <c r="BE91" i="9"/>
  <c r="BB91" i="9"/>
  <c r="AY91" i="9"/>
  <c r="AV91" i="9"/>
  <c r="AS91" i="9"/>
  <c r="AP91" i="9"/>
  <c r="AM91" i="9"/>
  <c r="AJ91" i="9"/>
  <c r="AG91" i="9"/>
  <c r="AD91" i="9"/>
  <c r="AA91" i="9"/>
  <c r="X91" i="9"/>
  <c r="U91" i="9"/>
  <c r="R91" i="9"/>
  <c r="O91" i="9"/>
  <c r="L91" i="9"/>
  <c r="I91" i="9"/>
  <c r="F91" i="9"/>
  <c r="FO90" i="9"/>
  <c r="FL90" i="9"/>
  <c r="FI90" i="9"/>
  <c r="FF90" i="9"/>
  <c r="FC90" i="9"/>
  <c r="EZ90" i="9"/>
  <c r="EW90" i="9"/>
  <c r="ET90" i="9"/>
  <c r="EQ90" i="9"/>
  <c r="EN90" i="9"/>
  <c r="EK90" i="9"/>
  <c r="EH90" i="9"/>
  <c r="EE90" i="9"/>
  <c r="EB90" i="9"/>
  <c r="DY90" i="9"/>
  <c r="DV90" i="9"/>
  <c r="DS90" i="9"/>
  <c r="DP90" i="9"/>
  <c r="DM90" i="9"/>
  <c r="DJ90" i="9"/>
  <c r="DG90" i="9"/>
  <c r="DD90" i="9"/>
  <c r="DA90" i="9"/>
  <c r="CX90" i="9"/>
  <c r="CU90" i="9"/>
  <c r="CR90" i="9"/>
  <c r="CO90" i="9"/>
  <c r="CL90" i="9"/>
  <c r="CI90" i="9"/>
  <c r="CF90" i="9"/>
  <c r="CC90" i="9"/>
  <c r="BZ90" i="9"/>
  <c r="BW90" i="9"/>
  <c r="BT90" i="9"/>
  <c r="BQ90" i="9"/>
  <c r="BN90" i="9"/>
  <c r="BK90" i="9"/>
  <c r="BH90" i="9"/>
  <c r="BE90" i="9"/>
  <c r="BB90" i="9"/>
  <c r="AY90" i="9"/>
  <c r="AV90" i="9"/>
  <c r="AS90" i="9"/>
  <c r="AP90" i="9"/>
  <c r="AM90" i="9"/>
  <c r="AJ90" i="9"/>
  <c r="AG90" i="9"/>
  <c r="AD90" i="9"/>
  <c r="AA90" i="9"/>
  <c r="X90" i="9"/>
  <c r="U90" i="9"/>
  <c r="R90" i="9"/>
  <c r="O90" i="9"/>
  <c r="L90" i="9"/>
  <c r="I90" i="9"/>
  <c r="F90" i="9"/>
  <c r="FO89" i="9"/>
  <c r="FL89" i="9"/>
  <c r="FI89" i="9"/>
  <c r="FF89" i="9"/>
  <c r="FC89" i="9"/>
  <c r="EZ89" i="9"/>
  <c r="EW89" i="9"/>
  <c r="ET89" i="9"/>
  <c r="EQ89" i="9"/>
  <c r="EN89" i="9"/>
  <c r="EK89" i="9"/>
  <c r="EH89" i="9"/>
  <c r="EE89" i="9"/>
  <c r="EB89" i="9"/>
  <c r="DY89" i="9"/>
  <c r="DV89" i="9"/>
  <c r="DS89" i="9"/>
  <c r="DP89" i="9"/>
  <c r="DM89" i="9"/>
  <c r="DJ89" i="9"/>
  <c r="DG89" i="9"/>
  <c r="DD89" i="9"/>
  <c r="DA89" i="9"/>
  <c r="CX89" i="9"/>
  <c r="CU89" i="9"/>
  <c r="CR89" i="9"/>
  <c r="CO89" i="9"/>
  <c r="CL89" i="9"/>
  <c r="CI89" i="9"/>
  <c r="CF89" i="9"/>
  <c r="CC89" i="9"/>
  <c r="BZ89" i="9"/>
  <c r="BW89" i="9"/>
  <c r="BT89" i="9"/>
  <c r="BQ89" i="9"/>
  <c r="BN89" i="9"/>
  <c r="BK89" i="9"/>
  <c r="BH89" i="9"/>
  <c r="BE89" i="9"/>
  <c r="BB89" i="9"/>
  <c r="AY89" i="9"/>
  <c r="AV89" i="9"/>
  <c r="AS89" i="9"/>
  <c r="AP89" i="9"/>
  <c r="AM89" i="9"/>
  <c r="AJ89" i="9"/>
  <c r="AG89" i="9"/>
  <c r="AD89" i="9"/>
  <c r="AA89" i="9"/>
  <c r="X89" i="9"/>
  <c r="U89" i="9"/>
  <c r="R89" i="9"/>
  <c r="O89" i="9"/>
  <c r="L89" i="9"/>
  <c r="I89" i="9"/>
  <c r="F89" i="9"/>
  <c r="FO88" i="9"/>
  <c r="FL88" i="9"/>
  <c r="FI88" i="9"/>
  <c r="FF88" i="9"/>
  <c r="FC88" i="9"/>
  <c r="EZ88" i="9"/>
  <c r="EW88" i="9"/>
  <c r="ET88" i="9"/>
  <c r="EQ88" i="9"/>
  <c r="EN88" i="9"/>
  <c r="EK88" i="9"/>
  <c r="EH88" i="9"/>
  <c r="EE88" i="9"/>
  <c r="EB88" i="9"/>
  <c r="DY88" i="9"/>
  <c r="DV88" i="9"/>
  <c r="DS88" i="9"/>
  <c r="DP88" i="9"/>
  <c r="DM88" i="9"/>
  <c r="DJ88" i="9"/>
  <c r="DG88" i="9"/>
  <c r="DD88" i="9"/>
  <c r="DA88" i="9"/>
  <c r="CX88" i="9"/>
  <c r="CU88" i="9"/>
  <c r="CR88" i="9"/>
  <c r="CO88" i="9"/>
  <c r="CL88" i="9"/>
  <c r="CI88" i="9"/>
  <c r="CF88" i="9"/>
  <c r="CC88" i="9"/>
  <c r="BZ88" i="9"/>
  <c r="BW88" i="9"/>
  <c r="BT88" i="9"/>
  <c r="BQ88" i="9"/>
  <c r="BN88" i="9"/>
  <c r="BK88" i="9"/>
  <c r="BH88" i="9"/>
  <c r="BE88" i="9"/>
  <c r="BB88" i="9"/>
  <c r="AY88" i="9"/>
  <c r="AV88" i="9"/>
  <c r="AS88" i="9"/>
  <c r="AP88" i="9"/>
  <c r="AM88" i="9"/>
  <c r="AJ88" i="9"/>
  <c r="AG88" i="9"/>
  <c r="AD88" i="9"/>
  <c r="AA88" i="9"/>
  <c r="X88" i="9"/>
  <c r="U88" i="9"/>
  <c r="R88" i="9"/>
  <c r="O88" i="9"/>
  <c r="L88" i="9"/>
  <c r="I88" i="9"/>
  <c r="F88" i="9"/>
  <c r="FO87" i="9"/>
  <c r="FL87" i="9"/>
  <c r="FI87" i="9"/>
  <c r="FF87" i="9"/>
  <c r="FC87" i="9"/>
  <c r="EZ87" i="9"/>
  <c r="EW87" i="9"/>
  <c r="ET87" i="9"/>
  <c r="EQ87" i="9"/>
  <c r="EN87" i="9"/>
  <c r="EK87" i="9"/>
  <c r="EH87" i="9"/>
  <c r="EE87" i="9"/>
  <c r="EB87" i="9"/>
  <c r="DY87" i="9"/>
  <c r="DV87" i="9"/>
  <c r="DS87" i="9"/>
  <c r="DP87" i="9"/>
  <c r="DM87" i="9"/>
  <c r="DJ87" i="9"/>
  <c r="DG87" i="9"/>
  <c r="DD87" i="9"/>
  <c r="DA87" i="9"/>
  <c r="CX87" i="9"/>
  <c r="CU87" i="9"/>
  <c r="CR87" i="9"/>
  <c r="CO87" i="9"/>
  <c r="CL87" i="9"/>
  <c r="CI87" i="9"/>
  <c r="CF87" i="9"/>
  <c r="CC87" i="9"/>
  <c r="BZ87" i="9"/>
  <c r="BW87" i="9"/>
  <c r="BT87" i="9"/>
  <c r="BQ87" i="9"/>
  <c r="BN87" i="9"/>
  <c r="BK87" i="9"/>
  <c r="BH87" i="9"/>
  <c r="BE87" i="9"/>
  <c r="BB87" i="9"/>
  <c r="AY87" i="9"/>
  <c r="AV87" i="9"/>
  <c r="AS87" i="9"/>
  <c r="AP87" i="9"/>
  <c r="AM87" i="9"/>
  <c r="AJ87" i="9"/>
  <c r="AG87" i="9"/>
  <c r="AD87" i="9"/>
  <c r="AA87" i="9"/>
  <c r="X87" i="9"/>
  <c r="U87" i="9"/>
  <c r="R87" i="9"/>
  <c r="O87" i="9"/>
  <c r="L87" i="9"/>
  <c r="I87" i="9"/>
  <c r="F87" i="9"/>
  <c r="FO86" i="9"/>
  <c r="FL86" i="9"/>
  <c r="FI86" i="9"/>
  <c r="FF86" i="9"/>
  <c r="FC86" i="9"/>
  <c r="EZ86" i="9"/>
  <c r="EW86" i="9"/>
  <c r="ET86" i="9"/>
  <c r="EQ86" i="9"/>
  <c r="EN86" i="9"/>
  <c r="EK86" i="9"/>
  <c r="EH86" i="9"/>
  <c r="EE86" i="9"/>
  <c r="EB86" i="9"/>
  <c r="DY86" i="9"/>
  <c r="DV86" i="9"/>
  <c r="DS86" i="9"/>
  <c r="DP86" i="9"/>
  <c r="DM86" i="9"/>
  <c r="DJ86" i="9"/>
  <c r="DG86" i="9"/>
  <c r="DD86" i="9"/>
  <c r="DA86" i="9"/>
  <c r="CX86" i="9"/>
  <c r="CU86" i="9"/>
  <c r="CR86" i="9"/>
  <c r="CO86" i="9"/>
  <c r="CL86" i="9"/>
  <c r="CI86" i="9"/>
  <c r="CF86" i="9"/>
  <c r="CC86" i="9"/>
  <c r="BZ86" i="9"/>
  <c r="BW86" i="9"/>
  <c r="BT86" i="9"/>
  <c r="BQ86" i="9"/>
  <c r="BN86" i="9"/>
  <c r="BK86" i="9"/>
  <c r="BH86" i="9"/>
  <c r="BE86" i="9"/>
  <c r="BB86" i="9"/>
  <c r="AY86" i="9"/>
  <c r="AV86" i="9"/>
  <c r="AS86" i="9"/>
  <c r="AP86" i="9"/>
  <c r="AM86" i="9"/>
  <c r="AJ86" i="9"/>
  <c r="AG86" i="9"/>
  <c r="AD86" i="9"/>
  <c r="AA86" i="9"/>
  <c r="X86" i="9"/>
  <c r="U86" i="9"/>
  <c r="R86" i="9"/>
  <c r="O86" i="9"/>
  <c r="L86" i="9"/>
  <c r="I86" i="9"/>
  <c r="F86" i="9"/>
  <c r="FO85" i="9"/>
  <c r="FL85" i="9"/>
  <c r="FI85" i="9"/>
  <c r="FF85" i="9"/>
  <c r="FC85" i="9"/>
  <c r="EZ85" i="9"/>
  <c r="EW85" i="9"/>
  <c r="ET85" i="9"/>
  <c r="EQ85" i="9"/>
  <c r="EN85" i="9"/>
  <c r="EK85" i="9"/>
  <c r="EH85" i="9"/>
  <c r="EE85" i="9"/>
  <c r="EB85" i="9"/>
  <c r="DY85" i="9"/>
  <c r="DV85" i="9"/>
  <c r="DS85" i="9"/>
  <c r="DP85" i="9"/>
  <c r="DM85" i="9"/>
  <c r="DJ85" i="9"/>
  <c r="DG85" i="9"/>
  <c r="DD85" i="9"/>
  <c r="DA85" i="9"/>
  <c r="CX85" i="9"/>
  <c r="CU85" i="9"/>
  <c r="CR85" i="9"/>
  <c r="CO85" i="9"/>
  <c r="CL85" i="9"/>
  <c r="CI85" i="9"/>
  <c r="CF85" i="9"/>
  <c r="CC85" i="9"/>
  <c r="BZ85" i="9"/>
  <c r="BW85" i="9"/>
  <c r="BT85" i="9"/>
  <c r="BQ85" i="9"/>
  <c r="BN85" i="9"/>
  <c r="BK85" i="9"/>
  <c r="BH85" i="9"/>
  <c r="BE85" i="9"/>
  <c r="BB85" i="9"/>
  <c r="AY85" i="9"/>
  <c r="AV85" i="9"/>
  <c r="AS85" i="9"/>
  <c r="AP85" i="9"/>
  <c r="AM85" i="9"/>
  <c r="AJ85" i="9"/>
  <c r="AG85" i="9"/>
  <c r="AD85" i="9"/>
  <c r="AA85" i="9"/>
  <c r="X85" i="9"/>
  <c r="U85" i="9"/>
  <c r="R85" i="9"/>
  <c r="O85" i="9"/>
  <c r="L85" i="9"/>
  <c r="I85" i="9"/>
  <c r="F85" i="9"/>
  <c r="FO84" i="9"/>
  <c r="FL84" i="9"/>
  <c r="FI84" i="9"/>
  <c r="FF84" i="9"/>
  <c r="FC84" i="9"/>
  <c r="EZ84" i="9"/>
  <c r="EW84" i="9"/>
  <c r="ET84" i="9"/>
  <c r="EQ84" i="9"/>
  <c r="EN84" i="9"/>
  <c r="EK84" i="9"/>
  <c r="EH84" i="9"/>
  <c r="EE84" i="9"/>
  <c r="EB84" i="9"/>
  <c r="DY84" i="9"/>
  <c r="DV84" i="9"/>
  <c r="DS84" i="9"/>
  <c r="DP84" i="9"/>
  <c r="DM84" i="9"/>
  <c r="DJ84" i="9"/>
  <c r="DG84" i="9"/>
  <c r="DD84" i="9"/>
  <c r="DA84" i="9"/>
  <c r="CX84" i="9"/>
  <c r="CU84" i="9"/>
  <c r="CR84" i="9"/>
  <c r="CO84" i="9"/>
  <c r="CL84" i="9"/>
  <c r="CI84" i="9"/>
  <c r="CF84" i="9"/>
  <c r="CC84" i="9"/>
  <c r="BZ84" i="9"/>
  <c r="BW84" i="9"/>
  <c r="BT84" i="9"/>
  <c r="BQ84" i="9"/>
  <c r="BN84" i="9"/>
  <c r="BK84" i="9"/>
  <c r="BH84" i="9"/>
  <c r="BE84" i="9"/>
  <c r="BB84" i="9"/>
  <c r="AY84" i="9"/>
  <c r="AV84" i="9"/>
  <c r="AS84" i="9"/>
  <c r="AP84" i="9"/>
  <c r="AM84" i="9"/>
  <c r="AJ84" i="9"/>
  <c r="AG84" i="9"/>
  <c r="AD84" i="9"/>
  <c r="AA84" i="9"/>
  <c r="X84" i="9"/>
  <c r="U84" i="9"/>
  <c r="R84" i="9"/>
  <c r="O84" i="9"/>
  <c r="L84" i="9"/>
  <c r="I84" i="9"/>
  <c r="F84" i="9"/>
  <c r="FO83" i="9"/>
  <c r="FL83" i="9"/>
  <c r="FI83" i="9"/>
  <c r="FF83" i="9"/>
  <c r="FC83" i="9"/>
  <c r="EZ83" i="9"/>
  <c r="EW83" i="9"/>
  <c r="ET83" i="9"/>
  <c r="EQ83" i="9"/>
  <c r="EN83" i="9"/>
  <c r="EK83" i="9"/>
  <c r="EH83" i="9"/>
  <c r="EE83" i="9"/>
  <c r="EB83" i="9"/>
  <c r="DY83" i="9"/>
  <c r="DV83" i="9"/>
  <c r="DS83" i="9"/>
  <c r="DP83" i="9"/>
  <c r="DM83" i="9"/>
  <c r="DJ83" i="9"/>
  <c r="DG83" i="9"/>
  <c r="DD83" i="9"/>
  <c r="DA83" i="9"/>
  <c r="CX83" i="9"/>
  <c r="CU83" i="9"/>
  <c r="CR83" i="9"/>
  <c r="CO83" i="9"/>
  <c r="CL83" i="9"/>
  <c r="CI83" i="9"/>
  <c r="CF83" i="9"/>
  <c r="CC83" i="9"/>
  <c r="BZ83" i="9"/>
  <c r="BW83" i="9"/>
  <c r="BT83" i="9"/>
  <c r="BQ83" i="9"/>
  <c r="BN83" i="9"/>
  <c r="BK83" i="9"/>
  <c r="BH83" i="9"/>
  <c r="BE83" i="9"/>
  <c r="BB83" i="9"/>
  <c r="AY83" i="9"/>
  <c r="AV83" i="9"/>
  <c r="AS83" i="9"/>
  <c r="AP83" i="9"/>
  <c r="AM83" i="9"/>
  <c r="AJ83" i="9"/>
  <c r="AG83" i="9"/>
  <c r="AD83" i="9"/>
  <c r="AA83" i="9"/>
  <c r="X83" i="9"/>
  <c r="U83" i="9"/>
  <c r="R83" i="9"/>
  <c r="O83" i="9"/>
  <c r="L83" i="9"/>
  <c r="I83" i="9"/>
  <c r="F83" i="9"/>
  <c r="FO82" i="9"/>
  <c r="FL82" i="9"/>
  <c r="FI82" i="9"/>
  <c r="FF82" i="9"/>
  <c r="FC82" i="9"/>
  <c r="EZ82" i="9"/>
  <c r="EW82" i="9"/>
  <c r="ET82" i="9"/>
  <c r="EQ82" i="9"/>
  <c r="EN82" i="9"/>
  <c r="EK82" i="9"/>
  <c r="EH82" i="9"/>
  <c r="EE82" i="9"/>
  <c r="EB82" i="9"/>
  <c r="DY82" i="9"/>
  <c r="DV82" i="9"/>
  <c r="DS82" i="9"/>
  <c r="DP82" i="9"/>
  <c r="DM82" i="9"/>
  <c r="DJ82" i="9"/>
  <c r="DG82" i="9"/>
  <c r="DD82" i="9"/>
  <c r="DA82" i="9"/>
  <c r="CX82" i="9"/>
  <c r="CU82" i="9"/>
  <c r="CR82" i="9"/>
  <c r="CO82" i="9"/>
  <c r="CL82" i="9"/>
  <c r="CI82" i="9"/>
  <c r="CF82" i="9"/>
  <c r="CC82" i="9"/>
  <c r="BZ82" i="9"/>
  <c r="BW82" i="9"/>
  <c r="BT82" i="9"/>
  <c r="BQ82" i="9"/>
  <c r="BN82" i="9"/>
  <c r="BK82" i="9"/>
  <c r="BH82" i="9"/>
  <c r="BE82" i="9"/>
  <c r="BB82" i="9"/>
  <c r="AY82" i="9"/>
  <c r="AV82" i="9"/>
  <c r="AS82" i="9"/>
  <c r="AP82" i="9"/>
  <c r="AM82" i="9"/>
  <c r="AJ82" i="9"/>
  <c r="AG82" i="9"/>
  <c r="AD82" i="9"/>
  <c r="AA82" i="9"/>
  <c r="X82" i="9"/>
  <c r="U82" i="9"/>
  <c r="R82" i="9"/>
  <c r="O82" i="9"/>
  <c r="L82" i="9"/>
  <c r="I82" i="9"/>
  <c r="F82" i="9"/>
  <c r="FO81" i="9"/>
  <c r="FL81" i="9"/>
  <c r="FI81" i="9"/>
  <c r="FF81" i="9"/>
  <c r="FC81" i="9"/>
  <c r="EZ81" i="9"/>
  <c r="EW81" i="9"/>
  <c r="ET81" i="9"/>
  <c r="EQ81" i="9"/>
  <c r="EN81" i="9"/>
  <c r="EK81" i="9"/>
  <c r="EH81" i="9"/>
  <c r="EE81" i="9"/>
  <c r="EB81" i="9"/>
  <c r="DY81" i="9"/>
  <c r="DV81" i="9"/>
  <c r="DS81" i="9"/>
  <c r="DP81" i="9"/>
  <c r="DM81" i="9"/>
  <c r="DJ81" i="9"/>
  <c r="DG81" i="9"/>
  <c r="DD81" i="9"/>
  <c r="DA81" i="9"/>
  <c r="CX81" i="9"/>
  <c r="CU81" i="9"/>
  <c r="CR81" i="9"/>
  <c r="CO81" i="9"/>
  <c r="CL81" i="9"/>
  <c r="CI81" i="9"/>
  <c r="CF81" i="9"/>
  <c r="CC81" i="9"/>
  <c r="BZ81" i="9"/>
  <c r="BW81" i="9"/>
  <c r="BT81" i="9"/>
  <c r="BQ81" i="9"/>
  <c r="BN81" i="9"/>
  <c r="BK81" i="9"/>
  <c r="BH81" i="9"/>
  <c r="BE81" i="9"/>
  <c r="BB81" i="9"/>
  <c r="AY81" i="9"/>
  <c r="AV81" i="9"/>
  <c r="AS81" i="9"/>
  <c r="AP81" i="9"/>
  <c r="AM81" i="9"/>
  <c r="AJ81" i="9"/>
  <c r="AG81" i="9"/>
  <c r="AD81" i="9"/>
  <c r="AA81" i="9"/>
  <c r="X81" i="9"/>
  <c r="U81" i="9"/>
  <c r="R81" i="9"/>
  <c r="O81" i="9"/>
  <c r="L81" i="9"/>
  <c r="I81" i="9"/>
  <c r="F81" i="9"/>
  <c r="FO80" i="9"/>
  <c r="FL80" i="9"/>
  <c r="FI80" i="9"/>
  <c r="FF80" i="9"/>
  <c r="FC80" i="9"/>
  <c r="EZ80" i="9"/>
  <c r="EW80" i="9"/>
  <c r="ET80" i="9"/>
  <c r="EQ80" i="9"/>
  <c r="EN80" i="9"/>
  <c r="EK80" i="9"/>
  <c r="EH80" i="9"/>
  <c r="EE80" i="9"/>
  <c r="EB80" i="9"/>
  <c r="DY80" i="9"/>
  <c r="DV80" i="9"/>
  <c r="DS80" i="9"/>
  <c r="DP80" i="9"/>
  <c r="DM80" i="9"/>
  <c r="DJ80" i="9"/>
  <c r="DG80" i="9"/>
  <c r="DD80" i="9"/>
  <c r="DA80" i="9"/>
  <c r="CX80" i="9"/>
  <c r="CU80" i="9"/>
  <c r="CR80" i="9"/>
  <c r="CO80" i="9"/>
  <c r="CL80" i="9"/>
  <c r="CI80" i="9"/>
  <c r="CF80" i="9"/>
  <c r="CC80" i="9"/>
  <c r="BZ80" i="9"/>
  <c r="BW80" i="9"/>
  <c r="BT80" i="9"/>
  <c r="BQ80" i="9"/>
  <c r="BN80" i="9"/>
  <c r="BK80" i="9"/>
  <c r="BH80" i="9"/>
  <c r="BE80" i="9"/>
  <c r="BB80" i="9"/>
  <c r="AY80" i="9"/>
  <c r="AV80" i="9"/>
  <c r="AS80" i="9"/>
  <c r="AP80" i="9"/>
  <c r="AM80" i="9"/>
  <c r="AJ80" i="9"/>
  <c r="AG80" i="9"/>
  <c r="AD80" i="9"/>
  <c r="AA80" i="9"/>
  <c r="X80" i="9"/>
  <c r="U80" i="9"/>
  <c r="R80" i="9"/>
  <c r="O80" i="9"/>
  <c r="L80" i="9"/>
  <c r="I80" i="9"/>
  <c r="F80" i="9"/>
  <c r="FO79" i="9"/>
  <c r="FL79" i="9"/>
  <c r="FI79" i="9"/>
  <c r="FF79" i="9"/>
  <c r="FC79" i="9"/>
  <c r="EZ79" i="9"/>
  <c r="EW79" i="9"/>
  <c r="ET79" i="9"/>
  <c r="EQ79" i="9"/>
  <c r="EN79" i="9"/>
  <c r="EK79" i="9"/>
  <c r="EH79" i="9"/>
  <c r="EE79" i="9"/>
  <c r="EB79" i="9"/>
  <c r="DY79" i="9"/>
  <c r="DV79" i="9"/>
  <c r="DS79" i="9"/>
  <c r="DP79" i="9"/>
  <c r="DM79" i="9"/>
  <c r="DJ79" i="9"/>
  <c r="DG79" i="9"/>
  <c r="DD79" i="9"/>
  <c r="DA79" i="9"/>
  <c r="CX79" i="9"/>
  <c r="CU79" i="9"/>
  <c r="CR79" i="9"/>
  <c r="CO79" i="9"/>
  <c r="CL79" i="9"/>
  <c r="CI79" i="9"/>
  <c r="CF79" i="9"/>
  <c r="CC79" i="9"/>
  <c r="BZ79" i="9"/>
  <c r="BW79" i="9"/>
  <c r="BT79" i="9"/>
  <c r="BQ79" i="9"/>
  <c r="BN79" i="9"/>
  <c r="BK79" i="9"/>
  <c r="BH79" i="9"/>
  <c r="BE79" i="9"/>
  <c r="BB79" i="9"/>
  <c r="AY79" i="9"/>
  <c r="AV79" i="9"/>
  <c r="AS79" i="9"/>
  <c r="AP79" i="9"/>
  <c r="AM79" i="9"/>
  <c r="AJ79" i="9"/>
  <c r="AG79" i="9"/>
  <c r="AD79" i="9"/>
  <c r="AA79" i="9"/>
  <c r="X79" i="9"/>
  <c r="U79" i="9"/>
  <c r="R79" i="9"/>
  <c r="O79" i="9"/>
  <c r="L79" i="9"/>
  <c r="I79" i="9"/>
  <c r="F79" i="9"/>
  <c r="FO78" i="9"/>
  <c r="FL78" i="9"/>
  <c r="FI78" i="9"/>
  <c r="FF78" i="9"/>
  <c r="FC78" i="9"/>
  <c r="EZ78" i="9"/>
  <c r="EW78" i="9"/>
  <c r="ET78" i="9"/>
  <c r="EQ78" i="9"/>
  <c r="EN78" i="9"/>
  <c r="EK78" i="9"/>
  <c r="EH78" i="9"/>
  <c r="EE78" i="9"/>
  <c r="EB78" i="9"/>
  <c r="DY78" i="9"/>
  <c r="DV78" i="9"/>
  <c r="DS78" i="9"/>
  <c r="DP78" i="9"/>
  <c r="DM78" i="9"/>
  <c r="DJ78" i="9"/>
  <c r="DG78" i="9"/>
  <c r="DD78" i="9"/>
  <c r="DA78" i="9"/>
  <c r="CX78" i="9"/>
  <c r="CU78" i="9"/>
  <c r="CR78" i="9"/>
  <c r="CO78" i="9"/>
  <c r="CL78" i="9"/>
  <c r="CI78" i="9"/>
  <c r="CF78" i="9"/>
  <c r="CC78" i="9"/>
  <c r="BZ78" i="9"/>
  <c r="BW78" i="9"/>
  <c r="BT78" i="9"/>
  <c r="BQ78" i="9"/>
  <c r="BN78" i="9"/>
  <c r="BK78" i="9"/>
  <c r="BH78" i="9"/>
  <c r="BE78" i="9"/>
  <c r="BB78" i="9"/>
  <c r="AY78" i="9"/>
  <c r="AV78" i="9"/>
  <c r="AS78" i="9"/>
  <c r="AP78" i="9"/>
  <c r="AM78" i="9"/>
  <c r="AJ78" i="9"/>
  <c r="AG78" i="9"/>
  <c r="AD78" i="9"/>
  <c r="AA78" i="9"/>
  <c r="X78" i="9"/>
  <c r="U78" i="9"/>
  <c r="R78" i="9"/>
  <c r="O78" i="9"/>
  <c r="L78" i="9"/>
  <c r="I78" i="9"/>
  <c r="F78" i="9"/>
  <c r="FO77" i="9"/>
  <c r="FL77" i="9"/>
  <c r="FI77" i="9"/>
  <c r="FF77" i="9"/>
  <c r="FC77" i="9"/>
  <c r="EZ77" i="9"/>
  <c r="EW77" i="9"/>
  <c r="ET77" i="9"/>
  <c r="EQ77" i="9"/>
  <c r="EN77" i="9"/>
  <c r="EK77" i="9"/>
  <c r="EH77" i="9"/>
  <c r="EE77" i="9"/>
  <c r="EB77" i="9"/>
  <c r="DY77" i="9"/>
  <c r="DV77" i="9"/>
  <c r="DS77" i="9"/>
  <c r="DP77" i="9"/>
  <c r="DM77" i="9"/>
  <c r="DJ77" i="9"/>
  <c r="DG77" i="9"/>
  <c r="DD77" i="9"/>
  <c r="DA77" i="9"/>
  <c r="CX77" i="9"/>
  <c r="CU77" i="9"/>
  <c r="CR77" i="9"/>
  <c r="CO77" i="9"/>
  <c r="CL77" i="9"/>
  <c r="CI77" i="9"/>
  <c r="CF77" i="9"/>
  <c r="CC77" i="9"/>
  <c r="BZ77" i="9"/>
  <c r="BW77" i="9"/>
  <c r="BT77" i="9"/>
  <c r="BQ77" i="9"/>
  <c r="BN77" i="9"/>
  <c r="BK77" i="9"/>
  <c r="BH77" i="9"/>
  <c r="BE77" i="9"/>
  <c r="BB77" i="9"/>
  <c r="AY77" i="9"/>
  <c r="AV77" i="9"/>
  <c r="AS77" i="9"/>
  <c r="AP77" i="9"/>
  <c r="AM77" i="9"/>
  <c r="AJ77" i="9"/>
  <c r="AG77" i="9"/>
  <c r="AD77" i="9"/>
  <c r="AA77" i="9"/>
  <c r="X77" i="9"/>
  <c r="U77" i="9"/>
  <c r="R77" i="9"/>
  <c r="O77" i="9"/>
  <c r="L77" i="9"/>
  <c r="I77" i="9"/>
  <c r="F77" i="9"/>
  <c r="FO76" i="9"/>
  <c r="FL76" i="9"/>
  <c r="FI76" i="9"/>
  <c r="FF76" i="9"/>
  <c r="FC76" i="9"/>
  <c r="EZ76" i="9"/>
  <c r="EW76" i="9"/>
  <c r="ET76" i="9"/>
  <c r="EQ76" i="9"/>
  <c r="EN76" i="9"/>
  <c r="EK76" i="9"/>
  <c r="EH76" i="9"/>
  <c r="EE76" i="9"/>
  <c r="EB76" i="9"/>
  <c r="DY76" i="9"/>
  <c r="DV76" i="9"/>
  <c r="DS76" i="9"/>
  <c r="DP76" i="9"/>
  <c r="DM76" i="9"/>
  <c r="DJ76" i="9"/>
  <c r="DG76" i="9"/>
  <c r="DD76" i="9"/>
  <c r="DA76" i="9"/>
  <c r="CX76" i="9"/>
  <c r="CU76" i="9"/>
  <c r="CR76" i="9"/>
  <c r="CO76" i="9"/>
  <c r="CL76" i="9"/>
  <c r="CI76" i="9"/>
  <c r="CF76" i="9"/>
  <c r="CC76" i="9"/>
  <c r="BZ76" i="9"/>
  <c r="BW76" i="9"/>
  <c r="BT76" i="9"/>
  <c r="BQ76" i="9"/>
  <c r="BN76" i="9"/>
  <c r="BK76" i="9"/>
  <c r="BH76" i="9"/>
  <c r="BE76" i="9"/>
  <c r="BB76" i="9"/>
  <c r="AY76" i="9"/>
  <c r="AV76" i="9"/>
  <c r="AS76" i="9"/>
  <c r="AP76" i="9"/>
  <c r="AM76" i="9"/>
  <c r="AJ76" i="9"/>
  <c r="AG76" i="9"/>
  <c r="AD76" i="9"/>
  <c r="AA76" i="9"/>
  <c r="X76" i="9"/>
  <c r="U76" i="9"/>
  <c r="R76" i="9"/>
  <c r="O76" i="9"/>
  <c r="L76" i="9"/>
  <c r="I76" i="9"/>
  <c r="F76" i="9"/>
  <c r="FO75" i="9"/>
  <c r="FL75" i="9"/>
  <c r="FI75" i="9"/>
  <c r="FF75" i="9"/>
  <c r="FC75" i="9"/>
  <c r="EZ75" i="9"/>
  <c r="EW75" i="9"/>
  <c r="ET75" i="9"/>
  <c r="EQ75" i="9"/>
  <c r="EN75" i="9"/>
  <c r="EK75" i="9"/>
  <c r="EH75" i="9"/>
  <c r="EE75" i="9"/>
  <c r="EB75" i="9"/>
  <c r="DY75" i="9"/>
  <c r="DV75" i="9"/>
  <c r="DS75" i="9"/>
  <c r="DP75" i="9"/>
  <c r="DM75" i="9"/>
  <c r="DJ75" i="9"/>
  <c r="DG75" i="9"/>
  <c r="DD75" i="9"/>
  <c r="DA75" i="9"/>
  <c r="CX75" i="9"/>
  <c r="CU75" i="9"/>
  <c r="CR75" i="9"/>
  <c r="CO75" i="9"/>
  <c r="CL75" i="9"/>
  <c r="CI75" i="9"/>
  <c r="CF75" i="9"/>
  <c r="CC75" i="9"/>
  <c r="BZ75" i="9"/>
  <c r="BW75" i="9"/>
  <c r="BT75" i="9"/>
  <c r="BQ75" i="9"/>
  <c r="BN75" i="9"/>
  <c r="BK75" i="9"/>
  <c r="BH75" i="9"/>
  <c r="BE75" i="9"/>
  <c r="BB75" i="9"/>
  <c r="AY75" i="9"/>
  <c r="AV75" i="9"/>
  <c r="AS75" i="9"/>
  <c r="AP75" i="9"/>
  <c r="AM75" i="9"/>
  <c r="AJ75" i="9"/>
  <c r="AG75" i="9"/>
  <c r="AD75" i="9"/>
  <c r="AA75" i="9"/>
  <c r="X75" i="9"/>
  <c r="U75" i="9"/>
  <c r="R75" i="9"/>
  <c r="O75" i="9"/>
  <c r="L75" i="9"/>
  <c r="I75" i="9"/>
  <c r="F75" i="9"/>
  <c r="FO74" i="9"/>
  <c r="FL74" i="9"/>
  <c r="FI74" i="9"/>
  <c r="FF74" i="9"/>
  <c r="FC74" i="9"/>
  <c r="EZ74" i="9"/>
  <c r="EW74" i="9"/>
  <c r="ET74" i="9"/>
  <c r="EQ74" i="9"/>
  <c r="EN74" i="9"/>
  <c r="EK74" i="9"/>
  <c r="EH74" i="9"/>
  <c r="EE74" i="9"/>
  <c r="EB74" i="9"/>
  <c r="DY74" i="9"/>
  <c r="DV74" i="9"/>
  <c r="DS74" i="9"/>
  <c r="DP74" i="9"/>
  <c r="DM74" i="9"/>
  <c r="DJ74" i="9"/>
  <c r="DG74" i="9"/>
  <c r="DD74" i="9"/>
  <c r="DA74" i="9"/>
  <c r="CX74" i="9"/>
  <c r="CU74" i="9"/>
  <c r="CR74" i="9"/>
  <c r="CO74" i="9"/>
  <c r="CL74" i="9"/>
  <c r="CI74" i="9"/>
  <c r="CF74" i="9"/>
  <c r="CC74" i="9"/>
  <c r="BZ74" i="9"/>
  <c r="BW74" i="9"/>
  <c r="BT74" i="9"/>
  <c r="BQ74" i="9"/>
  <c r="BN74" i="9"/>
  <c r="BK74" i="9"/>
  <c r="BH74" i="9"/>
  <c r="BE74" i="9"/>
  <c r="BB74" i="9"/>
  <c r="AY74" i="9"/>
  <c r="AV74" i="9"/>
  <c r="AS74" i="9"/>
  <c r="AP74" i="9"/>
  <c r="AM74" i="9"/>
  <c r="AJ74" i="9"/>
  <c r="AG74" i="9"/>
  <c r="AD74" i="9"/>
  <c r="AA74" i="9"/>
  <c r="X74" i="9"/>
  <c r="U74" i="9"/>
  <c r="R74" i="9"/>
  <c r="O74" i="9"/>
  <c r="L74" i="9"/>
  <c r="I74" i="9"/>
  <c r="F74" i="9"/>
  <c r="FO73" i="9"/>
  <c r="FL73" i="9"/>
  <c r="FI73" i="9"/>
  <c r="FF73" i="9"/>
  <c r="FC73" i="9"/>
  <c r="EZ73" i="9"/>
  <c r="EW73" i="9"/>
  <c r="ET73" i="9"/>
  <c r="EQ73" i="9"/>
  <c r="EN73" i="9"/>
  <c r="EK73" i="9"/>
  <c r="EH73" i="9"/>
  <c r="EE73" i="9"/>
  <c r="EB73" i="9"/>
  <c r="DY73" i="9"/>
  <c r="DV73" i="9"/>
  <c r="DS73" i="9"/>
  <c r="DP73" i="9"/>
  <c r="DM73" i="9"/>
  <c r="DJ73" i="9"/>
  <c r="DG73" i="9"/>
  <c r="DD73" i="9"/>
  <c r="DA73" i="9"/>
  <c r="CX73" i="9"/>
  <c r="CU73" i="9"/>
  <c r="CR73" i="9"/>
  <c r="CO73" i="9"/>
  <c r="CL73" i="9"/>
  <c r="CI73" i="9"/>
  <c r="CF73" i="9"/>
  <c r="CC73" i="9"/>
  <c r="BZ73" i="9"/>
  <c r="BW73" i="9"/>
  <c r="BT73" i="9"/>
  <c r="BQ73" i="9"/>
  <c r="BN73" i="9"/>
  <c r="BK73" i="9"/>
  <c r="BH73" i="9"/>
  <c r="BE73" i="9"/>
  <c r="BB73" i="9"/>
  <c r="AY73" i="9"/>
  <c r="AV73" i="9"/>
  <c r="AS73" i="9"/>
  <c r="AP73" i="9"/>
  <c r="AM73" i="9"/>
  <c r="AJ73" i="9"/>
  <c r="AG73" i="9"/>
  <c r="AD73" i="9"/>
  <c r="AA73" i="9"/>
  <c r="X73" i="9"/>
  <c r="U73" i="9"/>
  <c r="R73" i="9"/>
  <c r="O73" i="9"/>
  <c r="L73" i="9"/>
  <c r="I73" i="9"/>
  <c r="F73" i="9"/>
  <c r="FO72" i="9"/>
  <c r="FL72" i="9"/>
  <c r="FI72" i="9"/>
  <c r="FF72" i="9"/>
  <c r="FC72" i="9"/>
  <c r="EZ72" i="9"/>
  <c r="EW72" i="9"/>
  <c r="ET72" i="9"/>
  <c r="EQ72" i="9"/>
  <c r="EN72" i="9"/>
  <c r="EK72" i="9"/>
  <c r="EH72" i="9"/>
  <c r="EE72" i="9"/>
  <c r="EB72" i="9"/>
  <c r="DY72" i="9"/>
  <c r="DV72" i="9"/>
  <c r="DS72" i="9"/>
  <c r="DP72" i="9"/>
  <c r="DM72" i="9"/>
  <c r="DJ72" i="9"/>
  <c r="DG72" i="9"/>
  <c r="DD72" i="9"/>
  <c r="DA72" i="9"/>
  <c r="CX72" i="9"/>
  <c r="CU72" i="9"/>
  <c r="CR72" i="9"/>
  <c r="CO72" i="9"/>
  <c r="CL72" i="9"/>
  <c r="CI72" i="9"/>
  <c r="CF72" i="9"/>
  <c r="CC72" i="9"/>
  <c r="BZ72" i="9"/>
  <c r="BW72" i="9"/>
  <c r="BT72" i="9"/>
  <c r="BQ72" i="9"/>
  <c r="BN72" i="9"/>
  <c r="BK72" i="9"/>
  <c r="BH72" i="9"/>
  <c r="BE72" i="9"/>
  <c r="BB72" i="9"/>
  <c r="AY72" i="9"/>
  <c r="AV72" i="9"/>
  <c r="AS72" i="9"/>
  <c r="AP72" i="9"/>
  <c r="AM72" i="9"/>
  <c r="AJ72" i="9"/>
  <c r="AG72" i="9"/>
  <c r="AD72" i="9"/>
  <c r="AA72" i="9"/>
  <c r="X72" i="9"/>
  <c r="U72" i="9"/>
  <c r="R72" i="9"/>
  <c r="O72" i="9"/>
  <c r="L72" i="9"/>
  <c r="I72" i="9"/>
  <c r="F72" i="9"/>
  <c r="FO71" i="9"/>
  <c r="FL71" i="9"/>
  <c r="FI71" i="9"/>
  <c r="FF71" i="9"/>
  <c r="FC71" i="9"/>
  <c r="EZ71" i="9"/>
  <c r="EW71" i="9"/>
  <c r="ET71" i="9"/>
  <c r="EQ71" i="9"/>
  <c r="EN71" i="9"/>
  <c r="EK71" i="9"/>
  <c r="EH71" i="9"/>
  <c r="EE71" i="9"/>
  <c r="EB71" i="9"/>
  <c r="DY71" i="9"/>
  <c r="DV71" i="9"/>
  <c r="DS71" i="9"/>
  <c r="DP71" i="9"/>
  <c r="DM71" i="9"/>
  <c r="DJ71" i="9"/>
  <c r="DG71" i="9"/>
  <c r="DD71" i="9"/>
  <c r="DA71" i="9"/>
  <c r="CX71" i="9"/>
  <c r="CU71" i="9"/>
  <c r="CR71" i="9"/>
  <c r="CO71" i="9"/>
  <c r="CL71" i="9"/>
  <c r="CI71" i="9"/>
  <c r="CF71" i="9"/>
  <c r="CC71" i="9"/>
  <c r="BZ71" i="9"/>
  <c r="BW71" i="9"/>
  <c r="BT71" i="9"/>
  <c r="BQ71" i="9"/>
  <c r="BN71" i="9"/>
  <c r="BK71" i="9"/>
  <c r="BH71" i="9"/>
  <c r="BE71" i="9"/>
  <c r="BB71" i="9"/>
  <c r="AY71" i="9"/>
  <c r="AV71" i="9"/>
  <c r="AS71" i="9"/>
  <c r="AP71" i="9"/>
  <c r="AM71" i="9"/>
  <c r="AJ71" i="9"/>
  <c r="AG71" i="9"/>
  <c r="AD71" i="9"/>
  <c r="AA71" i="9"/>
  <c r="X71" i="9"/>
  <c r="U71" i="9"/>
  <c r="R71" i="9"/>
  <c r="O71" i="9"/>
  <c r="L71" i="9"/>
  <c r="I71" i="9"/>
  <c r="F71" i="9"/>
  <c r="FO70" i="9"/>
  <c r="FL70" i="9"/>
  <c r="FI70" i="9"/>
  <c r="FF70" i="9"/>
  <c r="FC70" i="9"/>
  <c r="EZ70" i="9"/>
  <c r="EW70" i="9"/>
  <c r="ET70" i="9"/>
  <c r="EQ70" i="9"/>
  <c r="EN70" i="9"/>
  <c r="EK70" i="9"/>
  <c r="EH70" i="9"/>
  <c r="EE70" i="9"/>
  <c r="EB70" i="9"/>
  <c r="DY70" i="9"/>
  <c r="DV70" i="9"/>
  <c r="DS70" i="9"/>
  <c r="DP70" i="9"/>
  <c r="DM70" i="9"/>
  <c r="DJ70" i="9"/>
  <c r="DG70" i="9"/>
  <c r="DD70" i="9"/>
  <c r="DA70" i="9"/>
  <c r="CX70" i="9"/>
  <c r="CU70" i="9"/>
  <c r="CR70" i="9"/>
  <c r="CO70" i="9"/>
  <c r="CL70" i="9"/>
  <c r="CI70" i="9"/>
  <c r="CF70" i="9"/>
  <c r="CC70" i="9"/>
  <c r="BZ70" i="9"/>
  <c r="BW70" i="9"/>
  <c r="BT70" i="9"/>
  <c r="BQ70" i="9"/>
  <c r="BN70" i="9"/>
  <c r="BK70" i="9"/>
  <c r="BH70" i="9"/>
  <c r="BE70" i="9"/>
  <c r="BB70" i="9"/>
  <c r="AY70" i="9"/>
  <c r="AV70" i="9"/>
  <c r="AS70" i="9"/>
  <c r="AP70" i="9"/>
  <c r="AM70" i="9"/>
  <c r="AJ70" i="9"/>
  <c r="AG70" i="9"/>
  <c r="AD70" i="9"/>
  <c r="AA70" i="9"/>
  <c r="X70" i="9"/>
  <c r="U70" i="9"/>
  <c r="R70" i="9"/>
  <c r="O70" i="9"/>
  <c r="L70" i="9"/>
  <c r="I70" i="9"/>
  <c r="F70" i="9"/>
  <c r="FO69" i="9"/>
  <c r="FL69" i="9"/>
  <c r="FI69" i="9"/>
  <c r="FF69" i="9"/>
  <c r="FC69" i="9"/>
  <c r="EZ69" i="9"/>
  <c r="EW69" i="9"/>
  <c r="ET69" i="9"/>
  <c r="EQ69" i="9"/>
  <c r="EN69" i="9"/>
  <c r="EK69" i="9"/>
  <c r="EH69" i="9"/>
  <c r="EE69" i="9"/>
  <c r="EB69" i="9"/>
  <c r="DY69" i="9"/>
  <c r="DV69" i="9"/>
  <c r="DS69" i="9"/>
  <c r="DP69" i="9"/>
  <c r="DM69" i="9"/>
  <c r="DJ69" i="9"/>
  <c r="DG69" i="9"/>
  <c r="DD69" i="9"/>
  <c r="DA69" i="9"/>
  <c r="CX69" i="9"/>
  <c r="CU69" i="9"/>
  <c r="CR69" i="9"/>
  <c r="CO69" i="9"/>
  <c r="CL69" i="9"/>
  <c r="CI69" i="9"/>
  <c r="CF69" i="9"/>
  <c r="CC69" i="9"/>
  <c r="BZ69" i="9"/>
  <c r="BW69" i="9"/>
  <c r="BT69" i="9"/>
  <c r="BQ69" i="9"/>
  <c r="BN69" i="9"/>
  <c r="BK69" i="9"/>
  <c r="BH69" i="9"/>
  <c r="BE69" i="9"/>
  <c r="BB69" i="9"/>
  <c r="AY69" i="9"/>
  <c r="AV69" i="9"/>
  <c r="AS69" i="9"/>
  <c r="AP69" i="9"/>
  <c r="AM69" i="9"/>
  <c r="AJ69" i="9"/>
  <c r="AG69" i="9"/>
  <c r="AD69" i="9"/>
  <c r="AA69" i="9"/>
  <c r="X69" i="9"/>
  <c r="U69" i="9"/>
  <c r="R69" i="9"/>
  <c r="O69" i="9"/>
  <c r="L69" i="9"/>
  <c r="I69" i="9"/>
  <c r="F69" i="9"/>
  <c r="FO68" i="9"/>
  <c r="FL68" i="9"/>
  <c r="FI68" i="9"/>
  <c r="FF68" i="9"/>
  <c r="FC68" i="9"/>
  <c r="EZ68" i="9"/>
  <c r="EW68" i="9"/>
  <c r="ET68" i="9"/>
  <c r="EQ68" i="9"/>
  <c r="EN68" i="9"/>
  <c r="EK68" i="9"/>
  <c r="EH68" i="9"/>
  <c r="EE68" i="9"/>
  <c r="EB68" i="9"/>
  <c r="DY68" i="9"/>
  <c r="DV68" i="9"/>
  <c r="DS68" i="9"/>
  <c r="DP68" i="9"/>
  <c r="DM68" i="9"/>
  <c r="DJ68" i="9"/>
  <c r="DG68" i="9"/>
  <c r="DD68" i="9"/>
  <c r="DA68" i="9"/>
  <c r="CX68" i="9"/>
  <c r="CU68" i="9"/>
  <c r="CR68" i="9"/>
  <c r="CO68" i="9"/>
  <c r="CL68" i="9"/>
  <c r="CI68" i="9"/>
  <c r="CF68" i="9"/>
  <c r="CC68" i="9"/>
  <c r="BZ68" i="9"/>
  <c r="BW68" i="9"/>
  <c r="BT68" i="9"/>
  <c r="BQ68" i="9"/>
  <c r="BN68" i="9"/>
  <c r="BK68" i="9"/>
  <c r="BH68" i="9"/>
  <c r="BE68" i="9"/>
  <c r="BB68" i="9"/>
  <c r="AY68" i="9"/>
  <c r="AV68" i="9"/>
  <c r="AS68" i="9"/>
  <c r="AP68" i="9"/>
  <c r="AM68" i="9"/>
  <c r="AJ68" i="9"/>
  <c r="AG68" i="9"/>
  <c r="AD68" i="9"/>
  <c r="AA68" i="9"/>
  <c r="X68" i="9"/>
  <c r="U68" i="9"/>
  <c r="R68" i="9"/>
  <c r="O68" i="9"/>
  <c r="L68" i="9"/>
  <c r="I68" i="9"/>
  <c r="F68" i="9"/>
  <c r="FO67" i="9"/>
  <c r="FL67" i="9"/>
  <c r="FI67" i="9"/>
  <c r="FF67" i="9"/>
  <c r="FC67" i="9"/>
  <c r="EZ67" i="9"/>
  <c r="EW67" i="9"/>
  <c r="ET67" i="9"/>
  <c r="EQ67" i="9"/>
  <c r="EN67" i="9"/>
  <c r="EK67" i="9"/>
  <c r="EH67" i="9"/>
  <c r="EE67" i="9"/>
  <c r="EB67" i="9"/>
  <c r="DY67" i="9"/>
  <c r="DV67" i="9"/>
  <c r="DS67" i="9"/>
  <c r="DP67" i="9"/>
  <c r="DM67" i="9"/>
  <c r="DJ67" i="9"/>
  <c r="DG67" i="9"/>
  <c r="DD67" i="9"/>
  <c r="DA67" i="9"/>
  <c r="CX67" i="9"/>
  <c r="CU67" i="9"/>
  <c r="CR67" i="9"/>
  <c r="CO67" i="9"/>
  <c r="CL67" i="9"/>
  <c r="CI67" i="9"/>
  <c r="CF67" i="9"/>
  <c r="CC67" i="9"/>
  <c r="BZ67" i="9"/>
  <c r="BW67" i="9"/>
  <c r="BT67" i="9"/>
  <c r="BQ67" i="9"/>
  <c r="BN67" i="9"/>
  <c r="BK67" i="9"/>
  <c r="BH67" i="9"/>
  <c r="BE67" i="9"/>
  <c r="BB67" i="9"/>
  <c r="AY67" i="9"/>
  <c r="AV67" i="9"/>
  <c r="AS67" i="9"/>
  <c r="AP67" i="9"/>
  <c r="AM67" i="9"/>
  <c r="AJ67" i="9"/>
  <c r="AG67" i="9"/>
  <c r="AD67" i="9"/>
  <c r="AA67" i="9"/>
  <c r="X67" i="9"/>
  <c r="U67" i="9"/>
  <c r="R67" i="9"/>
  <c r="O67" i="9"/>
  <c r="L67" i="9"/>
  <c r="I67" i="9"/>
  <c r="F67" i="9"/>
  <c r="FO66" i="9"/>
  <c r="FL66" i="9"/>
  <c r="FI66" i="9"/>
  <c r="FF66" i="9"/>
  <c r="FC66" i="9"/>
  <c r="EZ66" i="9"/>
  <c r="EW66" i="9"/>
  <c r="ET66" i="9"/>
  <c r="EQ66" i="9"/>
  <c r="EN66" i="9"/>
  <c r="EK66" i="9"/>
  <c r="EH66" i="9"/>
  <c r="EE66" i="9"/>
  <c r="EB66" i="9"/>
  <c r="DY66" i="9"/>
  <c r="DV66" i="9"/>
  <c r="DS66" i="9"/>
  <c r="DP66" i="9"/>
  <c r="DM66" i="9"/>
  <c r="DJ66" i="9"/>
  <c r="DG66" i="9"/>
  <c r="DD66" i="9"/>
  <c r="DA66" i="9"/>
  <c r="CX66" i="9"/>
  <c r="CU66" i="9"/>
  <c r="CR66" i="9"/>
  <c r="CO66" i="9"/>
  <c r="CL66" i="9"/>
  <c r="CI66" i="9"/>
  <c r="CF66" i="9"/>
  <c r="CC66" i="9"/>
  <c r="BZ66" i="9"/>
  <c r="BW66" i="9"/>
  <c r="BT66" i="9"/>
  <c r="BQ66" i="9"/>
  <c r="BN66" i="9"/>
  <c r="BK66" i="9"/>
  <c r="BH66" i="9"/>
  <c r="BE66" i="9"/>
  <c r="BB66" i="9"/>
  <c r="AY66" i="9"/>
  <c r="AV66" i="9"/>
  <c r="AS66" i="9"/>
  <c r="AP66" i="9"/>
  <c r="AM66" i="9"/>
  <c r="AJ66" i="9"/>
  <c r="AG66" i="9"/>
  <c r="AD66" i="9"/>
  <c r="AA66" i="9"/>
  <c r="X66" i="9"/>
  <c r="U66" i="9"/>
  <c r="R66" i="9"/>
  <c r="O66" i="9"/>
  <c r="L66" i="9"/>
  <c r="I66" i="9"/>
  <c r="F66" i="9"/>
  <c r="FO65" i="9"/>
  <c r="FL65" i="9"/>
  <c r="FI65" i="9"/>
  <c r="FF65" i="9"/>
  <c r="FC65" i="9"/>
  <c r="EZ65" i="9"/>
  <c r="EW65" i="9"/>
  <c r="ET65" i="9"/>
  <c r="EQ65" i="9"/>
  <c r="EN65" i="9"/>
  <c r="EK65" i="9"/>
  <c r="EH65" i="9"/>
  <c r="EE65" i="9"/>
  <c r="EB65" i="9"/>
  <c r="DY65" i="9"/>
  <c r="DV65" i="9"/>
  <c r="DS65" i="9"/>
  <c r="DP65" i="9"/>
  <c r="DM65" i="9"/>
  <c r="DJ65" i="9"/>
  <c r="DG65" i="9"/>
  <c r="DD65" i="9"/>
  <c r="DA65" i="9"/>
  <c r="CX65" i="9"/>
  <c r="CU65" i="9"/>
  <c r="CR65" i="9"/>
  <c r="CO65" i="9"/>
  <c r="CL65" i="9"/>
  <c r="CI65" i="9"/>
  <c r="CF65" i="9"/>
  <c r="CC65" i="9"/>
  <c r="BZ65" i="9"/>
  <c r="BW65" i="9"/>
  <c r="BT65" i="9"/>
  <c r="BQ65" i="9"/>
  <c r="BN65" i="9"/>
  <c r="BK65" i="9"/>
  <c r="BH65" i="9"/>
  <c r="BE65" i="9"/>
  <c r="BB65" i="9"/>
  <c r="AY65" i="9"/>
  <c r="AV65" i="9"/>
  <c r="AS65" i="9"/>
  <c r="AP65" i="9"/>
  <c r="AM65" i="9"/>
  <c r="AJ65" i="9"/>
  <c r="AG65" i="9"/>
  <c r="AD65" i="9"/>
  <c r="AA65" i="9"/>
  <c r="X65" i="9"/>
  <c r="U65" i="9"/>
  <c r="R65" i="9"/>
  <c r="O65" i="9"/>
  <c r="L65" i="9"/>
  <c r="I65" i="9"/>
  <c r="F65" i="9"/>
  <c r="FO64" i="9"/>
  <c r="FL64" i="9"/>
  <c r="FI64" i="9"/>
  <c r="FF64" i="9"/>
  <c r="FC64" i="9"/>
  <c r="EZ64" i="9"/>
  <c r="EW64" i="9"/>
  <c r="ET64" i="9"/>
  <c r="EQ64" i="9"/>
  <c r="EN64" i="9"/>
  <c r="EK64" i="9"/>
  <c r="EH64" i="9"/>
  <c r="EE64" i="9"/>
  <c r="EB64" i="9"/>
  <c r="DY64" i="9"/>
  <c r="DV64" i="9"/>
  <c r="DS64" i="9"/>
  <c r="DP64" i="9"/>
  <c r="DM64" i="9"/>
  <c r="DJ64" i="9"/>
  <c r="DG64" i="9"/>
  <c r="DD64" i="9"/>
  <c r="DA64" i="9"/>
  <c r="CX64" i="9"/>
  <c r="CU64" i="9"/>
  <c r="CR64" i="9"/>
  <c r="CO64" i="9"/>
  <c r="CL64" i="9"/>
  <c r="CI64" i="9"/>
  <c r="CF64" i="9"/>
  <c r="CC64" i="9"/>
  <c r="BZ64" i="9"/>
  <c r="BW64" i="9"/>
  <c r="BT64" i="9"/>
  <c r="BQ64" i="9"/>
  <c r="BN64" i="9"/>
  <c r="BK64" i="9"/>
  <c r="BH64" i="9"/>
  <c r="BE64" i="9"/>
  <c r="BB64" i="9"/>
  <c r="AY64" i="9"/>
  <c r="AV64" i="9"/>
  <c r="AS64" i="9"/>
  <c r="AP64" i="9"/>
  <c r="AM64" i="9"/>
  <c r="AJ64" i="9"/>
  <c r="AG64" i="9"/>
  <c r="AD64" i="9"/>
  <c r="AA64" i="9"/>
  <c r="X64" i="9"/>
  <c r="U64" i="9"/>
  <c r="R64" i="9"/>
  <c r="O64" i="9"/>
  <c r="L64" i="9"/>
  <c r="I64" i="9"/>
  <c r="F64" i="9"/>
  <c r="FO63" i="9"/>
  <c r="FL63" i="9"/>
  <c r="FI63" i="9"/>
  <c r="FF63" i="9"/>
  <c r="FC63" i="9"/>
  <c r="EZ63" i="9"/>
  <c r="EW63" i="9"/>
  <c r="ET63" i="9"/>
  <c r="EQ63" i="9"/>
  <c r="EN63" i="9"/>
  <c r="EK63" i="9"/>
  <c r="EH63" i="9"/>
  <c r="EE63" i="9"/>
  <c r="EB63" i="9"/>
  <c r="DY63" i="9"/>
  <c r="DV63" i="9"/>
  <c r="DS63" i="9"/>
  <c r="DP63" i="9"/>
  <c r="DM63" i="9"/>
  <c r="DJ63" i="9"/>
  <c r="DG63" i="9"/>
  <c r="DD63" i="9"/>
  <c r="DA63" i="9"/>
  <c r="CX63" i="9"/>
  <c r="CU63" i="9"/>
  <c r="CR63" i="9"/>
  <c r="CO63" i="9"/>
  <c r="CL63" i="9"/>
  <c r="CI63" i="9"/>
  <c r="CF63" i="9"/>
  <c r="CC63" i="9"/>
  <c r="BZ63" i="9"/>
  <c r="BW63" i="9"/>
  <c r="BT63" i="9"/>
  <c r="BQ63" i="9"/>
  <c r="BN63" i="9"/>
  <c r="BK63" i="9"/>
  <c r="BH63" i="9"/>
  <c r="BE63" i="9"/>
  <c r="BB63" i="9"/>
  <c r="AY63" i="9"/>
  <c r="AV63" i="9"/>
  <c r="AS63" i="9"/>
  <c r="AP63" i="9"/>
  <c r="AM63" i="9"/>
  <c r="AJ63" i="9"/>
  <c r="AG63" i="9"/>
  <c r="AD63" i="9"/>
  <c r="AA63" i="9"/>
  <c r="X63" i="9"/>
  <c r="U63" i="9"/>
  <c r="R63" i="9"/>
  <c r="O63" i="9"/>
  <c r="L63" i="9"/>
  <c r="I63" i="9"/>
  <c r="F63" i="9"/>
  <c r="FO62" i="9"/>
  <c r="FL62" i="9"/>
  <c r="FI62" i="9"/>
  <c r="FF62" i="9"/>
  <c r="FC62" i="9"/>
  <c r="EZ62" i="9"/>
  <c r="EW62" i="9"/>
  <c r="ET62" i="9"/>
  <c r="EQ62" i="9"/>
  <c r="EN62" i="9"/>
  <c r="EK62" i="9"/>
  <c r="EH62" i="9"/>
  <c r="EE62" i="9"/>
  <c r="EB62" i="9"/>
  <c r="DY62" i="9"/>
  <c r="DV62" i="9"/>
  <c r="DS62" i="9"/>
  <c r="DP62" i="9"/>
  <c r="DM62" i="9"/>
  <c r="DJ62" i="9"/>
  <c r="DG62" i="9"/>
  <c r="DD62" i="9"/>
  <c r="DA62" i="9"/>
  <c r="CX62" i="9"/>
  <c r="CU62" i="9"/>
  <c r="CR62" i="9"/>
  <c r="CO62" i="9"/>
  <c r="CL62" i="9"/>
  <c r="CI62" i="9"/>
  <c r="CF62" i="9"/>
  <c r="CC62" i="9"/>
  <c r="BZ62" i="9"/>
  <c r="BW62" i="9"/>
  <c r="BT62" i="9"/>
  <c r="BQ62" i="9"/>
  <c r="BN62" i="9"/>
  <c r="BK62" i="9"/>
  <c r="BH62" i="9"/>
  <c r="BE62" i="9"/>
  <c r="BB62" i="9"/>
  <c r="AY62" i="9"/>
  <c r="AV62" i="9"/>
  <c r="AS62" i="9"/>
  <c r="AP62" i="9"/>
  <c r="AM62" i="9"/>
  <c r="AJ62" i="9"/>
  <c r="AG62" i="9"/>
  <c r="AD62" i="9"/>
  <c r="AA62" i="9"/>
  <c r="X62" i="9"/>
  <c r="U62" i="9"/>
  <c r="R62" i="9"/>
  <c r="O62" i="9"/>
  <c r="L62" i="9"/>
  <c r="I62" i="9"/>
  <c r="F62" i="9"/>
  <c r="FO61" i="9"/>
  <c r="FL61" i="9"/>
  <c r="FI61" i="9"/>
  <c r="FF61" i="9"/>
  <c r="FC61" i="9"/>
  <c r="EZ61" i="9"/>
  <c r="EW61" i="9"/>
  <c r="ET61" i="9"/>
  <c r="EQ61" i="9"/>
  <c r="EN61" i="9"/>
  <c r="EK61" i="9"/>
  <c r="EH61" i="9"/>
  <c r="EE61" i="9"/>
  <c r="EB61" i="9"/>
  <c r="DY61" i="9"/>
  <c r="DV61" i="9"/>
  <c r="DS61" i="9"/>
  <c r="DP61" i="9"/>
  <c r="DM61" i="9"/>
  <c r="DJ61" i="9"/>
  <c r="DG61" i="9"/>
  <c r="DD61" i="9"/>
  <c r="DA61" i="9"/>
  <c r="CX61" i="9"/>
  <c r="CU61" i="9"/>
  <c r="CR61" i="9"/>
  <c r="CO61" i="9"/>
  <c r="CL61" i="9"/>
  <c r="CI61" i="9"/>
  <c r="CF61" i="9"/>
  <c r="CC61" i="9"/>
  <c r="BZ61" i="9"/>
  <c r="BW61" i="9"/>
  <c r="BT61" i="9"/>
  <c r="BQ61" i="9"/>
  <c r="BN61" i="9"/>
  <c r="BK61" i="9"/>
  <c r="BH61" i="9"/>
  <c r="BE61" i="9"/>
  <c r="BB61" i="9"/>
  <c r="AY61" i="9"/>
  <c r="AV61" i="9"/>
  <c r="AS61" i="9"/>
  <c r="AP61" i="9"/>
  <c r="AM61" i="9"/>
  <c r="AJ61" i="9"/>
  <c r="AG61" i="9"/>
  <c r="AD61" i="9"/>
  <c r="AA61" i="9"/>
  <c r="X61" i="9"/>
  <c r="U61" i="9"/>
  <c r="R61" i="9"/>
  <c r="O61" i="9"/>
  <c r="L61" i="9"/>
  <c r="I61" i="9"/>
  <c r="F61" i="9"/>
  <c r="FO60" i="9"/>
  <c r="FL60" i="9"/>
  <c r="FI60" i="9"/>
  <c r="FF60" i="9"/>
  <c r="FC60" i="9"/>
  <c r="FC54" i="9" s="1"/>
  <c r="EZ60" i="9"/>
  <c r="EW60" i="9"/>
  <c r="ET60" i="9"/>
  <c r="EQ60" i="9"/>
  <c r="EN60" i="9"/>
  <c r="EK60" i="9"/>
  <c r="EH60" i="9"/>
  <c r="EE60" i="9"/>
  <c r="EB60" i="9"/>
  <c r="DY60" i="9"/>
  <c r="DV60" i="9"/>
  <c r="DS60" i="9"/>
  <c r="DP60" i="9"/>
  <c r="DM60" i="9"/>
  <c r="DJ60" i="9"/>
  <c r="DG60" i="9"/>
  <c r="DD60" i="9"/>
  <c r="DA60" i="9"/>
  <c r="CX60" i="9"/>
  <c r="CU60" i="9"/>
  <c r="CU54" i="9" s="1"/>
  <c r="CR60" i="9"/>
  <c r="CO60" i="9"/>
  <c r="CL60" i="9"/>
  <c r="CI60" i="9"/>
  <c r="CF60" i="9"/>
  <c r="CC60" i="9"/>
  <c r="BZ60" i="9"/>
  <c r="BW60" i="9"/>
  <c r="BT60" i="9"/>
  <c r="BQ60" i="9"/>
  <c r="BN60" i="9"/>
  <c r="BK60" i="9"/>
  <c r="BH60" i="9"/>
  <c r="BH52" i="9" s="1"/>
  <c r="BE60" i="9"/>
  <c r="BE54" i="9" s="1"/>
  <c r="BB60" i="9"/>
  <c r="AY60" i="9"/>
  <c r="AV60" i="9"/>
  <c r="AS60" i="9"/>
  <c r="AP60" i="9"/>
  <c r="AM60" i="9"/>
  <c r="AM54" i="9" s="1"/>
  <c r="AJ60" i="9"/>
  <c r="AG60" i="9"/>
  <c r="AD60" i="9"/>
  <c r="AA60" i="9"/>
  <c r="X60" i="9"/>
  <c r="U60" i="9"/>
  <c r="R60" i="9"/>
  <c r="O60" i="9"/>
  <c r="L60" i="9"/>
  <c r="I60" i="9"/>
  <c r="F60" i="9"/>
  <c r="FO59" i="9"/>
  <c r="FL59" i="9"/>
  <c r="FI59" i="9"/>
  <c r="FF59" i="9"/>
  <c r="FC59" i="9"/>
  <c r="EZ59" i="9"/>
  <c r="EW59" i="9"/>
  <c r="ET59" i="9"/>
  <c r="EQ59" i="9"/>
  <c r="EQ54" i="9" s="1"/>
  <c r="EN59" i="9"/>
  <c r="EK59" i="9"/>
  <c r="EH59" i="9"/>
  <c r="EE59" i="9"/>
  <c r="EB59" i="9"/>
  <c r="DY59" i="9"/>
  <c r="DV59" i="9"/>
  <c r="DS59" i="9"/>
  <c r="DP59" i="9"/>
  <c r="DM59" i="9"/>
  <c r="DJ59" i="9"/>
  <c r="DG59" i="9"/>
  <c r="DD59" i="9"/>
  <c r="DA59" i="9"/>
  <c r="DA53" i="9" s="1"/>
  <c r="CX59" i="9"/>
  <c r="CU59" i="9"/>
  <c r="CR59" i="9"/>
  <c r="CO59" i="9"/>
  <c r="CL59" i="9"/>
  <c r="CI59" i="9"/>
  <c r="CI54" i="9" s="1"/>
  <c r="CF59" i="9"/>
  <c r="CC59" i="9"/>
  <c r="BZ59" i="9"/>
  <c r="BW59" i="9"/>
  <c r="BT59" i="9"/>
  <c r="BQ59" i="9"/>
  <c r="BN59" i="9"/>
  <c r="BK59" i="9"/>
  <c r="BH59" i="9"/>
  <c r="BE59" i="9"/>
  <c r="BB59" i="9"/>
  <c r="AY59" i="9"/>
  <c r="AV59" i="9"/>
  <c r="AS59" i="9"/>
  <c r="AP59" i="9"/>
  <c r="AM59" i="9"/>
  <c r="AJ59" i="9"/>
  <c r="AG59" i="9"/>
  <c r="AD59" i="9"/>
  <c r="AA59" i="9"/>
  <c r="AA54" i="9" s="1"/>
  <c r="X59" i="9"/>
  <c r="U59" i="9"/>
  <c r="R59" i="9"/>
  <c r="O59" i="9"/>
  <c r="L59" i="9"/>
  <c r="I59" i="9"/>
  <c r="F59" i="9"/>
  <c r="FO58" i="9"/>
  <c r="FL58" i="9"/>
  <c r="FI58" i="9"/>
  <c r="FF58" i="9"/>
  <c r="FC58" i="9"/>
  <c r="EZ58" i="9"/>
  <c r="EW58" i="9"/>
  <c r="EW53" i="9" s="1"/>
  <c r="ET58" i="9"/>
  <c r="EQ58" i="9"/>
  <c r="EN58" i="9"/>
  <c r="EK58" i="9"/>
  <c r="EH58" i="9"/>
  <c r="EE58" i="9"/>
  <c r="EB58" i="9"/>
  <c r="DY58" i="9"/>
  <c r="DV58" i="9"/>
  <c r="DS58" i="9"/>
  <c r="DP58" i="9"/>
  <c r="DP54" i="9" s="1"/>
  <c r="DM58" i="9"/>
  <c r="DJ58" i="9"/>
  <c r="DJ54" i="9" s="1"/>
  <c r="DG58" i="9"/>
  <c r="DD58" i="9"/>
  <c r="DA58" i="9"/>
  <c r="CX58" i="9"/>
  <c r="CU58" i="9"/>
  <c r="CR58" i="9"/>
  <c r="CO58" i="9"/>
  <c r="CO53" i="9" s="1"/>
  <c r="CL58" i="9"/>
  <c r="CI58" i="9"/>
  <c r="CF58" i="9"/>
  <c r="CC58" i="9"/>
  <c r="BZ58" i="9"/>
  <c r="BW58" i="9"/>
  <c r="BW52" i="9" s="1"/>
  <c r="BT58" i="9"/>
  <c r="BQ58" i="9"/>
  <c r="BN58" i="9"/>
  <c r="BK58" i="9"/>
  <c r="BH58" i="9"/>
  <c r="BE58" i="9"/>
  <c r="BB58" i="9"/>
  <c r="BB52" i="9" s="1"/>
  <c r="AY58" i="9"/>
  <c r="AV58" i="9"/>
  <c r="AS58" i="9"/>
  <c r="AP58" i="9"/>
  <c r="AM58" i="9"/>
  <c r="AJ58" i="9"/>
  <c r="AG58" i="9"/>
  <c r="AG53" i="9" s="1"/>
  <c r="AD58" i="9"/>
  <c r="AA58" i="9"/>
  <c r="X58" i="9"/>
  <c r="U58" i="9"/>
  <c r="R58" i="9"/>
  <c r="O58" i="9"/>
  <c r="L58" i="9"/>
  <c r="I58" i="9"/>
  <c r="F58" i="9"/>
  <c r="FO57" i="9"/>
  <c r="FL57" i="9"/>
  <c r="FL52" i="9" s="1"/>
  <c r="FI57" i="9"/>
  <c r="FF57" i="9"/>
  <c r="FC57" i="9"/>
  <c r="EZ57" i="9"/>
  <c r="EW57" i="9"/>
  <c r="ET57" i="9"/>
  <c r="EQ57" i="9"/>
  <c r="EN57" i="9"/>
  <c r="EN53" i="9" s="1"/>
  <c r="EK57" i="9"/>
  <c r="EK52" i="9" s="1"/>
  <c r="EH57" i="9"/>
  <c r="EE57" i="9"/>
  <c r="EB57" i="9"/>
  <c r="DY57" i="9"/>
  <c r="DV57" i="9"/>
  <c r="DS57" i="9"/>
  <c r="DP57" i="9"/>
  <c r="DM57" i="9"/>
  <c r="DJ57" i="9"/>
  <c r="DG57" i="9"/>
  <c r="DD57" i="9"/>
  <c r="DA57" i="9"/>
  <c r="CX57" i="9"/>
  <c r="CU57" i="9"/>
  <c r="CR57" i="9"/>
  <c r="CO57" i="9"/>
  <c r="CL57" i="9"/>
  <c r="CI57" i="9"/>
  <c r="CF57" i="9"/>
  <c r="CC57" i="9"/>
  <c r="CC52" i="9" s="1"/>
  <c r="BZ57" i="9"/>
  <c r="BZ54" i="9" s="1"/>
  <c r="BW57" i="9"/>
  <c r="BT57" i="9"/>
  <c r="BQ57" i="9"/>
  <c r="BN57" i="9"/>
  <c r="BK57" i="9"/>
  <c r="BH57" i="9"/>
  <c r="BH54" i="9" s="1"/>
  <c r="BE57" i="9"/>
  <c r="BB57" i="9"/>
  <c r="AY57" i="9"/>
  <c r="AV57" i="9"/>
  <c r="AV53" i="9" s="1"/>
  <c r="AS57" i="9"/>
  <c r="AP57" i="9"/>
  <c r="AM57" i="9"/>
  <c r="AJ57" i="9"/>
  <c r="AG57" i="9"/>
  <c r="AD57" i="9"/>
  <c r="AA57" i="9"/>
  <c r="X57" i="9"/>
  <c r="X53" i="9" s="1"/>
  <c r="U57" i="9"/>
  <c r="U52" i="9" s="1"/>
  <c r="R57" i="9"/>
  <c r="R53" i="9" s="1"/>
  <c r="O57" i="9"/>
  <c r="L57" i="9"/>
  <c r="I57" i="9"/>
  <c r="F57" i="9"/>
  <c r="FO56" i="9"/>
  <c r="FL56" i="9"/>
  <c r="FL53" i="9" s="1"/>
  <c r="FI56" i="9"/>
  <c r="FF56" i="9"/>
  <c r="FC56" i="9"/>
  <c r="FC53" i="9" s="1"/>
  <c r="EZ56" i="9"/>
  <c r="EW56" i="9"/>
  <c r="ET56" i="9"/>
  <c r="ET53" i="9" s="1"/>
  <c r="EQ56" i="9"/>
  <c r="EN56" i="9"/>
  <c r="EK56" i="9"/>
  <c r="EH56" i="9"/>
  <c r="EE56" i="9"/>
  <c r="EB56" i="9"/>
  <c r="EB54" i="9" s="1"/>
  <c r="DY56" i="9"/>
  <c r="DV56" i="9"/>
  <c r="DV52" i="9" s="1"/>
  <c r="DS56" i="9"/>
  <c r="DP56" i="9"/>
  <c r="DM56" i="9"/>
  <c r="DJ56" i="9"/>
  <c r="DG56" i="9"/>
  <c r="DD56" i="9"/>
  <c r="DD54" i="9" s="1"/>
  <c r="DA56" i="9"/>
  <c r="CX56" i="9"/>
  <c r="CU56" i="9"/>
  <c r="CU53" i="9" s="1"/>
  <c r="CR56" i="9"/>
  <c r="CO56" i="9"/>
  <c r="CL56" i="9"/>
  <c r="CI56" i="9"/>
  <c r="CF56" i="9"/>
  <c r="CC56" i="9"/>
  <c r="BZ56" i="9"/>
  <c r="BW56" i="9"/>
  <c r="BT56" i="9"/>
  <c r="BQ56" i="9"/>
  <c r="BN56" i="9"/>
  <c r="BN52" i="9" s="1"/>
  <c r="BK56" i="9"/>
  <c r="BH56" i="9"/>
  <c r="BE56" i="9"/>
  <c r="BB56" i="9"/>
  <c r="AY56" i="9"/>
  <c r="AV56" i="9"/>
  <c r="AV52" i="9" s="1"/>
  <c r="AS56" i="9"/>
  <c r="AP56" i="9"/>
  <c r="AM56" i="9"/>
  <c r="AM53" i="9" s="1"/>
  <c r="AJ56" i="9"/>
  <c r="AG56" i="9"/>
  <c r="AD56" i="9"/>
  <c r="AD54" i="9" s="1"/>
  <c r="AA56" i="9"/>
  <c r="X56" i="9"/>
  <c r="U56" i="9"/>
  <c r="R56" i="9"/>
  <c r="O56" i="9"/>
  <c r="L56" i="9"/>
  <c r="I56" i="9"/>
  <c r="I52" i="9" s="1"/>
  <c r="F56" i="9"/>
  <c r="EW54" i="9"/>
  <c r="DM54" i="9"/>
  <c r="AG54" i="9"/>
  <c r="EQ53" i="9"/>
  <c r="CI53" i="9"/>
  <c r="CF53" i="9"/>
  <c r="AS53" i="9"/>
  <c r="EW52" i="9"/>
  <c r="BQ52" i="9"/>
  <c r="O52" i="9"/>
  <c r="FG50" i="9"/>
  <c r="FG49" i="9"/>
  <c r="FG48" i="9"/>
  <c r="FG47" i="9"/>
  <c r="FG46" i="9"/>
  <c r="FG45" i="9"/>
  <c r="FG44" i="9"/>
  <c r="FG43" i="9"/>
  <c r="FG42" i="9"/>
  <c r="FG41" i="9"/>
  <c r="FG40" i="9"/>
  <c r="FG39" i="9"/>
  <c r="FD39" i="9"/>
  <c r="FG38" i="9"/>
  <c r="FD38" i="9"/>
  <c r="FG37" i="9"/>
  <c r="FD37" i="9"/>
  <c r="FG36" i="9"/>
  <c r="FD36" i="9"/>
  <c r="FG35" i="9"/>
  <c r="FD35" i="9"/>
  <c r="FG34" i="9"/>
  <c r="FD34" i="9"/>
  <c r="FG33" i="9"/>
  <c r="FD33" i="9"/>
  <c r="FG32" i="9"/>
  <c r="FD32" i="9"/>
  <c r="FG31" i="9"/>
  <c r="FD31" i="9"/>
  <c r="FG30" i="9"/>
  <c r="FD30" i="9"/>
  <c r="EI30" i="9"/>
  <c r="FG29" i="9"/>
  <c r="FD29" i="9"/>
  <c r="EI29" i="9"/>
  <c r="DZ29" i="9"/>
  <c r="FG28" i="9"/>
  <c r="FD28" i="9"/>
  <c r="ER28" i="9"/>
  <c r="EI28" i="9"/>
  <c r="DZ28" i="9"/>
  <c r="FG27" i="9"/>
  <c r="FD27" i="9"/>
  <c r="ER27" i="9"/>
  <c r="EI27" i="9"/>
  <c r="DZ27" i="9"/>
  <c r="CD27" i="9"/>
  <c r="FG26" i="9"/>
  <c r="FD26" i="9"/>
  <c r="ER26" i="9"/>
  <c r="EL26" i="9"/>
  <c r="EI26" i="9"/>
  <c r="DZ26" i="9"/>
  <c r="DE26" i="9"/>
  <c r="CV26" i="9"/>
  <c r="CS26" i="9"/>
  <c r="CM26" i="9"/>
  <c r="CD26" i="9"/>
  <c r="BU26" i="9"/>
  <c r="AH26" i="9"/>
  <c r="AE26" i="9"/>
  <c r="M26" i="9"/>
  <c r="FG25" i="9"/>
  <c r="FD25" i="9"/>
  <c r="ER25" i="9"/>
  <c r="EL25" i="9"/>
  <c r="EI25" i="9"/>
  <c r="DZ25" i="9"/>
  <c r="DH25" i="9"/>
  <c r="DE25" i="9"/>
  <c r="CV25" i="9"/>
  <c r="CS25" i="9"/>
  <c r="CM25" i="9"/>
  <c r="CD25" i="9"/>
  <c r="BU25" i="9"/>
  <c r="AH25" i="9"/>
  <c r="AE25" i="9"/>
  <c r="M25" i="9"/>
  <c r="FG24" i="9"/>
  <c r="FD24" i="9"/>
  <c r="ER24" i="9"/>
  <c r="EL24" i="9"/>
  <c r="EI24" i="9"/>
  <c r="DZ24" i="9"/>
  <c r="DQ24" i="9"/>
  <c r="DH24" i="9"/>
  <c r="DE24" i="9"/>
  <c r="CV24" i="9"/>
  <c r="CS24" i="9"/>
  <c r="CM24" i="9"/>
  <c r="CD24" i="9"/>
  <c r="BU24" i="9"/>
  <c r="AH24" i="9"/>
  <c r="AE24" i="9"/>
  <c r="M24" i="9"/>
  <c r="FG23" i="9"/>
  <c r="FD23" i="9"/>
  <c r="ER23" i="9"/>
  <c r="EL23" i="9"/>
  <c r="EI23" i="9"/>
  <c r="DZ23" i="9"/>
  <c r="DQ23" i="9"/>
  <c r="DH23" i="9"/>
  <c r="DE23" i="9"/>
  <c r="CV23" i="9"/>
  <c r="CS23" i="9"/>
  <c r="CM23" i="9"/>
  <c r="CD23" i="9"/>
  <c r="BU23" i="9"/>
  <c r="AT23" i="9"/>
  <c r="AH23" i="9"/>
  <c r="AE23" i="9"/>
  <c r="M23" i="9"/>
  <c r="FG22" i="9"/>
  <c r="FD22" i="9"/>
  <c r="ER22" i="9"/>
  <c r="EL22" i="9"/>
  <c r="EI22" i="9"/>
  <c r="DZ22" i="9"/>
  <c r="DW22" i="9"/>
  <c r="DQ22" i="9"/>
  <c r="DH22" i="9"/>
  <c r="DE22" i="9"/>
  <c r="DB22" i="9"/>
  <c r="CV22" i="9"/>
  <c r="CS22" i="9"/>
  <c r="CP22" i="9"/>
  <c r="CM22" i="9"/>
  <c r="CD22" i="9"/>
  <c r="BU22" i="9"/>
  <c r="BL22" i="9"/>
  <c r="AT22" i="9"/>
  <c r="AH22" i="9"/>
  <c r="AE22" i="9"/>
  <c r="S22" i="9"/>
  <c r="M22" i="9"/>
  <c r="FG21" i="9"/>
  <c r="FD21" i="9"/>
  <c r="ER21" i="9"/>
  <c r="EL21" i="9"/>
  <c r="EI21" i="9"/>
  <c r="DZ21" i="9"/>
  <c r="DW21" i="9"/>
  <c r="DQ21" i="9"/>
  <c r="DH21" i="9"/>
  <c r="DE21" i="9"/>
  <c r="DB21" i="9"/>
  <c r="CV21" i="9"/>
  <c r="CS21" i="9"/>
  <c r="CP21" i="9"/>
  <c r="CM21" i="9"/>
  <c r="CD21" i="9"/>
  <c r="BU21" i="9"/>
  <c r="BL21" i="9"/>
  <c r="AZ21" i="9"/>
  <c r="AT21" i="9"/>
  <c r="AK21" i="9"/>
  <c r="AH21" i="9"/>
  <c r="AE21" i="9"/>
  <c r="S21" i="9"/>
  <c r="M21" i="9"/>
  <c r="FG20" i="9"/>
  <c r="FD20" i="9"/>
  <c r="ER20" i="9"/>
  <c r="EL20" i="9"/>
  <c r="EI20" i="9"/>
  <c r="DZ20" i="9"/>
  <c r="DW20" i="9"/>
  <c r="DQ20" i="9"/>
  <c r="DH20" i="9"/>
  <c r="DE20" i="9"/>
  <c r="DB20" i="9"/>
  <c r="CV20" i="9"/>
  <c r="CS20" i="9"/>
  <c r="CP20" i="9"/>
  <c r="CM20" i="9"/>
  <c r="CD20" i="9"/>
  <c r="CA20" i="9"/>
  <c r="BU20" i="9"/>
  <c r="BO20" i="9"/>
  <c r="BL20" i="9"/>
  <c r="AZ20" i="9"/>
  <c r="AW20" i="9"/>
  <c r="AT20" i="9"/>
  <c r="AK20" i="9"/>
  <c r="AH20" i="9"/>
  <c r="AE20" i="9"/>
  <c r="V20" i="9"/>
  <c r="S20" i="9"/>
  <c r="M20" i="9"/>
  <c r="FG19" i="9"/>
  <c r="FD19" i="9"/>
  <c r="FA19" i="9"/>
  <c r="EX19" i="9"/>
  <c r="ER19" i="9"/>
  <c r="EL19" i="9"/>
  <c r="EI19" i="9"/>
  <c r="DZ19" i="9"/>
  <c r="DW19" i="9"/>
  <c r="DQ19" i="9"/>
  <c r="DH19" i="9"/>
  <c r="DE19" i="9"/>
  <c r="DB19" i="9"/>
  <c r="CV19" i="9"/>
  <c r="CS19" i="9"/>
  <c r="CP19" i="9"/>
  <c r="CM19" i="9"/>
  <c r="CD19" i="9"/>
  <c r="CA19" i="9"/>
  <c r="BU19" i="9"/>
  <c r="BO19" i="9"/>
  <c r="BL19" i="9"/>
  <c r="AZ19" i="9"/>
  <c r="AW19" i="9"/>
  <c r="AT19" i="9"/>
  <c r="AK19" i="9"/>
  <c r="AH19" i="9"/>
  <c r="AE19" i="9"/>
  <c r="V19" i="9"/>
  <c r="S19" i="9"/>
  <c r="P19" i="9"/>
  <c r="M19" i="9"/>
  <c r="FG18" i="9"/>
  <c r="FD18" i="9"/>
  <c r="FA18" i="9"/>
  <c r="EX18" i="9"/>
  <c r="ER18" i="9"/>
  <c r="EL18" i="9"/>
  <c r="EI18" i="9"/>
  <c r="EC18" i="9"/>
  <c r="DZ18" i="9"/>
  <c r="DW18" i="9"/>
  <c r="DQ18" i="9"/>
  <c r="DH18" i="9"/>
  <c r="DE18" i="9"/>
  <c r="DB18" i="9"/>
  <c r="CV18" i="9"/>
  <c r="CS18" i="9"/>
  <c r="CP18" i="9"/>
  <c r="CM18" i="9"/>
  <c r="CG18" i="9"/>
  <c r="CD18" i="9"/>
  <c r="CA18" i="9"/>
  <c r="BU18" i="9"/>
  <c r="BO18" i="9"/>
  <c r="BL18" i="9"/>
  <c r="AZ18" i="9"/>
  <c r="AW18" i="9"/>
  <c r="AT18" i="9"/>
  <c r="AN18" i="9"/>
  <c r="AK18" i="9"/>
  <c r="AH18" i="9"/>
  <c r="AE18" i="9"/>
  <c r="V18" i="9"/>
  <c r="S18" i="9"/>
  <c r="P18" i="9"/>
  <c r="M18" i="9"/>
  <c r="FG17" i="9"/>
  <c r="FD17" i="9"/>
  <c r="FA17" i="9"/>
  <c r="EX17" i="9"/>
  <c r="ER17" i="9"/>
  <c r="EO17" i="9"/>
  <c r="EL17" i="9"/>
  <c r="EI17" i="9"/>
  <c r="EC17" i="9"/>
  <c r="DZ17" i="9"/>
  <c r="DW17" i="9"/>
  <c r="DT17" i="9"/>
  <c r="DQ17" i="9"/>
  <c r="DH17" i="9"/>
  <c r="DE17" i="9"/>
  <c r="DB17" i="9"/>
  <c r="CV17" i="9"/>
  <c r="CS17" i="9"/>
  <c r="CP17" i="9"/>
  <c r="CM17" i="9"/>
  <c r="CG17" i="9"/>
  <c r="CD17" i="9"/>
  <c r="CA17" i="9"/>
  <c r="BU17" i="9"/>
  <c r="BO17" i="9"/>
  <c r="BL17" i="9"/>
  <c r="BI17" i="9"/>
  <c r="AZ17" i="9"/>
  <c r="AW17" i="9"/>
  <c r="AT17" i="9"/>
  <c r="AN17" i="9"/>
  <c r="AK17" i="9"/>
  <c r="AH17" i="9"/>
  <c r="AE17" i="9"/>
  <c r="Y17" i="9"/>
  <c r="V17" i="9"/>
  <c r="S17" i="9"/>
  <c r="P17" i="9"/>
  <c r="M17" i="9"/>
  <c r="FJ16" i="9"/>
  <c r="FG16" i="9"/>
  <c r="FD16" i="9"/>
  <c r="FA16" i="9"/>
  <c r="EX16" i="9"/>
  <c r="ER16" i="9"/>
  <c r="EO16" i="9"/>
  <c r="EL16" i="9"/>
  <c r="EI16" i="9"/>
  <c r="EC16" i="9"/>
  <c r="DZ16" i="9"/>
  <c r="DW16" i="9"/>
  <c r="DT16" i="9"/>
  <c r="DQ16" i="9"/>
  <c r="DH16" i="9"/>
  <c r="DE16" i="9"/>
  <c r="DB16" i="9"/>
  <c r="CV16" i="9"/>
  <c r="CS16" i="9"/>
  <c r="CP16" i="9"/>
  <c r="CM16" i="9"/>
  <c r="CJ16" i="9"/>
  <c r="CG16" i="9"/>
  <c r="CD16" i="9"/>
  <c r="CA16" i="9"/>
  <c r="BU16" i="9"/>
  <c r="BO16" i="9"/>
  <c r="BL16" i="9"/>
  <c r="BI16" i="9"/>
  <c r="BC16" i="9"/>
  <c r="AZ16" i="9"/>
  <c r="AW16" i="9"/>
  <c r="AT16" i="9"/>
  <c r="AN16" i="9"/>
  <c r="AK16" i="9"/>
  <c r="AH16" i="9"/>
  <c r="AE16" i="9"/>
  <c r="Y16" i="9"/>
  <c r="V16" i="9"/>
  <c r="S16" i="9"/>
  <c r="P16" i="9"/>
  <c r="M16" i="9"/>
  <c r="FJ15" i="9"/>
  <c r="FG15" i="9"/>
  <c r="FD15" i="9"/>
  <c r="FA15" i="9"/>
  <c r="EX15" i="9"/>
  <c r="EU15" i="9"/>
  <c r="ER15" i="9"/>
  <c r="EO15" i="9"/>
  <c r="EL15" i="9"/>
  <c r="EI15" i="9"/>
  <c r="EC15" i="9"/>
  <c r="DZ15" i="9"/>
  <c r="DW15" i="9"/>
  <c r="DT15" i="9"/>
  <c r="DQ15" i="9"/>
  <c r="DK15" i="9"/>
  <c r="DH15" i="9"/>
  <c r="DE15" i="9"/>
  <c r="DB15" i="9"/>
  <c r="CV15" i="9"/>
  <c r="CS15" i="9"/>
  <c r="CP15" i="9"/>
  <c r="CM15" i="9"/>
  <c r="CJ15" i="9"/>
  <c r="CG15" i="9"/>
  <c r="CD15" i="9"/>
  <c r="CA15" i="9"/>
  <c r="BU15" i="9"/>
  <c r="BO15" i="9"/>
  <c r="BL15" i="9"/>
  <c r="BI15" i="9"/>
  <c r="BC15" i="9"/>
  <c r="AZ15" i="9"/>
  <c r="AX15" i="9"/>
  <c r="AW15" i="9"/>
  <c r="AT15" i="9"/>
  <c r="AN15" i="9"/>
  <c r="AK15" i="9"/>
  <c r="AH15" i="9"/>
  <c r="AE15" i="9"/>
  <c r="Y15" i="9"/>
  <c r="V15" i="9"/>
  <c r="S15" i="9"/>
  <c r="P15" i="9"/>
  <c r="M15" i="9"/>
  <c r="FJ14" i="9"/>
  <c r="FG14" i="9"/>
  <c r="FD14" i="9"/>
  <c r="FA14" i="9"/>
  <c r="EX14" i="9"/>
  <c r="EU14" i="9"/>
  <c r="ER14" i="9"/>
  <c r="EO14" i="9"/>
  <c r="EL14" i="9"/>
  <c r="EI14" i="9"/>
  <c r="EC14" i="9"/>
  <c r="DZ14" i="9"/>
  <c r="DW14" i="9"/>
  <c r="DT14" i="9"/>
  <c r="DQ14" i="9"/>
  <c r="DN14" i="9"/>
  <c r="DK14" i="9"/>
  <c r="DH14" i="9"/>
  <c r="DE14" i="9"/>
  <c r="DB14" i="9"/>
  <c r="CY14" i="9"/>
  <c r="CV14" i="9"/>
  <c r="CS14" i="9"/>
  <c r="CP14" i="9"/>
  <c r="CM14" i="9"/>
  <c r="CJ14" i="9"/>
  <c r="CG14" i="9"/>
  <c r="CD14" i="9"/>
  <c r="CA14" i="9"/>
  <c r="BX14" i="9"/>
  <c r="BU14" i="9"/>
  <c r="BO14" i="9"/>
  <c r="BL14" i="9"/>
  <c r="BI14" i="9"/>
  <c r="BC14" i="9"/>
  <c r="AZ14" i="9"/>
  <c r="AX14" i="9"/>
  <c r="AW14" i="9"/>
  <c r="AT14" i="9"/>
  <c r="AN14" i="9"/>
  <c r="AK14" i="9"/>
  <c r="AH14" i="9"/>
  <c r="AE14" i="9"/>
  <c r="Y14" i="9"/>
  <c r="V14" i="9"/>
  <c r="S14" i="9"/>
  <c r="P14" i="9"/>
  <c r="M14" i="9"/>
  <c r="FP13" i="9"/>
  <c r="FJ13" i="9"/>
  <c r="FG13" i="9"/>
  <c r="FD13" i="9"/>
  <c r="FA13" i="9"/>
  <c r="EX13" i="9"/>
  <c r="EU13" i="9"/>
  <c r="ER13" i="9"/>
  <c r="EO13" i="9"/>
  <c r="EL13" i="9"/>
  <c r="EI13" i="9"/>
  <c r="EC13" i="9"/>
  <c r="DZ13" i="9"/>
  <c r="DW13" i="9"/>
  <c r="DT13" i="9"/>
  <c r="DQ13" i="9"/>
  <c r="DN13" i="9"/>
  <c r="DK13" i="9"/>
  <c r="DH13" i="9"/>
  <c r="DE13" i="9"/>
  <c r="DB13" i="9"/>
  <c r="CY13" i="9"/>
  <c r="CV13" i="9"/>
  <c r="CS13" i="9"/>
  <c r="CP13" i="9"/>
  <c r="CM13" i="9"/>
  <c r="CJ13" i="9"/>
  <c r="CG13" i="9"/>
  <c r="CD13" i="9"/>
  <c r="CA13" i="9"/>
  <c r="BX13" i="9"/>
  <c r="BU13" i="9"/>
  <c r="BO13" i="9"/>
  <c r="BL13" i="9"/>
  <c r="BI13" i="9"/>
  <c r="BF13" i="9"/>
  <c r="BC13" i="9"/>
  <c r="AZ13" i="9"/>
  <c r="AX13" i="9"/>
  <c r="AW13" i="9"/>
  <c r="AT13" i="9"/>
  <c r="AQ13" i="9"/>
  <c r="AN13" i="9"/>
  <c r="AK13" i="9"/>
  <c r="AH13" i="9"/>
  <c r="AE13" i="9"/>
  <c r="AB13" i="9"/>
  <c r="Y13" i="9"/>
  <c r="V13" i="9"/>
  <c r="S13" i="9"/>
  <c r="P13" i="9"/>
  <c r="M13" i="9"/>
  <c r="J13" i="9"/>
  <c r="FP12" i="9"/>
  <c r="FJ12" i="9"/>
  <c r="FG12" i="9"/>
  <c r="FD12" i="9"/>
  <c r="FA12" i="9"/>
  <c r="EX12" i="9"/>
  <c r="EU12" i="9"/>
  <c r="ER12" i="9"/>
  <c r="EO12" i="9"/>
  <c r="EL12" i="9"/>
  <c r="EI12" i="9"/>
  <c r="EC12" i="9"/>
  <c r="DZ12" i="9"/>
  <c r="DW12" i="9"/>
  <c r="DT12" i="9"/>
  <c r="DQ12" i="9"/>
  <c r="DN12" i="9"/>
  <c r="DK12" i="9"/>
  <c r="DH12" i="9"/>
  <c r="DE12" i="9"/>
  <c r="DB12" i="9"/>
  <c r="CY12" i="9"/>
  <c r="CV12" i="9"/>
  <c r="CS12" i="9"/>
  <c r="CP12" i="9"/>
  <c r="CM12" i="9"/>
  <c r="CJ12" i="9"/>
  <c r="CG12" i="9"/>
  <c r="CD12" i="9"/>
  <c r="CA12" i="9"/>
  <c r="BX12" i="9"/>
  <c r="BU12" i="9"/>
  <c r="BR12" i="9"/>
  <c r="BO12" i="9"/>
  <c r="BL12" i="9"/>
  <c r="BI12" i="9"/>
  <c r="BF12" i="9"/>
  <c r="BC12" i="9"/>
  <c r="AZ12" i="9"/>
  <c r="AX12" i="9"/>
  <c r="AW12" i="9"/>
  <c r="AT12" i="9"/>
  <c r="AQ12" i="9"/>
  <c r="AN12" i="9"/>
  <c r="AK12" i="9"/>
  <c r="AH12" i="9"/>
  <c r="AE12" i="9"/>
  <c r="AB12" i="9"/>
  <c r="Y12" i="9"/>
  <c r="V12" i="9"/>
  <c r="S12" i="9"/>
  <c r="P12" i="9"/>
  <c r="M12" i="9"/>
  <c r="J12" i="9"/>
  <c r="FP11" i="9"/>
  <c r="FJ11" i="9"/>
  <c r="FG11" i="9"/>
  <c r="FD11" i="9"/>
  <c r="FA11" i="9"/>
  <c r="EX11" i="9"/>
  <c r="EU11" i="9"/>
  <c r="ER11" i="9"/>
  <c r="EO11" i="9"/>
  <c r="EL11" i="9"/>
  <c r="EI11" i="9"/>
  <c r="EF11" i="9"/>
  <c r="EC11" i="9"/>
  <c r="DZ11" i="9"/>
  <c r="DW11" i="9"/>
  <c r="DT11" i="9"/>
  <c r="DQ11" i="9"/>
  <c r="DN11" i="9"/>
  <c r="DK11" i="9"/>
  <c r="DH11" i="9"/>
  <c r="DE11" i="9"/>
  <c r="DB11" i="9"/>
  <c r="CY11" i="9"/>
  <c r="CV11" i="9"/>
  <c r="CS11" i="9"/>
  <c r="CP11" i="9"/>
  <c r="CM11" i="9"/>
  <c r="CJ11" i="9"/>
  <c r="CG11" i="9"/>
  <c r="CD11" i="9"/>
  <c r="CA11" i="9"/>
  <c r="BX11" i="9"/>
  <c r="BU11" i="9"/>
  <c r="BR11" i="9"/>
  <c r="BO11" i="9"/>
  <c r="BL11" i="9"/>
  <c r="BI11" i="9"/>
  <c r="BF11" i="9"/>
  <c r="BC11" i="9"/>
  <c r="AZ11" i="9"/>
  <c r="AX11" i="9"/>
  <c r="AW11" i="9"/>
  <c r="AT11" i="9"/>
  <c r="AQ11" i="9"/>
  <c r="AN11" i="9"/>
  <c r="AK11" i="9"/>
  <c r="AH11" i="9"/>
  <c r="AE11" i="9"/>
  <c r="AB11" i="9"/>
  <c r="Y11" i="9"/>
  <c r="V11" i="9"/>
  <c r="S11" i="9"/>
  <c r="P11" i="9"/>
  <c r="M11" i="9"/>
  <c r="J11" i="9"/>
  <c r="FP10" i="9"/>
  <c r="FJ10" i="9"/>
  <c r="FG10" i="9"/>
  <c r="FD10" i="9"/>
  <c r="FA10" i="9"/>
  <c r="EX10" i="9"/>
  <c r="EU10" i="9"/>
  <c r="ER10" i="9"/>
  <c r="EO10" i="9"/>
  <c r="EL10" i="9"/>
  <c r="EI10" i="9"/>
  <c r="EF10" i="9"/>
  <c r="EC10" i="9"/>
  <c r="DZ10" i="9"/>
  <c r="DW10" i="9"/>
  <c r="DT10" i="9"/>
  <c r="DQ10" i="9"/>
  <c r="DN10" i="9"/>
  <c r="DK10" i="9"/>
  <c r="DH10" i="9"/>
  <c r="DE10" i="9"/>
  <c r="DB10" i="9"/>
  <c r="CY10" i="9"/>
  <c r="CV10" i="9"/>
  <c r="CS10" i="9"/>
  <c r="CP10" i="9"/>
  <c r="CM10" i="9"/>
  <c r="CJ10" i="9"/>
  <c r="CG10" i="9"/>
  <c r="CD10" i="9"/>
  <c r="CA10" i="9"/>
  <c r="BX10" i="9"/>
  <c r="BU10" i="9"/>
  <c r="BR10" i="9"/>
  <c r="BO10" i="9"/>
  <c r="BL10" i="9"/>
  <c r="BI10" i="9"/>
  <c r="BF10" i="9"/>
  <c r="BC10" i="9"/>
  <c r="AZ10" i="9"/>
  <c r="AX10" i="9"/>
  <c r="AW10" i="9"/>
  <c r="AT10" i="9"/>
  <c r="AQ10" i="9"/>
  <c r="AN10" i="9"/>
  <c r="AK10" i="9"/>
  <c r="AH10" i="9"/>
  <c r="AE10" i="9"/>
  <c r="AB10" i="9"/>
  <c r="Y10" i="9"/>
  <c r="V10" i="9"/>
  <c r="S10" i="9"/>
  <c r="P10" i="9"/>
  <c r="M10" i="9"/>
  <c r="J10" i="9"/>
  <c r="FP9" i="9"/>
  <c r="FJ9" i="9"/>
  <c r="FG9" i="9"/>
  <c r="FD9" i="9"/>
  <c r="FA9" i="9"/>
  <c r="EX9" i="9"/>
  <c r="EU9" i="9"/>
  <c r="ER9" i="9"/>
  <c r="EO9" i="9"/>
  <c r="EL9" i="9"/>
  <c r="EI9" i="9"/>
  <c r="EF9" i="9"/>
  <c r="EC9" i="9"/>
  <c r="DZ9" i="9"/>
  <c r="DW9" i="9"/>
  <c r="DT9" i="9"/>
  <c r="DQ9" i="9"/>
  <c r="DN9" i="9"/>
  <c r="DK9" i="9"/>
  <c r="DH9" i="9"/>
  <c r="DE9" i="9"/>
  <c r="DB9" i="9"/>
  <c r="CY9" i="9"/>
  <c r="CV9" i="9"/>
  <c r="CS9" i="9"/>
  <c r="CP9" i="9"/>
  <c r="CM9" i="9"/>
  <c r="CJ9" i="9"/>
  <c r="CG9" i="9"/>
  <c r="CD9" i="9"/>
  <c r="CA9" i="9"/>
  <c r="BX9" i="9"/>
  <c r="BU9" i="9"/>
  <c r="BR9" i="9"/>
  <c r="BO9" i="9"/>
  <c r="BL9" i="9"/>
  <c r="BI9" i="9"/>
  <c r="BF9" i="9"/>
  <c r="BC9" i="9"/>
  <c r="AZ9" i="9"/>
  <c r="AX9" i="9"/>
  <c r="AW9" i="9"/>
  <c r="AT9" i="9"/>
  <c r="AQ9" i="9"/>
  <c r="AN9" i="9"/>
  <c r="AK9" i="9"/>
  <c r="AH9" i="9"/>
  <c r="AE9" i="9"/>
  <c r="AB9" i="9"/>
  <c r="Y9" i="9"/>
  <c r="V9" i="9"/>
  <c r="S9" i="9"/>
  <c r="P9" i="9"/>
  <c r="M9" i="9"/>
  <c r="J9" i="9"/>
  <c r="FP8" i="9"/>
  <c r="FJ8" i="9"/>
  <c r="FG8" i="9"/>
  <c r="FD8" i="9"/>
  <c r="FA8" i="9"/>
  <c r="EX8" i="9"/>
  <c r="EU8" i="9"/>
  <c r="ER8" i="9"/>
  <c r="EO8" i="9"/>
  <c r="EL8" i="9"/>
  <c r="EI8" i="9"/>
  <c r="EF8" i="9"/>
  <c r="EC8" i="9"/>
  <c r="DZ8" i="9"/>
  <c r="DW8" i="9"/>
  <c r="DT8" i="9"/>
  <c r="DQ8" i="9"/>
  <c r="DN8" i="9"/>
  <c r="DK8" i="9"/>
  <c r="DH8" i="9"/>
  <c r="DE8" i="9"/>
  <c r="DB8" i="9"/>
  <c r="CY8" i="9"/>
  <c r="CV8" i="9"/>
  <c r="CS8" i="9"/>
  <c r="CP8" i="9"/>
  <c r="CM8" i="9"/>
  <c r="CJ8" i="9"/>
  <c r="CG8" i="9"/>
  <c r="CD8" i="9"/>
  <c r="CA8" i="9"/>
  <c r="BX8" i="9"/>
  <c r="BU8" i="9"/>
  <c r="BR8" i="9"/>
  <c r="BO8" i="9"/>
  <c r="BL8" i="9"/>
  <c r="BI8" i="9"/>
  <c r="BF8" i="9"/>
  <c r="BC8" i="9"/>
  <c r="AZ8" i="9"/>
  <c r="AX8" i="9"/>
  <c r="AW8" i="9"/>
  <c r="AT8" i="9"/>
  <c r="AQ8" i="9"/>
  <c r="AN8" i="9"/>
  <c r="AK8" i="9"/>
  <c r="AH8" i="9"/>
  <c r="AE8" i="9"/>
  <c r="AB8" i="9"/>
  <c r="Y8" i="9"/>
  <c r="V8" i="9"/>
  <c r="S8" i="9"/>
  <c r="P8" i="9"/>
  <c r="M8" i="9"/>
  <c r="J8" i="9"/>
  <c r="FP7" i="9"/>
  <c r="FJ7" i="9"/>
  <c r="FG7" i="9"/>
  <c r="FD7" i="9"/>
  <c r="FA7" i="9"/>
  <c r="EX7" i="9"/>
  <c r="EU7" i="9"/>
  <c r="ER7" i="9"/>
  <c r="EO7" i="9"/>
  <c r="EL7" i="9"/>
  <c r="EI7" i="9"/>
  <c r="EF7" i="9"/>
  <c r="EC7" i="9"/>
  <c r="DZ7" i="9"/>
  <c r="DW7" i="9"/>
  <c r="DT7" i="9"/>
  <c r="DQ7" i="9"/>
  <c r="DN7" i="9"/>
  <c r="DK7" i="9"/>
  <c r="DH7" i="9"/>
  <c r="DE7" i="9"/>
  <c r="DB7" i="9"/>
  <c r="CY7" i="9"/>
  <c r="CV7" i="9"/>
  <c r="CS7" i="9"/>
  <c r="CP7" i="9"/>
  <c r="CM7" i="9"/>
  <c r="CJ7" i="9"/>
  <c r="CG7" i="9"/>
  <c r="CD7" i="9"/>
  <c r="CA7" i="9"/>
  <c r="BX7" i="9"/>
  <c r="BU7" i="9"/>
  <c r="BR7" i="9"/>
  <c r="BO7" i="9"/>
  <c r="BL7" i="9"/>
  <c r="BI7" i="9"/>
  <c r="BF7" i="9"/>
  <c r="BC7" i="9"/>
  <c r="AZ7" i="9"/>
  <c r="AW7" i="9"/>
  <c r="AT7" i="9"/>
  <c r="AQ7" i="9"/>
  <c r="AN7" i="9"/>
  <c r="AK7" i="9"/>
  <c r="AH7" i="9"/>
  <c r="AE7" i="9"/>
  <c r="AB7" i="9"/>
  <c r="Y7" i="9"/>
  <c r="V7" i="9"/>
  <c r="S7" i="9"/>
  <c r="P7" i="9"/>
  <c r="M7" i="9"/>
  <c r="J7" i="9"/>
  <c r="FP6" i="9"/>
  <c r="FM6" i="9"/>
  <c r="FJ6" i="9"/>
  <c r="FG6" i="9"/>
  <c r="FD6" i="9"/>
  <c r="FA6" i="9"/>
  <c r="EX6" i="9"/>
  <c r="EU6" i="9"/>
  <c r="ER6" i="9"/>
  <c r="EO6" i="9"/>
  <c r="EL6" i="9"/>
  <c r="EI6" i="9"/>
  <c r="EF6" i="9"/>
  <c r="EC6" i="9"/>
  <c r="DZ6" i="9"/>
  <c r="DW6" i="9"/>
  <c r="DT6" i="9"/>
  <c r="DQ6" i="9"/>
  <c r="DN6" i="9"/>
  <c r="DK6" i="9"/>
  <c r="DH6" i="9"/>
  <c r="DE6" i="9"/>
  <c r="DB6" i="9"/>
  <c r="CY6" i="9"/>
  <c r="CV6" i="9"/>
  <c r="CS6" i="9"/>
  <c r="CP6" i="9"/>
  <c r="CM6" i="9"/>
  <c r="CJ6" i="9"/>
  <c r="CG6" i="9"/>
  <c r="CD6" i="9"/>
  <c r="CA6" i="9"/>
  <c r="BX6" i="9"/>
  <c r="BU6" i="9"/>
  <c r="BR6" i="9"/>
  <c r="BO6" i="9"/>
  <c r="BL6" i="9"/>
  <c r="BI6" i="9"/>
  <c r="BF6" i="9"/>
  <c r="BC6" i="9"/>
  <c r="AZ6" i="9"/>
  <c r="AW6" i="9"/>
  <c r="AT6" i="9"/>
  <c r="AQ6" i="9"/>
  <c r="AN6" i="9"/>
  <c r="AK6" i="9"/>
  <c r="AH6" i="9"/>
  <c r="AE6" i="9"/>
  <c r="AB6" i="9"/>
  <c r="Y6" i="9"/>
  <c r="V6" i="9"/>
  <c r="S6" i="9"/>
  <c r="P6" i="9"/>
  <c r="M6" i="9"/>
  <c r="B5" i="9" s="1"/>
  <c r="J6" i="9"/>
  <c r="FP5" i="9"/>
  <c r="FM5" i="9"/>
  <c r="FJ5" i="9"/>
  <c r="FG5" i="9"/>
  <c r="FD5" i="9"/>
  <c r="FA5" i="9"/>
  <c r="EX5" i="9"/>
  <c r="EU5" i="9"/>
  <c r="ER5" i="9"/>
  <c r="EO5" i="9"/>
  <c r="EL5" i="9"/>
  <c r="EI5" i="9"/>
  <c r="EF5" i="9"/>
  <c r="EC5" i="9"/>
  <c r="DZ5" i="9"/>
  <c r="DW5" i="9"/>
  <c r="DT5" i="9"/>
  <c r="DQ5" i="9"/>
  <c r="DN5" i="9"/>
  <c r="DK5" i="9"/>
  <c r="DH5" i="9"/>
  <c r="DE5" i="9"/>
  <c r="DB5" i="9"/>
  <c r="CY5" i="9"/>
  <c r="CV5" i="9"/>
  <c r="CS5" i="9"/>
  <c r="CP5" i="9"/>
  <c r="CM5" i="9"/>
  <c r="CJ5" i="9"/>
  <c r="CG5" i="9"/>
  <c r="CD5" i="9"/>
  <c r="CA5" i="9"/>
  <c r="BX5" i="9"/>
  <c r="BU5" i="9"/>
  <c r="BR5" i="9"/>
  <c r="BO5" i="9"/>
  <c r="BL5" i="9"/>
  <c r="BI5" i="9"/>
  <c r="BF5" i="9"/>
  <c r="BC5" i="9"/>
  <c r="AZ5" i="9"/>
  <c r="AW5" i="9"/>
  <c r="AT5" i="9"/>
  <c r="AQ5" i="9"/>
  <c r="AN5" i="9"/>
  <c r="AK5" i="9"/>
  <c r="AH5" i="9"/>
  <c r="AE5" i="9"/>
  <c r="AB5" i="9"/>
  <c r="Y5" i="9"/>
  <c r="V5" i="9"/>
  <c r="S5" i="9"/>
  <c r="P5" i="9"/>
  <c r="M5" i="9"/>
  <c r="J5" i="9"/>
  <c r="FP4" i="9"/>
  <c r="FM4" i="9"/>
  <c r="FJ4" i="9"/>
  <c r="FG4" i="9"/>
  <c r="FD4" i="9"/>
  <c r="FA4" i="9"/>
  <c r="EX4" i="9"/>
  <c r="EU4" i="9"/>
  <c r="ER4" i="9"/>
  <c r="EO4" i="9"/>
  <c r="EL4" i="9"/>
  <c r="EI4" i="9"/>
  <c r="EF4" i="9"/>
  <c r="EC4" i="9"/>
  <c r="DZ4" i="9"/>
  <c r="DW4" i="9"/>
  <c r="DT4" i="9"/>
  <c r="DQ4" i="9"/>
  <c r="DN4" i="9"/>
  <c r="DK4" i="9"/>
  <c r="DH4" i="9"/>
  <c r="DE4" i="9"/>
  <c r="DB4" i="9"/>
  <c r="CY4" i="9"/>
  <c r="CV4" i="9"/>
  <c r="CS4" i="9"/>
  <c r="CP4" i="9"/>
  <c r="CM4" i="9"/>
  <c r="CJ4" i="9"/>
  <c r="CG4" i="9"/>
  <c r="CD4" i="9"/>
  <c r="CA4" i="9"/>
  <c r="BX4" i="9"/>
  <c r="BU4" i="9"/>
  <c r="BR4" i="9"/>
  <c r="BO4" i="9"/>
  <c r="BL4" i="9"/>
  <c r="BI4" i="9"/>
  <c r="BF4" i="9"/>
  <c r="BC4" i="9"/>
  <c r="AZ4" i="9"/>
  <c r="AW4" i="9"/>
  <c r="AT4" i="9"/>
  <c r="AQ4" i="9"/>
  <c r="AN4" i="9"/>
  <c r="AK4" i="9"/>
  <c r="AH4" i="9"/>
  <c r="AE4" i="9"/>
  <c r="AB4" i="9"/>
  <c r="Y4" i="9"/>
  <c r="V4" i="9"/>
  <c r="S4" i="9"/>
  <c r="P4" i="9"/>
  <c r="M4" i="9"/>
  <c r="J4" i="9"/>
  <c r="FP3" i="9"/>
  <c r="FM3" i="9"/>
  <c r="FJ3" i="9"/>
  <c r="FG3" i="9"/>
  <c r="FD3" i="9"/>
  <c r="FA3" i="9"/>
  <c r="EX3" i="9"/>
  <c r="EU3" i="9"/>
  <c r="ER3" i="9"/>
  <c r="EO3" i="9"/>
  <c r="EL3" i="9"/>
  <c r="EI3" i="9"/>
  <c r="EF3" i="9"/>
  <c r="EC3" i="9"/>
  <c r="DZ3" i="9"/>
  <c r="DW3" i="9"/>
  <c r="DT3" i="9"/>
  <c r="DQ3" i="9"/>
  <c r="DN3" i="9"/>
  <c r="DK3" i="9"/>
  <c r="DH3" i="9"/>
  <c r="DE3" i="9"/>
  <c r="DB3" i="9"/>
  <c r="CY3" i="9"/>
  <c r="CV3" i="9"/>
  <c r="CS3" i="9"/>
  <c r="CP3" i="9"/>
  <c r="CM3" i="9"/>
  <c r="CJ3" i="9"/>
  <c r="CG3" i="9"/>
  <c r="CD3" i="9"/>
  <c r="CA3" i="9"/>
  <c r="BX3" i="9"/>
  <c r="BU3" i="9"/>
  <c r="BR3" i="9"/>
  <c r="BO3" i="9"/>
  <c r="BL3" i="9"/>
  <c r="BI3" i="9"/>
  <c r="BF3" i="9"/>
  <c r="BC3" i="9"/>
  <c r="AZ3" i="9"/>
  <c r="AW3" i="9"/>
  <c r="AT3" i="9"/>
  <c r="AQ3" i="9"/>
  <c r="AN3" i="9"/>
  <c r="AK3" i="9"/>
  <c r="AH3" i="9"/>
  <c r="AE3" i="9"/>
  <c r="AB3" i="9"/>
  <c r="Y3" i="9"/>
  <c r="V3" i="9"/>
  <c r="S3" i="9"/>
  <c r="Q3" i="9"/>
  <c r="P3" i="9"/>
  <c r="M3" i="9"/>
  <c r="J3" i="9"/>
  <c r="FP2" i="9"/>
  <c r="FM2" i="9"/>
  <c r="FJ2" i="9"/>
  <c r="FG2" i="9"/>
  <c r="FD2" i="9"/>
  <c r="FA2" i="9"/>
  <c r="EX2" i="9"/>
  <c r="EU2" i="9"/>
  <c r="ER2" i="9"/>
  <c r="EO2" i="9"/>
  <c r="EL2" i="9"/>
  <c r="EI2" i="9"/>
  <c r="H19" i="2" s="1"/>
  <c r="EF2" i="9"/>
  <c r="EC2" i="9"/>
  <c r="H21" i="2" s="1"/>
  <c r="DZ2" i="9"/>
  <c r="DW2" i="9"/>
  <c r="DT2" i="9"/>
  <c r="DQ2" i="9"/>
  <c r="H25" i="2" s="1"/>
  <c r="DN2" i="9"/>
  <c r="DK2" i="9"/>
  <c r="H27" i="2" s="1"/>
  <c r="DH2" i="9"/>
  <c r="DE2" i="9"/>
  <c r="H29" i="2" s="1"/>
  <c r="DB2" i="9"/>
  <c r="CY2" i="9"/>
  <c r="H31" i="2" s="1"/>
  <c r="CV2" i="9"/>
  <c r="CS2" i="9"/>
  <c r="H33" i="2" s="1"/>
  <c r="CP2" i="9"/>
  <c r="H34" i="2" s="1"/>
  <c r="CM2" i="9"/>
  <c r="CJ2" i="9"/>
  <c r="H36" i="2" s="1"/>
  <c r="CG2" i="9"/>
  <c r="H37" i="2" s="1"/>
  <c r="CD2" i="9"/>
  <c r="CA2" i="9"/>
  <c r="H39" i="2" s="1"/>
  <c r="BX2" i="9"/>
  <c r="BU2" i="9"/>
  <c r="H41" i="2" s="1"/>
  <c r="BR2" i="9"/>
  <c r="BO2" i="9"/>
  <c r="H43" i="2" s="1"/>
  <c r="BL2" i="9"/>
  <c r="H44" i="2" s="1"/>
  <c r="BI2" i="9"/>
  <c r="BF2" i="9"/>
  <c r="BC2" i="9"/>
  <c r="F29" i="8" s="1"/>
  <c r="AZ2" i="9"/>
  <c r="AW2" i="9"/>
  <c r="H49" i="2" s="1"/>
  <c r="AT2" i="9"/>
  <c r="H50" i="2" s="1"/>
  <c r="AQ2" i="9"/>
  <c r="H51" i="2" s="1"/>
  <c r="AN2" i="9"/>
  <c r="AK2" i="9"/>
  <c r="H53" i="2" s="1"/>
  <c r="AH2" i="9"/>
  <c r="AE2" i="9"/>
  <c r="H55" i="2" s="1"/>
  <c r="AB2" i="9"/>
  <c r="Y2" i="9"/>
  <c r="V2" i="9"/>
  <c r="S2" i="9"/>
  <c r="H59" i="2" s="1"/>
  <c r="P2" i="9"/>
  <c r="F47" i="8" s="1"/>
  <c r="M2" i="9"/>
  <c r="H61" i="2" s="1"/>
  <c r="J2" i="9"/>
  <c r="G2" i="9"/>
  <c r="FN1" i="9"/>
  <c r="FK1" i="9"/>
  <c r="FH1" i="9"/>
  <c r="FE1" i="9"/>
  <c r="FB1" i="9"/>
  <c r="EY1" i="9"/>
  <c r="EV1" i="9"/>
  <c r="ES1" i="9"/>
  <c r="EP1" i="9"/>
  <c r="EM1" i="9"/>
  <c r="EJ1" i="9"/>
  <c r="EG1" i="9"/>
  <c r="ED1" i="9"/>
  <c r="EA1" i="9"/>
  <c r="DX1" i="9"/>
  <c r="DU1" i="9"/>
  <c r="DR1" i="9"/>
  <c r="DO1" i="9"/>
  <c r="DL1" i="9"/>
  <c r="DI1" i="9"/>
  <c r="DF1" i="9"/>
  <c r="DC1" i="9"/>
  <c r="CZ1" i="9"/>
  <c r="CW1" i="9"/>
  <c r="CT1" i="9"/>
  <c r="CQ1" i="9"/>
  <c r="CN1" i="9"/>
  <c r="CK1" i="9"/>
  <c r="CH1" i="9"/>
  <c r="CE1" i="9"/>
  <c r="CB1" i="9"/>
  <c r="BY1" i="9"/>
  <c r="BV1" i="9"/>
  <c r="BS1" i="9"/>
  <c r="BP1" i="9"/>
  <c r="BM1" i="9"/>
  <c r="BJ1" i="9"/>
  <c r="BG1" i="9"/>
  <c r="BD1" i="9"/>
  <c r="BA1" i="9"/>
  <c r="AX1" i="9"/>
  <c r="AU1" i="9"/>
  <c r="AR1" i="9"/>
  <c r="AO1" i="9"/>
  <c r="AL1" i="9"/>
  <c r="AI1" i="9"/>
  <c r="AF1" i="9"/>
  <c r="AC1" i="9"/>
  <c r="Z1" i="9"/>
  <c r="W1" i="9"/>
  <c r="T1" i="9"/>
  <c r="Q1" i="9"/>
  <c r="N1" i="9"/>
  <c r="K1" i="9"/>
  <c r="H1" i="9"/>
  <c r="E1" i="9"/>
  <c r="N50" i="8"/>
  <c r="M50" i="8"/>
  <c r="L50" i="8"/>
  <c r="K50" i="8"/>
  <c r="J50" i="8"/>
  <c r="I50" i="8"/>
  <c r="H50" i="8"/>
  <c r="G50" i="8"/>
  <c r="E50" i="8"/>
  <c r="C50" i="8"/>
  <c r="B50" i="8"/>
  <c r="A50" i="8"/>
  <c r="M49" i="8"/>
  <c r="K49" i="8"/>
  <c r="J49" i="8"/>
  <c r="I49" i="8"/>
  <c r="H49" i="8"/>
  <c r="G49" i="8"/>
  <c r="F49" i="8"/>
  <c r="E49" i="8"/>
  <c r="D49" i="8"/>
  <c r="C49" i="8"/>
  <c r="B49" i="8"/>
  <c r="A49" i="8"/>
  <c r="M48" i="8"/>
  <c r="L48" i="8"/>
  <c r="K48" i="8"/>
  <c r="I48" i="8"/>
  <c r="G48" i="8"/>
  <c r="E48" i="8"/>
  <c r="D48" i="8"/>
  <c r="C48" i="8"/>
  <c r="B48" i="8"/>
  <c r="A48" i="8"/>
  <c r="M47" i="8"/>
  <c r="L47" i="8"/>
  <c r="K47" i="8"/>
  <c r="J47" i="8"/>
  <c r="I47" i="8"/>
  <c r="G47" i="8"/>
  <c r="E47" i="8"/>
  <c r="C47" i="8"/>
  <c r="B47" i="8"/>
  <c r="A47" i="8"/>
  <c r="M46" i="8"/>
  <c r="L46" i="8"/>
  <c r="K46" i="8"/>
  <c r="J46" i="8"/>
  <c r="I46" i="8"/>
  <c r="G46" i="8"/>
  <c r="F46" i="8"/>
  <c r="E46" i="8"/>
  <c r="C46" i="8"/>
  <c r="B46" i="8"/>
  <c r="A46" i="8"/>
  <c r="M45" i="8"/>
  <c r="K45" i="8"/>
  <c r="I45" i="8"/>
  <c r="H45" i="8"/>
  <c r="G45" i="8"/>
  <c r="F45" i="8"/>
  <c r="E45" i="8"/>
  <c r="D45" i="8"/>
  <c r="C45" i="8"/>
  <c r="B45" i="8"/>
  <c r="A45" i="8"/>
  <c r="M44" i="8"/>
  <c r="L44" i="8"/>
  <c r="K44" i="8"/>
  <c r="I44" i="8"/>
  <c r="G44" i="8"/>
  <c r="E44" i="8"/>
  <c r="C44" i="8"/>
  <c r="B44" i="8"/>
  <c r="A44" i="8"/>
  <c r="M43" i="8"/>
  <c r="L43" i="8"/>
  <c r="K43" i="8"/>
  <c r="I43" i="8"/>
  <c r="H43" i="8"/>
  <c r="G43" i="8"/>
  <c r="E43" i="8"/>
  <c r="C43" i="8"/>
  <c r="B43" i="8"/>
  <c r="A43" i="8"/>
  <c r="L42" i="8"/>
  <c r="K42" i="8"/>
  <c r="M41" i="8"/>
  <c r="K41" i="8"/>
  <c r="J41" i="8"/>
  <c r="I41" i="8"/>
  <c r="G41" i="8"/>
  <c r="F41" i="8"/>
  <c r="E41" i="8"/>
  <c r="C41" i="8"/>
  <c r="B41" i="8"/>
  <c r="A41" i="8"/>
  <c r="K40" i="8"/>
  <c r="N39" i="8"/>
  <c r="M39" i="8"/>
  <c r="L39" i="8"/>
  <c r="K39" i="8"/>
  <c r="J39" i="8"/>
  <c r="I39" i="8"/>
  <c r="H39" i="8"/>
  <c r="G39" i="8"/>
  <c r="E39" i="8"/>
  <c r="B39" i="8"/>
  <c r="A39" i="8"/>
  <c r="M38" i="8"/>
  <c r="L38" i="8"/>
  <c r="K38" i="8"/>
  <c r="I38" i="8"/>
  <c r="G38" i="8"/>
  <c r="F38" i="8"/>
  <c r="E38" i="8"/>
  <c r="B38" i="8"/>
  <c r="A38" i="8"/>
  <c r="N37" i="8"/>
  <c r="M37" i="8"/>
  <c r="L37" i="8"/>
  <c r="K37" i="8"/>
  <c r="I37" i="8"/>
  <c r="H37" i="8"/>
  <c r="G37" i="8"/>
  <c r="F37" i="8"/>
  <c r="E37" i="8"/>
  <c r="B37" i="8"/>
  <c r="A37" i="8"/>
  <c r="M36" i="8"/>
  <c r="K36" i="8"/>
  <c r="J36" i="8"/>
  <c r="I36" i="8"/>
  <c r="H36" i="8"/>
  <c r="G36" i="8"/>
  <c r="F36" i="8"/>
  <c r="E36" i="8"/>
  <c r="B36" i="8"/>
  <c r="A36" i="8"/>
  <c r="M35" i="8"/>
  <c r="L35" i="8"/>
  <c r="K35" i="8"/>
  <c r="J35" i="8"/>
  <c r="I35" i="8"/>
  <c r="H35" i="8"/>
  <c r="G35" i="8"/>
  <c r="F35" i="8"/>
  <c r="E35" i="8"/>
  <c r="B35" i="8"/>
  <c r="A35" i="8"/>
  <c r="L34" i="8"/>
  <c r="K34" i="8"/>
  <c r="M33" i="8"/>
  <c r="K33" i="8"/>
  <c r="I33" i="8"/>
  <c r="G33" i="8"/>
  <c r="F33" i="8"/>
  <c r="E33" i="8"/>
  <c r="B33" i="8"/>
  <c r="A33" i="8"/>
  <c r="L32" i="8"/>
  <c r="K32" i="8"/>
  <c r="M31" i="8"/>
  <c r="K31" i="8"/>
  <c r="J31" i="8"/>
  <c r="I31" i="8"/>
  <c r="H31" i="8"/>
  <c r="G31" i="8"/>
  <c r="F31" i="8"/>
  <c r="E31" i="8"/>
  <c r="B31" i="8"/>
  <c r="A31" i="8"/>
  <c r="L30" i="8"/>
  <c r="K30" i="8"/>
  <c r="N29" i="8"/>
  <c r="M29" i="8"/>
  <c r="L29" i="8"/>
  <c r="K29" i="8"/>
  <c r="J29" i="8"/>
  <c r="I29" i="8"/>
  <c r="H29" i="8"/>
  <c r="G29" i="8"/>
  <c r="E29" i="8"/>
  <c r="B29" i="8"/>
  <c r="A29" i="8"/>
  <c r="L28" i="8"/>
  <c r="K28" i="8"/>
  <c r="L27" i="8"/>
  <c r="K27" i="8"/>
  <c r="M26" i="8"/>
  <c r="K26" i="8"/>
  <c r="I26" i="8"/>
  <c r="G26" i="8"/>
  <c r="F26" i="8"/>
  <c r="E26" i="8"/>
  <c r="B26" i="8"/>
  <c r="A26" i="8"/>
  <c r="K25" i="8"/>
  <c r="M24" i="8"/>
  <c r="L24" i="8"/>
  <c r="K24" i="8"/>
  <c r="I24" i="8"/>
  <c r="H24" i="8"/>
  <c r="G24" i="8"/>
  <c r="E24" i="8"/>
  <c r="B24" i="8"/>
  <c r="A24" i="8"/>
  <c r="K23" i="8"/>
  <c r="M22" i="8"/>
  <c r="L22" i="8"/>
  <c r="K22" i="8"/>
  <c r="I22" i="8"/>
  <c r="H22" i="8"/>
  <c r="G22" i="8"/>
  <c r="F22" i="8"/>
  <c r="E22" i="8"/>
  <c r="B22" i="8"/>
  <c r="A22" i="8"/>
  <c r="L21" i="8"/>
  <c r="K21" i="8"/>
  <c r="M20" i="8"/>
  <c r="L20" i="8"/>
  <c r="K20" i="8"/>
  <c r="J20" i="8"/>
  <c r="I20" i="8"/>
  <c r="H20" i="8"/>
  <c r="G20" i="8"/>
  <c r="F20" i="8"/>
  <c r="E20" i="8"/>
  <c r="B20" i="8"/>
  <c r="A20" i="8"/>
  <c r="M19" i="8"/>
  <c r="K19" i="8"/>
  <c r="I19" i="8"/>
  <c r="F19" i="8"/>
  <c r="E19" i="8"/>
  <c r="B19" i="8"/>
  <c r="A19" i="8"/>
  <c r="L18" i="8"/>
  <c r="K18" i="8"/>
  <c r="N17" i="8"/>
  <c r="M17" i="8"/>
  <c r="K17" i="8"/>
  <c r="I17" i="8"/>
  <c r="G17" i="8"/>
  <c r="F17" i="8"/>
  <c r="E17" i="8"/>
  <c r="B17" i="8"/>
  <c r="A17" i="8"/>
  <c r="K16" i="8"/>
  <c r="M15" i="8"/>
  <c r="L15" i="8"/>
  <c r="K15" i="8"/>
  <c r="J15" i="8"/>
  <c r="I15" i="8"/>
  <c r="F15" i="8"/>
  <c r="E15" i="8"/>
  <c r="B15" i="8"/>
  <c r="A15" i="8"/>
  <c r="L14" i="8"/>
  <c r="K14" i="8"/>
  <c r="M13" i="8"/>
  <c r="L13" i="8"/>
  <c r="K13" i="8"/>
  <c r="J13" i="8"/>
  <c r="I13" i="8"/>
  <c r="F13" i="8"/>
  <c r="E13" i="8"/>
  <c r="B13" i="8"/>
  <c r="A13" i="8"/>
  <c r="L12" i="8"/>
  <c r="K12" i="8"/>
  <c r="M11" i="8"/>
  <c r="K11" i="8"/>
  <c r="I11" i="8"/>
  <c r="F11" i="8"/>
  <c r="E11" i="8"/>
  <c r="B11" i="8"/>
  <c r="A11" i="8"/>
  <c r="N10" i="8"/>
  <c r="M10" i="8"/>
  <c r="L10" i="8"/>
  <c r="K10" i="8"/>
  <c r="I10" i="8"/>
  <c r="F10" i="8"/>
  <c r="E10" i="8"/>
  <c r="B10" i="8"/>
  <c r="A10" i="8"/>
  <c r="M9" i="8"/>
  <c r="K9" i="8"/>
  <c r="J9" i="8"/>
  <c r="I9" i="8"/>
  <c r="E9" i="8"/>
  <c r="B9" i="8"/>
  <c r="A9" i="8"/>
  <c r="L8" i="8"/>
  <c r="K8" i="8"/>
  <c r="M7" i="8"/>
  <c r="K7" i="8"/>
  <c r="J7" i="8"/>
  <c r="I7" i="8"/>
  <c r="E7" i="8"/>
  <c r="B7" i="8"/>
  <c r="A7" i="8"/>
  <c r="L6" i="8"/>
  <c r="K6" i="8"/>
  <c r="M5" i="8"/>
  <c r="L5" i="8"/>
  <c r="K5" i="8"/>
  <c r="I5" i="8"/>
  <c r="F5" i="8"/>
  <c r="E5" i="8"/>
  <c r="B5" i="8"/>
  <c r="A5" i="8"/>
  <c r="L4" i="8"/>
  <c r="K4" i="8"/>
  <c r="M3" i="8"/>
  <c r="K3" i="8"/>
  <c r="I3" i="8"/>
  <c r="F3" i="8"/>
  <c r="E3" i="8"/>
  <c r="B3" i="8"/>
  <c r="A3" i="8"/>
  <c r="D92" i="7"/>
  <c r="D91" i="7"/>
  <c r="D90" i="7"/>
  <c r="D89" i="7"/>
  <c r="D88" i="7"/>
  <c r="D87" i="7"/>
  <c r="D86" i="7"/>
  <c r="D83" i="7"/>
  <c r="D82" i="7"/>
  <c r="D81" i="7"/>
  <c r="D80" i="7"/>
  <c r="D79" i="7"/>
  <c r="D78" i="7"/>
  <c r="G77" i="7"/>
  <c r="D77" i="7"/>
  <c r="G76" i="7"/>
  <c r="I73" i="7"/>
  <c r="H73" i="7"/>
  <c r="B73" i="7"/>
  <c r="A73" i="7"/>
  <c r="I72" i="7"/>
  <c r="H72" i="7"/>
  <c r="F72" i="7"/>
  <c r="L49" i="8" s="1"/>
  <c r="B72" i="7"/>
  <c r="A72" i="7"/>
  <c r="I71" i="7"/>
  <c r="H71" i="7"/>
  <c r="F71" i="7"/>
  <c r="B71" i="7"/>
  <c r="A71" i="7"/>
  <c r="I70" i="7"/>
  <c r="H70" i="7"/>
  <c r="F70" i="7"/>
  <c r="B70" i="7"/>
  <c r="A70" i="7"/>
  <c r="I69" i="7"/>
  <c r="H69" i="7"/>
  <c r="F69" i="7"/>
  <c r="B69" i="7"/>
  <c r="A69" i="7"/>
  <c r="I68" i="7"/>
  <c r="H68" i="7"/>
  <c r="F68" i="7"/>
  <c r="L45" i="8" s="1"/>
  <c r="B68" i="7"/>
  <c r="A68" i="7"/>
  <c r="I67" i="7"/>
  <c r="H67" i="7"/>
  <c r="F67" i="7"/>
  <c r="B67" i="7"/>
  <c r="A67" i="7"/>
  <c r="I66" i="7"/>
  <c r="H66" i="7"/>
  <c r="F66" i="7"/>
  <c r="B66" i="7"/>
  <c r="A66" i="7"/>
  <c r="F65" i="7"/>
  <c r="A65" i="7"/>
  <c r="I64" i="7"/>
  <c r="H64" i="7"/>
  <c r="G64" i="7"/>
  <c r="F64" i="7"/>
  <c r="L41" i="8" s="1"/>
  <c r="B64" i="7"/>
  <c r="A64" i="7"/>
  <c r="F63" i="7"/>
  <c r="L40" i="8" s="1"/>
  <c r="A63" i="7"/>
  <c r="I62" i="7"/>
  <c r="H62" i="7"/>
  <c r="G62" i="7"/>
  <c r="F62" i="7"/>
  <c r="B62" i="7"/>
  <c r="A62" i="7"/>
  <c r="I61" i="7"/>
  <c r="H61" i="7"/>
  <c r="F61" i="7"/>
  <c r="B61" i="7"/>
  <c r="A61" i="7"/>
  <c r="I60" i="7"/>
  <c r="H60" i="7"/>
  <c r="F60" i="7"/>
  <c r="B60" i="7"/>
  <c r="A60" i="7"/>
  <c r="I59" i="7"/>
  <c r="H59" i="7"/>
  <c r="F59" i="7"/>
  <c r="L36" i="8" s="1"/>
  <c r="B59" i="7"/>
  <c r="A59" i="7"/>
  <c r="I58" i="7"/>
  <c r="H58" i="7"/>
  <c r="F58" i="7"/>
  <c r="B58" i="7"/>
  <c r="A58" i="7"/>
  <c r="F57" i="7"/>
  <c r="A57" i="7"/>
  <c r="I56" i="7"/>
  <c r="H56" i="7"/>
  <c r="G56" i="7"/>
  <c r="F56" i="7"/>
  <c r="L33" i="8" s="1"/>
  <c r="B56" i="7"/>
  <c r="A56" i="7"/>
  <c r="F55" i="7"/>
  <c r="A55" i="7"/>
  <c r="I54" i="7"/>
  <c r="H54" i="7"/>
  <c r="G54" i="7"/>
  <c r="F54" i="7"/>
  <c r="L31" i="8" s="1"/>
  <c r="B54" i="7"/>
  <c r="A54" i="7"/>
  <c r="F53" i="7"/>
  <c r="A53" i="7"/>
  <c r="I52" i="7"/>
  <c r="H52" i="7"/>
  <c r="G52" i="7"/>
  <c r="F52" i="7"/>
  <c r="B52" i="7"/>
  <c r="A52" i="7"/>
  <c r="G51" i="7"/>
  <c r="F51" i="7"/>
  <c r="A51" i="7"/>
  <c r="G50" i="7"/>
  <c r="F50" i="7"/>
  <c r="A50" i="7"/>
  <c r="I49" i="7"/>
  <c r="H49" i="7"/>
  <c r="F49" i="7"/>
  <c r="L26" i="8" s="1"/>
  <c r="B49" i="7"/>
  <c r="A49" i="7"/>
  <c r="F48" i="7"/>
  <c r="L25" i="8" s="1"/>
  <c r="A48" i="7"/>
  <c r="I47" i="7"/>
  <c r="H47" i="7"/>
  <c r="G47" i="7"/>
  <c r="F47" i="7"/>
  <c r="B47" i="7"/>
  <c r="A47" i="7"/>
  <c r="F46" i="7"/>
  <c r="L23" i="8" s="1"/>
  <c r="A46" i="7"/>
  <c r="I45" i="7"/>
  <c r="H45" i="7"/>
  <c r="G45" i="7"/>
  <c r="F45" i="7"/>
  <c r="B45" i="7"/>
  <c r="A45" i="7"/>
  <c r="F44" i="7"/>
  <c r="A44" i="7"/>
  <c r="I43" i="7"/>
  <c r="H43" i="7"/>
  <c r="G43" i="7"/>
  <c r="F43" i="7"/>
  <c r="B43" i="7"/>
  <c r="A43" i="7"/>
  <c r="I42" i="7"/>
  <c r="H42" i="7"/>
  <c r="F42" i="7"/>
  <c r="L19" i="8" s="1"/>
  <c r="B42" i="7"/>
  <c r="A42" i="7"/>
  <c r="F41" i="7"/>
  <c r="A41" i="7"/>
  <c r="I40" i="7"/>
  <c r="H40" i="7"/>
  <c r="G40" i="7"/>
  <c r="F40" i="7"/>
  <c r="L17" i="8" s="1"/>
  <c r="B40" i="7"/>
  <c r="A40" i="7"/>
  <c r="F39" i="7"/>
  <c r="G89" i="7" s="1"/>
  <c r="A39" i="7"/>
  <c r="I38" i="7"/>
  <c r="H38" i="7"/>
  <c r="G38" i="7"/>
  <c r="F38" i="7"/>
  <c r="B38" i="7"/>
  <c r="A38" i="7"/>
  <c r="F37" i="7"/>
  <c r="A37" i="7"/>
  <c r="I36" i="7"/>
  <c r="H36" i="7"/>
  <c r="G36" i="7"/>
  <c r="F36" i="7"/>
  <c r="B36" i="7"/>
  <c r="A36" i="7"/>
  <c r="F35" i="7"/>
  <c r="A35" i="7"/>
  <c r="I34" i="7"/>
  <c r="H34" i="7"/>
  <c r="G34" i="7"/>
  <c r="F34" i="7"/>
  <c r="L11" i="8" s="1"/>
  <c r="B34" i="7"/>
  <c r="A34" i="7"/>
  <c r="I33" i="7"/>
  <c r="H33" i="7"/>
  <c r="F33" i="7"/>
  <c r="B33" i="7"/>
  <c r="A33" i="7"/>
  <c r="I32" i="7"/>
  <c r="H32" i="7"/>
  <c r="F32" i="7"/>
  <c r="L9" i="8" s="1"/>
  <c r="B32" i="7"/>
  <c r="A32" i="7"/>
  <c r="F31" i="7"/>
  <c r="A31" i="7"/>
  <c r="I30" i="7"/>
  <c r="H30" i="7"/>
  <c r="G30" i="7"/>
  <c r="F30" i="7"/>
  <c r="L7" i="8" s="1"/>
  <c r="B30" i="7"/>
  <c r="A30" i="7"/>
  <c r="F29" i="7"/>
  <c r="A29" i="7"/>
  <c r="I28" i="7"/>
  <c r="H28" i="7"/>
  <c r="G28" i="7"/>
  <c r="F28" i="7"/>
  <c r="B28" i="7"/>
  <c r="A28" i="7"/>
  <c r="F27" i="7"/>
  <c r="A27" i="7"/>
  <c r="I26" i="7"/>
  <c r="H26" i="7"/>
  <c r="G26" i="7"/>
  <c r="F26" i="7"/>
  <c r="L3" i="8" s="1"/>
  <c r="B26" i="7"/>
  <c r="A26" i="7"/>
  <c r="F25" i="7"/>
  <c r="A25" i="7"/>
  <c r="I24" i="7"/>
  <c r="H24" i="7"/>
  <c r="G24" i="7"/>
  <c r="F24" i="7"/>
  <c r="B24" i="7"/>
  <c r="A24" i="7"/>
  <c r="I23" i="7"/>
  <c r="H23" i="7"/>
  <c r="F23" i="7"/>
  <c r="B23" i="7"/>
  <c r="A23" i="7"/>
  <c r="G22" i="7"/>
  <c r="F22" i="7"/>
  <c r="A22" i="7"/>
  <c r="G21" i="7"/>
  <c r="F21" i="7"/>
  <c r="A21" i="7"/>
  <c r="I20" i="7"/>
  <c r="H20" i="7"/>
  <c r="F20" i="7"/>
  <c r="B20" i="7"/>
  <c r="A20" i="7"/>
  <c r="F19" i="7"/>
  <c r="A19" i="7"/>
  <c r="I18" i="7"/>
  <c r="H18" i="7"/>
  <c r="G18" i="7"/>
  <c r="F18" i="7"/>
  <c r="B18" i="7"/>
  <c r="A18" i="7"/>
  <c r="F17" i="7"/>
  <c r="A17" i="7"/>
  <c r="I16" i="7"/>
  <c r="H16" i="7"/>
  <c r="G16" i="7"/>
  <c r="F16" i="7"/>
  <c r="B16" i="7"/>
  <c r="A16" i="7"/>
  <c r="F15" i="7"/>
  <c r="A15" i="7"/>
  <c r="I14" i="7"/>
  <c r="H14" i="7"/>
  <c r="G14" i="7"/>
  <c r="F14" i="7"/>
  <c r="B14" i="7"/>
  <c r="A14" i="7"/>
  <c r="I13" i="7"/>
  <c r="H13" i="7"/>
  <c r="F13" i="7"/>
  <c r="B13" i="7"/>
  <c r="A13" i="7"/>
  <c r="F12" i="7"/>
  <c r="A12" i="7"/>
  <c r="I11" i="7"/>
  <c r="H11" i="7"/>
  <c r="G11" i="7"/>
  <c r="F11" i="7"/>
  <c r="B11" i="7"/>
  <c r="A11" i="7"/>
  <c r="I10" i="7"/>
  <c r="H10" i="7"/>
  <c r="F10" i="7"/>
  <c r="B10" i="7"/>
  <c r="A10" i="7"/>
  <c r="I9" i="7"/>
  <c r="H9" i="7"/>
  <c r="F9" i="7"/>
  <c r="B9" i="7"/>
  <c r="A9" i="7"/>
  <c r="I8" i="7"/>
  <c r="H8" i="7"/>
  <c r="F8" i="7"/>
  <c r="B8" i="7"/>
  <c r="A8" i="7"/>
  <c r="I7" i="7"/>
  <c r="H7" i="7"/>
  <c r="F7" i="7"/>
  <c r="B7" i="7"/>
  <c r="A7" i="7"/>
  <c r="I6" i="7"/>
  <c r="H6" i="7"/>
  <c r="F6" i="7"/>
  <c r="B6" i="7"/>
  <c r="A6" i="7"/>
  <c r="F5" i="7"/>
  <c r="A5" i="7"/>
  <c r="I4" i="7"/>
  <c r="H4" i="7"/>
  <c r="G4" i="7"/>
  <c r="F4" i="7"/>
  <c r="B4" i="7"/>
  <c r="A4" i="7"/>
  <c r="I3" i="7"/>
  <c r="H3" i="7"/>
  <c r="F3" i="7"/>
  <c r="B3" i="7"/>
  <c r="A3" i="7"/>
  <c r="F33" i="6"/>
  <c r="E33" i="6"/>
  <c r="B33" i="6"/>
  <c r="A33" i="6"/>
  <c r="F32" i="6"/>
  <c r="E32" i="6"/>
  <c r="D32" i="6"/>
  <c r="B32" i="6"/>
  <c r="A32" i="6"/>
  <c r="F31" i="6"/>
  <c r="E31" i="6"/>
  <c r="D31" i="6"/>
  <c r="J48" i="8" s="1"/>
  <c r="B31" i="6"/>
  <c r="A31" i="6"/>
  <c r="F30" i="6"/>
  <c r="E30" i="6"/>
  <c r="D30" i="6"/>
  <c r="B30" i="6"/>
  <c r="A30" i="6"/>
  <c r="F29" i="6"/>
  <c r="E29" i="6"/>
  <c r="D29" i="6"/>
  <c r="B29" i="6"/>
  <c r="A29" i="6"/>
  <c r="F28" i="6"/>
  <c r="E28" i="6"/>
  <c r="D28" i="6"/>
  <c r="J45" i="8" s="1"/>
  <c r="B28" i="6"/>
  <c r="A28" i="6"/>
  <c r="F27" i="6"/>
  <c r="E27" i="6"/>
  <c r="D27" i="6"/>
  <c r="J44" i="8" s="1"/>
  <c r="B27" i="6"/>
  <c r="A27" i="6"/>
  <c r="F26" i="6"/>
  <c r="E26" i="6"/>
  <c r="D26" i="6"/>
  <c r="J43" i="8" s="1"/>
  <c r="B26" i="6"/>
  <c r="A26" i="6"/>
  <c r="F25" i="6"/>
  <c r="E25" i="6"/>
  <c r="D25" i="6"/>
  <c r="B25" i="6"/>
  <c r="A25" i="6"/>
  <c r="F24" i="6"/>
  <c r="E24" i="6"/>
  <c r="D24" i="6"/>
  <c r="B24" i="6"/>
  <c r="A24" i="6"/>
  <c r="F23" i="6"/>
  <c r="E23" i="6"/>
  <c r="D23" i="6"/>
  <c r="J38" i="8" s="1"/>
  <c r="B23" i="6"/>
  <c r="A23" i="6"/>
  <c r="F22" i="6"/>
  <c r="E22" i="6"/>
  <c r="D22" i="6"/>
  <c r="J37" i="8" s="1"/>
  <c r="B22" i="6"/>
  <c r="A22" i="6"/>
  <c r="F21" i="6"/>
  <c r="E21" i="6"/>
  <c r="D21" i="6"/>
  <c r="B21" i="6"/>
  <c r="A21" i="6"/>
  <c r="F20" i="6"/>
  <c r="E20" i="6"/>
  <c r="D20" i="6"/>
  <c r="B20" i="6"/>
  <c r="A20" i="6"/>
  <c r="F19" i="6"/>
  <c r="E19" i="6"/>
  <c r="D19" i="6"/>
  <c r="J33" i="8" s="1"/>
  <c r="B19" i="6"/>
  <c r="A19" i="6"/>
  <c r="F18" i="6"/>
  <c r="E18" i="6"/>
  <c r="D18" i="6"/>
  <c r="B18" i="6"/>
  <c r="A18" i="6"/>
  <c r="F17" i="6"/>
  <c r="E17" i="6"/>
  <c r="D17" i="6"/>
  <c r="B17" i="6"/>
  <c r="A17" i="6"/>
  <c r="F16" i="6"/>
  <c r="E16" i="6"/>
  <c r="D16" i="6"/>
  <c r="J26" i="8" s="1"/>
  <c r="B16" i="6"/>
  <c r="A16" i="6"/>
  <c r="F15" i="6"/>
  <c r="E15" i="6"/>
  <c r="D15" i="6"/>
  <c r="J24" i="8" s="1"/>
  <c r="B15" i="6"/>
  <c r="A15" i="6"/>
  <c r="F14" i="6"/>
  <c r="E14" i="6"/>
  <c r="D14" i="6"/>
  <c r="J22" i="8" s="1"/>
  <c r="B14" i="6"/>
  <c r="A14" i="6"/>
  <c r="F13" i="6"/>
  <c r="E13" i="6"/>
  <c r="D13" i="6"/>
  <c r="B13" i="6"/>
  <c r="A13" i="6"/>
  <c r="F12" i="6"/>
  <c r="E12" i="6"/>
  <c r="D12" i="6"/>
  <c r="J19" i="8" s="1"/>
  <c r="B12" i="6"/>
  <c r="A12" i="6"/>
  <c r="F11" i="6"/>
  <c r="E11" i="6"/>
  <c r="D11" i="6"/>
  <c r="J17" i="8" s="1"/>
  <c r="B11" i="6"/>
  <c r="A11" i="6"/>
  <c r="F10" i="6"/>
  <c r="E10" i="6"/>
  <c r="D10" i="6"/>
  <c r="B10" i="6"/>
  <c r="A10" i="6"/>
  <c r="F9" i="6"/>
  <c r="E9" i="6"/>
  <c r="D9" i="6"/>
  <c r="B9" i="6"/>
  <c r="A9" i="6"/>
  <c r="F8" i="6"/>
  <c r="E8" i="6"/>
  <c r="D8" i="6"/>
  <c r="J11" i="8" s="1"/>
  <c r="B8" i="6"/>
  <c r="A8" i="6"/>
  <c r="F7" i="6"/>
  <c r="E7" i="6"/>
  <c r="D7" i="6"/>
  <c r="J10" i="8" s="1"/>
  <c r="B7" i="6"/>
  <c r="A7" i="6"/>
  <c r="F6" i="6"/>
  <c r="E6" i="6"/>
  <c r="D6" i="6"/>
  <c r="B6" i="6"/>
  <c r="A6" i="6"/>
  <c r="F5" i="6"/>
  <c r="E5" i="6"/>
  <c r="D5" i="6"/>
  <c r="B5" i="6"/>
  <c r="A5" i="6"/>
  <c r="F4" i="6"/>
  <c r="E4" i="6"/>
  <c r="D4" i="6"/>
  <c r="J5" i="8" s="1"/>
  <c r="B4" i="6"/>
  <c r="A4" i="6"/>
  <c r="F3" i="6"/>
  <c r="E3" i="6"/>
  <c r="D3" i="6"/>
  <c r="C42" i="6" s="1"/>
  <c r="B3" i="6"/>
  <c r="A3" i="6"/>
  <c r="G28" i="5"/>
  <c r="G25" i="5"/>
  <c r="F25" i="5"/>
  <c r="B25" i="5"/>
  <c r="A25" i="5"/>
  <c r="G24" i="5"/>
  <c r="F24" i="5"/>
  <c r="E24" i="5"/>
  <c r="B24" i="5"/>
  <c r="A24" i="5"/>
  <c r="G23" i="5"/>
  <c r="F23" i="5"/>
  <c r="E23" i="5"/>
  <c r="H48" i="8" s="1"/>
  <c r="B23" i="5"/>
  <c r="A23" i="5"/>
  <c r="G22" i="5"/>
  <c r="F22" i="5"/>
  <c r="E22" i="5"/>
  <c r="H47" i="8" s="1"/>
  <c r="B22" i="5"/>
  <c r="A22" i="5"/>
  <c r="G21" i="5"/>
  <c r="F21" i="5"/>
  <c r="E21" i="5"/>
  <c r="H46" i="8" s="1"/>
  <c r="B21" i="5"/>
  <c r="A21" i="5"/>
  <c r="G20" i="5"/>
  <c r="F20" i="5"/>
  <c r="E20" i="5"/>
  <c r="B20" i="5"/>
  <c r="A20" i="5"/>
  <c r="G19" i="5"/>
  <c r="F19" i="5"/>
  <c r="E19" i="5"/>
  <c r="H44" i="8" s="1"/>
  <c r="B19" i="5"/>
  <c r="A19" i="5"/>
  <c r="G18" i="5"/>
  <c r="F18" i="5"/>
  <c r="E18" i="5"/>
  <c r="B18" i="5"/>
  <c r="A18" i="5"/>
  <c r="G17" i="5"/>
  <c r="F17" i="5"/>
  <c r="E17" i="5"/>
  <c r="H41" i="8" s="1"/>
  <c r="B17" i="5"/>
  <c r="A17" i="5"/>
  <c r="G16" i="5"/>
  <c r="F16" i="5"/>
  <c r="E16" i="5"/>
  <c r="B16" i="5"/>
  <c r="A16" i="5"/>
  <c r="G15" i="5"/>
  <c r="F15" i="5"/>
  <c r="E15" i="5"/>
  <c r="H38" i="8" s="1"/>
  <c r="B15" i="5"/>
  <c r="A15" i="5"/>
  <c r="G14" i="5"/>
  <c r="F14" i="5"/>
  <c r="E14" i="5"/>
  <c r="B14" i="5"/>
  <c r="A14" i="5"/>
  <c r="G13" i="5"/>
  <c r="F13" i="5"/>
  <c r="E13" i="5"/>
  <c r="B13" i="5"/>
  <c r="A13" i="5"/>
  <c r="G12" i="5"/>
  <c r="F12" i="5"/>
  <c r="E12" i="5"/>
  <c r="A12" i="5"/>
  <c r="G11" i="5"/>
  <c r="F11" i="5"/>
  <c r="E11" i="5"/>
  <c r="B11" i="5"/>
  <c r="A11" i="5"/>
  <c r="G10" i="5"/>
  <c r="F10" i="5"/>
  <c r="E10" i="5"/>
  <c r="H33" i="8" s="1"/>
  <c r="B10" i="5"/>
  <c r="A10" i="5"/>
  <c r="G9" i="5"/>
  <c r="F9" i="5"/>
  <c r="E9" i="5"/>
  <c r="B9" i="5"/>
  <c r="A9" i="5"/>
  <c r="G8" i="5"/>
  <c r="F8" i="5"/>
  <c r="E8" i="5"/>
  <c r="B8" i="5"/>
  <c r="A8" i="5"/>
  <c r="G7" i="5"/>
  <c r="F7" i="5"/>
  <c r="E7" i="5"/>
  <c r="H26" i="8" s="1"/>
  <c r="B7" i="5"/>
  <c r="A7" i="5"/>
  <c r="G6" i="5"/>
  <c r="F6" i="5"/>
  <c r="E6" i="5"/>
  <c r="B6" i="5"/>
  <c r="A6" i="5"/>
  <c r="G5" i="5"/>
  <c r="F5" i="5"/>
  <c r="E5" i="5"/>
  <c r="B5" i="5"/>
  <c r="A5" i="5"/>
  <c r="G4" i="5"/>
  <c r="F4" i="5"/>
  <c r="E4" i="5"/>
  <c r="B4" i="5"/>
  <c r="A4" i="5"/>
  <c r="G3" i="5"/>
  <c r="F3" i="5"/>
  <c r="E3" i="5"/>
  <c r="C33" i="5" s="1"/>
  <c r="B3" i="5"/>
  <c r="A3" i="5"/>
  <c r="F11" i="4"/>
  <c r="E11" i="4"/>
  <c r="D11" i="4"/>
  <c r="D50" i="8" s="1"/>
  <c r="B11" i="4"/>
  <c r="A11" i="4"/>
  <c r="F10" i="4"/>
  <c r="E10" i="4"/>
  <c r="D10" i="4"/>
  <c r="B10" i="4"/>
  <c r="A10" i="4"/>
  <c r="F9" i="4"/>
  <c r="E9" i="4"/>
  <c r="D9" i="4"/>
  <c r="B9" i="4"/>
  <c r="A9" i="4"/>
  <c r="F8" i="4"/>
  <c r="E8" i="4"/>
  <c r="D8" i="4"/>
  <c r="D47" i="8" s="1"/>
  <c r="B8" i="4"/>
  <c r="A8" i="4"/>
  <c r="F7" i="4"/>
  <c r="E7" i="4"/>
  <c r="D7" i="4"/>
  <c r="D46" i="8" s="1"/>
  <c r="B7" i="4"/>
  <c r="A7" i="4"/>
  <c r="F6" i="4"/>
  <c r="E6" i="4"/>
  <c r="D6" i="4"/>
  <c r="B6" i="4"/>
  <c r="A6" i="4"/>
  <c r="F5" i="4"/>
  <c r="E5" i="4"/>
  <c r="D5" i="4"/>
  <c r="D44" i="8" s="1"/>
  <c r="B5" i="4"/>
  <c r="A5" i="4"/>
  <c r="F4" i="4"/>
  <c r="E4" i="4"/>
  <c r="D4" i="4"/>
  <c r="D43" i="8" s="1"/>
  <c r="B4" i="4"/>
  <c r="A4" i="4"/>
  <c r="F3" i="4"/>
  <c r="E3" i="4"/>
  <c r="D3" i="4"/>
  <c r="D41" i="8" s="1"/>
  <c r="B3" i="4"/>
  <c r="A3" i="4"/>
  <c r="M93" i="2"/>
  <c r="H93" i="2" s="1"/>
  <c r="H92" i="2"/>
  <c r="R91" i="2"/>
  <c r="P91" i="2"/>
  <c r="M91" i="2"/>
  <c r="H91" i="2" s="1"/>
  <c r="S90" i="2"/>
  <c r="R90" i="2"/>
  <c r="C90" i="2"/>
  <c r="P87" i="2"/>
  <c r="N87" i="2"/>
  <c r="M87" i="2"/>
  <c r="L87" i="2"/>
  <c r="H87" i="2"/>
  <c r="S86" i="2"/>
  <c r="N86" i="2"/>
  <c r="L86" i="2" s="1"/>
  <c r="M86" i="2"/>
  <c r="H86" i="2" s="1"/>
  <c r="C86" i="2"/>
  <c r="S85" i="2"/>
  <c r="P85" i="2"/>
  <c r="N85" i="2"/>
  <c r="L85" i="2" s="1"/>
  <c r="M85" i="2"/>
  <c r="H85" i="2"/>
  <c r="S84" i="2"/>
  <c r="Q84" i="2"/>
  <c r="O84" i="2"/>
  <c r="N84" i="2"/>
  <c r="M84" i="2"/>
  <c r="H84" i="2" s="1"/>
  <c r="L84" i="2"/>
  <c r="P83" i="2"/>
  <c r="N83" i="2"/>
  <c r="L83" i="2" s="1"/>
  <c r="M83" i="2"/>
  <c r="H83" i="2"/>
  <c r="M79" i="2"/>
  <c r="G79" i="2" s="1"/>
  <c r="S74" i="2"/>
  <c r="N73" i="2"/>
  <c r="M73" i="2"/>
  <c r="L73" i="2"/>
  <c r="H73" i="2"/>
  <c r="N72" i="2"/>
  <c r="M72" i="2"/>
  <c r="H72" i="2" s="1"/>
  <c r="L72" i="2"/>
  <c r="G72" i="2"/>
  <c r="N71" i="2"/>
  <c r="M71" i="2"/>
  <c r="L71" i="2"/>
  <c r="H71" i="2"/>
  <c r="S70" i="2"/>
  <c r="O70" i="2"/>
  <c r="N70" i="2"/>
  <c r="M70" i="2"/>
  <c r="H70" i="2" s="1"/>
  <c r="L70" i="2"/>
  <c r="R69" i="2"/>
  <c r="P69" i="2"/>
  <c r="N69" i="2"/>
  <c r="M69" i="2"/>
  <c r="L69" i="2"/>
  <c r="H69" i="2"/>
  <c r="X63" i="2"/>
  <c r="W63" i="2"/>
  <c r="V63" i="2"/>
  <c r="U63" i="2"/>
  <c r="T63" i="2"/>
  <c r="C92" i="2" s="1"/>
  <c r="S63" i="2"/>
  <c r="R63" i="2"/>
  <c r="Q63" i="2"/>
  <c r="P63" i="2"/>
  <c r="O63" i="2"/>
  <c r="N63" i="2"/>
  <c r="M63" i="2"/>
  <c r="I63" i="2"/>
  <c r="H63" i="2"/>
  <c r="G63" i="2"/>
  <c r="Y63" i="2" s="1"/>
  <c r="Y62" i="2"/>
  <c r="S78" i="2" s="1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62" i="2"/>
  <c r="N49" i="8" s="1"/>
  <c r="X61" i="2"/>
  <c r="R92" i="2" s="1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G61" i="2"/>
  <c r="Y61" i="2" s="1"/>
  <c r="R78" i="2" s="1"/>
  <c r="D61" i="2"/>
  <c r="N48" i="8" s="1"/>
  <c r="X60" i="2"/>
  <c r="Q92" i="2" s="1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Y60" i="2" s="1"/>
  <c r="Q78" i="2" s="1"/>
  <c r="D60" i="2"/>
  <c r="N47" i="8" s="1"/>
  <c r="Y59" i="2"/>
  <c r="P78" i="2" s="1"/>
  <c r="X59" i="2"/>
  <c r="P92" i="2" s="1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G59" i="2"/>
  <c r="D59" i="2"/>
  <c r="N46" i="8" s="1"/>
  <c r="Y58" i="2"/>
  <c r="O78" i="2" s="1"/>
  <c r="X58" i="2"/>
  <c r="O92" i="2" s="1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58" i="2"/>
  <c r="N45" i="8" s="1"/>
  <c r="X57" i="2"/>
  <c r="S91" i="2" s="1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G57" i="2"/>
  <c r="Y57" i="2" s="1"/>
  <c r="S77" i="2" s="1"/>
  <c r="D57" i="2"/>
  <c r="N44" i="8" s="1"/>
  <c r="Y56" i="2"/>
  <c r="R77" i="2" s="1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G56" i="2"/>
  <c r="D56" i="2"/>
  <c r="N43" i="8" s="1"/>
  <c r="Y55" i="2"/>
  <c r="Q77" i="2" s="1"/>
  <c r="X55" i="2"/>
  <c r="Q91" i="2" s="1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G55" i="2"/>
  <c r="D55" i="2"/>
  <c r="N41" i="8" s="1"/>
  <c r="Y54" i="2"/>
  <c r="P77" i="2" s="1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G54" i="2"/>
  <c r="D54" i="2"/>
  <c r="X53" i="2"/>
  <c r="O91" i="2" s="1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G53" i="2"/>
  <c r="Y53" i="2" s="1"/>
  <c r="O77" i="2" s="1"/>
  <c r="D53" i="2"/>
  <c r="N38" i="8" s="1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Y52" i="2" s="1"/>
  <c r="S76" i="2" s="1"/>
  <c r="D52" i="2"/>
  <c r="Y51" i="2"/>
  <c r="R76" i="2" s="1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G51" i="2"/>
  <c r="D51" i="2"/>
  <c r="N36" i="8" s="1"/>
  <c r="X50" i="2"/>
  <c r="Q90" i="2" s="1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G50" i="2"/>
  <c r="Y50" i="2" s="1"/>
  <c r="Q76" i="2" s="1"/>
  <c r="D50" i="2"/>
  <c r="N35" i="8" s="1"/>
  <c r="X49" i="2"/>
  <c r="P90" i="2" s="1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G49" i="2"/>
  <c r="Y49" i="2" s="1"/>
  <c r="P76" i="2" s="1"/>
  <c r="D49" i="2"/>
  <c r="N33" i="8" s="1"/>
  <c r="X48" i="2"/>
  <c r="O90" i="2" s="1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Y48" i="2" s="1"/>
  <c r="O76" i="2" s="1"/>
  <c r="D48" i="2"/>
  <c r="N31" i="8" s="1"/>
  <c r="X47" i="2"/>
  <c r="S89" i="2" s="1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G47" i="2"/>
  <c r="Y47" i="2" s="1"/>
  <c r="S75" i="2" s="1"/>
  <c r="D47" i="2"/>
  <c r="Y46" i="2"/>
  <c r="R75" i="2" s="1"/>
  <c r="X46" i="2"/>
  <c r="R89" i="2" s="1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46" i="2"/>
  <c r="N26" i="8" s="1"/>
  <c r="Y45" i="2"/>
  <c r="Q75" i="2" s="1"/>
  <c r="X45" i="2"/>
  <c r="Q89" i="2" s="1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G45" i="2"/>
  <c r="D45" i="2"/>
  <c r="N24" i="8" s="1"/>
  <c r="X44" i="2"/>
  <c r="P89" i="2" s="1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G44" i="2"/>
  <c r="Y44" i="2" s="1"/>
  <c r="P75" i="2" s="1"/>
  <c r="D44" i="2"/>
  <c r="N22" i="8" s="1"/>
  <c r="Y43" i="2"/>
  <c r="O75" i="2" s="1"/>
  <c r="X43" i="2"/>
  <c r="O89" i="2" s="1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G43" i="2"/>
  <c r="D43" i="2"/>
  <c r="N20" i="8" s="1"/>
  <c r="Y42" i="2"/>
  <c r="X42" i="2"/>
  <c r="S88" i="2" s="1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42" i="2"/>
  <c r="N19" i="8" s="1"/>
  <c r="Y41" i="2"/>
  <c r="R74" i="2" s="1"/>
  <c r="X41" i="2"/>
  <c r="R88" i="2" s="1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G41" i="2"/>
  <c r="D41" i="2"/>
  <c r="Y40" i="2"/>
  <c r="Q74" i="2" s="1"/>
  <c r="X40" i="2"/>
  <c r="Q88" i="2" s="1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40" i="2"/>
  <c r="N15" i="8" s="1"/>
  <c r="Y39" i="2"/>
  <c r="P74" i="2" s="1"/>
  <c r="X39" i="2"/>
  <c r="P88" i="2" s="1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G39" i="2"/>
  <c r="D39" i="2"/>
  <c r="N13" i="8" s="1"/>
  <c r="Y38" i="2"/>
  <c r="O74" i="2" s="1"/>
  <c r="X38" i="2"/>
  <c r="O88" i="2" s="1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D38" i="2"/>
  <c r="N11" i="8" s="1"/>
  <c r="X37" i="2"/>
  <c r="S87" i="2" s="1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G37" i="2"/>
  <c r="Y37" i="2" s="1"/>
  <c r="S73" i="2" s="1"/>
  <c r="D37" i="2"/>
  <c r="Y36" i="2"/>
  <c r="R73" i="2" s="1"/>
  <c r="X36" i="2"/>
  <c r="R87" i="2" s="1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G36" i="2"/>
  <c r="D36" i="2"/>
  <c r="N9" i="8" s="1"/>
  <c r="X35" i="2"/>
  <c r="Q87" i="2" s="1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G35" i="2"/>
  <c r="Y35" i="2" s="1"/>
  <c r="Q73" i="2" s="1"/>
  <c r="D35" i="2"/>
  <c r="N7" i="8" s="1"/>
  <c r="Y34" i="2"/>
  <c r="P73" i="2" s="1"/>
  <c r="X34" i="2"/>
  <c r="W34" i="2"/>
  <c r="V34" i="2"/>
  <c r="U34" i="2"/>
  <c r="T34" i="2"/>
  <c r="S34" i="2"/>
  <c r="C91" i="2" s="1"/>
  <c r="R34" i="2"/>
  <c r="Q34" i="2"/>
  <c r="P34" i="2"/>
  <c r="O34" i="2"/>
  <c r="N34" i="2"/>
  <c r="M34" i="2"/>
  <c r="L34" i="2"/>
  <c r="K34" i="2"/>
  <c r="J34" i="2"/>
  <c r="I34" i="2"/>
  <c r="G34" i="2"/>
  <c r="D34" i="2"/>
  <c r="N5" i="8" s="1"/>
  <c r="X33" i="2"/>
  <c r="O87" i="2" s="1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G33" i="2"/>
  <c r="Y33" i="2" s="1"/>
  <c r="O73" i="2" s="1"/>
  <c r="D33" i="2"/>
  <c r="N3" i="8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Y32" i="2" s="1"/>
  <c r="S72" i="2" s="1"/>
  <c r="D32" i="2"/>
  <c r="Y31" i="2"/>
  <c r="R72" i="2" s="1"/>
  <c r="X31" i="2"/>
  <c r="R86" i="2" s="1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G31" i="2"/>
  <c r="D31" i="2"/>
  <c r="Y30" i="2"/>
  <c r="Q72" i="2" s="1"/>
  <c r="X30" i="2"/>
  <c r="Q86" i="2" s="1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D30" i="2"/>
  <c r="X29" i="2"/>
  <c r="P86" i="2" s="1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G29" i="2"/>
  <c r="Y29" i="2" s="1"/>
  <c r="D29" i="2"/>
  <c r="Y28" i="2"/>
  <c r="O72" i="2" s="1"/>
  <c r="X28" i="2"/>
  <c r="O86" i="2" s="1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D28" i="2"/>
  <c r="Y27" i="2"/>
  <c r="S71" i="2" s="1"/>
  <c r="X27" i="2"/>
  <c r="W27" i="2"/>
  <c r="V27" i="2"/>
  <c r="U27" i="2"/>
  <c r="T27" i="2"/>
  <c r="S27" i="2"/>
  <c r="R27" i="2"/>
  <c r="Q27" i="2"/>
  <c r="P27" i="2"/>
  <c r="O27" i="2"/>
  <c r="N27" i="2"/>
  <c r="M27" i="2"/>
  <c r="C85" i="2" s="1"/>
  <c r="L27" i="2"/>
  <c r="K27" i="2"/>
  <c r="J27" i="2"/>
  <c r="I27" i="2"/>
  <c r="G27" i="2"/>
  <c r="D27" i="2"/>
  <c r="Y26" i="2"/>
  <c r="R71" i="2" s="1"/>
  <c r="X26" i="2"/>
  <c r="R85" i="2" s="1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D26" i="2"/>
  <c r="Y25" i="2"/>
  <c r="Q71" i="2" s="1"/>
  <c r="X25" i="2"/>
  <c r="Q85" i="2" s="1"/>
  <c r="W25" i="2"/>
  <c r="V25" i="2"/>
  <c r="U25" i="2"/>
  <c r="C93" i="2" s="1"/>
  <c r="T25" i="2"/>
  <c r="S25" i="2"/>
  <c r="R25" i="2"/>
  <c r="Q25" i="2"/>
  <c r="P25" i="2"/>
  <c r="C88" i="2" s="1"/>
  <c r="O25" i="2"/>
  <c r="N25" i="2"/>
  <c r="M25" i="2"/>
  <c r="L25" i="2"/>
  <c r="K25" i="2"/>
  <c r="J25" i="2"/>
  <c r="I25" i="2"/>
  <c r="M92" i="2" s="1"/>
  <c r="G25" i="2"/>
  <c r="D25" i="2"/>
  <c r="Y24" i="2"/>
  <c r="P71" i="2" s="1"/>
  <c r="X24" i="2"/>
  <c r="G84" i="2" s="1"/>
  <c r="W24" i="2"/>
  <c r="V24" i="2"/>
  <c r="L24" i="2"/>
  <c r="K24" i="2"/>
  <c r="J24" i="2"/>
  <c r="M77" i="2" s="1"/>
  <c r="G77" i="2" s="1"/>
  <c r="I24" i="2"/>
  <c r="H24" i="2"/>
  <c r="G24" i="2"/>
  <c r="D24" i="2"/>
  <c r="X23" i="2"/>
  <c r="O85" i="2" s="1"/>
  <c r="V23" i="2"/>
  <c r="W23" i="2" s="1"/>
  <c r="L23" i="2"/>
  <c r="K23" i="2"/>
  <c r="J23" i="2"/>
  <c r="I23" i="2"/>
  <c r="M90" i="2" s="1"/>
  <c r="H90" i="2" s="1"/>
  <c r="H23" i="2"/>
  <c r="G23" i="2"/>
  <c r="Y23" i="2" s="1"/>
  <c r="O71" i="2" s="1"/>
  <c r="D23" i="2"/>
  <c r="Y22" i="2"/>
  <c r="X22" i="2"/>
  <c r="W22" i="2"/>
  <c r="V22" i="2"/>
  <c r="L22" i="2"/>
  <c r="K22" i="2"/>
  <c r="J22" i="2"/>
  <c r="I22" i="2"/>
  <c r="H22" i="2"/>
  <c r="G22" i="2"/>
  <c r="D22" i="2"/>
  <c r="X21" i="2"/>
  <c r="R84" i="2" s="1"/>
  <c r="V21" i="2"/>
  <c r="W21" i="2" s="1"/>
  <c r="L21" i="2"/>
  <c r="K21" i="2"/>
  <c r="J21" i="2"/>
  <c r="I21" i="2"/>
  <c r="G21" i="2"/>
  <c r="Y21" i="2" s="1"/>
  <c r="R70" i="2" s="1"/>
  <c r="D21" i="2"/>
  <c r="Y20" i="2"/>
  <c r="Q70" i="2" s="1"/>
  <c r="X20" i="2"/>
  <c r="W20" i="2"/>
  <c r="V20" i="2"/>
  <c r="L20" i="2"/>
  <c r="K20" i="2"/>
  <c r="J20" i="2"/>
  <c r="M78" i="2" s="1"/>
  <c r="G78" i="2" s="1"/>
  <c r="I20" i="2"/>
  <c r="H20" i="2"/>
  <c r="G20" i="2"/>
  <c r="D20" i="2"/>
  <c r="X19" i="2"/>
  <c r="P84" i="2" s="1"/>
  <c r="K84" i="2" s="1"/>
  <c r="V19" i="2"/>
  <c r="W19" i="2" s="1"/>
  <c r="L19" i="2"/>
  <c r="K19" i="2"/>
  <c r="L66" i="2" s="1"/>
  <c r="J19" i="2"/>
  <c r="I19" i="2"/>
  <c r="G19" i="2"/>
  <c r="Y19" i="2" s="1"/>
  <c r="P70" i="2" s="1"/>
  <c r="D19" i="2"/>
  <c r="Y18" i="2"/>
  <c r="X18" i="2"/>
  <c r="V18" i="2"/>
  <c r="W18" i="2" s="1"/>
  <c r="L18" i="2"/>
  <c r="K18" i="2"/>
  <c r="J18" i="2"/>
  <c r="I18" i="2"/>
  <c r="H18" i="2"/>
  <c r="G18" i="2"/>
  <c r="D18" i="2"/>
  <c r="X17" i="2"/>
  <c r="S83" i="2" s="1"/>
  <c r="V17" i="2"/>
  <c r="W17" i="2" s="1"/>
  <c r="L17" i="2"/>
  <c r="J17" i="2"/>
  <c r="M80" i="2" s="1"/>
  <c r="G80" i="2" s="1"/>
  <c r="I17" i="2"/>
  <c r="M94" i="2" s="1"/>
  <c r="H94" i="2" s="1"/>
  <c r="H17" i="2"/>
  <c r="G17" i="2"/>
  <c r="Y17" i="2" s="1"/>
  <c r="D17" i="2"/>
  <c r="Y16" i="2"/>
  <c r="X16" i="2"/>
  <c r="R83" i="2" s="1"/>
  <c r="V16" i="2"/>
  <c r="W16" i="2" s="1"/>
  <c r="L16" i="2"/>
  <c r="J16" i="2"/>
  <c r="I16" i="2"/>
  <c r="H16" i="2"/>
  <c r="G16" i="2"/>
  <c r="D16" i="2"/>
  <c r="X15" i="2"/>
  <c r="Q83" i="2" s="1"/>
  <c r="V15" i="2"/>
  <c r="W15" i="2" s="1"/>
  <c r="L15" i="2"/>
  <c r="J15" i="2"/>
  <c r="I15" i="2"/>
  <c r="H15" i="2"/>
  <c r="G15" i="2"/>
  <c r="Y15" i="2" s="1"/>
  <c r="Q69" i="2" s="1"/>
  <c r="D15" i="2"/>
  <c r="Y14" i="2"/>
  <c r="X14" i="2"/>
  <c r="W14" i="2"/>
  <c r="V14" i="2"/>
  <c r="L14" i="2"/>
  <c r="J14" i="2"/>
  <c r="I14" i="2"/>
  <c r="H14" i="2"/>
  <c r="G14" i="2"/>
  <c r="D14" i="2"/>
  <c r="X13" i="2"/>
  <c r="O83" i="2" s="1"/>
  <c r="V13" i="2"/>
  <c r="W13" i="2" s="1"/>
  <c r="L13" i="2"/>
  <c r="J13" i="2"/>
  <c r="M76" i="2" s="1"/>
  <c r="G76" i="2" s="1"/>
  <c r="I13" i="2"/>
  <c r="H13" i="2"/>
  <c r="G13" i="2"/>
  <c r="Y13" i="2" s="1"/>
  <c r="O69" i="2" s="1"/>
  <c r="D13" i="2"/>
  <c r="Y12" i="2"/>
  <c r="X12" i="2"/>
  <c r="V12" i="2"/>
  <c r="W12" i="2" s="1"/>
  <c r="L12" i="2"/>
  <c r="J12" i="2"/>
  <c r="I12" i="2"/>
  <c r="H12" i="2"/>
  <c r="G12" i="2"/>
  <c r="D12" i="2"/>
  <c r="X11" i="2"/>
  <c r="W11" i="2"/>
  <c r="V11" i="2"/>
  <c r="L11" i="2"/>
  <c r="J11" i="2"/>
  <c r="I11" i="2"/>
  <c r="H11" i="2"/>
  <c r="G11" i="2"/>
  <c r="Y11" i="2" s="1"/>
  <c r="D11" i="2"/>
  <c r="Y10" i="2"/>
  <c r="X10" i="2"/>
  <c r="W10" i="2"/>
  <c r="V10" i="2"/>
  <c r="L10" i="2"/>
  <c r="J10" i="2"/>
  <c r="I10" i="2"/>
  <c r="H10" i="2"/>
  <c r="G10" i="2"/>
  <c r="D10" i="2"/>
  <c r="C68" i="2" s="1"/>
  <c r="Y9" i="2"/>
  <c r="X9" i="2"/>
  <c r="L9" i="2"/>
  <c r="J9" i="2"/>
  <c r="I9" i="2"/>
  <c r="H9" i="2"/>
  <c r="G9" i="2"/>
  <c r="D9" i="2"/>
  <c r="Y8" i="2"/>
  <c r="X8" i="2"/>
  <c r="L8" i="2"/>
  <c r="J8" i="2"/>
  <c r="I8" i="2"/>
  <c r="H8" i="2"/>
  <c r="G8" i="2"/>
  <c r="D8" i="2"/>
  <c r="X7" i="2"/>
  <c r="L7" i="2"/>
  <c r="D7" i="2"/>
  <c r="X6" i="2"/>
  <c r="L6" i="2"/>
  <c r="D6" i="2"/>
  <c r="X5" i="2"/>
  <c r="V5" i="2"/>
  <c r="W5" i="2" s="1"/>
  <c r="L5" i="2"/>
  <c r="D5" i="2"/>
  <c r="X4" i="2"/>
  <c r="L4" i="2"/>
  <c r="D4" i="2"/>
  <c r="X3" i="2"/>
  <c r="D3" i="2"/>
  <c r="H66" i="2" l="1"/>
  <c r="K71" i="2"/>
  <c r="K72" i="2"/>
  <c r="P72" i="2"/>
  <c r="G70" i="2"/>
  <c r="K70" i="2"/>
  <c r="K86" i="2"/>
  <c r="K83" i="2"/>
  <c r="D88" i="2"/>
  <c r="K69" i="2"/>
  <c r="R54" i="9"/>
  <c r="BO28" i="12"/>
  <c r="BO31" i="12"/>
  <c r="BO38" i="12"/>
  <c r="UU8" i="12"/>
  <c r="UU34" i="12"/>
  <c r="CL52" i="9"/>
  <c r="B5" i="10"/>
  <c r="G71" i="2"/>
  <c r="B10" i="9"/>
  <c r="X54" i="9"/>
  <c r="AJ52" i="9"/>
  <c r="AJ53" i="9"/>
  <c r="AJ54" i="9"/>
  <c r="CR54" i="9"/>
  <c r="CR52" i="9"/>
  <c r="EZ53" i="9"/>
  <c r="EZ54" i="9"/>
  <c r="DD53" i="9"/>
  <c r="UY4" i="12"/>
  <c r="UY18" i="12"/>
  <c r="NU34" i="12"/>
  <c r="NU26" i="12"/>
  <c r="NU28" i="12"/>
  <c r="NU18" i="12"/>
  <c r="NU31" i="12"/>
  <c r="NU10" i="12"/>
  <c r="G90" i="7"/>
  <c r="G88" i="7"/>
  <c r="AP54" i="9"/>
  <c r="BB54" i="9"/>
  <c r="G31" i="12"/>
  <c r="G38" i="12"/>
  <c r="G34" i="12"/>
  <c r="G5" i="12"/>
  <c r="AU38" i="12"/>
  <c r="AU34" i="12"/>
  <c r="AU5" i="12"/>
  <c r="AU31" i="12"/>
  <c r="GE31" i="12"/>
  <c r="GE5" i="12"/>
  <c r="GE34" i="12"/>
  <c r="HS28" i="12"/>
  <c r="HS34" i="12"/>
  <c r="HS5" i="12"/>
  <c r="HS31" i="12"/>
  <c r="HS26" i="12"/>
  <c r="HS24" i="12"/>
  <c r="IM31" i="12"/>
  <c r="IM28" i="12"/>
  <c r="IM34" i="12"/>
  <c r="KA28" i="12"/>
  <c r="KA31" i="12"/>
  <c r="KA34" i="12"/>
  <c r="KU28" i="12"/>
  <c r="KU14" i="12"/>
  <c r="MI24" i="12"/>
  <c r="MI31" i="12"/>
  <c r="MI5" i="12"/>
  <c r="MI14" i="12"/>
  <c r="MI26" i="12"/>
  <c r="MI28" i="12"/>
  <c r="QE26" i="12"/>
  <c r="QE4" i="12"/>
  <c r="RS3" i="12"/>
  <c r="RS21" i="12"/>
  <c r="RS31" i="12"/>
  <c r="RS34" i="12"/>
  <c r="RS4" i="12"/>
  <c r="SM28" i="12"/>
  <c r="SM14" i="12"/>
  <c r="SM31" i="12"/>
  <c r="SM34" i="12"/>
  <c r="SM24" i="12"/>
  <c r="TG28" i="12"/>
  <c r="TG5" i="12"/>
  <c r="TG4" i="12"/>
  <c r="WI8" i="12"/>
  <c r="WI10" i="12"/>
  <c r="WI4" i="12"/>
  <c r="WI26" i="12"/>
  <c r="XC4" i="12"/>
  <c r="XC5" i="12"/>
  <c r="XC8" i="12"/>
  <c r="XC14" i="12"/>
  <c r="XW31" i="12"/>
  <c r="XW28" i="12"/>
  <c r="XW34" i="12"/>
  <c r="XW26" i="12"/>
  <c r="XW18" i="12"/>
  <c r="CA4" i="12"/>
  <c r="CA34" i="12"/>
  <c r="CA5" i="12"/>
  <c r="CA31" i="12"/>
  <c r="CA21" i="12"/>
  <c r="CA38" i="12"/>
  <c r="CA14" i="12"/>
  <c r="CA8" i="12"/>
  <c r="CA18" i="12"/>
  <c r="CA24" i="12"/>
  <c r="VM28" i="12"/>
  <c r="VM26" i="12"/>
  <c r="VM5" i="12"/>
  <c r="VM24" i="12"/>
  <c r="R52" i="9"/>
  <c r="CI28" i="12"/>
  <c r="CI21" i="12"/>
  <c r="DC31" i="12"/>
  <c r="DC34" i="12"/>
  <c r="DC4" i="12"/>
  <c r="EQ28" i="12"/>
  <c r="EQ21" i="12"/>
  <c r="GY34" i="12"/>
  <c r="GY31" i="12"/>
  <c r="LO31" i="12"/>
  <c r="LO5" i="12"/>
  <c r="LO34" i="12"/>
  <c r="LO24" i="12"/>
  <c r="LO8" i="12"/>
  <c r="F44" i="8"/>
  <c r="H57" i="2"/>
  <c r="DJ52" i="9"/>
  <c r="JG5" i="12"/>
  <c r="JG34" i="12"/>
  <c r="JG8" i="12"/>
  <c r="G83" i="2"/>
  <c r="CK5" i="12"/>
  <c r="CK31" i="12"/>
  <c r="CK34" i="12"/>
  <c r="CK26" i="12"/>
  <c r="LQ4" i="12"/>
  <c r="LQ31" i="12"/>
  <c r="LQ10" i="12"/>
  <c r="LQ18" i="12"/>
  <c r="LQ21" i="12"/>
  <c r="LQ34" i="12"/>
  <c r="LQ28" i="12"/>
  <c r="LQ8" i="12"/>
  <c r="LQ14" i="12"/>
  <c r="NY14" i="12"/>
  <c r="NY31" i="12"/>
  <c r="OS28" i="12"/>
  <c r="OS10" i="12"/>
  <c r="OS31" i="12"/>
  <c r="OS34" i="12"/>
  <c r="PM10" i="12"/>
  <c r="PM34" i="12"/>
  <c r="PM14" i="12"/>
  <c r="PM28" i="12"/>
  <c r="PM31" i="12"/>
  <c r="RU8" i="12"/>
  <c r="RU24" i="12"/>
  <c r="RU5" i="12"/>
  <c r="RU4" i="12"/>
  <c r="SO10" i="12"/>
  <c r="SO28" i="12"/>
  <c r="TI34" i="12"/>
  <c r="TI31" i="12"/>
  <c r="UC28" i="12"/>
  <c r="UC34" i="12"/>
  <c r="UC10" i="12"/>
  <c r="UC26" i="12"/>
  <c r="UW28" i="12"/>
  <c r="UW26" i="12"/>
  <c r="UW5" i="12"/>
  <c r="VQ28" i="12"/>
  <c r="VQ34" i="12"/>
  <c r="VQ5" i="12"/>
  <c r="VQ31" i="12"/>
  <c r="WK14" i="12"/>
  <c r="WK5" i="12"/>
  <c r="WK4" i="12"/>
  <c r="XY24" i="12"/>
  <c r="XY14" i="12"/>
  <c r="JO28" i="12"/>
  <c r="JO10" i="12"/>
  <c r="CX53" i="9"/>
  <c r="K85" i="2"/>
  <c r="BQ34" i="12"/>
  <c r="BQ18" i="12"/>
  <c r="ES18" i="12"/>
  <c r="ES34" i="12"/>
  <c r="ES31" i="12"/>
  <c r="ES4" i="12"/>
  <c r="KW14" i="12"/>
  <c r="KW28" i="12"/>
  <c r="KW26" i="12"/>
  <c r="KW31" i="12"/>
  <c r="KW34" i="12"/>
  <c r="QG14" i="12"/>
  <c r="QG8" i="12"/>
  <c r="QG5" i="12"/>
  <c r="QG24" i="12"/>
  <c r="C79" i="2"/>
  <c r="F7" i="8"/>
  <c r="H35" i="2"/>
  <c r="C76" i="2" s="1"/>
  <c r="ET52" i="9"/>
  <c r="BO34" i="12"/>
  <c r="DE18" i="12"/>
  <c r="DE28" i="12"/>
  <c r="J3" i="8"/>
  <c r="F39" i="8"/>
  <c r="H54" i="2"/>
  <c r="B19" i="10"/>
  <c r="IE5" i="12"/>
  <c r="PS8" i="12"/>
  <c r="JS31" i="12"/>
  <c r="JS34" i="12"/>
  <c r="JS4" i="12"/>
  <c r="JS28" i="12"/>
  <c r="JS5" i="12"/>
  <c r="JS24" i="12"/>
  <c r="G86" i="2"/>
  <c r="AW38" i="12"/>
  <c r="AW5" i="12"/>
  <c r="DY34" i="12"/>
  <c r="DY31" i="12"/>
  <c r="C73" i="2"/>
  <c r="C71" i="2"/>
  <c r="C69" i="2"/>
  <c r="G73" i="2"/>
  <c r="S69" i="2"/>
  <c r="K73" i="2" s="1"/>
  <c r="EZ52" i="9"/>
  <c r="QY5" i="12"/>
  <c r="QY4" i="12"/>
  <c r="QY34" i="12"/>
  <c r="QY31" i="12"/>
  <c r="ET54" i="9"/>
  <c r="F43" i="8"/>
  <c r="H56" i="2"/>
  <c r="G86" i="7"/>
  <c r="H89" i="7" s="1"/>
  <c r="L16" i="8"/>
  <c r="BH53" i="9"/>
  <c r="DP52" i="9"/>
  <c r="RG4" i="12"/>
  <c r="RG5" i="12"/>
  <c r="G91" i="7"/>
  <c r="AD52" i="9"/>
  <c r="AD53" i="9"/>
  <c r="CL54" i="9"/>
  <c r="I38" i="12"/>
  <c r="I10" i="12"/>
  <c r="I31" i="12"/>
  <c r="I34" i="12"/>
  <c r="HU8" i="12"/>
  <c r="HU34" i="12"/>
  <c r="HU21" i="12"/>
  <c r="HU5" i="12"/>
  <c r="HU4" i="12"/>
  <c r="G87" i="2"/>
  <c r="G69" i="2"/>
  <c r="C70" i="2"/>
  <c r="D70" i="2" s="1"/>
  <c r="C72" i="2"/>
  <c r="C41" i="6"/>
  <c r="F48" i="8"/>
  <c r="AP53" i="9"/>
  <c r="RU28" i="12"/>
  <c r="DV54" i="9"/>
  <c r="DV53" i="9"/>
  <c r="EH52" i="9"/>
  <c r="EH53" i="9"/>
  <c r="EH54" i="9"/>
  <c r="B18" i="10"/>
  <c r="GE18" i="12"/>
  <c r="DK26" i="12"/>
  <c r="DK31" i="12"/>
  <c r="DK34" i="12"/>
  <c r="GM4" i="12"/>
  <c r="GM31" i="12"/>
  <c r="LC34" i="12"/>
  <c r="LC8" i="12"/>
  <c r="LC4" i="12"/>
  <c r="OE34" i="12"/>
  <c r="OE21" i="12"/>
  <c r="OE31" i="12"/>
  <c r="SU5" i="12"/>
  <c r="SU34" i="12"/>
  <c r="UI8" i="12"/>
  <c r="UI28" i="12"/>
  <c r="UI5" i="12"/>
  <c r="XK10" i="12"/>
  <c r="XK18" i="12"/>
  <c r="RK4" i="12"/>
  <c r="RK5" i="12"/>
  <c r="F54" i="9"/>
  <c r="F52" i="9"/>
  <c r="F53" i="9"/>
  <c r="BN54" i="9"/>
  <c r="BN53" i="9"/>
  <c r="BZ53" i="9"/>
  <c r="BZ52" i="9"/>
  <c r="G87" i="7"/>
  <c r="H87" i="7" s="1"/>
  <c r="B21" i="9"/>
  <c r="OQ5" i="12"/>
  <c r="KW18" i="12"/>
  <c r="VW34" i="12"/>
  <c r="FK5" i="12"/>
  <c r="FK31" i="12"/>
  <c r="FK24" i="12"/>
  <c r="FK26" i="12"/>
  <c r="FK18" i="12"/>
  <c r="FK28" i="12"/>
  <c r="FK4" i="12"/>
  <c r="FK21" i="12"/>
  <c r="L54" i="9"/>
  <c r="L53" i="9"/>
  <c r="BT53" i="9"/>
  <c r="BT54" i="9"/>
  <c r="BT52" i="9"/>
  <c r="EB52" i="9"/>
  <c r="EB53" i="9"/>
  <c r="FO8" i="12"/>
  <c r="FO26" i="12"/>
  <c r="FO5" i="12"/>
  <c r="B17" i="13"/>
  <c r="B5" i="13"/>
  <c r="C5" i="13" s="1"/>
  <c r="B14" i="13"/>
  <c r="B11" i="13"/>
  <c r="B9" i="13"/>
  <c r="B8" i="13"/>
  <c r="C87" i="2"/>
  <c r="D91" i="2" s="1"/>
  <c r="H17" i="8"/>
  <c r="C35" i="5"/>
  <c r="C34" i="5"/>
  <c r="C32" i="5"/>
  <c r="D32" i="5" s="1"/>
  <c r="C31" i="5"/>
  <c r="C30" i="5"/>
  <c r="C29" i="5"/>
  <c r="QE5" i="12"/>
  <c r="C40" i="6"/>
  <c r="D40" i="6" s="1"/>
  <c r="C39" i="6"/>
  <c r="C38" i="6"/>
  <c r="C37" i="6"/>
  <c r="C43" i="6"/>
  <c r="CL53" i="9"/>
  <c r="AM34" i="12"/>
  <c r="AM5" i="12"/>
  <c r="AM24" i="12"/>
  <c r="AM31" i="12"/>
  <c r="AM38" i="12"/>
  <c r="DO28" i="12"/>
  <c r="DO34" i="12"/>
  <c r="DO14" i="12"/>
  <c r="DO5" i="12"/>
  <c r="FC5" i="12"/>
  <c r="FC31" i="12"/>
  <c r="GQ34" i="12"/>
  <c r="GQ5" i="12"/>
  <c r="LG18" i="12"/>
  <c r="LG5" i="12"/>
  <c r="LG34" i="12"/>
  <c r="LG21" i="12"/>
  <c r="MU8" i="12"/>
  <c r="MU34" i="12"/>
  <c r="MU28" i="12"/>
  <c r="MU31" i="12"/>
  <c r="OI31" i="12"/>
  <c r="OI14" i="12"/>
  <c r="PW21" i="12"/>
  <c r="PW34" i="12"/>
  <c r="SY31" i="12"/>
  <c r="SY34" i="12"/>
  <c r="SY14" i="12"/>
  <c r="UM18" i="12"/>
  <c r="UM28" i="12"/>
  <c r="UM31" i="12"/>
  <c r="UM34" i="12"/>
  <c r="XO31" i="12"/>
  <c r="XO10" i="12"/>
  <c r="XO34" i="12"/>
  <c r="GC14" i="12"/>
  <c r="GC28" i="12"/>
  <c r="GC34" i="12"/>
  <c r="GC18" i="12"/>
  <c r="GC31" i="12"/>
  <c r="C89" i="2"/>
  <c r="D89" i="2" s="1"/>
  <c r="G85" i="2"/>
  <c r="F24" i="8"/>
  <c r="H45" i="2"/>
  <c r="C78" i="2" s="1"/>
  <c r="CR53" i="9"/>
  <c r="B11" i="10"/>
  <c r="NC31" i="12"/>
  <c r="NC8" i="12"/>
  <c r="NC34" i="12"/>
  <c r="NC28" i="12"/>
  <c r="NC24" i="12"/>
  <c r="K87" i="2"/>
  <c r="L52" i="9"/>
  <c r="X52" i="9"/>
  <c r="EN52" i="9"/>
  <c r="B15" i="10"/>
  <c r="BI10" i="12"/>
  <c r="BI5" i="12"/>
  <c r="BI21" i="12"/>
  <c r="NG21" i="12"/>
  <c r="NG34" i="12"/>
  <c r="G92" i="7"/>
  <c r="B11" i="9"/>
  <c r="CF54" i="9"/>
  <c r="C67" i="2"/>
  <c r="D68" i="2" s="1"/>
  <c r="F9" i="8"/>
  <c r="B16" i="9"/>
  <c r="B7" i="9"/>
  <c r="F50" i="8"/>
  <c r="B6" i="9"/>
  <c r="C6" i="9" s="1"/>
  <c r="B19" i="9"/>
  <c r="B24" i="9"/>
  <c r="B23" i="9"/>
  <c r="B25" i="9"/>
  <c r="B8" i="9"/>
  <c r="B20" i="9"/>
  <c r="B22" i="9"/>
  <c r="B9" i="9"/>
  <c r="FK8" i="12"/>
  <c r="XO28" i="12"/>
  <c r="CK38" i="12"/>
  <c r="AE31" i="12"/>
  <c r="AE34" i="12"/>
  <c r="GI31" i="12"/>
  <c r="GI34" i="12"/>
  <c r="HW3" i="12"/>
  <c r="HW5" i="12"/>
  <c r="HW10" i="12"/>
  <c r="JK31" i="12"/>
  <c r="JK34" i="12"/>
  <c r="MM31" i="12"/>
  <c r="MM34" i="12"/>
  <c r="OA34" i="12"/>
  <c r="OA5" i="12"/>
  <c r="PO34" i="12"/>
  <c r="PO8" i="12"/>
  <c r="PO4" i="12"/>
  <c r="PO28" i="12"/>
  <c r="PO5" i="12"/>
  <c r="SQ4" i="12"/>
  <c r="SQ26" i="12"/>
  <c r="UE31" i="12"/>
  <c r="UE34" i="12"/>
  <c r="XG31" i="12"/>
  <c r="XG34" i="12"/>
  <c r="GA24" i="12"/>
  <c r="GA28" i="12"/>
  <c r="GA5" i="12"/>
  <c r="NS28" i="12"/>
  <c r="NS31" i="12"/>
  <c r="NS24" i="12"/>
  <c r="VK26" i="12"/>
  <c r="VK10" i="12"/>
  <c r="VK14" i="12"/>
  <c r="B8" i="14"/>
  <c r="C8" i="14" s="1"/>
  <c r="B18" i="14"/>
  <c r="B7" i="14"/>
  <c r="B15" i="14"/>
  <c r="B14" i="14"/>
  <c r="B5" i="14"/>
  <c r="B11" i="14"/>
  <c r="B9" i="14"/>
  <c r="B20" i="14"/>
  <c r="FF52" i="9"/>
  <c r="BU34" i="12"/>
  <c r="BU28" i="12"/>
  <c r="BU31" i="12"/>
  <c r="BU38" i="12"/>
  <c r="CO24" i="12"/>
  <c r="CO38" i="12"/>
  <c r="CO34" i="12"/>
  <c r="FQ28" i="12"/>
  <c r="FQ34" i="12"/>
  <c r="GK31" i="12"/>
  <c r="GK28" i="12"/>
  <c r="IS5" i="12"/>
  <c r="IS28" i="12"/>
  <c r="IS34" i="12"/>
  <c r="IS8" i="12"/>
  <c r="JM31" i="12"/>
  <c r="JM14" i="12"/>
  <c r="OW5" i="12"/>
  <c r="OW8" i="12"/>
  <c r="QK34" i="12"/>
  <c r="QK4" i="12"/>
  <c r="RE10" i="12"/>
  <c r="RE28" i="12"/>
  <c r="RE31" i="12"/>
  <c r="RE34" i="12"/>
  <c r="SS28" i="12"/>
  <c r="SS4" i="12"/>
  <c r="SS31" i="12"/>
  <c r="SS34" i="12"/>
  <c r="TM14" i="12"/>
  <c r="TM31" i="12"/>
  <c r="UG4" i="12"/>
  <c r="UG34" i="12"/>
  <c r="VA34" i="12"/>
  <c r="VA10" i="12"/>
  <c r="WO34" i="12"/>
  <c r="WO26" i="12"/>
  <c r="WO8" i="12"/>
  <c r="XI26" i="12"/>
  <c r="XI31" i="12"/>
  <c r="XI34" i="12"/>
  <c r="XI21" i="12"/>
  <c r="YC4" i="12"/>
  <c r="YC5" i="12"/>
  <c r="B10" i="14"/>
  <c r="AP52" i="9"/>
  <c r="CX52" i="9"/>
  <c r="M8" i="12"/>
  <c r="M28" i="12"/>
  <c r="H47" i="2"/>
  <c r="C77" i="2" s="1"/>
  <c r="EN54" i="9"/>
  <c r="AS54" i="9"/>
  <c r="AS52" i="9"/>
  <c r="DA54" i="9"/>
  <c r="DA52" i="9"/>
  <c r="FI54" i="9"/>
  <c r="FI52" i="9"/>
  <c r="BE53" i="9"/>
  <c r="DM53" i="9"/>
  <c r="EW5" i="12"/>
  <c r="UE28" i="12"/>
  <c r="NK31" i="12"/>
  <c r="HG34" i="12"/>
  <c r="KE24" i="12"/>
  <c r="KE28" i="12"/>
  <c r="KE8" i="12"/>
  <c r="KE5" i="12"/>
  <c r="KE31" i="12"/>
  <c r="RW21" i="12"/>
  <c r="RW18" i="12"/>
  <c r="RW14" i="12"/>
  <c r="RW5" i="12"/>
  <c r="RW31" i="12"/>
  <c r="RW34" i="12"/>
  <c r="B16" i="14"/>
  <c r="O38" i="12"/>
  <c r="O34" i="12"/>
  <c r="BC18" i="12"/>
  <c r="BC28" i="12"/>
  <c r="BC31" i="12"/>
  <c r="BC8" i="12"/>
  <c r="CQ21" i="12"/>
  <c r="CQ34" i="12"/>
  <c r="CQ14" i="12"/>
  <c r="EE18" i="12"/>
  <c r="EE31" i="12"/>
  <c r="TO34" i="12"/>
  <c r="TO10" i="12"/>
  <c r="TO28" i="12"/>
  <c r="VC34" i="12"/>
  <c r="VC26" i="12"/>
  <c r="VC5" i="12"/>
  <c r="VC4" i="12"/>
  <c r="VC31" i="12"/>
  <c r="YE28" i="12"/>
  <c r="YE14" i="12"/>
  <c r="YE18" i="12"/>
  <c r="YE21" i="12"/>
  <c r="YE31" i="12"/>
  <c r="CY34" i="12"/>
  <c r="CY5" i="12"/>
  <c r="KQ34" i="12"/>
  <c r="KQ24" i="12"/>
  <c r="KQ8" i="12"/>
  <c r="SI5" i="12"/>
  <c r="SI28" i="12"/>
  <c r="B17" i="14"/>
  <c r="CF52" i="9"/>
  <c r="U53" i="9"/>
  <c r="DP53" i="9"/>
  <c r="AV54" i="9"/>
  <c r="AY54" i="9"/>
  <c r="AY52" i="9"/>
  <c r="AY53" i="9"/>
  <c r="DG54" i="9"/>
  <c r="DG52" i="9"/>
  <c r="DG53" i="9"/>
  <c r="FO54" i="9"/>
  <c r="FO52" i="9"/>
  <c r="FO53" i="9"/>
  <c r="BK52" i="9"/>
  <c r="BK53" i="9"/>
  <c r="DS52" i="9"/>
  <c r="DS53" i="9"/>
  <c r="O53" i="9"/>
  <c r="O54" i="9"/>
  <c r="BW53" i="9"/>
  <c r="BW54" i="9"/>
  <c r="EE53" i="9"/>
  <c r="EE54" i="9"/>
  <c r="NM10" i="12"/>
  <c r="VC28" i="12"/>
  <c r="FQ31" i="12"/>
  <c r="OK31" i="12"/>
  <c r="HY34" i="12"/>
  <c r="W38" i="12"/>
  <c r="KS21" i="12"/>
  <c r="KS8" i="12"/>
  <c r="B19" i="14"/>
  <c r="C19" i="14" s="1"/>
  <c r="DJ53" i="9"/>
  <c r="B14" i="10"/>
  <c r="B9" i="10"/>
  <c r="B20" i="10"/>
  <c r="B8" i="10"/>
  <c r="B6" i="10"/>
  <c r="C6" i="10" s="1"/>
  <c r="B17" i="10"/>
  <c r="C17" i="10" s="1"/>
  <c r="B7" i="10"/>
  <c r="AE38" i="12"/>
  <c r="Q10" i="12"/>
  <c r="Q5" i="12"/>
  <c r="CS5" i="12"/>
  <c r="CS8" i="12"/>
  <c r="CS14" i="12"/>
  <c r="EG10" i="12"/>
  <c r="EG8" i="12"/>
  <c r="EG5" i="12"/>
  <c r="EG31" i="12"/>
  <c r="FU5" i="12"/>
  <c r="FU14" i="12"/>
  <c r="KK34" i="12"/>
  <c r="KK31" i="12"/>
  <c r="LY4" i="12"/>
  <c r="LY28" i="12"/>
  <c r="PA34" i="12"/>
  <c r="PA8" i="12"/>
  <c r="QO14" i="12"/>
  <c r="QO4" i="12"/>
  <c r="QO28" i="12"/>
  <c r="QO5" i="12"/>
  <c r="TQ26" i="12"/>
  <c r="TQ4" i="12"/>
  <c r="VE3" i="12"/>
  <c r="VE5" i="12"/>
  <c r="BB53" i="9"/>
  <c r="CO52" i="9"/>
  <c r="AA53" i="9"/>
  <c r="BE52" i="9"/>
  <c r="DM52" i="9"/>
  <c r="UQ4" i="12"/>
  <c r="GK5" i="12"/>
  <c r="TC5" i="12"/>
  <c r="K38" i="12"/>
  <c r="K10" i="12"/>
  <c r="OU28" i="12"/>
  <c r="OU31" i="12"/>
  <c r="OU34" i="12"/>
  <c r="FF54" i="9"/>
  <c r="BA34" i="12"/>
  <c r="BA38" i="12"/>
  <c r="S38" i="12"/>
  <c r="S28" i="12"/>
  <c r="BG38" i="12"/>
  <c r="BG31" i="12"/>
  <c r="FW10" i="12"/>
  <c r="FW8" i="12"/>
  <c r="HK28" i="12"/>
  <c r="HK5" i="12"/>
  <c r="KM14" i="12"/>
  <c r="KM31" i="12"/>
  <c r="PC14" i="12"/>
  <c r="PC24" i="12"/>
  <c r="QQ31" i="12"/>
  <c r="QQ34" i="12"/>
  <c r="QQ28" i="12"/>
  <c r="QQ5" i="12"/>
  <c r="TS18" i="12"/>
  <c r="TS5" i="12"/>
  <c r="TS4" i="12"/>
  <c r="HO28" i="12"/>
  <c r="HO14" i="12"/>
  <c r="B9" i="15"/>
  <c r="B20" i="15"/>
  <c r="B8" i="15"/>
  <c r="B18" i="15"/>
  <c r="B7" i="15"/>
  <c r="C7" i="15" s="1"/>
  <c r="B17" i="15"/>
  <c r="B16" i="15"/>
  <c r="B15" i="15"/>
  <c r="C15" i="15" s="1"/>
  <c r="B14" i="15"/>
  <c r="B11" i="15"/>
  <c r="DD52" i="9"/>
  <c r="EK53" i="9"/>
  <c r="FL54" i="9"/>
  <c r="BK54" i="9"/>
  <c r="DS54" i="9"/>
  <c r="BA4" i="12"/>
  <c r="RQ10" i="12"/>
  <c r="VU24" i="12"/>
  <c r="CQ28" i="12"/>
  <c r="XG28" i="12"/>
  <c r="GU31" i="12"/>
  <c r="QO31" i="12"/>
  <c r="BG34" i="12"/>
  <c r="HQ34" i="12"/>
  <c r="HQ5" i="12"/>
  <c r="HQ10" i="12"/>
  <c r="XA26" i="12"/>
  <c r="XA4" i="12"/>
  <c r="XA28" i="12"/>
  <c r="CC31" i="12"/>
  <c r="CC38" i="12"/>
  <c r="CW38" i="12"/>
  <c r="CW5" i="12"/>
  <c r="DQ18" i="12"/>
  <c r="DQ21" i="12"/>
  <c r="DQ8" i="12"/>
  <c r="EK24" i="12"/>
  <c r="EK5" i="12"/>
  <c r="EK26" i="12"/>
  <c r="FE34" i="12"/>
  <c r="FE31" i="12"/>
  <c r="FY34" i="12"/>
  <c r="FY5" i="12"/>
  <c r="GS31" i="12"/>
  <c r="GS8" i="12"/>
  <c r="GS34" i="12"/>
  <c r="HM28" i="12"/>
  <c r="HM31" i="12"/>
  <c r="HM18" i="12"/>
  <c r="JA5" i="12"/>
  <c r="JA4" i="12"/>
  <c r="JU21" i="12"/>
  <c r="JU34" i="12"/>
  <c r="JU4" i="12"/>
  <c r="LI24" i="12"/>
  <c r="LI31" i="12"/>
  <c r="OK5" i="12"/>
  <c r="OK26" i="12"/>
  <c r="OK24" i="12"/>
  <c r="OK8" i="12"/>
  <c r="OK4" i="12"/>
  <c r="PE31" i="12"/>
  <c r="PE21" i="12"/>
  <c r="PE34" i="12"/>
  <c r="QS26" i="12"/>
  <c r="QS5" i="12"/>
  <c r="RM28" i="12"/>
  <c r="RM34" i="12"/>
  <c r="SG14" i="12"/>
  <c r="SG31" i="12"/>
  <c r="SG34" i="12"/>
  <c r="TU21" i="12"/>
  <c r="TU31" i="12"/>
  <c r="TU24" i="12"/>
  <c r="TU28" i="12"/>
  <c r="TU5" i="12"/>
  <c r="TU4" i="12"/>
  <c r="UO8" i="12"/>
  <c r="UO5" i="12"/>
  <c r="UO31" i="12"/>
  <c r="VI28" i="12"/>
  <c r="VI34" i="12"/>
  <c r="VI31" i="12"/>
  <c r="XQ26" i="12"/>
  <c r="XQ5" i="12"/>
  <c r="XQ24" i="12"/>
  <c r="XQ18" i="12"/>
  <c r="XQ21" i="12"/>
  <c r="I53" i="9"/>
  <c r="I54" i="9"/>
  <c r="BQ53" i="9"/>
  <c r="BQ54" i="9"/>
  <c r="DY53" i="9"/>
  <c r="DY54" i="9"/>
  <c r="SG8" i="12"/>
  <c r="HO31" i="12"/>
  <c r="RM31" i="12"/>
  <c r="CC34" i="12"/>
  <c r="CQ38" i="12"/>
  <c r="LS31" i="12"/>
  <c r="LS10" i="12"/>
  <c r="LS18" i="12"/>
  <c r="LS5" i="12"/>
  <c r="LS34" i="12"/>
  <c r="LS28" i="12"/>
  <c r="LS14" i="12"/>
  <c r="TK18" i="12"/>
  <c r="TK24" i="12"/>
  <c r="C31" i="12"/>
  <c r="C34" i="12"/>
  <c r="AQ31" i="12"/>
  <c r="AQ38" i="12"/>
  <c r="AQ34" i="12"/>
  <c r="AQ18" i="12"/>
  <c r="AQ28" i="12"/>
  <c r="CE34" i="12"/>
  <c r="CE5" i="12"/>
  <c r="CE31" i="12"/>
  <c r="DS31" i="12"/>
  <c r="DS28" i="12"/>
  <c r="DS10" i="12"/>
  <c r="DS34" i="12"/>
  <c r="LK28" i="12"/>
  <c r="LK26" i="12"/>
  <c r="LK31" i="12"/>
  <c r="LK10" i="12"/>
  <c r="LK34" i="12"/>
  <c r="OM28" i="12"/>
  <c r="OM4" i="12"/>
  <c r="QA31" i="12"/>
  <c r="QA8" i="12"/>
  <c r="UQ21" i="12"/>
  <c r="UQ24" i="12"/>
  <c r="UQ28" i="12"/>
  <c r="UQ10" i="12"/>
  <c r="UQ34" i="12"/>
  <c r="WE28" i="12"/>
  <c r="WE8" i="12"/>
  <c r="WE31" i="12"/>
  <c r="WE4" i="12"/>
  <c r="EM8" i="12"/>
  <c r="EM5" i="12"/>
  <c r="EM31" i="12"/>
  <c r="ME4" i="12"/>
  <c r="ME31" i="12"/>
  <c r="ME34" i="12"/>
  <c r="ME21" i="12"/>
  <c r="ME28" i="12"/>
  <c r="TW34" i="12"/>
  <c r="TW31" i="12"/>
  <c r="TW26" i="12"/>
  <c r="DY52" i="9"/>
  <c r="CO54" i="9"/>
  <c r="E8" i="12"/>
  <c r="TS8" i="12"/>
  <c r="FY26" i="12"/>
  <c r="EI28" i="12"/>
  <c r="PA28" i="12"/>
  <c r="Q31" i="12"/>
  <c r="JA31" i="12"/>
  <c r="EO34" i="12"/>
  <c r="EO5" i="12"/>
  <c r="EO4" i="12"/>
  <c r="FF53" i="9"/>
  <c r="CG8" i="12"/>
  <c r="CG14" i="12"/>
  <c r="FI5" i="12"/>
  <c r="FI31" i="12"/>
  <c r="FI14" i="12"/>
  <c r="JY31" i="12"/>
  <c r="JY14" i="12"/>
  <c r="JY28" i="12"/>
  <c r="JY10" i="12"/>
  <c r="JY5" i="12"/>
  <c r="LM26" i="12"/>
  <c r="LM21" i="12"/>
  <c r="QC10" i="12"/>
  <c r="QC14" i="12"/>
  <c r="QC28" i="12"/>
  <c r="QC4" i="12"/>
  <c r="TE4" i="12"/>
  <c r="TE21" i="12"/>
  <c r="TE34" i="12"/>
  <c r="US28" i="12"/>
  <c r="US31" i="12"/>
  <c r="WG34" i="12"/>
  <c r="WG4" i="12"/>
  <c r="AG52" i="9"/>
  <c r="EE52" i="9"/>
  <c r="FI53" i="9"/>
  <c r="U54" i="9"/>
  <c r="CC54" i="9"/>
  <c r="EK54" i="9"/>
  <c r="LK5" i="12"/>
  <c r="AE14" i="12"/>
  <c r="CQ18" i="12"/>
  <c r="FW28" i="12"/>
  <c r="QA28" i="12"/>
  <c r="JU31" i="12"/>
  <c r="EC34" i="12"/>
  <c r="AY34" i="12"/>
  <c r="AY8" i="12"/>
  <c r="QI31" i="12"/>
  <c r="QI34" i="12"/>
  <c r="CX54" i="9"/>
  <c r="B10" i="10"/>
  <c r="BS5" i="12"/>
  <c r="MO5" i="12"/>
  <c r="CO8" i="12"/>
  <c r="EK18" i="12"/>
  <c r="GU28" i="12"/>
  <c r="EE34" i="12"/>
  <c r="JC4" i="12"/>
  <c r="JC34" i="12"/>
  <c r="JC28" i="12"/>
  <c r="QU34" i="12"/>
  <c r="QU8" i="12"/>
  <c r="B6" i="14"/>
  <c r="CC53" i="9"/>
  <c r="AA52" i="9"/>
  <c r="CI52" i="9"/>
  <c r="EQ52" i="9"/>
  <c r="FG8" i="12"/>
  <c r="FI18" i="12"/>
  <c r="HG28" i="12"/>
  <c r="BS31" i="12"/>
  <c r="UG31" i="12"/>
  <c r="QW5" i="12"/>
  <c r="QW28" i="12"/>
  <c r="B10" i="13"/>
  <c r="AM52" i="9"/>
  <c r="CU52" i="9"/>
  <c r="FC52" i="9"/>
  <c r="IC28" i="12"/>
  <c r="B15" i="13"/>
  <c r="C15" i="13" s="1"/>
  <c r="B6" i="15"/>
  <c r="B10" i="15"/>
  <c r="PU5" i="12"/>
  <c r="IC10" i="12"/>
  <c r="FA28" i="12"/>
  <c r="PU28" i="12"/>
  <c r="UK34" i="12"/>
  <c r="XM14" i="12"/>
  <c r="XM28" i="12"/>
  <c r="LE10" i="12"/>
  <c r="YA14" i="12"/>
  <c r="DM34" i="12"/>
  <c r="DM8" i="12"/>
  <c r="DM24" i="12"/>
  <c r="B6" i="13"/>
  <c r="B18" i="13"/>
  <c r="B7" i="13"/>
  <c r="B19" i="13"/>
  <c r="B5" i="15"/>
  <c r="DM28" i="12"/>
  <c r="C6" i="14" l="1"/>
  <c r="C23" i="9"/>
  <c r="D29" i="5"/>
  <c r="C80" i="2"/>
  <c r="C8" i="9"/>
  <c r="C25" i="9"/>
  <c r="C10" i="15"/>
  <c r="C24" i="9"/>
  <c r="D30" i="5"/>
  <c r="B14" i="9"/>
  <c r="C14" i="9" s="1"/>
  <c r="C20" i="13"/>
  <c r="C81" i="2"/>
  <c r="D81" i="2" s="1"/>
  <c r="C5" i="9"/>
  <c r="C16" i="13"/>
  <c r="C6" i="15"/>
  <c r="C7" i="10"/>
  <c r="C17" i="14"/>
  <c r="C19" i="9"/>
  <c r="D31" i="5"/>
  <c r="B13" i="9"/>
  <c r="C13" i="9" s="1"/>
  <c r="C82" i="2"/>
  <c r="D85" i="2"/>
  <c r="B15" i="9"/>
  <c r="C15" i="9" s="1"/>
  <c r="C10" i="14"/>
  <c r="D34" i="5"/>
  <c r="C8" i="10"/>
  <c r="C7" i="9"/>
  <c r="D35" i="5"/>
  <c r="C18" i="10"/>
  <c r="C19" i="13"/>
  <c r="C7" i="13"/>
  <c r="C20" i="10"/>
  <c r="C5" i="15"/>
  <c r="C18" i="13"/>
  <c r="C9" i="10"/>
  <c r="C11" i="10"/>
  <c r="D87" i="2"/>
  <c r="D90" i="2"/>
  <c r="C19" i="10"/>
  <c r="C10" i="9"/>
  <c r="C6" i="13"/>
  <c r="C10" i="13"/>
  <c r="C11" i="15"/>
  <c r="C14" i="10"/>
  <c r="D67" i="2"/>
  <c r="C8" i="13"/>
  <c r="H88" i="7"/>
  <c r="C14" i="15"/>
  <c r="C9" i="13"/>
  <c r="H90" i="7"/>
  <c r="C5" i="10"/>
  <c r="C11" i="9"/>
  <c r="C11" i="13"/>
  <c r="D69" i="2"/>
  <c r="D33" i="5"/>
  <c r="C20" i="14"/>
  <c r="C16" i="15"/>
  <c r="C9" i="14"/>
  <c r="H92" i="7"/>
  <c r="C14" i="13"/>
  <c r="H91" i="7"/>
  <c r="D71" i="2"/>
  <c r="C10" i="10"/>
  <c r="C11" i="14"/>
  <c r="D73" i="2"/>
  <c r="C5" i="14"/>
  <c r="C17" i="13"/>
  <c r="C17" i="15"/>
  <c r="C18" i="15"/>
  <c r="C16" i="14"/>
  <c r="C14" i="14"/>
  <c r="D43" i="6"/>
  <c r="D41" i="6"/>
  <c r="C8" i="15"/>
  <c r="C19" i="15"/>
  <c r="C15" i="14"/>
  <c r="C9" i="9"/>
  <c r="D37" i="6"/>
  <c r="C21" i="9"/>
  <c r="D72" i="2"/>
  <c r="D42" i="6"/>
  <c r="C20" i="15"/>
  <c r="C7" i="14"/>
  <c r="C22" i="9"/>
  <c r="D38" i="6"/>
  <c r="D93" i="2"/>
  <c r="C9" i="15"/>
  <c r="C18" i="14"/>
  <c r="C20" i="9"/>
  <c r="C15" i="10"/>
  <c r="D39" i="6"/>
  <c r="H86" i="7"/>
  <c r="D86" i="2"/>
  <c r="D92" i="2"/>
  <c r="C16" i="10"/>
  <c r="D80" i="2" l="1"/>
  <c r="D79" i="2"/>
  <c r="D82" i="2"/>
  <c r="D76" i="2"/>
  <c r="D78" i="2"/>
  <c r="D77" i="2"/>
</calcChain>
</file>

<file path=xl/sharedStrings.xml><?xml version="1.0" encoding="utf-8"?>
<sst xmlns="http://schemas.openxmlformats.org/spreadsheetml/2006/main" count="22111" uniqueCount="3132">
  <si>
    <r>
      <rPr>
        <sz val="18"/>
        <rFont val="Calibri"/>
      </rPr>
      <t xml:space="preserve">WT spreadsheet by </t>
    </r>
    <r>
      <rPr>
        <u/>
        <sz val="18"/>
        <color rgb="FF1155CC"/>
        <rFont val="Calibri"/>
      </rPr>
      <t>gszabi99</t>
    </r>
  </si>
  <si>
    <t>v2.0</t>
  </si>
  <si>
    <r>
      <rPr>
        <sz val="12"/>
        <rFont val="Calibri"/>
      </rPr>
      <t xml:space="preserve">Guided weaponry data spreadsheet: </t>
    </r>
    <r>
      <rPr>
        <u/>
        <sz val="12"/>
        <color rgb="FF1155CC"/>
        <rFont val="Calibri"/>
      </rPr>
      <t>link</t>
    </r>
  </si>
  <si>
    <r>
      <rPr>
        <sz val="12"/>
        <rFont val="Calibri"/>
      </rPr>
      <t xml:space="preserve">Unused assets of War Thunder: </t>
    </r>
    <r>
      <rPr>
        <u/>
        <sz val="12"/>
        <color rgb="FF1155CC"/>
        <rFont val="Calibri"/>
      </rPr>
      <t>link</t>
    </r>
  </si>
  <si>
    <r>
      <rPr>
        <sz val="12"/>
        <rFont val="Calibri"/>
      </rPr>
      <t xml:space="preserve">Feedback: </t>
    </r>
    <r>
      <rPr>
        <u/>
        <sz val="12"/>
        <color rgb="FF1155CC"/>
        <rFont val="Calibri"/>
      </rPr>
      <t>link</t>
    </r>
  </si>
  <si>
    <r>
      <rPr>
        <sz val="12"/>
        <rFont val="Calibri"/>
      </rPr>
      <t xml:space="preserve">Discord: </t>
    </r>
    <r>
      <rPr>
        <u/>
        <sz val="12"/>
        <color rgb="FF1155CC"/>
        <rFont val="Calibri"/>
      </rPr>
      <t>link</t>
    </r>
  </si>
  <si>
    <t>Updates</t>
  </si>
  <si>
    <t>Version</t>
  </si>
  <si>
    <t>Name</t>
  </si>
  <si>
    <t>Release</t>
  </si>
  <si>
    <t>Announcement (UTC)</t>
  </si>
  <si>
    <t>Internal date in game files</t>
  </si>
  <si>
    <t>First devblog</t>
  </si>
  <si>
    <t>Last update release to first devblog</t>
  </si>
  <si>
    <t>First devblog to release</t>
  </si>
  <si>
    <t>Last dev server to release</t>
  </si>
  <si>
    <t>Time between updates</t>
  </si>
  <si>
    <t>Date diff</t>
  </si>
  <si>
    <t>Avg announcement time</t>
  </si>
  <si>
    <t>Avg release</t>
  </si>
  <si>
    <t>Avg first devblog</t>
  </si>
  <si>
    <t>1.27</t>
  </si>
  <si>
    <t>-</t>
  </si>
  <si>
    <t>1.29</t>
  </si>
  <si>
    <t>1.31</t>
  </si>
  <si>
    <t>1.33</t>
  </si>
  <si>
    <t>1.35</t>
  </si>
  <si>
    <t>1.37</t>
  </si>
  <si>
    <t>1.39</t>
  </si>
  <si>
    <t>1.41</t>
  </si>
  <si>
    <t>1.43</t>
  </si>
  <si>
    <t>1.45</t>
  </si>
  <si>
    <t>Steel Generals</t>
  </si>
  <si>
    <t>1.47</t>
  </si>
  <si>
    <t>Big Guns</t>
  </si>
  <si>
    <t>1.49</t>
  </si>
  <si>
    <t>Weapons of Victory</t>
  </si>
  <si>
    <t>1.51</t>
  </si>
  <si>
    <t>Cold Steel</t>
  </si>
  <si>
    <t>1.53</t>
  </si>
  <si>
    <t>Firestorm</t>
  </si>
  <si>
    <t>1.55</t>
  </si>
  <si>
    <t>Royal Armour</t>
  </si>
  <si>
    <t>1.57</t>
  </si>
  <si>
    <t>Battle March</t>
  </si>
  <si>
    <t>1.59</t>
  </si>
  <si>
    <t>Flaming Arrows</t>
  </si>
  <si>
    <t>1.61</t>
  </si>
  <si>
    <t>Road to Glory</t>
  </si>
  <si>
    <t>1.63</t>
  </si>
  <si>
    <t>Desert Hunters</t>
  </si>
  <si>
    <t>1.65</t>
  </si>
  <si>
    <t>Way of the Samurai</t>
  </si>
  <si>
    <t>1.67</t>
  </si>
  <si>
    <t>Assault</t>
  </si>
  <si>
    <t>1.69</t>
  </si>
  <si>
    <t>Regia Aeronautica</t>
  </si>
  <si>
    <t>0 day diff</t>
  </si>
  <si>
    <t>1 day diff</t>
  </si>
  <si>
    <t>2 day diff</t>
  </si>
  <si>
    <t>3 day diff</t>
  </si>
  <si>
    <t>4 day diff</t>
  </si>
  <si>
    <t>5 day diff</t>
  </si>
  <si>
    <t>6 day diff</t>
  </si>
  <si>
    <t>7 day diff</t>
  </si>
  <si>
    <t>7+ day diff</t>
  </si>
  <si>
    <t>1.71</t>
  </si>
  <si>
    <t>New E.R.A.</t>
  </si>
  <si>
    <t>1.73</t>
  </si>
  <si>
    <t>Vive la France</t>
  </si>
  <si>
    <t>1.75</t>
  </si>
  <si>
    <t>La Résistance</t>
  </si>
  <si>
    <t>1.77</t>
  </si>
  <si>
    <t>Advancing Storm</t>
  </si>
  <si>
    <t>1.79</t>
  </si>
  <si>
    <t>Project X</t>
  </si>
  <si>
    <t>1.81</t>
  </si>
  <si>
    <t>The Valkyries</t>
  </si>
  <si>
    <t>1.83</t>
  </si>
  <si>
    <t>Masters of the Sea</t>
  </si>
  <si>
    <t>1.85</t>
  </si>
  <si>
    <t>Supersonic</t>
  </si>
  <si>
    <t>1.87</t>
  </si>
  <si>
    <t>Locked On</t>
  </si>
  <si>
    <t>1.89</t>
  </si>
  <si>
    <t>Imperial Navy</t>
  </si>
  <si>
    <t>1.91</t>
  </si>
  <si>
    <t>Night Vision</t>
  </si>
  <si>
    <t>1.93</t>
  </si>
  <si>
    <t>Shark Attack</t>
  </si>
  <si>
    <t>1.95</t>
  </si>
  <si>
    <t>Northern Wind</t>
  </si>
  <si>
    <t>1.97</t>
  </si>
  <si>
    <t>Viking Fury</t>
  </si>
  <si>
    <t>1.99</t>
  </si>
  <si>
    <t>Starfighters</t>
  </si>
  <si>
    <t>1.101</t>
  </si>
  <si>
    <t>Raining Fire</t>
  </si>
  <si>
    <t>2.1</t>
  </si>
  <si>
    <t>New Power</t>
  </si>
  <si>
    <t>Hot Tracks</t>
  </si>
  <si>
    <t>Ixwa Strike</t>
  </si>
  <si>
    <t>Red Skies</t>
  </si>
  <si>
    <t>Direct Hit</t>
  </si>
  <si>
    <t>Ground Breaking</t>
  </si>
  <si>
    <t>Winged Lions</t>
  </si>
  <si>
    <t>Wind of Change</t>
  </si>
  <si>
    <t>Danger Zone</t>
  </si>
  <si>
    <t>Drone Age</t>
  </si>
  <si>
    <t>Fire and Ice</t>
  </si>
  <si>
    <t>Apex Predators</t>
  </si>
  <si>
    <t>Sky Guardians</t>
  </si>
  <si>
    <t>La Royale</t>
  </si>
  <si>
    <t>Sons of Attila</t>
  </si>
  <si>
    <t>Kings of Battle</t>
  </si>
  <si>
    <t>Air Superiority</t>
  </si>
  <si>
    <t>Alpha Strike</t>
  </si>
  <si>
    <t>Seek &amp; Destroy</t>
  </si>
  <si>
    <t>Dance of Dragons</t>
  </si>
  <si>
    <t>Firebirds</t>
  </si>
  <si>
    <t>Storm Warning</t>
  </si>
  <si>
    <t>Release date day of week</t>
  </si>
  <si>
    <t>Predicted* announcement time:</t>
  </si>
  <si>
    <t>Predicted* last dev server to release time:</t>
  </si>
  <si>
    <t>Monday:</t>
  </si>
  <si>
    <t>Tuesday:</t>
  </si>
  <si>
    <t>Average first devblog date</t>
  </si>
  <si>
    <t>Predicted* first devblog date</t>
  </si>
  <si>
    <t>Wednesday:</t>
  </si>
  <si>
    <t>Feb-Mar updates</t>
  </si>
  <si>
    <t>Thursday:</t>
  </si>
  <si>
    <t>May-Jun updates</t>
  </si>
  <si>
    <t>Friday:</t>
  </si>
  <si>
    <t>Aug-Sep updates</t>
  </si>
  <si>
    <t>Saturday:</t>
  </si>
  <si>
    <t>Oct-Nov updates</t>
  </si>
  <si>
    <t>Sunday:</t>
  </si>
  <si>
    <t>Dec updates</t>
  </si>
  <si>
    <t>First devblog date day of week</t>
  </si>
  <si>
    <t>Average first devblog to release time</t>
  </si>
  <si>
    <t>Average release date</t>
  </si>
  <si>
    <t>Predicted* release date</t>
  </si>
  <si>
    <t>Internal date in game files to release difference</t>
  </si>
  <si>
    <t>0 day</t>
  </si>
  <si>
    <t>1 days</t>
  </si>
  <si>
    <t>2 days</t>
  </si>
  <si>
    <t>3 days</t>
  </si>
  <si>
    <t>4 days</t>
  </si>
  <si>
    <t>Average previous update release to first devblog time</t>
  </si>
  <si>
    <t>5 days</t>
  </si>
  <si>
    <t>6 days</t>
  </si>
  <si>
    <t>7 days</t>
  </si>
  <si>
    <t>7+ days</t>
  </si>
  <si>
    <t>*: with linear regression</t>
  </si>
  <si>
    <t>Custom loadouts</t>
  </si>
  <si>
    <t>A-10A early</t>
  </si>
  <si>
    <t>A-10A late</t>
  </si>
  <si>
    <t>MiG-23MLA</t>
  </si>
  <si>
    <t>Su-22UM3K</t>
  </si>
  <si>
    <t>J8B</t>
  </si>
  <si>
    <t>F-104S/ASA</t>
  </si>
  <si>
    <t>Mirage F1 C</t>
  </si>
  <si>
    <t>Kfir C.2</t>
  </si>
  <si>
    <t>max load – 7257 kg</t>
  </si>
  <si>
    <t>max imbalance – 1000 kg</t>
  </si>
  <si>
    <t>max load – 2000 kg</t>
  </si>
  <si>
    <t>max imbalance – 500 kg</t>
  </si>
  <si>
    <t>max load – 3000 kg</t>
  </si>
  <si>
    <t>max imbalance – 700 kg</t>
  </si>
  <si>
    <t>max load – 4500 kg</t>
  </si>
  <si>
    <t>max load – 3400 kg</t>
  </si>
  <si>
    <t>max load – 4295 kg</t>
  </si>
  <si>
    <t>max imbalance – 1100 kg</t>
  </si>
  <si>
    <t>max left load – 4500 kg</t>
  </si>
  <si>
    <t>max right load – 4500 kg</t>
  </si>
  <si>
    <t>max left load – 500 kg</t>
  </si>
  <si>
    <t>max right load – 500 kg</t>
  </si>
  <si>
    <t>max left load – 1500 kg</t>
  </si>
  <si>
    <t>max right load – 1500 kg</t>
  </si>
  <si>
    <t>max left load – 2200 kg</t>
  </si>
  <si>
    <t>max right load – 2200 kg</t>
  </si>
  <si>
    <t>slot</t>
  </si>
  <si>
    <t>List of aircraft:</t>
  </si>
  <si>
    <t>exempt from imbalance calculations?</t>
  </si>
  <si>
    <t>Yes</t>
  </si>
  <si>
    <t>US</t>
  </si>
  <si>
    <t>Cannons</t>
  </si>
  <si>
    <t>GAU-8/A</t>
  </si>
  <si>
    <t>GSh-23L</t>
  </si>
  <si>
    <t>NR-30</t>
  </si>
  <si>
    <t>Model 23-3</t>
  </si>
  <si>
    <r>
      <rPr>
        <sz val="11"/>
        <color theme="1"/>
        <rFont val="Calibri"/>
      </rPr>
      <t xml:space="preserve">Cannons and missile control systems (AAMs in bold </t>
    </r>
    <r>
      <rPr>
        <b/>
        <sz val="11"/>
        <color theme="1"/>
        <rFont val="Calibri"/>
      </rPr>
      <t>require</t>
    </r>
    <r>
      <rPr>
        <sz val="11"/>
        <color theme="1"/>
        <rFont val="Calibri"/>
      </rPr>
      <t xml:space="preserve"> this)</t>
    </r>
  </si>
  <si>
    <t>empty</t>
  </si>
  <si>
    <t>M61</t>
  </si>
  <si>
    <t>DEFA 553</t>
  </si>
  <si>
    <t>DEFA 552A</t>
  </si>
  <si>
    <t>(866 kg)</t>
  </si>
  <si>
    <t>(155 kg)</t>
  </si>
  <si>
    <t>(66.5 kg)</t>
  </si>
  <si>
    <t>(650 kg)</t>
  </si>
  <si>
    <t>(150 kg)</t>
  </si>
  <si>
    <t>GAU-8/A + CM</t>
  </si>
  <si>
    <t>GSh-23L + CM</t>
  </si>
  <si>
    <t>NR-30 + CM</t>
  </si>
  <si>
    <t>Model 23-3 + CM</t>
  </si>
  <si>
    <t>CM</t>
  </si>
  <si>
    <t>DEFA 553 + CM</t>
  </si>
  <si>
    <t>DEFA 552A + CM</t>
  </si>
  <si>
    <t>F-4C</t>
  </si>
  <si>
    <t>Aspide control</t>
  </si>
  <si>
    <t>F-4E</t>
  </si>
  <si>
    <t>Rockets</t>
  </si>
  <si>
    <t>7x Hydra 70 (M247)</t>
  </si>
  <si>
    <t>16x S-5K</t>
  </si>
  <si>
    <t>7x Model 90-1 HEAT</t>
  </si>
  <si>
    <t>(20 kg)</t>
  </si>
  <si>
    <t>18x SNEB Type 23</t>
  </si>
  <si>
    <t>F-4J</t>
  </si>
  <si>
    <t>(71.12 kg)</t>
  </si>
  <si>
    <t>(58.24 kg)</t>
  </si>
  <si>
    <t>(102.2 kg)</t>
  </si>
  <si>
    <t>19x 2.75-inch FFAR Mk. 4</t>
  </si>
  <si>
    <t>(90.9 kg)</t>
  </si>
  <si>
    <t>F-14A (early)</t>
  </si>
  <si>
    <t>21x Hydra 70 (M247)</t>
  </si>
  <si>
    <t>32x S-5K</t>
  </si>
  <si>
    <t>7x S-3K</t>
  </si>
  <si>
    <t>Bombs</t>
  </si>
  <si>
    <t>1x 500 lbs Mk. 82</t>
  </si>
  <si>
    <t>(154.28 kg)</t>
  </si>
  <si>
    <t>36x SNEB Type 23</t>
  </si>
  <si>
    <t>38x 2.75-inch FFAR Mk. 4</t>
  </si>
  <si>
    <t>(213.36 kg)</t>
  </si>
  <si>
    <t>(116.48 kg)</t>
  </si>
  <si>
    <t>(164.5 kg)</t>
  </si>
  <si>
    <t>(240.9 kg)</t>
  </si>
  <si>
    <t>4x 5-inch FFAR Mk. 32 Mod. 0</t>
  </si>
  <si>
    <t>(181.8 kg)</t>
  </si>
  <si>
    <t>(308.56 kg)</t>
  </si>
  <si>
    <t>GER</t>
  </si>
  <si>
    <t>20x S-8KO</t>
  </si>
  <si>
    <t>6x 500 lbs Mk. 82</t>
  </si>
  <si>
    <t>(227.2 kg)</t>
  </si>
  <si>
    <t>1x 250 kg SAMP Type 25</t>
  </si>
  <si>
    <t>8x 5-inch FFAR Mk. 32 Mod. 0</t>
  </si>
  <si>
    <t>F-4F (early)</t>
  </si>
  <si>
    <t>(226 kg)</t>
  </si>
  <si>
    <t>(1445.4 kg)</t>
  </si>
  <si>
    <t>(247 kg)</t>
  </si>
  <si>
    <t>(454.4 kg)</t>
  </si>
  <si>
    <t>F-4F (late)</t>
  </si>
  <si>
    <t>3x 500 lbs Mk. 82</t>
  </si>
  <si>
    <t>1x S-24B</t>
  </si>
  <si>
    <t>AAM</t>
  </si>
  <si>
    <t>1x PL5B</t>
  </si>
  <si>
    <t>1x PL5B (stock)</t>
  </si>
  <si>
    <t>2x 500 lbs Mk. 82</t>
  </si>
  <si>
    <t>MiG-23MF</t>
  </si>
  <si>
    <t>(722.7 kg)</t>
  </si>
  <si>
    <t>(235 kg)</t>
  </si>
  <si>
    <t>(84 kg)</t>
  </si>
  <si>
    <t>1x 750 lbs M117</t>
  </si>
  <si>
    <t>(250 kg)</t>
  </si>
  <si>
    <t>(481.8 kg)</t>
  </si>
  <si>
    <t>1x 2000 lbs Mk. 84</t>
  </si>
  <si>
    <t>4x 100 kg OFAB-100-120</t>
  </si>
  <si>
    <t>1x Aspide-1A</t>
  </si>
  <si>
    <t>(362.42 kg)</t>
  </si>
  <si>
    <t>1x 400 kg SAMP Type 21</t>
  </si>
  <si>
    <t>(893.6 kg)</t>
  </si>
  <si>
    <t>(456 kg)</t>
  </si>
  <si>
    <t>(230 kg)</t>
  </si>
  <si>
    <t>1x 1000 lbs Mk. 83</t>
  </si>
  <si>
    <t>(400 kg)</t>
  </si>
  <si>
    <t>AGM</t>
  </si>
  <si>
    <t>3x AGM-65D</t>
  </si>
  <si>
    <t>1x 250 kg FAB-250-M62</t>
  </si>
  <si>
    <t>1x S-25O</t>
  </si>
  <si>
    <t>(446.8 kg)</t>
  </si>
  <si>
    <t>5x 500 lbs Mk. 82</t>
  </si>
  <si>
    <t>USSR</t>
  </si>
  <si>
    <t>(680.4 kg)</t>
  </si>
  <si>
    <t>(227 kg)</t>
  </si>
  <si>
    <t>(370 kg)</t>
  </si>
  <si>
    <t>(500 kg)</t>
  </si>
  <si>
    <t>(1204.5 kg)</t>
  </si>
  <si>
    <t>MiG-23M</t>
  </si>
  <si>
    <t>GBU</t>
  </si>
  <si>
    <t>1x GBU-8/B</t>
  </si>
  <si>
    <t>1x AIM-9L (stock)</t>
  </si>
  <si>
    <t>1x 500 kg FAB-500-M62</t>
  </si>
  <si>
    <t>1x 100 kg OFAB-100-120</t>
  </si>
  <si>
    <t>2x 750 lbs M117</t>
  </si>
  <si>
    <t>MiG-23MLD</t>
  </si>
  <si>
    <t>(1027 kg)</t>
  </si>
  <si>
    <t>(84.46 kg)</t>
  </si>
  <si>
    <t>(508.3 kg)</t>
  </si>
  <si>
    <t>(114 kg)</t>
  </si>
  <si>
    <t>1x AIM-9L</t>
  </si>
  <si>
    <t>(1000 kg)</t>
  </si>
  <si>
    <t>(724.84 kg)</t>
  </si>
  <si>
    <t>MiG-27K</t>
  </si>
  <si>
    <t>3x AGM-65B</t>
  </si>
  <si>
    <t>2x AIM-9L</t>
  </si>
  <si>
    <r>
      <rPr>
        <sz val="11"/>
        <color theme="1"/>
        <rFont val="Calibri"/>
      </rPr>
      <t xml:space="preserve">TGP (AGMs in bold </t>
    </r>
    <r>
      <rPr>
        <b/>
        <sz val="11"/>
        <color theme="1"/>
        <rFont val="Calibri"/>
      </rPr>
      <t>require</t>
    </r>
    <r>
      <rPr>
        <sz val="11"/>
        <color theme="1"/>
        <rFont val="Calibri"/>
      </rPr>
      <t xml:space="preserve"> this)</t>
    </r>
  </si>
  <si>
    <t>1x Delta-NG</t>
  </si>
  <si>
    <t>1x R530E</t>
  </si>
  <si>
    <t>2x 1000 lbs Mk. 83</t>
  </si>
  <si>
    <t>MiG-27M</t>
  </si>
  <si>
    <t>(621 kg)</t>
  </si>
  <si>
    <t>(168.92 kg)</t>
  </si>
  <si>
    <t>(193.5 kg)</t>
  </si>
  <si>
    <t>Su-17M4</t>
  </si>
  <si>
    <t>1x Kh-23M</t>
  </si>
  <si>
    <t>1x R-13M1</t>
  </si>
  <si>
    <t>5x 100 kg OFAB-100-120</t>
  </si>
  <si>
    <t>1x R550 Magic 1 (stock)</t>
  </si>
  <si>
    <t>(289 kg)</t>
  </si>
  <si>
    <t>(570 kg)</t>
  </si>
  <si>
    <t>(89 kg)</t>
  </si>
  <si>
    <t>UK</t>
  </si>
  <si>
    <t>1x R-13M1 (stock)</t>
  </si>
  <si>
    <t>1x 250 kg OFAB-250sv</t>
  </si>
  <si>
    <t>1x R550 Magic 2</t>
  </si>
  <si>
    <t>1x Shafrir 2 (stock)</t>
  </si>
  <si>
    <t>Phantom FG. 1</t>
  </si>
  <si>
    <t>(90.6 kg)</t>
  </si>
  <si>
    <t>(93 kg)</t>
  </si>
  <si>
    <t>Phantom FGR. 2</t>
  </si>
  <si>
    <t>1x R-60</t>
  </si>
  <si>
    <t>2x R-60</t>
  </si>
  <si>
    <t>3x 250 kg OFAB-250sv</t>
  </si>
  <si>
    <t>1x R530</t>
  </si>
  <si>
    <t>1x AIM-9D (stock)</t>
  </si>
  <si>
    <t>(44 kg)</t>
  </si>
  <si>
    <t>(88 kg)</t>
  </si>
  <si>
    <t>(750 kg)</t>
  </si>
  <si>
    <t>(88.45 kg)</t>
  </si>
  <si>
    <t>JP</t>
  </si>
  <si>
    <t>1x R-23R</t>
  </si>
  <si>
    <t>1x Super 530F</t>
  </si>
  <si>
    <t>1x AIM-9G</t>
  </si>
  <si>
    <t>F-4EJ</t>
  </si>
  <si>
    <t>(223 kg)</t>
  </si>
  <si>
    <t>(245 kg)</t>
  </si>
  <si>
    <t>F-4EJ Kai</t>
  </si>
  <si>
    <t>1x R-23T</t>
  </si>
  <si>
    <t>2x 500 kg FAB-500-M62</t>
  </si>
  <si>
    <t>(215 kg)</t>
  </si>
  <si>
    <t>(1016.6 kg)</t>
  </si>
  <si>
    <t>CN</t>
  </si>
  <si>
    <t>1x R-24R</t>
  </si>
  <si>
    <r>
      <rPr>
        <sz val="11"/>
        <color theme="1"/>
        <rFont val="Calibri"/>
      </rPr>
      <t xml:space="preserve">TGP (AGMs in bold </t>
    </r>
    <r>
      <rPr>
        <b/>
        <sz val="11"/>
        <color theme="1"/>
        <rFont val="Calibri"/>
      </rPr>
      <t>require</t>
    </r>
    <r>
      <rPr>
        <sz val="11"/>
        <color theme="1"/>
        <rFont val="Calibri"/>
      </rPr>
      <t xml:space="preserve"> this)</t>
    </r>
  </si>
  <si>
    <t>(244 kg)</t>
  </si>
  <si>
    <t>1x R-24T</t>
  </si>
  <si>
    <t>1x S-25L</t>
  </si>
  <si>
    <t>IT</t>
  </si>
  <si>
    <t>(237 kg)</t>
  </si>
  <si>
    <t>(410 kg)</t>
  </si>
  <si>
    <t>FR</t>
  </si>
  <si>
    <t>1x Kh-25ML</t>
  </si>
  <si>
    <t>Milan 01</t>
  </si>
  <si>
    <t>(297 kg)</t>
  </si>
  <si>
    <t>1x Kh-29L</t>
  </si>
  <si>
    <t>(657 kg)</t>
  </si>
  <si>
    <t>SWE</t>
  </si>
  <si>
    <t>1x R-60 (stock)</t>
  </si>
  <si>
    <t>ISR</t>
  </si>
  <si>
    <t>Leaks</t>
  </si>
  <si>
    <t>Date</t>
  </si>
  <si>
    <t>Day</t>
  </si>
  <si>
    <t>First devblog to leak</t>
  </si>
  <si>
    <t>Leak to release</t>
  </si>
  <si>
    <t>Image links</t>
  </si>
  <si>
    <t>[Image]</t>
  </si>
  <si>
    <t>Teasers</t>
  </si>
  <si>
    <t>Time (UTC)</t>
  </si>
  <si>
    <t>First devblog to teaser</t>
  </si>
  <si>
    <t>Number of devblogs until teaser*</t>
  </si>
  <si>
    <t>Average release time:</t>
  </si>
  <si>
    <t>*: discrepancy is due to the inclusion of same day devblogs</t>
  </si>
  <si>
    <t>Dev streams</t>
  </si>
  <si>
    <t>First devblog to stream</t>
  </si>
  <si>
    <t>Number of devblogs until stream*</t>
  </si>
  <si>
    <t>Dev servers</t>
  </si>
  <si>
    <t>Start time (UTC)</t>
  </si>
  <si>
    <t>Announcement time (UTC)</t>
  </si>
  <si>
    <t>Days between 1&amp;2(&amp;3)</t>
  </si>
  <si>
    <t>First devblog to first dev server</t>
  </si>
  <si>
    <t>Number of devblogs until first dev server*</t>
  </si>
  <si>
    <t>First dev servers</t>
  </si>
  <si>
    <t>Average start time</t>
  </si>
  <si>
    <t>Average announcement time</t>
  </si>
  <si>
    <t>Second and third dev servers</t>
  </si>
  <si>
    <t>Summary</t>
  </si>
  <si>
    <t>Leak</t>
  </si>
  <si>
    <t>Teaser</t>
  </si>
  <si>
    <t>Dev stream</t>
  </si>
  <si>
    <t>Dev server</t>
  </si>
  <si>
    <t>Devblogs</t>
  </si>
  <si>
    <t>Warspite (03)</t>
  </si>
  <si>
    <t>VBCI VCI</t>
  </si>
  <si>
    <t>T77E1 &amp; Skink [USA] &amp; Ram Mk. II [GBR]</t>
  </si>
  <si>
    <t>T1E1 (90 mm)</t>
  </si>
  <si>
    <t>FOX-3: Active Radar Homing Missiles</t>
  </si>
  <si>
    <t>Centauro MGS [OMN] &amp; strv 121B «Christian II»</t>
  </si>
  <si>
    <t>M1A1HC "Click-Bait" &amp; Challenger 2 OES &amp; Tier VIII tanks</t>
  </si>
  <si>
    <t>Vickers Mk. 11</t>
  </si>
  <si>
    <t>2S1</t>
  </si>
  <si>
    <t>M1 (KVT)</t>
  </si>
  <si>
    <t>Sd.Kfz. 222</t>
  </si>
  <si>
    <t>9A35M2</t>
  </si>
  <si>
    <t>Fusō</t>
  </si>
  <si>
    <t>Alaska (CB-1)</t>
  </si>
  <si>
    <t>VCAC MEPHISTO</t>
  </si>
  <si>
    <t>Arizona (BB-39)</t>
  </si>
  <si>
    <t>Challenger 2 (TES)</t>
  </si>
  <si>
    <t>Tigre (TI)</t>
  </si>
  <si>
    <t>Pbv 301</t>
  </si>
  <si>
    <t>Liverpool (11)</t>
  </si>
  <si>
    <t>Blackpool (F 77)</t>
  </si>
  <si>
    <r>
      <rPr>
        <u/>
        <sz val="11"/>
        <color rgb="FF1155CC"/>
        <rFont val="Calibri"/>
      </rPr>
      <t xml:space="preserve">LTV </t>
    </r>
    <r>
      <rPr>
        <u/>
        <sz val="11"/>
        <color rgb="FF1155CC"/>
        <rFont val="Calibri"/>
      </rPr>
      <t>A-7D Corsair II</t>
    </r>
  </si>
  <si>
    <t>CDC 37L (SA 37)</t>
  </si>
  <si>
    <t>Akebono</t>
  </si>
  <si>
    <t>ZSD63 (PG87)</t>
  </si>
  <si>
    <t>strv m/31</t>
  </si>
  <si>
    <t>Svenska Aero J 6B</t>
  </si>
  <si>
    <t>Kamov Ka-50</t>
  </si>
  <si>
    <t>RIP Maus</t>
  </si>
  <si>
    <t>Japanese Fleet</t>
  </si>
  <si>
    <t>Challenger 2 (Dorchester 2E) &amp; Tier VII tanks</t>
  </si>
  <si>
    <t>Italian tanks</t>
  </si>
  <si>
    <t>Navy OBT</t>
  </si>
  <si>
    <t>Mil Mi-24 &amp; Bell AH-1F</t>
  </si>
  <si>
    <t>Type 90</t>
  </si>
  <si>
    <t>Dagor 5.0: TAA</t>
  </si>
  <si>
    <t>French tanks</t>
  </si>
  <si>
    <t>Dewoitine D.371</t>
  </si>
  <si>
    <t>Waffenträger Krupp-Steyr</t>
  </si>
  <si>
    <t>Fiat CR.32</t>
  </si>
  <si>
    <t>New tracers</t>
  </si>
  <si>
    <t>Ka-Mi</t>
  </si>
  <si>
    <t>M163</t>
  </si>
  <si>
    <t>Supermarine Spitfire F. Mk. IX rework</t>
  </si>
  <si>
    <t>New squadron features</t>
  </si>
  <si>
    <t>New Thermodynamics</t>
  </si>
  <si>
    <t>Churchill Mk. III &amp; VII</t>
  </si>
  <si>
    <t>Advance to the Rhine</t>
  </si>
  <si>
    <t>Sector indicator</t>
  </si>
  <si>
    <t>Hürtgen Forest</t>
  </si>
  <si>
    <t>New Ground Vehicle Views</t>
  </si>
  <si>
    <t>M2</t>
  </si>
  <si>
    <t>Nakajima Ki 27 Otsu</t>
  </si>
  <si>
    <t>New aircraft</t>
  </si>
  <si>
    <t>Lavochkin 174 cockpit</t>
  </si>
  <si>
    <t>Tank sounds recording</t>
  </si>
  <si>
    <t>Thai aircraft</t>
  </si>
  <si>
    <t>Scimitar</t>
  </si>
  <si>
    <t>ZSU-23-4M2</t>
  </si>
  <si>
    <t>Westland Wessex H.U. Mk. 5</t>
  </si>
  <si>
    <t>Panavia IDS-Tornado (WTD 61)</t>
  </si>
  <si>
    <t>Iron Duke (18) &amp; Yamashiro</t>
  </si>
  <si>
    <t>MBT-2000</t>
  </si>
  <si>
    <t>Curtiss BF2C-1</t>
  </si>
  <si>
    <t>Optimization of the War Thunder file structure</t>
  </si>
  <si>
    <t>Grumman A-6E (WCSI) &amp; Tier VIII aircraft</t>
  </si>
  <si>
    <t>Bosvark</t>
  </si>
  <si>
    <t>Pbv 302 (Rb 56)</t>
  </si>
  <si>
    <t>pvkv III</t>
  </si>
  <si>
    <t>Erprobungsträger mit Dreiachsig stabilisierter Turm III F</t>
  </si>
  <si>
    <t>Krischan der Große</t>
  </si>
  <si>
    <t>ZTL11</t>
  </si>
  <si>
    <t>ZTZ99 (Phase 2) &amp; Nánchāng A5C</t>
  </si>
  <si>
    <t>Northrop F-5C Freedom Fighter</t>
  </si>
  <si>
    <t>Fokker D.XXI</t>
  </si>
  <si>
    <t>Von der Tann</t>
  </si>
  <si>
    <t>VFM5</t>
  </si>
  <si>
    <t>SM</t>
  </si>
  <si>
    <t>MS 15 &amp; Italian Navy</t>
  </si>
  <si>
    <t>strv m/40L</t>
  </si>
  <si>
    <t>Tobruk (D 37)</t>
  </si>
  <si>
    <t>Centurion Mk. 7 (CMT)</t>
  </si>
  <si>
    <t>Westland Lynx A.H. Mk. 1 &amp; G-LYNX</t>
  </si>
  <si>
    <t>No. 4</t>
  </si>
  <si>
    <t>Hawker Sea Hawk</t>
  </si>
  <si>
    <t>105/25 M43</t>
  </si>
  <si>
    <t>Nepal (G 25)</t>
  </si>
  <si>
    <t>Mil Mi-4 &amp; Bell UH-1</t>
  </si>
  <si>
    <t>Vought F4U-7 Corsair</t>
  </si>
  <si>
    <t>Leopard 2K</t>
  </si>
  <si>
    <t>AMX 13 (SS.11)</t>
  </si>
  <si>
    <t>Potez 630 &amp; 631</t>
  </si>
  <si>
    <t>T-64A</t>
  </si>
  <si>
    <t>Fiat G.55 Centauro</t>
  </si>
  <si>
    <t>Supermarine Spitfire Mk. II rework</t>
  </si>
  <si>
    <t>Chi-Ha</t>
  </si>
  <si>
    <t>Sukhoi Su-6 (M-71F)</t>
  </si>
  <si>
    <t>Republic P-47N-15-RA Thunderbolt</t>
  </si>
  <si>
    <t>Medkits</t>
  </si>
  <si>
    <t>Last Man Standing</t>
  </si>
  <si>
    <t>Tetrarch Mk. I</t>
  </si>
  <si>
    <t>Dagor 4.0: Physically based rendering</t>
  </si>
  <si>
    <t>Finland</t>
  </si>
  <si>
    <t>M18 GMC &amp; M18 GMC (805th TD.Bat.) «Black Cat»</t>
  </si>
  <si>
    <t>Ground forces map changes</t>
  </si>
  <si>
    <t>M16 MGMC</t>
  </si>
  <si>
    <t>Future of the Japanese aviation in War Thunder</t>
  </si>
  <si>
    <t>Squadron Battles</t>
  </si>
  <si>
    <t>de Havilland Mosquito F.B. Mk. XVIII &amp; North American F-82E Twin Mustang &amp; Lavochkin La-15</t>
  </si>
  <si>
    <t>Yakovlev Yak-9U</t>
  </si>
  <si>
    <t>La Galissonnière</t>
  </si>
  <si>
    <t>PLZ05</t>
  </si>
  <si>
    <t>Tennessee (BB-43)</t>
  </si>
  <si>
    <t>Option for Smaller Team Sizes in Air Realistic Battles</t>
  </si>
  <si>
    <t>AMX VCI (M45)</t>
  </si>
  <si>
    <t>Roanoke (CL-145)</t>
  </si>
  <si>
    <t>3½t Truck (SAM-1C)</t>
  </si>
  <si>
    <t>pvkv IV</t>
  </si>
  <si>
    <t>Grumman F-14B-150 Tomcat</t>
  </si>
  <si>
    <t>ZTS63 (1979)</t>
  </si>
  <si>
    <t>Magach 7 Gimel</t>
  </si>
  <si>
    <t>Finnish aviation and tanks</t>
  </si>
  <si>
    <t>VK 30.02 (M) V2</t>
  </si>
  <si>
    <t>Hood (51)</t>
  </si>
  <si>
    <t>Albatros (F 543)</t>
  </si>
  <si>
    <t>Leclerc s. 21</t>
  </si>
  <si>
    <t>Vought V-12D</t>
  </si>
  <si>
    <t>Yūbari</t>
  </si>
  <si>
    <t>Sukhoi Su-7BMK</t>
  </si>
  <si>
    <t>PTL02</t>
  </si>
  <si>
    <t>Invincible</t>
  </si>
  <si>
    <t>FlaRakRad 1 A2</t>
  </si>
  <si>
    <t>T-72B (Kontakt-5) &amp; T-72B3</t>
  </si>
  <si>
    <t>D2</t>
  </si>
  <si>
    <t>sav m/43</t>
  </si>
  <si>
    <t>Saab B 3C</t>
  </si>
  <si>
    <t>BMP-3</t>
  </si>
  <si>
    <t>Westland Scout &amp; Wasp</t>
  </si>
  <si>
    <t>Tama</t>
  </si>
  <si>
    <t>Alaska</t>
  </si>
  <si>
    <t>Breda 501</t>
  </si>
  <si>
    <t>Grey Fox (SGB 4)</t>
  </si>
  <si>
    <t>Char 25t &amp; T-80B</t>
  </si>
  <si>
    <t>T-64BV</t>
  </si>
  <si>
    <t>Dagor 5.0: water</t>
  </si>
  <si>
    <t>B1 ter</t>
  </si>
  <si>
    <t>Caudron C.714</t>
  </si>
  <si>
    <t>M60A1 (RISE/P)</t>
  </si>
  <si>
    <t>Breda Ba.88 Lince</t>
  </si>
  <si>
    <t>Type 87</t>
  </si>
  <si>
    <t>Chi-Nu</t>
  </si>
  <si>
    <t>Nakajima Ki-87</t>
  </si>
  <si>
    <t>Sturmpanzer</t>
  </si>
  <si>
    <t>Dagor 4.0 New photorealistic technology for sky and cloud rendering</t>
  </si>
  <si>
    <t>Dornier Do 335 Pfeil</t>
  </si>
  <si>
    <t>Cromwell Mk. I</t>
  </si>
  <si>
    <t>Destructible environment</t>
  </si>
  <si>
    <t>Neubau-Panzerkampfwagen IV (3,7cm &amp; 7,5cm)</t>
  </si>
  <si>
    <t>Douglas AD-2 Skyraider &amp; Stu.H. G</t>
  </si>
  <si>
    <t>Graphic improvements</t>
  </si>
  <si>
    <t>M4A1(76)W</t>
  </si>
  <si>
    <t>Future of the Soviet aviation in War Thunder</t>
  </si>
  <si>
    <t>Ki 45 cockpit</t>
  </si>
  <si>
    <t>Mikoyan-Gurevich MiG-15bis [DEU] &amp; Canadair CL-13A Sabre Mk. 5 &amp; North American F-86F-30 Kyokkō</t>
  </si>
  <si>
    <t>Hawker Tempest F.B. Mk. 2</t>
  </si>
  <si>
    <t>Attica</t>
  </si>
  <si>
    <t>Dunkerque</t>
  </si>
  <si>
    <t>KV-1A</t>
  </si>
  <si>
    <t>Leopard 2 A4M CAN</t>
  </si>
  <si>
    <t>Blackburn Buccaneer S. Mk. 2B</t>
  </si>
  <si>
    <t>Volcano Valley</t>
  </si>
  <si>
    <t>Agusta AH-129D</t>
  </si>
  <si>
    <t>TO-55</t>
  </si>
  <si>
    <t>Le Malin (X 82)</t>
  </si>
  <si>
    <t>Nenohi</t>
  </si>
  <si>
    <t>AMX 32 P1</t>
  </si>
  <si>
    <t>M1A2 SEPv1 (TUSK 1)</t>
  </si>
  <si>
    <t>Mikhail Kutuzov</t>
  </si>
  <si>
    <t>G6-45</t>
  </si>
  <si>
    <t>Dagor Engine 6.5: New Surface Rendering</t>
  </si>
  <si>
    <t>Improving the flight physics of the SACLOS/MCLOS missiles</t>
  </si>
  <si>
    <t>VCC-80 Dardo (HITFIST 30)</t>
  </si>
  <si>
    <t>Reports concerning the protection of post-war combat vehicles</t>
  </si>
  <si>
    <t>New effects for the nuclear blast</t>
  </si>
  <si>
    <r>
      <rPr>
        <u/>
        <sz val="11"/>
        <color rgb="FF1155CC"/>
        <rFont val="Calibri"/>
      </rPr>
      <t>M3A3</t>
    </r>
    <r>
      <rPr>
        <u/>
        <sz val="11"/>
        <color rgb="FF1155CC"/>
        <rFont val="Calibri"/>
      </rPr>
      <t xml:space="preserve"> CFV</t>
    </r>
  </si>
  <si>
    <t>Blackburn Buccaneer S. Mk. 2</t>
  </si>
  <si>
    <t>Dagor 6.0: new skies</t>
  </si>
  <si>
    <t>Nánchāng Q5</t>
  </si>
  <si>
    <t>HSTV(L)</t>
  </si>
  <si>
    <t>Lago I</t>
  </si>
  <si>
    <t>New Zealand cape</t>
  </si>
  <si>
    <t>Bréguet Br.693AB2</t>
  </si>
  <si>
    <t>Map filter</t>
  </si>
  <si>
    <t>M2 (ADATS)</t>
  </si>
  <si>
    <t>Somers (DD-381)</t>
  </si>
  <si>
    <t>M14/41</t>
  </si>
  <si>
    <t>Haida (G 63)</t>
  </si>
  <si>
    <t>TAM &amp; M247</t>
  </si>
  <si>
    <t>Curtiss P-40F-10-CU</t>
  </si>
  <si>
    <t>Dagor 5.0: weather</t>
  </si>
  <si>
    <t>M4A1 (FL10)</t>
  </si>
  <si>
    <t>Arsenal VG 33.C-1</t>
  </si>
  <si>
    <t>ERA &amp; Composite</t>
  </si>
  <si>
    <t>CANT Z.1007 Alcione</t>
  </si>
  <si>
    <t>Centurion Mk. 1</t>
  </si>
  <si>
    <t>STA-1</t>
  </si>
  <si>
    <t>Swingfire</t>
  </si>
  <si>
    <t>M60A1 (AOS)</t>
  </si>
  <si>
    <t>Add-on armour &amp; decorations</t>
  </si>
  <si>
    <t>T-44-100</t>
  </si>
  <si>
    <t>Mitsubishi A7M2 Reppū</t>
  </si>
  <si>
    <t>War Thunder Sound Recordings: The Lancaster</t>
  </si>
  <si>
    <t>Enduring Confrontation</t>
  </si>
  <si>
    <t>M3 GMC &amp; Mitsubishi Ki-21-I</t>
  </si>
  <si>
    <t>Cockpit lights &amp; Junkers Ju 87 D-5 gunpods</t>
  </si>
  <si>
    <t>M41A1</t>
  </si>
  <si>
    <t>Future of the German aviation in War Thunder</t>
  </si>
  <si>
    <t>Horten Ho 229 V3</t>
  </si>
  <si>
    <t>Progression system (update)</t>
  </si>
  <si>
    <t>Mitsubishi A6M5b Model 52 Otsu Reisen</t>
  </si>
  <si>
    <t>Sukhoi Su-33</t>
  </si>
  <si>
    <t>Object 140</t>
  </si>
  <si>
    <t>AVIC CAC / PAC JF-17A (Block 1)</t>
  </si>
  <si>
    <t>Sukhoi Su-27SM</t>
  </si>
  <si>
    <t>Hungarian aircraft</t>
  </si>
  <si>
    <t>Challenger 3 (Technology Demonstrator)</t>
  </si>
  <si>
    <t>M109 &amp; M109A1 &amp; M 109 G</t>
  </si>
  <si>
    <t>Texas (BB-35)</t>
  </si>
  <si>
    <t>Bravy</t>
  </si>
  <si>
    <t>Pyrenees &amp; Ardennes (winter) &amp; Maginot Line (winter) &amp; Seversk-13 (winter)</t>
  </si>
  <si>
    <t>SUB-I-2 (MK 20)</t>
  </si>
  <si>
    <t>Mitsubishi XT-2 (Conversion to Late-model)</t>
  </si>
  <si>
    <t>AFT09</t>
  </si>
  <si>
    <t>VBC Centauro PT 2</t>
  </si>
  <si>
    <t>Dagor Engine 6.5: Zoom in... Enhance it!</t>
  </si>
  <si>
    <t>Israeli Air CBT</t>
  </si>
  <si>
    <t>Marlborough</t>
  </si>
  <si>
    <t>Vickers Mk. 3</t>
  </si>
  <si>
    <t>de Havilland Sea Vixen F.(A.W.) Mk. 2</t>
  </si>
  <si>
    <t>Kaiser</t>
  </si>
  <si>
    <t>STA-3</t>
  </si>
  <si>
    <t>Mikoyan-Gurevich MiG-21bis</t>
  </si>
  <si>
    <t>Zara</t>
  </si>
  <si>
    <t>British rockets</t>
  </si>
  <si>
    <t>Douglas A-4B Skyhawk</t>
  </si>
  <si>
    <t>Saab B 17A</t>
  </si>
  <si>
    <t>Mil Mi-28N Havoc</t>
  </si>
  <si>
    <t>Atlanta (CL-51)</t>
  </si>
  <si>
    <t>9P149M</t>
  </si>
  <si>
    <t>Mikoyan-Gurevich MiG-19S</t>
  </si>
  <si>
    <t>Sho't Kal Dalet</t>
  </si>
  <si>
    <t>MBB BO 105</t>
  </si>
  <si>
    <t>AGM-12 Bullpup</t>
  </si>
  <si>
    <t>Centurion AVRE</t>
  </si>
  <si>
    <t>Lavochkin La-200</t>
  </si>
  <si>
    <t>SAu 40</t>
  </si>
  <si>
    <t>French cockpits</t>
  </si>
  <si>
    <t>KPz. 70 &amp; MBT 70</t>
  </si>
  <si>
    <t>T-55A</t>
  </si>
  <si>
    <t>Martin B-10B</t>
  </si>
  <si>
    <t>I-Gō Otsu</t>
  </si>
  <si>
    <t>Leopard 1 A1 A1</t>
  </si>
  <si>
    <t>Kawasaki Ki-100-I</t>
  </si>
  <si>
    <t>KV-2 variants</t>
  </si>
  <si>
    <t>Falcon</t>
  </si>
  <si>
    <t>A.C. Mk. IV</t>
  </si>
  <si>
    <t>BM-8-24</t>
  </si>
  <si>
    <t>Orders</t>
  </si>
  <si>
    <t>Normandy</t>
  </si>
  <si>
    <t>Maus</t>
  </si>
  <si>
    <t>M103</t>
  </si>
  <si>
    <t>Future of the American aviation in War Thunder</t>
  </si>
  <si>
    <t>Supermarine Spitfire F. Mk. XIV</t>
  </si>
  <si>
    <t>CDK</t>
  </si>
  <si>
    <t>Focke-Wulf Fw 190 D-9</t>
  </si>
  <si>
    <t>M44 &amp; M44A1</t>
  </si>
  <si>
    <t>Panavia Tornado G.R. Mk. 4</t>
  </si>
  <si>
    <t>FFA P-16 Mk. III</t>
  </si>
  <si>
    <t>Bernau (343)</t>
  </si>
  <si>
    <t>Northrop-Grumman F-20A Tigershark</t>
  </si>
  <si>
    <t>T-90M</t>
  </si>
  <si>
    <t>Flanders</t>
  </si>
  <si>
    <t>AMX 10 M</t>
  </si>
  <si>
    <t>Iberian Castle</t>
  </si>
  <si>
    <t>Type 16 MCV (15th RDR)</t>
  </si>
  <si>
    <t>Mikoyan-Gurevich MiG-21bis (Lazur) &amp; Lockheed F-104S/CB (TUR) &amp; Israel Aircraft Industries Kfir Gderot</t>
  </si>
  <si>
    <t>Zachlam (TCM-20)</t>
  </si>
  <si>
    <t>VRCC Centauro</t>
  </si>
  <si>
    <t>Bayern</t>
  </si>
  <si>
    <t>Sun City</t>
  </si>
  <si>
    <t>Type 10</t>
  </si>
  <si>
    <t>Wiesel (x3)</t>
  </si>
  <si>
    <t>2S25</t>
  </si>
  <si>
    <t>PGZ04A</t>
  </si>
  <si>
    <t>Olifant Mk. 1A</t>
  </si>
  <si>
    <t>Visual effects for ground vehicles</t>
  </si>
  <si>
    <t>Dagor 6.0: visual effects</t>
  </si>
  <si>
    <t>Long 12cm SPG</t>
  </si>
  <si>
    <t>Trento</t>
  </si>
  <si>
    <t>ikv 103</t>
  </si>
  <si>
    <t>Prinz Eugen</t>
  </si>
  <si>
    <t>Vickers Mk. 7</t>
  </si>
  <si>
    <t>Object 685</t>
  </si>
  <si>
    <t>Fiat F-86K (FR)</t>
  </si>
  <si>
    <t>Brooklyn (CL-40)</t>
  </si>
  <si>
    <t>Challenger 1 Mk. 3</t>
  </si>
  <si>
    <t>Aérospatiale SA.313B</t>
  </si>
  <si>
    <t>Leopard 1 A1 A1 (Rh120-44)</t>
  </si>
  <si>
    <t>Italy</t>
  </si>
  <si>
    <t>Challenger 1 Mk. 2</t>
  </si>
  <si>
    <t>S 35</t>
  </si>
  <si>
    <t>Farman F.222.2</t>
  </si>
  <si>
    <t>Fulda Gap</t>
  </si>
  <si>
    <t>Fiat G.91 pre-serie</t>
  </si>
  <si>
    <t>Ru 251</t>
  </si>
  <si>
    <t>Chi-He</t>
  </si>
  <si>
    <t>Grumman F-9J Cougar</t>
  </si>
  <si>
    <t>T-62</t>
  </si>
  <si>
    <t>Oculus Rift</t>
  </si>
  <si>
    <t>Focke-Wulf Fw 189 A-1 Uhu</t>
  </si>
  <si>
    <t>Centurion Mk. 3 &amp; Conqueror</t>
  </si>
  <si>
    <t>War Thunder Sound Recordings: The Tiger II</t>
  </si>
  <si>
    <t>Blackburn Firebrand T.F. Mk. IV</t>
  </si>
  <si>
    <t>Arado Ar 234 C-3</t>
  </si>
  <si>
    <t>Enhanced vehicle to surface interaction</t>
  </si>
  <si>
    <t>M24</t>
  </si>
  <si>
    <t>T-54-1</t>
  </si>
  <si>
    <t>Multi Turreted Control</t>
  </si>
  <si>
    <t>Lavochkin La-9</t>
  </si>
  <si>
    <t>RDF/LT &amp; BMD-4M</t>
  </si>
  <si>
    <t>Lockheed F-117A Nighthawk</t>
  </si>
  <si>
    <t>French coastal</t>
  </si>
  <si>
    <t>Mysterious Valley &amp; Bering Sea</t>
  </si>
  <si>
    <t>Merkava Mk. 3 Ra'am Segol &amp; Type 90 TK (B) (Fuji School)</t>
  </si>
  <si>
    <t>McDonnell Douglas F-15A-18 Eagle &amp; McDonnell Douglas F-15A-18 Baz &amp; McDonnell Douglas / Mitsubishi F-15J Īguru</t>
  </si>
  <si>
    <t>Optical Contrast Mode</t>
  </si>
  <si>
    <t>T-90S "Bhishma"</t>
  </si>
  <si>
    <t>Colbert</t>
  </si>
  <si>
    <t>Challenger 2E</t>
  </si>
  <si>
    <t>General Dynamics F-16A Fighting Falcon</t>
  </si>
  <si>
    <t>Arctic and Rocky Canyon</t>
  </si>
  <si>
    <t>Aircraft engine fire extinguishers</t>
  </si>
  <si>
    <t>Abandoned Town &amp; South-Eastern City &amp; improved Sun City</t>
  </si>
  <si>
    <t>Scharnhorst &amp; scout aircraft</t>
  </si>
  <si>
    <t>Self-Entrenching and Bomb Craters</t>
  </si>
  <si>
    <t>Spaceport &amp; Breslau &amp; New Test Drive</t>
  </si>
  <si>
    <t>Commander sights for ground vehicles</t>
  </si>
  <si>
    <t>ZT3A2</t>
  </si>
  <si>
    <t>Italian helicopters</t>
  </si>
  <si>
    <t>T-72AV (TURMS-T)</t>
  </si>
  <si>
    <t>Breguet/BAC Jaguar</t>
  </si>
  <si>
    <t>McDonnell F3H-2 Demon</t>
  </si>
  <si>
    <t>Rooikat 105</t>
  </si>
  <si>
    <t>Rooikat Mk. 1D</t>
  </si>
  <si>
    <t>Agusta A129</t>
  </si>
  <si>
    <t>NVD &amp; Thermals</t>
  </si>
  <si>
    <t>Leclerc s. 1</t>
  </si>
  <si>
    <t>T-80U</t>
  </si>
  <si>
    <t>M3 Bradley</t>
  </si>
  <si>
    <t>Brantford (K 218)</t>
  </si>
  <si>
    <t>American Desert</t>
  </si>
  <si>
    <t>Chieftain Marksman</t>
  </si>
  <si>
    <t>Martin-Baker MB.5</t>
  </si>
  <si>
    <t>Lorraine 40t</t>
  </si>
  <si>
    <t>Bloch M.B.157-C1</t>
  </si>
  <si>
    <t>M50 Ontos</t>
  </si>
  <si>
    <t>Piaggio P.108B Bombardiere</t>
  </si>
  <si>
    <t>T14</t>
  </si>
  <si>
    <t>PT-85</t>
  </si>
  <si>
    <t>Greece</t>
  </si>
  <si>
    <t>Crew replenishment</t>
  </si>
  <si>
    <t>ASU-57</t>
  </si>
  <si>
    <t>KV-1S</t>
  </si>
  <si>
    <t>Short Stirling B. Mk. I &amp; III</t>
  </si>
  <si>
    <t>Lockheed P-38E &amp; K Lightning</t>
  </si>
  <si>
    <t>T-34-100 &amp; M18 GMC (M3)</t>
  </si>
  <si>
    <t>T28 &amp; T28 (Transport)</t>
  </si>
  <si>
    <t>Boeing B-29A-20 &amp; Flak.Pz. 38</t>
  </si>
  <si>
    <t>M4A1</t>
  </si>
  <si>
    <t>Nakajima Ki 43-I Hei Hayabusa</t>
  </si>
  <si>
    <t>Crew Lock</t>
  </si>
  <si>
    <t>Polikarpov I-185</t>
  </si>
  <si>
    <t>Dassault Rafale C (F4.1)</t>
  </si>
  <si>
    <t>McDonnell Douglas F-15E Strike Eagle</t>
  </si>
  <si>
    <t>Al-Khalid 1</t>
  </si>
  <si>
    <t>Dutch and Belgian aircraft</t>
  </si>
  <si>
    <t>ZBD04A</t>
  </si>
  <si>
    <t>M1A2 SEPv2 (TUSK 2)</t>
  </si>
  <si>
    <t>Object 775</t>
  </si>
  <si>
    <t>General Dynamics F-16C-50 Fighting Falcon</t>
  </si>
  <si>
    <t>SPz 12-3 (Typ 3Z 8DLA)</t>
  </si>
  <si>
    <t>Des Moines (CA-134)</t>
  </si>
  <si>
    <t>Mikoyan-Gurevich MiG-29 (9-13)</t>
  </si>
  <si>
    <t>Glorious (77)</t>
  </si>
  <si>
    <t>Skink</t>
  </si>
  <si>
    <t>Dassault Milan S 01</t>
  </si>
  <si>
    <t>Wind mechanic</t>
  </si>
  <si>
    <t>Vyborg Bay, Bourbon Island, Aral Sea</t>
  </si>
  <si>
    <t>Mikoyan-Gurevich MiG-27M &amp; guided bombs</t>
  </si>
  <si>
    <t>Mikoyan-Gurevich MiG-23M &amp; Tier VII</t>
  </si>
  <si>
    <t>Northrop F-5A Freedom Fighter [CHN]</t>
  </si>
  <si>
    <t>Pola</t>
  </si>
  <si>
    <t>Saab Sk 60B</t>
  </si>
  <si>
    <t>CM25</t>
  </si>
  <si>
    <t>Calabria (remade Italy)</t>
  </si>
  <si>
    <t>AMX 32</t>
  </si>
  <si>
    <t>FFVS J 22-1 &amp; J 22-2</t>
  </si>
  <si>
    <t>Pensacola (CA-24)</t>
  </si>
  <si>
    <t>Eurocopter EC-665 Tiger &amp; Tigre</t>
  </si>
  <si>
    <t>AMX 50 Surblindé</t>
  </si>
  <si>
    <t>Savoia-Marchetti S.M.92</t>
  </si>
  <si>
    <t>Centauro</t>
  </si>
  <si>
    <t>Dornier UH-1D</t>
  </si>
  <si>
    <t>Bell AH-1G</t>
  </si>
  <si>
    <t>I.A.R.81 C</t>
  </si>
  <si>
    <t>Magach 3</t>
  </si>
  <si>
    <t>M4A4T (SA 50)</t>
  </si>
  <si>
    <t>Begleitpanzer 57</t>
  </si>
  <si>
    <t>Beechcraft XA-38 Grizzly</t>
  </si>
  <si>
    <t>Sd.Kfz. 234/2</t>
  </si>
  <si>
    <t>Guiana Highlands</t>
  </si>
  <si>
    <t>Lockheed B-34 Ventura</t>
  </si>
  <si>
    <t>ZSU-23-4</t>
  </si>
  <si>
    <t>Ram Mk. II</t>
  </si>
  <si>
    <t>Pz.Kpfw. III B</t>
  </si>
  <si>
    <t>Conqueror armour package</t>
  </si>
  <si>
    <t>Comet Mk. Ia &amp; Challenger Mk. I</t>
  </si>
  <si>
    <t>War Thunder Sound Recordings: The Griffon Spitfire</t>
  </si>
  <si>
    <t>Leopard 1</t>
  </si>
  <si>
    <t>Ilyushin Il-2 variants</t>
  </si>
  <si>
    <t>Improved Foliage</t>
  </si>
  <si>
    <t>New "To Battle!" button</t>
  </si>
  <si>
    <t>Ilyushin Il-28</t>
  </si>
  <si>
    <t>Mikoyan-Gurevich MiG-3-34</t>
  </si>
  <si>
    <t>Nakajima Ki 84 Hayate &amp; Mitsubishi A6M3a Model 22 Ko Reisen</t>
  </si>
  <si>
    <t>PzH 2000 A1 &amp; PzH 2000HU</t>
  </si>
  <si>
    <t>Luchs A2</t>
  </si>
  <si>
    <t>General Dynamics / Boeing F-111C &amp; F-111F Aardvark</t>
  </si>
  <si>
    <t>AMX International AMX A-1A</t>
  </si>
  <si>
    <t>Mutsu</t>
  </si>
  <si>
    <t>VT4A1</t>
  </si>
  <si>
    <t>General Dynamics F-111A</t>
  </si>
  <si>
    <t>K9 (VIDAR)</t>
  </si>
  <si>
    <t>Franz Josef Land &amp; Fortification mechanics</t>
  </si>
  <si>
    <t>Nevada (BB-36)</t>
  </si>
  <si>
    <t>Panavia A-200A &amp; Panavia IDS-Tornado &amp; Panavia Tornado G.R. Mk. 1</t>
  </si>
  <si>
    <t>Frank Knox (DD-742)</t>
  </si>
  <si>
    <t>Pradesh</t>
  </si>
  <si>
    <t>Grumman F-14A-65 Tomcat</t>
  </si>
  <si>
    <t>Avia S.199</t>
  </si>
  <si>
    <t>Israeli Air Tree</t>
  </si>
  <si>
    <t>Saab J 35A Draken &amp; Saab JA 37C Viggen</t>
  </si>
  <si>
    <t>Marder 1 A1</t>
  </si>
  <si>
    <t>Ratel 90</t>
  </si>
  <si>
    <t>Republic F-84F Thunderstreak</t>
  </si>
  <si>
    <t>Navy research split &amp; BB</t>
  </si>
  <si>
    <t>Aleutian Islands</t>
  </si>
  <si>
    <t>Dassault Mirage III C</t>
  </si>
  <si>
    <t>pvkv II</t>
  </si>
  <si>
    <t>strv 103-0</t>
  </si>
  <si>
    <t>Saab J 29D Tunnan</t>
  </si>
  <si>
    <t>Reggiane Re.2005</t>
  </si>
  <si>
    <t>Akizuki</t>
  </si>
  <si>
    <t>Kirov</t>
  </si>
  <si>
    <t>Supersonics &amp; AAMs</t>
  </si>
  <si>
    <t>Armada (R 14)</t>
  </si>
  <si>
    <t>Vietnam (air)</t>
  </si>
  <si>
    <t>Kawasaki Ki- 32</t>
  </si>
  <si>
    <t>Dagor 5.0: lights</t>
  </si>
  <si>
    <t>Arsenal VB 10-02</t>
  </si>
  <si>
    <t>Dewoitine D.501</t>
  </si>
  <si>
    <t>BTR-152A</t>
  </si>
  <si>
    <t>Breda Ba.65 L</t>
  </si>
  <si>
    <t>Douglas A-26B-50 Invader</t>
  </si>
  <si>
    <t>Ho-I</t>
  </si>
  <si>
    <t>Flakpanzer Gepard 1</t>
  </si>
  <si>
    <t>Heinkel He 111H-6 rework</t>
  </si>
  <si>
    <t>Northrop P-61 Black Widow &amp; Messerschmitt Bf 109B-1 cockpits</t>
  </si>
  <si>
    <t>Northrop P-61 Black Widow</t>
  </si>
  <si>
    <t>Nakajima Ki-44-II Shōki</t>
  </si>
  <si>
    <t>T25 &amp; 15cm Pz.W. 42 auf sWS</t>
  </si>
  <si>
    <t>Curtiss SB2C-1C Helldiver &amp; Mitsubishi J2M5 Raiden</t>
  </si>
  <si>
    <t>Berlin</t>
  </si>
  <si>
    <t>Focke-Wulf Fw 200 C-1 Condor &amp; M26E1</t>
  </si>
  <si>
    <t>Mitsubishi J2M3 Raiden</t>
  </si>
  <si>
    <t>Marder III</t>
  </si>
  <si>
    <t>Fairey Swordfish bombs</t>
  </si>
  <si>
    <t>New Progression System</t>
  </si>
  <si>
    <t>Tiger I "Ost" &amp; Tiger I "West" &amp; Ostwind II "Ost"</t>
  </si>
  <si>
    <t>Sukhoi Su-34</t>
  </si>
  <si>
    <t>Amagi</t>
  </si>
  <si>
    <t>ZSL92</t>
  </si>
  <si>
    <t>Flakpanzer IV (3cm Fla.K.-V.)</t>
  </si>
  <si>
    <t>strv 122B Evolution</t>
  </si>
  <si>
    <t>AVIC XAC JH7A</t>
  </si>
  <si>
    <t>Csaba</t>
  </si>
  <si>
    <t>Object 435</t>
  </si>
  <si>
    <t>Boeing AH-6M Little Bird</t>
  </si>
  <si>
    <t>M728 CEV</t>
  </si>
  <si>
    <t>Ps. 511 (BT-42)</t>
  </si>
  <si>
    <t>Drones</t>
  </si>
  <si>
    <t>Lancia 3Ro (100/17)</t>
  </si>
  <si>
    <t>2S3M</t>
  </si>
  <si>
    <t>Mitscher (DL-2)</t>
  </si>
  <si>
    <t>Dynamics of War Thunder missiles</t>
  </si>
  <si>
    <t>Red Desert</t>
  </si>
  <si>
    <t>Mitsubishi A6M5c Mod. 52 Hei Reisen</t>
  </si>
  <si>
    <t>Sd.Kfz. 251/21</t>
  </si>
  <si>
    <t>Dreadnought</t>
  </si>
  <si>
    <r>
      <rPr>
        <u/>
        <sz val="11"/>
        <color rgb="FF1155CC"/>
        <rFont val="Calibri"/>
      </rPr>
      <t xml:space="preserve"> Republic P-47 (Razorback</t>
    </r>
    <r>
      <rPr>
        <u/>
        <sz val="11"/>
        <color rgb="FF1155CC"/>
        <rFont val="Calibri"/>
      </rPr>
      <t>)</t>
    </r>
  </si>
  <si>
    <t>Italian Fleet</t>
  </si>
  <si>
    <t>Sverdlov</t>
  </si>
  <si>
    <t>Admiral Graf Spee</t>
  </si>
  <si>
    <t>ZTZ96</t>
  </si>
  <si>
    <t>Supermarine Swift</t>
  </si>
  <si>
    <t>Messerschmitt Me 264</t>
  </si>
  <si>
    <t>Aérospatiale SA 341F &amp; SA 342M</t>
  </si>
  <si>
    <t>North American F-100D-65-NA</t>
  </si>
  <si>
    <t>Junkers Ju 288C</t>
  </si>
  <si>
    <t>Mil Mi-24A</t>
  </si>
  <si>
    <t>Magach 3 ERA</t>
  </si>
  <si>
    <t>Dagor 5.0: landscape</t>
  </si>
  <si>
    <t>Scouting</t>
  </si>
  <si>
    <t>Farman NC.223.3</t>
  </si>
  <si>
    <t>de Havilland DH.103 Hornet</t>
  </si>
  <si>
    <t>M60A2</t>
  </si>
  <si>
    <t>T34</t>
  </si>
  <si>
    <t>Ho-Ni III</t>
  </si>
  <si>
    <t>Blohm &amp; Voss BV 238 V1</t>
  </si>
  <si>
    <t>Squadron Battles: Seasonal system</t>
  </si>
  <si>
    <t>T29</t>
  </si>
  <si>
    <t>Frozen Pass</t>
  </si>
  <si>
    <t>Staghound AA Mk. I &amp; AEC Mk. II AA</t>
  </si>
  <si>
    <t>War Thunder Sound Recordings: The Sherman</t>
  </si>
  <si>
    <t>M60</t>
  </si>
  <si>
    <t>Supermarine Seafire F.R. Mk. 47 &amp; Hawker Sea Fury F.B. Mk. 11</t>
  </si>
  <si>
    <t>Operating canopies</t>
  </si>
  <si>
    <t>Eastern Europe</t>
  </si>
  <si>
    <t>Nakajima Kikka Kai</t>
  </si>
  <si>
    <t>North American PBJ-1H</t>
  </si>
  <si>
    <t>DirectX 11 support</t>
  </si>
  <si>
    <t>Eurofighter &amp; Eurofighter Typhoon F.G.R. Mk. 4 &amp; Eurofighter F-2000A</t>
  </si>
  <si>
    <t>Mil Mi-8AMTSh-VN</t>
  </si>
  <si>
    <t>AVIC CAC J10A</t>
  </si>
  <si>
    <t>Queen Mary (14)</t>
  </si>
  <si>
    <t>Sensor vision rendering and new replay capabilities</t>
  </si>
  <si>
    <t>Leopard 2 A7V</t>
  </si>
  <si>
    <t>Sikorsky MH-60L DAP</t>
  </si>
  <si>
    <t>Rocky Pillars &amp; Test Site - 2271</t>
  </si>
  <si>
    <t>CV9030FIN</t>
  </si>
  <si>
    <t>Aigle</t>
  </si>
  <si>
    <t>Mikoyan-Gurevich MiG-23ML &amp; McDonnell Douglas F-4J Phantom II (UK) &amp; Chéngdū J7D</t>
  </si>
  <si>
    <t>2S38</t>
  </si>
  <si>
    <t>T-80UK</t>
  </si>
  <si>
    <t>M1A1AIM SA</t>
  </si>
  <si>
    <t>Israel &amp; Volokolamsk</t>
  </si>
  <si>
    <t>Ystervark</t>
  </si>
  <si>
    <t>Avro Shackleton M.R. Mk. 2</t>
  </si>
  <si>
    <t>Crotale NG</t>
  </si>
  <si>
    <t>Seversk-13</t>
  </si>
  <si>
    <t>ZTZ99 (Phase 1)</t>
  </si>
  <si>
    <t>New hangars</t>
  </si>
  <si>
    <t>Peacock (P 239)</t>
  </si>
  <si>
    <t>T-69 II G</t>
  </si>
  <si>
    <t>Sweden</t>
  </si>
  <si>
    <t>sav fm/48</t>
  </si>
  <si>
    <t>VL Pyörremyrsky</t>
  </si>
  <si>
    <t>SIDAM 25 Mistral</t>
  </si>
  <si>
    <t>Furutaka</t>
  </si>
  <si>
    <t>Radar</t>
  </si>
  <si>
    <t>Krasny Krym</t>
  </si>
  <si>
    <t>Type 75 MSSR</t>
  </si>
  <si>
    <t>TAM</t>
  </si>
  <si>
    <t>XM803</t>
  </si>
  <si>
    <t>New sounds</t>
  </si>
  <si>
    <t>CCKW 353 AA</t>
  </si>
  <si>
    <t>Morane-Saulnier M.S.410</t>
  </si>
  <si>
    <t>BMP-1P</t>
  </si>
  <si>
    <t>Kuban remade</t>
  </si>
  <si>
    <t>Junkers Ju 87 rework</t>
  </si>
  <si>
    <t>Tupolev Tu-14T</t>
  </si>
  <si>
    <t>8,8cm Fla.K. 37 (Sfl.)</t>
  </si>
  <si>
    <t>ASU-85</t>
  </si>
  <si>
    <t>Conway</t>
  </si>
  <si>
    <t>British tanks</t>
  </si>
  <si>
    <t>Yakovlev Yak-9B &amp; Hawker Hunter F.1</t>
  </si>
  <si>
    <t>Pz.Kpfw. 35(t) &amp; T-26-4</t>
  </si>
  <si>
    <t>Aircraft Structural Improvements</t>
  </si>
  <si>
    <t>Ilyushin Il-2 (1941) &amp; Tiger E spät</t>
  </si>
  <si>
    <t>English Electric Canberra B.(I) Mk. 6</t>
  </si>
  <si>
    <t>ZUT-37</t>
  </si>
  <si>
    <t>Ground Forces</t>
  </si>
  <si>
    <t>New Progression System (update)</t>
  </si>
  <si>
    <t>Single devblog sum:</t>
  </si>
  <si>
    <t>HQ-17</t>
  </si>
  <si>
    <t>Sabra</t>
  </si>
  <si>
    <t>Sukhoi Su-24M2</t>
  </si>
  <si>
    <t>T-80UE-1</t>
  </si>
  <si>
    <t>North Holland</t>
  </si>
  <si>
    <t>Dassault Mirage 4000</t>
  </si>
  <si>
    <t>Conte di Cavour</t>
  </si>
  <si>
    <t>Arkansas (BB-33) &amp; Marat</t>
  </si>
  <si>
    <t>Retarded bombs</t>
  </si>
  <si>
    <t>Pantsir S1</t>
  </si>
  <si>
    <t>Khalid</t>
  </si>
  <si>
    <t>9A331 and new options for SAM based SPAAGs</t>
  </si>
  <si>
    <t>Andrea Doria</t>
  </si>
  <si>
    <t>Kronshtadt</t>
  </si>
  <si>
    <t>Bkan 1C</t>
  </si>
  <si>
    <t>New guided aircraft bombs</t>
  </si>
  <si>
    <t>Pittsburgh (CA-72)</t>
  </si>
  <si>
    <t>Dante Aligheri</t>
  </si>
  <si>
    <t>Leopard 2 A4 PL (AMAP)</t>
  </si>
  <si>
    <t>Hawker-Siddeley / McDonnell Douglas AV-8A Harrier &amp; Hawker Siddeley Harrier</t>
  </si>
  <si>
    <t>Volumetric shells</t>
  </si>
  <si>
    <t>Supermarine Scimitar F. Mk. 1</t>
  </si>
  <si>
    <t>Kamov Ka-29</t>
  </si>
  <si>
    <t>Sendai</t>
  </si>
  <si>
    <t>M1A2</t>
  </si>
  <si>
    <t>Admiral Hipper</t>
  </si>
  <si>
    <t>Super AMX 30</t>
  </si>
  <si>
    <t>Type 74 (G)</t>
  </si>
  <si>
    <t>Mikoyan-Gurevich MiG-19PT</t>
  </si>
  <si>
    <t>Grafton (H 89)</t>
  </si>
  <si>
    <t>Mediterranean Port</t>
  </si>
  <si>
    <t>Messerschmitt Bf 109Z-1</t>
  </si>
  <si>
    <t>AMX 30B2 Brennus</t>
  </si>
  <si>
    <t>FCM 36</t>
  </si>
  <si>
    <t>Vultee A-35B Vengeance</t>
  </si>
  <si>
    <t>Mitsubishi Ki-109</t>
  </si>
  <si>
    <t>Macchi C. 205 Veltro</t>
  </si>
  <si>
    <t>Centaur</t>
  </si>
  <si>
    <t>Type 61</t>
  </si>
  <si>
    <t>Independent</t>
  </si>
  <si>
    <t>Raketenjagdpanzer 2 (SS.11)</t>
  </si>
  <si>
    <t>Mitsubishi Ki-83</t>
  </si>
  <si>
    <t>Mikoyan-Gurevich MiG-17</t>
  </si>
  <si>
    <t>T92</t>
  </si>
  <si>
    <t>Hawker Hurricane Mk. IIB &amp; IV</t>
  </si>
  <si>
    <t>Supermarine Attacker F.B. Mk. 1 &amp; M10 GMC &amp; M36 GMC</t>
  </si>
  <si>
    <t>Driver assist mode</t>
  </si>
  <si>
    <t>M46</t>
  </si>
  <si>
    <t>Join in Progress 2.0</t>
  </si>
  <si>
    <t>Pz.Kpfw. 748(a) armour changes Pt. 1</t>
  </si>
  <si>
    <t>New Matchmaking</t>
  </si>
  <si>
    <t>Double devblog sum:</t>
  </si>
  <si>
    <t>Murasame (DD-107)</t>
  </si>
  <si>
    <t>CV9035NL</t>
  </si>
  <si>
    <t>Fahris</t>
  </si>
  <si>
    <t>Messerschmitt Bf 109 C-1</t>
  </si>
  <si>
    <t>Saab JAS 39 Gripen</t>
  </si>
  <si>
    <t>Mil Mi-8TB</t>
  </si>
  <si>
    <t>Magach 6 Resh (M261)</t>
  </si>
  <si>
    <t>General Dynamics F-16AJ Fighting Falcon</t>
  </si>
  <si>
    <t>Golden Quarry &amp; Poland (winter)</t>
  </si>
  <si>
    <t>New visual effects in the Drone Age update</t>
  </si>
  <si>
    <t>ZTZ99A</t>
  </si>
  <si>
    <t>Israeli Aircraft Industries Kfir C.7</t>
  </si>
  <si>
    <t>Blohm &amp; Voss BV 138C-1</t>
  </si>
  <si>
    <t>Yakovlev Yak-28B</t>
  </si>
  <si>
    <t>Sukhoi Su-17M2</t>
  </si>
  <si>
    <t>Westfalen</t>
  </si>
  <si>
    <t>SARH AAMs</t>
  </si>
  <si>
    <t>Attilio Regolo</t>
  </si>
  <si>
    <t>BAC Lightning F. Mk. 6</t>
  </si>
  <si>
    <t>Isuzu (DE-211)</t>
  </si>
  <si>
    <t>South Africa</t>
  </si>
  <si>
    <t>Cargo port &amp; Palau Islands &amp; Japanase Port</t>
  </si>
  <si>
    <t>Ka-Ro Model 2</t>
  </si>
  <si>
    <t>Mitsubishi Heavy Industries T-2</t>
  </si>
  <si>
    <t>Type 89</t>
  </si>
  <si>
    <t>T-80B ERA</t>
  </si>
  <si>
    <t>Heli physics</t>
  </si>
  <si>
    <t>Leopard 2 A4</t>
  </si>
  <si>
    <t>T-64B</t>
  </si>
  <si>
    <t>ARL 44</t>
  </si>
  <si>
    <t>Lioré et Olivier LeO 451</t>
  </si>
  <si>
    <t>Beriev Be-6</t>
  </si>
  <si>
    <t>Consolidated PB4Y-2 Privateer</t>
  </si>
  <si>
    <t>Mitsubishi Ki-67 Hiryū</t>
  </si>
  <si>
    <t>3D cockpits</t>
  </si>
  <si>
    <t>Sinai</t>
  </si>
  <si>
    <t>Westland Wyvern S. Mk. 4</t>
  </si>
  <si>
    <t>Short Sunderland</t>
  </si>
  <si>
    <t>Crusader AA Mk. I &amp; II</t>
  </si>
  <si>
    <t>Petlyakov Pe-8</t>
  </si>
  <si>
    <t>Nakajuma Ki-44-I Shōki &amp; SU-100Y</t>
  </si>
  <si>
    <t>Supermarine Seafire XVII &amp; Hawker Sea Hurricane</t>
  </si>
  <si>
    <t>Changes in ground forces mechanics</t>
  </si>
  <si>
    <t>Nakajima Ki-43-III Otsu Hayabusa</t>
  </si>
  <si>
    <t>Stu.G. III G</t>
  </si>
  <si>
    <t>Pz.Kpfw. 748(a) armour changes Pt. 2</t>
  </si>
  <si>
    <t>Triple devblog sum:</t>
  </si>
  <si>
    <t>Mil / Paramount Group Night Hawk</t>
  </si>
  <si>
    <t>McDonnell Douglas AV-8B Night Attack Harrier II</t>
  </si>
  <si>
    <t>Mikoyan-Gurevich / HAL MiG-21 Bison</t>
  </si>
  <si>
    <t>Fox</t>
  </si>
  <si>
    <t>Sukhoi Su-27</t>
  </si>
  <si>
    <t>M48A2 GMS (Chaparral)</t>
  </si>
  <si>
    <t>AMX 30 Au F1</t>
  </si>
  <si>
    <t>Duguay-Trouin</t>
  </si>
  <si>
    <t>Luigi di Savoia Duca degli Abruzzi</t>
  </si>
  <si>
    <t>Sukhoi Su-25</t>
  </si>
  <si>
    <t>Napalm</t>
  </si>
  <si>
    <t>Sud-Ouest S.O.4050 Vautour II A &amp; N</t>
  </si>
  <si>
    <t>C-13 (90/38)</t>
  </si>
  <si>
    <t>Wyoming (BB-32)</t>
  </si>
  <si>
    <t>SARC Mk. VI</t>
  </si>
  <si>
    <t>New aircraft carriers</t>
  </si>
  <si>
    <t>Lockheed F-104 Starfighter</t>
  </si>
  <si>
    <t>T-72B (Kontakt-1)</t>
  </si>
  <si>
    <t>Saab J 32 Lansen</t>
  </si>
  <si>
    <t>AMX 30 ACRA</t>
  </si>
  <si>
    <t>Mikoyan-Gurevich MiG-21F-13</t>
  </si>
  <si>
    <t>Hawker Hunter F. Mk. 6</t>
  </si>
  <si>
    <t>2S6M1</t>
  </si>
  <si>
    <t>Vietnam</t>
  </si>
  <si>
    <t>BMP-2D</t>
  </si>
  <si>
    <t>Cowell (DD-547)</t>
  </si>
  <si>
    <t>M1</t>
  </si>
  <si>
    <t>AMX 30B (1972)</t>
  </si>
  <si>
    <t>Japan</t>
  </si>
  <si>
    <t>Piaggio P.108A Artigliere</t>
  </si>
  <si>
    <t>Ardennes</t>
  </si>
  <si>
    <t>So-Ki</t>
  </si>
  <si>
    <t>Bristol Brigand B. Mk. 1</t>
  </si>
  <si>
    <t>Cromwell Mk. V (Tulip)</t>
  </si>
  <si>
    <t>de Havilland DH.112 Sea Venom F.(A.W.) Mk. 20</t>
  </si>
  <si>
    <t>El Alamein</t>
  </si>
  <si>
    <t>Matchmaking Improvements: Quantitative Restrictions</t>
  </si>
  <si>
    <t>T-10M</t>
  </si>
  <si>
    <t>M4 (T34 Calliope)</t>
  </si>
  <si>
    <t>Martin B-57B-0 Canberra &amp; T-28E</t>
  </si>
  <si>
    <t>Pz.Bfw. Tiger (P)</t>
  </si>
  <si>
    <t>Ostwind</t>
  </si>
  <si>
    <t>Henschel Hs 129 B-2 [ROU]</t>
  </si>
  <si>
    <t>Devblog sum:</t>
  </si>
  <si>
    <t>ICV (P)</t>
  </si>
  <si>
    <t>Puma (S1)</t>
  </si>
  <si>
    <t>Namer (RCWS-30)</t>
  </si>
  <si>
    <t>Dornier Alpha Jet A &amp; Dassault-Breguet Alpha Jet E</t>
  </si>
  <si>
    <t>Courbet &amp; Leonardo da Vinci</t>
  </si>
  <si>
    <t>Leopard 2 PSO</t>
  </si>
  <si>
    <t>BTR-80A</t>
  </si>
  <si>
    <t>Yakovlev Yak-141</t>
  </si>
  <si>
    <t>New naval crew and voices, new carrier models</t>
  </si>
  <si>
    <t>New models of the Swedish and Japanese tankers</t>
  </si>
  <si>
    <t>Israeli helicopters</t>
  </si>
  <si>
    <t>Hard-kill active protection systems</t>
  </si>
  <si>
    <t>Sukhoi Su-22M3</t>
  </si>
  <si>
    <t>Updates to Japanese Ground Forces</t>
  </si>
  <si>
    <t>Drowned City</t>
  </si>
  <si>
    <t>Head-Up Displays (HUD)</t>
  </si>
  <si>
    <t>Leopard 2 A6</t>
  </si>
  <si>
    <t>Tone</t>
  </si>
  <si>
    <t>CV90105 TML</t>
  </si>
  <si>
    <t>South Kvarken</t>
  </si>
  <si>
    <t>Belfast (C 35)</t>
  </si>
  <si>
    <t>McDonnell Douglas F-4C-25 Phantom II</t>
  </si>
  <si>
    <t>Stormer HVM</t>
  </si>
  <si>
    <t>Aérospatiale SA 316B</t>
  </si>
  <si>
    <t>Köln</t>
  </si>
  <si>
    <t>Mil Mi-35M</t>
  </si>
  <si>
    <t>Z 20 Karl Galster (1945)</t>
  </si>
  <si>
    <t>Squadron squads</t>
  </si>
  <si>
    <t>T114</t>
  </si>
  <si>
    <t>Metal support</t>
  </si>
  <si>
    <t>Gun Stabilizers</t>
  </si>
  <si>
    <t>Hydropneumatic suspension</t>
  </si>
  <si>
    <t>Lockheed Hudson Mk. V</t>
  </si>
  <si>
    <t>M551</t>
  </si>
  <si>
    <t>Tiger II(H) Serie (Sla.16)</t>
  </si>
  <si>
    <t>Tunisia</t>
  </si>
  <si>
    <t>M26 (T99)</t>
  </si>
  <si>
    <t>M2A2 &amp; GAZ-AAA (M-4) &amp; Messerschmitt Bf 109 B-1</t>
  </si>
  <si>
    <t>Changes in arcade ground forces mechanics</t>
  </si>
  <si>
    <t>Polikarpov I-16 Type 10</t>
  </si>
  <si>
    <t>T-35</t>
  </si>
  <si>
    <t>Panssarivaunu 272-1 "Klimi"</t>
  </si>
  <si>
    <t>Hawker-Siddeley / McDonnell-Douglas B.Kl.1 &amp; Saab JA 37Di (F 21) &amp; Sukhoi Su-22M4 (WTD 61)</t>
  </si>
  <si>
    <t>Antelope C-1 ADM</t>
  </si>
  <si>
    <t>VLT 2 &amp; French coastal</t>
  </si>
  <si>
    <t>120S</t>
  </si>
  <si>
    <t>Detailed information surrounding Spall Liners</t>
  </si>
  <si>
    <t>New visual effects</t>
  </si>
  <si>
    <t>AVIC SAC J8F &amp; BVRAAMs</t>
  </si>
  <si>
    <t>McDonnell Douglas F-4S Phantom II</t>
  </si>
  <si>
    <t>British Aerospace Sea Harrier F.R.S. Mk. 1</t>
  </si>
  <si>
    <t>TAI T129</t>
  </si>
  <si>
    <t>BTR-ZD</t>
  </si>
  <si>
    <t>Merkava Mk. 4 B &amp; Merkava Mk. 4 M</t>
  </si>
  <si>
    <t>Updated models to "Flying Fortresses"</t>
  </si>
  <si>
    <t>VCC-80 Dardo</t>
  </si>
  <si>
    <t>Vought F-8C Crusader II</t>
  </si>
  <si>
    <t>Settsu</t>
  </si>
  <si>
    <t>9P157-2</t>
  </si>
  <si>
    <t>Denmark</t>
  </si>
  <si>
    <t>Saab J 21A-1</t>
  </si>
  <si>
    <t>China</t>
  </si>
  <si>
    <t>Destroyer No. 19</t>
  </si>
  <si>
    <t>Nürnberg</t>
  </si>
  <si>
    <t>OF-40 Mk. 2</t>
  </si>
  <si>
    <t>Bell AH-1Z</t>
  </si>
  <si>
    <t>T-62M-1</t>
  </si>
  <si>
    <t>Heinkel He 177A-5</t>
  </si>
  <si>
    <t>Chieftain Mk. 10</t>
  </si>
  <si>
    <t>Fiat G.91 R/1</t>
  </si>
  <si>
    <t>Assault co-op</t>
  </si>
  <si>
    <t>Abandoned Factory</t>
  </si>
  <si>
    <t>Improved visuals</t>
  </si>
  <si>
    <t>Novorossiysk</t>
  </si>
  <si>
    <t>Nashorn</t>
  </si>
  <si>
    <t>Battle tasks</t>
  </si>
  <si>
    <t>Dornier Do 17Z-2 &amp; Z-7</t>
  </si>
  <si>
    <t>Fairey Firefly Mk. I &amp; V</t>
  </si>
  <si>
    <t>Douglas A-20G-25 Havoc &amp; T-54-2</t>
  </si>
  <si>
    <t>SMK</t>
  </si>
  <si>
    <t>Yokosuka R2Y2</t>
  </si>
  <si>
    <t>First devblog days</t>
  </si>
  <si>
    <t>Abandoned Factory improvements</t>
  </si>
  <si>
    <t>Stormer Air Defence</t>
  </si>
  <si>
    <t>McDonnell Douglas F-4F KWS-LV Phantom II</t>
  </si>
  <si>
    <t>Northrop B.Kh.18Kh (FCU)</t>
  </si>
  <si>
    <t>Bell OH-58D Kiowa Warrior</t>
  </si>
  <si>
    <t>Sukhoi Su-25T &amp; Su-39</t>
  </si>
  <si>
    <t>Praga M53/59</t>
  </si>
  <si>
    <t>FCM 2C bis</t>
  </si>
  <si>
    <t>Dassault Mirage 2000 C S5</t>
  </si>
  <si>
    <t>AVIC HAIG Z19E</t>
  </si>
  <si>
    <t>Dagor Engine 6.5: new graphic features</t>
  </si>
  <si>
    <t>Naval shell chase camera</t>
  </si>
  <si>
    <t>MARS 15</t>
  </si>
  <si>
    <t>North Dakota (BB-29)</t>
  </si>
  <si>
    <t>Type 93</t>
  </si>
  <si>
    <t>Ps. 455</t>
  </si>
  <si>
    <t>Graphics update</t>
  </si>
  <si>
    <t>Mogami</t>
  </si>
  <si>
    <t>New clouds</t>
  </si>
  <si>
    <t>Fiat G.91 YS</t>
  </si>
  <si>
    <t>OTOMATIC</t>
  </si>
  <si>
    <t>Warrior</t>
  </si>
  <si>
    <t>North American FJ-4B Fury</t>
  </si>
  <si>
    <t>Martin 167-A3</t>
  </si>
  <si>
    <t>Ho-Ri</t>
  </si>
  <si>
    <t>YaG-10 (29-K)</t>
  </si>
  <si>
    <t>ZiS-43</t>
  </si>
  <si>
    <t>Texture streaming</t>
  </si>
  <si>
    <t>Yakovlev Yak-30D</t>
  </si>
  <si>
    <t>Kawanishi H8K2 &amp; H8K3</t>
  </si>
  <si>
    <t>PT-76B</t>
  </si>
  <si>
    <t>Updated Aircraft DM</t>
  </si>
  <si>
    <t>Dirt, improved shells, cockpit camera</t>
  </si>
  <si>
    <t>New features</t>
  </si>
  <si>
    <t>Wirbelwind</t>
  </si>
  <si>
    <t>9A33BM2 [DEU] &amp; 9A33BM3 &amp; 9A33BM2 [GBR] &amp; 9A33BM3 [ITA]</t>
  </si>
  <si>
    <t>French coastal CBT</t>
  </si>
  <si>
    <t>CV9035DK</t>
  </si>
  <si>
    <t>Bell AH-1W Cobra</t>
  </si>
  <si>
    <t>KF41</t>
  </si>
  <si>
    <t>Pz.Kpfw. 38 (t) n.A.</t>
  </si>
  <si>
    <t>Dev team replies to community feedback</t>
  </si>
  <si>
    <t>Chinese helicopters</t>
  </si>
  <si>
    <t>Replay rewind</t>
  </si>
  <si>
    <t>Dassault-Breguet Mirage F1 C</t>
  </si>
  <si>
    <t>T-80BVM</t>
  </si>
  <si>
    <t>T-90A</t>
  </si>
  <si>
    <t>Sukhoi Su-7B</t>
  </si>
  <si>
    <t>Saab J 35D Draken</t>
  </si>
  <si>
    <t>Chengdu J7II</t>
  </si>
  <si>
    <t>Smolensk &amp; Volcanic Island</t>
  </si>
  <si>
    <t>Squadron Activity</t>
  </si>
  <si>
    <t>Fugelo Islands</t>
  </si>
  <si>
    <t>T54E1</t>
  </si>
  <si>
    <t>P2W Mod. upgrades</t>
  </si>
  <si>
    <t>Kawasaki Ki-108</t>
  </si>
  <si>
    <t>Gunner view</t>
  </si>
  <si>
    <t>IS-6</t>
  </si>
  <si>
    <t>STA-2</t>
  </si>
  <si>
    <t>strv 81 (Rb 52)</t>
  </si>
  <si>
    <t>Volokolamsk</t>
  </si>
  <si>
    <t>Curtiss SB2C-4 Helldiver</t>
  </si>
  <si>
    <t>SU-122-54 &amp; Mitsubishi J2M2 Raiden</t>
  </si>
  <si>
    <t>Lavochkin La-5-41 &amp; M42</t>
  </si>
  <si>
    <t>White Rock Fortress</t>
  </si>
  <si>
    <t>Tiger E (früh) remodel</t>
  </si>
  <si>
    <t>Aircraft effect improvements</t>
  </si>
  <si>
    <t>Vextra (TML 105)</t>
  </si>
  <si>
    <t>Bolzano</t>
  </si>
  <si>
    <t>Mikoyan-Gurevich MiG-29SMT</t>
  </si>
  <si>
    <t>VBM Freccia C/C</t>
  </si>
  <si>
    <t>New effects for aviation</t>
  </si>
  <si>
    <t>Golden Bays</t>
  </si>
  <si>
    <t>Personal Fireworks</t>
  </si>
  <si>
    <t>ELC bis</t>
  </si>
  <si>
    <t>Aerfer Sagittario 2</t>
  </si>
  <si>
    <t>HE improvements</t>
  </si>
  <si>
    <t>M1128 MGS</t>
  </si>
  <si>
    <t>Cleveland (CL-55)</t>
  </si>
  <si>
    <t>London (69)</t>
  </si>
  <si>
    <t>Type 75 HSP</t>
  </si>
  <si>
    <t>Douglas A2D-1 Skyshark</t>
  </si>
  <si>
    <t>Sud-Aviation H-34A</t>
  </si>
  <si>
    <t>T-72A</t>
  </si>
  <si>
    <t>Mikoyan-Gurevich I-225</t>
  </si>
  <si>
    <t>Air audio update</t>
  </si>
  <si>
    <t>Supermarine Spitfire Mk. V rework</t>
  </si>
  <si>
    <t>Vought F4U-4 &amp; F4U-4B Corsair</t>
  </si>
  <si>
    <t>Exhaust flames</t>
  </si>
  <si>
    <t>Japanese tanks</t>
  </si>
  <si>
    <t>IT-1</t>
  </si>
  <si>
    <t>T26E4-1</t>
  </si>
  <si>
    <t>Douglas TBD-1 Devastator</t>
  </si>
  <si>
    <t>McDonnell F2H-2 Banshee</t>
  </si>
  <si>
    <t>Flakpanzer 554</t>
  </si>
  <si>
    <t>Repulse (34)</t>
  </si>
  <si>
    <t>Improvements &amp; Refinements</t>
  </si>
  <si>
    <t>Dassault-Breguet Super Étendard</t>
  </si>
  <si>
    <t>New physics with line-of-sight guidance missiles</t>
  </si>
  <si>
    <t>Hawker Hunter Mk. 58A [CHE]</t>
  </si>
  <si>
    <t>Denel Rooivalk Mk. 1</t>
  </si>
  <si>
    <t>Custom weapon setups for aircraft</t>
  </si>
  <si>
    <t>PGZ09</t>
  </si>
  <si>
    <t>PTZ89</t>
  </si>
  <si>
    <t>ZTZ96A</t>
  </si>
  <si>
    <t>Arethusa (26)</t>
  </si>
  <si>
    <t>No. 1 (T-1)</t>
  </si>
  <si>
    <t>Coral Islands</t>
  </si>
  <si>
    <t>Air-to-air missiles</t>
  </si>
  <si>
    <t>New Pilot Models</t>
  </si>
  <si>
    <t>Messerschmitt Bf 110 reworks</t>
  </si>
  <si>
    <t>Reggiane Re.2000</t>
  </si>
  <si>
    <t>Striker</t>
  </si>
  <si>
    <t>15cm (Sfl.) Pz.Kpfw. II B</t>
  </si>
  <si>
    <t>Short 12cm SPG</t>
  </si>
  <si>
    <t>Heinkel He 219A-7 Uhu</t>
  </si>
  <si>
    <t>Pz.Sfl. IVa</t>
  </si>
  <si>
    <t>M19A1 GMC</t>
  </si>
  <si>
    <t>ZSU-57-2</t>
  </si>
  <si>
    <t>Dassault Mirage 2000 D RMV</t>
  </si>
  <si>
    <t>Pr. 11451</t>
  </si>
  <si>
    <t>Updated RWR</t>
  </si>
  <si>
    <t>Lorraine</t>
  </si>
  <si>
    <t>Elbing</t>
  </si>
  <si>
    <t>Assistance when extinguishing fires</t>
  </si>
  <si>
    <t>Sahariano</t>
  </si>
  <si>
    <t>U SH (Typ 3Z 8DLa)</t>
  </si>
  <si>
    <t>Chapayev</t>
  </si>
  <si>
    <t>Type 16 MCV</t>
  </si>
  <si>
    <t>M1A1</t>
  </si>
  <si>
    <t>Dido (37)</t>
  </si>
  <si>
    <t>Messerschmitt Me 163B-0</t>
  </si>
  <si>
    <t>XM1</t>
  </si>
  <si>
    <t>First-order ammoracks</t>
  </si>
  <si>
    <t>North American P-51H-5-NA Mustang</t>
  </si>
  <si>
    <t>Type 60 APC (Type 64)</t>
  </si>
  <si>
    <t>38th Parallel</t>
  </si>
  <si>
    <t>Handley Page Halifax</t>
  </si>
  <si>
    <t>Focke-Wulf Ta 152 C-3</t>
  </si>
  <si>
    <t>Kanonenjagdpanzer 4-5</t>
  </si>
  <si>
    <t>Moscow</t>
  </si>
  <si>
    <t>Kugelblitz</t>
  </si>
  <si>
    <t>Ray Tracing</t>
  </si>
  <si>
    <t>Leclerc s. 2 (AZUR)</t>
  </si>
  <si>
    <t>New effects</t>
  </si>
  <si>
    <t>British Aerospace Harrier G.R. Mk. 7</t>
  </si>
  <si>
    <t>Imperatritsa Mariya</t>
  </si>
  <si>
    <t>pvrbv 551</t>
  </si>
  <si>
    <t>CM11</t>
  </si>
  <si>
    <t>Leander (75)</t>
  </si>
  <si>
    <t>Italian tank TT</t>
  </si>
  <si>
    <t>AMX 40</t>
  </si>
  <si>
    <t>New MLRS sounds</t>
  </si>
  <si>
    <t>Yokosuka D4Y Suisei</t>
  </si>
  <si>
    <t>Type 74 (E)</t>
  </si>
  <si>
    <t>M48A1</t>
  </si>
  <si>
    <t>Chieftain Mk. 3</t>
  </si>
  <si>
    <t>Dagor 4.0</t>
  </si>
  <si>
    <t>M2A4</t>
  </si>
  <si>
    <t>Yakovlev Yak-9</t>
  </si>
  <si>
    <t>Improvements to Custom Tank Sights &amp; Hit Analyzer</t>
  </si>
  <si>
    <t>Heinkel He 115 C-1</t>
  </si>
  <si>
    <t>Vijayanta</t>
  </si>
  <si>
    <t>Yakovlev Yak-38 &amp; Yak-38M</t>
  </si>
  <si>
    <t>Radkampfwagen 90</t>
  </si>
  <si>
    <t>New sound engine</t>
  </si>
  <si>
    <t>Super Mystére B2</t>
  </si>
  <si>
    <t>Modular EC airfields</t>
  </si>
  <si>
    <t>Ilyushin Il-28Sh</t>
  </si>
  <si>
    <t>Modern Tank Realism</t>
  </si>
  <si>
    <t>Object 120</t>
  </si>
  <si>
    <t>Focke-Wulf Ta 154A-1 Moskito</t>
  </si>
  <si>
    <t>Pz.Sfl. für 12,8cm K.40</t>
  </si>
  <si>
    <t>ZiS-12 (94-KM)</t>
  </si>
  <si>
    <t>New decals</t>
  </si>
  <si>
    <t>M3 Light</t>
  </si>
  <si>
    <t>ZSU-37</t>
  </si>
  <si>
    <t>Improved Mud On Ground Vehicles &amp; Naval Effect Improvements</t>
  </si>
  <si>
    <t>General Dynamics F-16D-40 Barak</t>
  </si>
  <si>
    <t>M4 (T26)</t>
  </si>
  <si>
    <t>Battle Pass</t>
  </si>
  <si>
    <t>New aviation systems</t>
  </si>
  <si>
    <t>Northrop F-89B &amp; F-89D-65-NO Scorpion</t>
  </si>
  <si>
    <t>Z 33</t>
  </si>
  <si>
    <t>Reggiane Re.2001 CN</t>
  </si>
  <si>
    <t>Fritz-X</t>
  </si>
  <si>
    <t>New music</t>
  </si>
  <si>
    <t>Lavochkin La-11</t>
  </si>
  <si>
    <t>Kawanishi N1K1-J</t>
  </si>
  <si>
    <t>Panzerjäger I</t>
  </si>
  <si>
    <t>Dagor 4.0: visibility</t>
  </si>
  <si>
    <t>M4A2(76)W</t>
  </si>
  <si>
    <t>Grumman F7F-1 Tigercat</t>
  </si>
  <si>
    <t>Motion Blur</t>
  </si>
  <si>
    <t>Spitfire Cockpits Get A Makeover!</t>
  </si>
  <si>
    <t>Missile duels: fair play</t>
  </si>
  <si>
    <t>Dagor 6.0: Visual improvements, effects and DLSS</t>
  </si>
  <si>
    <t>Boeing AH-64 Apache</t>
  </si>
  <si>
    <t>New tone mapping</t>
  </si>
  <si>
    <t>Leopard 2 A5</t>
  </si>
  <si>
    <t>OTO R3 T106 FA</t>
  </si>
  <si>
    <t>Protection Analysis</t>
  </si>
  <si>
    <t>Chi-Nu (Experimental 7,5cm)</t>
  </si>
  <si>
    <t>LVT(A)(1)</t>
  </si>
  <si>
    <t>Beriev MBR-2bis</t>
  </si>
  <si>
    <t>Messerschmitt Bf 109 E-7 &amp; E-4</t>
  </si>
  <si>
    <t>M4A3(105)</t>
  </si>
  <si>
    <t>Poland</t>
  </si>
  <si>
    <t>Neustrashimy</t>
  </si>
  <si>
    <t>Ice Fields &amp; Convoy mission</t>
  </si>
  <si>
    <t>Crew Trauma packs</t>
  </si>
  <si>
    <t>Crew skills</t>
  </si>
  <si>
    <t>M5A1</t>
  </si>
  <si>
    <t>Norway</t>
  </si>
  <si>
    <t>Type 60 SP (C)</t>
  </si>
  <si>
    <t>Boeing B-29A-20 &amp; Tupolev Tu-4</t>
  </si>
  <si>
    <t>Mitsubishi A7M1 Reppū</t>
  </si>
  <si>
    <t>M4</t>
  </si>
  <si>
    <t>Mozdok</t>
  </si>
  <si>
    <t>Kawasaki Ki-100-II</t>
  </si>
  <si>
    <t>New hangar</t>
  </si>
  <si>
    <t>M13 MGMC</t>
  </si>
  <si>
    <t>X-Ray killcam</t>
  </si>
  <si>
    <t>Parallax and updated sights</t>
  </si>
  <si>
    <t>M4A3E2</t>
  </si>
  <si>
    <t>Armour Viewer</t>
  </si>
  <si>
    <t>T32</t>
  </si>
  <si>
    <t>Race gamemode</t>
  </si>
  <si>
    <t>M2A4 (1st Arm.Div.)</t>
  </si>
  <si>
    <t>Prototype Destruction Model</t>
  </si>
  <si>
    <t>M3A1 (USMC)</t>
  </si>
  <si>
    <t>Pz.Sfl. Ic</t>
  </si>
  <si>
    <t>M3 Medium</t>
  </si>
  <si>
    <t>English Electric Canberra B. Mk. 2</t>
  </si>
  <si>
    <t>Suspension physics</t>
  </si>
  <si>
    <t>Martin B-57A-MA Canberra</t>
  </si>
  <si>
    <t>M22</t>
  </si>
  <si>
    <t>Pz.Kpfw. III J</t>
  </si>
  <si>
    <t>Grant I</t>
  </si>
  <si>
    <t>Kyūshū J7W1 Shinden</t>
  </si>
  <si>
    <t>M6A1</t>
  </si>
  <si>
    <t>de Havilland Venom F.B. Mk. 4</t>
  </si>
  <si>
    <t>M47</t>
  </si>
  <si>
    <t>I-16 Typ 5</t>
  </si>
  <si>
    <t>s.Pz.Kpfw. 756 (r)</t>
  </si>
  <si>
    <t>Avro Lancaster Mk. I</t>
  </si>
  <si>
    <t>Presets</t>
  </si>
  <si>
    <t>Nakajima Ki 43-II Oscar [USA]</t>
  </si>
  <si>
    <t>T-IIIJ</t>
  </si>
  <si>
    <t>Boeing B-17E Fortress</t>
  </si>
  <si>
    <t>Pz.Bfw. IV J</t>
  </si>
  <si>
    <t>Yakovlev Yak-1</t>
  </si>
  <si>
    <t>New shell icons</t>
  </si>
  <si>
    <t>New GF aerial battles</t>
  </si>
  <si>
    <t>Single devblogs:</t>
  </si>
  <si>
    <t>Double devblogs:</t>
  </si>
  <si>
    <t>Triple devblogs:</t>
  </si>
  <si>
    <t>The Last Legionnaire</t>
  </si>
  <si>
    <t>Guided Fury</t>
  </si>
  <si>
    <t>Skilled Marksman</t>
  </si>
  <si>
    <t>Northern King</t>
  </si>
  <si>
    <t>Airborne General</t>
  </si>
  <si>
    <t>Tropical Storm</t>
  </si>
  <si>
    <t>Armour Breaking Ambusher</t>
  </si>
  <si>
    <t>Her Majesty's Hussar</t>
  </si>
  <si>
    <t>Royal Guard</t>
  </si>
  <si>
    <t>Smell of Victory</t>
  </si>
  <si>
    <t>Field Testing</t>
  </si>
  <si>
    <t>Armored Elephant</t>
  </si>
  <si>
    <t>Firepower</t>
  </si>
  <si>
    <t>River Hunter</t>
  </si>
  <si>
    <t>Fearless Voltigeur</t>
  </si>
  <si>
    <t>Strength Athletics</t>
  </si>
  <si>
    <t>Steel Centurion</t>
  </si>
  <si>
    <t>Untitled first BP</t>
  </si>
  <si>
    <t>Battle Pass devblogs</t>
  </si>
  <si>
    <t>Curtiss B.J.3 ("SB2C-5") [JPN]</t>
  </si>
  <si>
    <t>Murmansk</t>
  </si>
  <si>
    <t>Martin PBM-5A Mariner</t>
  </si>
  <si>
    <t>Flagstaff (PGH-1)</t>
  </si>
  <si>
    <t>Le Triomphant (X 83)</t>
  </si>
  <si>
    <t>Gay Archer (P 1041)</t>
  </si>
  <si>
    <t>MC 485</t>
  </si>
  <si>
    <t>S 701</t>
  </si>
  <si>
    <t>Pr. 183, TK-20 (A-215 Grad-M)</t>
  </si>
  <si>
    <t>Churchill Mk. VII Crocodile</t>
  </si>
  <si>
    <t>No. 10 (T-51a)</t>
  </si>
  <si>
    <t>Cadiz (D 79)</t>
  </si>
  <si>
    <t>MTB 422</t>
  </si>
  <si>
    <t>PT-658</t>
  </si>
  <si>
    <t>m.S.P.W. (7,5cm Pa.K.)</t>
  </si>
  <si>
    <t>Bell P-39Q-25 Airacobra</t>
  </si>
  <si>
    <t>T55E1 GMC</t>
  </si>
  <si>
    <t>M46 [FRA]</t>
  </si>
  <si>
    <t>Heinkel He 177 A-3/R3</t>
  </si>
  <si>
    <t>Sholef V1</t>
  </si>
  <si>
    <t>North American P-51C-11 [CHN]</t>
  </si>
  <si>
    <t>Ilyushin Il-8-1</t>
  </si>
  <si>
    <t>90/53 Breda 52</t>
  </si>
  <si>
    <t>SPz 12-3 (LGs M 40 A1)</t>
  </si>
  <si>
    <t>North American J 26 (F 16)</t>
  </si>
  <si>
    <t>Messerschmitt Bf 109 F-4 [ITA]</t>
  </si>
  <si>
    <t>Douglas A-1H Skyraider</t>
  </si>
  <si>
    <t>Blohm &amp; Voss BV 155 B-0</t>
  </si>
  <si>
    <t>North American F-6C-10 Mustang</t>
  </si>
  <si>
    <t>Type 64 Light Tank</t>
  </si>
  <si>
    <t>LVT(A)(4) (Bofors)</t>
  </si>
  <si>
    <t>EBR 90</t>
  </si>
  <si>
    <t>M6A2E1-1</t>
  </si>
  <si>
    <t>Tiger II (early) [SWE]</t>
  </si>
  <si>
    <t>M551 (M32A1)</t>
  </si>
  <si>
    <t>BAC Strikemaster Mk. 88 "Blunty"</t>
  </si>
  <si>
    <t>Aichi B7A2 (Homare 23)</t>
  </si>
  <si>
    <t>Centurion Mk. II</t>
  </si>
  <si>
    <t>AMX 50 (TO 90/930)</t>
  </si>
  <si>
    <t>LCM(6)(F) "Zippo"</t>
  </si>
  <si>
    <t>Object 248 / IS-100 / IS-5</t>
  </si>
  <si>
    <t>Elefant</t>
  </si>
  <si>
    <t>Turán II</t>
  </si>
  <si>
    <t>PT-76B (BM-57)</t>
  </si>
  <si>
    <t>Mitsubishi A6M6 Reisen</t>
  </si>
  <si>
    <t>Voroshilov</t>
  </si>
  <si>
    <t>Polikarpov ITP</t>
  </si>
  <si>
    <t>Warbonds</t>
  </si>
  <si>
    <t>Sukhoi Su-8</t>
  </si>
  <si>
    <t>Beaufighter (R2055)</t>
  </si>
  <si>
    <t>Detroit (CL-8)</t>
  </si>
  <si>
    <t>Toldi IIa</t>
  </si>
  <si>
    <t>Z 25</t>
  </si>
  <si>
    <t>Centurion Mk. 5</t>
  </si>
  <si>
    <t>Events</t>
  </si>
  <si>
    <t>Operation Bodenplatte</t>
  </si>
  <si>
    <t>Operation Bolo</t>
  </si>
  <si>
    <t>Leroy Grumman anniversary</t>
  </si>
  <si>
    <t>Operation Nasr</t>
  </si>
  <si>
    <t>Battle of Luzon</t>
  </si>
  <si>
    <t>German Air Force Day</t>
  </si>
  <si>
    <t>Vistula–Oder offensive</t>
  </si>
  <si>
    <t>Heroes of War Thunder!</t>
  </si>
  <si>
    <t>Golden Victories</t>
  </si>
  <si>
    <t>Operation Blackcock</t>
  </si>
  <si>
    <t>Ilyushin’s Construction Bureau anniversary</t>
  </si>
  <si>
    <t>Swedish Armed Forces Day</t>
  </si>
  <si>
    <t>MiG-17 first flight</t>
  </si>
  <si>
    <t>The Aztec Eagles</t>
  </si>
  <si>
    <t>400% Research Points for the first victory</t>
  </si>
  <si>
    <t>Battle of Anzio</t>
  </si>
  <si>
    <t>Floats!</t>
  </si>
  <si>
    <t>A-20 Havoc first flight</t>
  </si>
  <si>
    <t>Liberation of Leningrad</t>
  </si>
  <si>
    <t>Voronezh–Kastornoye offensive operation</t>
  </si>
  <si>
    <t>Heiligenbeil Pocket</t>
  </si>
  <si>
    <t>Su-7 first flight</t>
  </si>
  <si>
    <t>Australia Day</t>
  </si>
  <si>
    <t>P-38 Lightning first flight</t>
  </si>
  <si>
    <t>Battle of Khafji</t>
  </si>
  <si>
    <t>The Palembang Raids</t>
  </si>
  <si>
    <t>Experimental challenges in AB, RB and SB</t>
  </si>
  <si>
    <t>AMX 30 first battle</t>
  </si>
  <si>
    <t>The end of the Battle of Stalingrad</t>
  </si>
  <si>
    <t>Kingisepp–Gdov offensive</t>
  </si>
  <si>
    <t>Battle of Manila</t>
  </si>
  <si>
    <t>Hugo Junkers anniversary</t>
  </si>
  <si>
    <t>Operation Sonnenblume</t>
  </si>
  <si>
    <t>Battle of the Admin Box</t>
  </si>
  <si>
    <t>Large calibres</t>
  </si>
  <si>
    <t>Lunar New Year</t>
  </si>
  <si>
    <t>Winter Games</t>
  </si>
  <si>
    <t>Realistic battles event: Combined battles</t>
  </si>
  <si>
    <t>Operation Veritable</t>
  </si>
  <si>
    <t>Lam Son 719</t>
  </si>
  <si>
    <t>Rooivalk first flight</t>
  </si>
  <si>
    <t>In the memory of Grigoriy Rechkalov</t>
  </si>
  <si>
    <t>Japanese National Foundation Day</t>
  </si>
  <si>
    <t>Channel Dash / Operation Cerberus</t>
  </si>
  <si>
    <t>Biathlon</t>
  </si>
  <si>
    <t>Valentine's Day</t>
  </si>
  <si>
    <t>Battle of Demyansk</t>
  </si>
  <si>
    <t>Narva offensive</t>
  </si>
  <si>
    <t>Operation Hailstone</t>
  </si>
  <si>
    <t>BO 105 first flight</t>
  </si>
  <si>
    <t>The Korsun – Shevchenkovsky offensive</t>
  </si>
  <si>
    <t>Rescue Operation</t>
  </si>
  <si>
    <t>Sea Voyage</t>
  </si>
  <si>
    <t>South African Armed Forces Day</t>
  </si>
  <si>
    <t>Battle of Iwo Jima</t>
  </si>
  <si>
    <t>Battle of Kasserine Pass</t>
  </si>
  <si>
    <t>Aigle (X 13) launch</t>
  </si>
  <si>
    <t>Curling</t>
  </si>
  <si>
    <t>Winter Games End</t>
  </si>
  <si>
    <t>Gladiator Glory!</t>
  </si>
  <si>
    <t>Fall of Monte Castello</t>
  </si>
  <si>
    <t>Defender of the Fatherland Day</t>
  </si>
  <si>
    <t>Operation Grenade</t>
  </si>
  <si>
    <t>Winter Olympics - Russian Medal Totals</t>
  </si>
  <si>
    <t>Pacific War Events</t>
  </si>
  <si>
    <t>Kurt Tank anniversary</t>
  </si>
  <si>
    <t>Group Captain Douglas Bader</t>
  </si>
  <si>
    <t>Battle of Norfolk</t>
  </si>
  <si>
    <t>Nikolay Gulaev - the best sniper pilot</t>
  </si>
  <si>
    <t>St. David's Day</t>
  </si>
  <si>
    <t>Battle of Guadalcanal</t>
  </si>
  <si>
    <t>Battle of the Bismarck Sea</t>
  </si>
  <si>
    <t>Operation Büffel</t>
  </si>
  <si>
    <t>Spitfire first flight</t>
  </si>
  <si>
    <t>Team Deathmatch: Win rare vehicles</t>
  </si>
  <si>
    <t>A Duel in Cologne</t>
  </si>
  <si>
    <t>Finnish Air Force Day</t>
  </si>
  <si>
    <t>International Women's Day</t>
  </si>
  <si>
    <t>Golden Days</t>
  </si>
  <si>
    <t>500k - Facebook Mastermind Quiz</t>
  </si>
  <si>
    <t>Pskov operation</t>
  </si>
  <si>
    <t>Air Vice Marshall James ‘Johnnie’ Johnson</t>
  </si>
  <si>
    <t>Moravia-Ostrava operation</t>
  </si>
  <si>
    <t>First to 1000 mph</t>
  </si>
  <si>
    <t>Saar-Palatinate offensive</t>
  </si>
  <si>
    <t>Me 262 Versus B-17 - Too little too late</t>
  </si>
  <si>
    <t>Operation Undertone</t>
  </si>
  <si>
    <t>Vienna operation</t>
  </si>
  <si>
    <t>St. Patrick's Day</t>
  </si>
  <si>
    <t>V for Victory</t>
  </si>
  <si>
    <t>Battle of Karameh</t>
  </si>
  <si>
    <t>Stay home and stay safe offer</t>
  </si>
  <si>
    <t>Lieutenant Matsuo Hagiri</t>
  </si>
  <si>
    <t>Airfield Assault</t>
  </si>
  <si>
    <t>Alexander Pokryshkin</t>
  </si>
  <si>
    <t>no.75 squadron RAAF - Kittyhawks vs Zeroes</t>
  </si>
  <si>
    <t>La-5 first flight</t>
  </si>
  <si>
    <t>Ruhr Operation</t>
  </si>
  <si>
    <t>Battle of El Guettar</t>
  </si>
  <si>
    <t>Battle of Najaf</t>
  </si>
  <si>
    <t>Operation Plunder</t>
  </si>
  <si>
    <t>Dive Bombing</t>
  </si>
  <si>
    <t>Bratislava-Brno operation</t>
  </si>
  <si>
    <t>Battle of Cape Matapan</t>
  </si>
  <si>
    <t>Nelson Stepanyan - the Sturmovik hero</t>
  </si>
  <si>
    <t>Moments of Valor: Türkiye</t>
  </si>
  <si>
    <t>Italian Air Force Day</t>
  </si>
  <si>
    <t>Front Line - Kursk</t>
  </si>
  <si>
    <t>Lucky Piñata</t>
  </si>
  <si>
    <t>Sergey Ilyushin's anniversary</t>
  </si>
  <si>
    <t>April Fools</t>
  </si>
  <si>
    <t>Royal Air Force Day</t>
  </si>
  <si>
    <t>TailSpin</t>
  </si>
  <si>
    <t>Operation Iceberg</t>
  </si>
  <si>
    <t>Battle of the Karbala Gap</t>
  </si>
  <si>
    <t>Flight of the “Butcher Bird”</t>
  </si>
  <si>
    <t>Operation Flax</t>
  </si>
  <si>
    <t>Battle of Königsberg</t>
  </si>
  <si>
    <t>Storm over Belgrade</t>
  </si>
  <si>
    <t>Argentina in The Second World War</t>
  </si>
  <si>
    <t>Operation Grapeshot</t>
  </si>
  <si>
    <t>Operation Weserübung</t>
  </si>
  <si>
    <t>Gagarin / Cosmonautics Day</t>
  </si>
  <si>
    <t>Siege of Tobruk</t>
  </si>
  <si>
    <t>The uninterceptable interceptor</t>
  </si>
  <si>
    <t>Graz-Amstetten Operation</t>
  </si>
  <si>
    <t>Vasily Matsievich’s birthday</t>
  </si>
  <si>
    <t>Battle of Berlin</t>
  </si>
  <si>
    <t>Battle for Hamburg</t>
  </si>
  <si>
    <t>Happy Easter</t>
  </si>
  <si>
    <t>Stettin-Rostock operation</t>
  </si>
  <si>
    <t>Zimbabwe Independence Day</t>
  </si>
  <si>
    <t>Operation Calendar</t>
  </si>
  <si>
    <t>Operation Vulcan</t>
  </si>
  <si>
    <t>Allied landings on New Guinea</t>
  </si>
  <si>
    <t>Doolittle Raid</t>
  </si>
  <si>
    <t>St. George's Day</t>
  </si>
  <si>
    <t>ANZAC Day</t>
  </si>
  <si>
    <t>Operation Toward Beit-ol-Moqaddas</t>
  </si>
  <si>
    <t>Elbe day</t>
  </si>
  <si>
    <t>Italy Liberation Day</t>
  </si>
  <si>
    <t>Cambodian invasion</t>
  </si>
  <si>
    <t>Koi and Golden Week in Japan</t>
  </si>
  <si>
    <t>Birthday of Gerhard Fieseler</t>
  </si>
  <si>
    <t>May Day in War Thunder</t>
  </si>
  <si>
    <t>Aerial Workers of War</t>
  </si>
  <si>
    <t>Quarantine maneuvers</t>
  </si>
  <si>
    <t>Battle of the Coral Sea</t>
  </si>
  <si>
    <t>Operation Oboe</t>
  </si>
  <si>
    <t>Dupleix launch</t>
  </si>
  <si>
    <t>Polish Constitution Day</t>
  </si>
  <si>
    <t>Soviet troops take Berlin May 2nd 1945</t>
  </si>
  <si>
    <t>Japanese Constitution Day</t>
  </si>
  <si>
    <t>P-47 first flight</t>
  </si>
  <si>
    <t>Italian Army Day</t>
  </si>
  <si>
    <t>Israel Independence Day</t>
  </si>
  <si>
    <t>Battle of Madagascar</t>
  </si>
  <si>
    <t>Thunderstrike</t>
  </si>
  <si>
    <t>The fall of the Philippines</t>
  </si>
  <si>
    <t>The end of the World War II in Europe</t>
  </si>
  <si>
    <t>Victory Hour</t>
  </si>
  <si>
    <t>Victory Day</t>
  </si>
  <si>
    <t>The Battle of France</t>
  </si>
  <si>
    <t>Operation Diadem</t>
  </si>
  <si>
    <t>The end of the Tunisian campaign</t>
  </si>
  <si>
    <t>World War Mode</t>
  </si>
  <si>
    <t>Portuguese Military Aviation anniversary</t>
  </si>
  <si>
    <t>Claudius Dornier's birthday</t>
  </si>
  <si>
    <t>Operation Chastise</t>
  </si>
  <si>
    <t>The valley of no return</t>
  </si>
  <si>
    <t>Creation of the North Caucasian Front</t>
  </si>
  <si>
    <t>Battle of Crete</t>
  </si>
  <si>
    <t>US Armed Forces Day</t>
  </si>
  <si>
    <t>French National Sailor Day</t>
  </si>
  <si>
    <t>The Birth of RJ Mitchell</t>
  </si>
  <si>
    <t>War Thunder 100K Festival</t>
  </si>
  <si>
    <t>Battle of Boulogne</t>
  </si>
  <si>
    <t>Senger Line</t>
  </si>
  <si>
    <t>Founding of the Corps of Royal Engineers</t>
  </si>
  <si>
    <t>Battle of Khalkin-Gol</t>
  </si>
  <si>
    <t>Air Races</t>
  </si>
  <si>
    <t>"Advance" event</t>
  </si>
  <si>
    <t>Israel Defense Forces Anniversary</t>
  </si>
  <si>
    <t>Memorial Day</t>
  </si>
  <si>
    <t>War in Mid Air</t>
  </si>
  <si>
    <t>Swedish Home Guard Day</t>
  </si>
  <si>
    <t>F-4 Phantom first flight</t>
  </si>
  <si>
    <t>Bf 109 first flight</t>
  </si>
  <si>
    <t>Des Moines laid down</t>
  </si>
  <si>
    <t>Boomerang</t>
  </si>
  <si>
    <t>Corsair race / battle</t>
  </si>
  <si>
    <t>Milan first flight</t>
  </si>
  <si>
    <t>Turkish Air Force Day</t>
  </si>
  <si>
    <t>Canadian Armed Forces Day</t>
  </si>
  <si>
    <t>Battle of Midway</t>
  </si>
  <si>
    <t>Swedish Independence Day</t>
  </si>
  <si>
    <t>Invasion of Normandy / D-Day</t>
  </si>
  <si>
    <t>Ivan Kozhedub's birthday</t>
  </si>
  <si>
    <t>Nikolai Polikarpov's birthday</t>
  </si>
  <si>
    <t>Battle of Sultan Yacoub</t>
  </si>
  <si>
    <t>Karelian offensive</t>
  </si>
  <si>
    <t>Italian Navy Day</t>
  </si>
  <si>
    <t>Russia Day</t>
  </si>
  <si>
    <t>Battles over Malta</t>
  </si>
  <si>
    <t>Battle of Villers-Bocage</t>
  </si>
  <si>
    <t>The Taking of Saipan</t>
  </si>
  <si>
    <t>Battle for Ancona</t>
  </si>
  <si>
    <t>German Navy Day</t>
  </si>
  <si>
    <t>Operation Battleaxe</t>
  </si>
  <si>
    <t>Capture The Flag</t>
  </si>
  <si>
    <t>MiG-21 first flight</t>
  </si>
  <si>
    <t>Summer sale</t>
  </si>
  <si>
    <t>Mexican Expeditionary Air Force</t>
  </si>
  <si>
    <t>German Invasion of the USSR</t>
  </si>
  <si>
    <t>Battle of the Philippine Sea</t>
  </si>
  <si>
    <t>Happy Father's Day!</t>
  </si>
  <si>
    <t>Maginot Line</t>
  </si>
  <si>
    <t>Battle Royale / King of the Hill</t>
  </si>
  <si>
    <t>Spot the ball</t>
  </si>
  <si>
    <t>Operation Bagration</t>
  </si>
  <si>
    <t>Battle of Raseiniai</t>
  </si>
  <si>
    <t>Bundeswehr Day</t>
  </si>
  <si>
    <t>British Armed Forces Day</t>
  </si>
  <si>
    <t>Korean War</t>
  </si>
  <si>
    <t>Blue on Blue</t>
  </si>
  <si>
    <t>Petlyakov - Chronicle of a Dive Bomber</t>
  </si>
  <si>
    <t>F4U-1 first flight</t>
  </si>
  <si>
    <t>War Thunder Guinness Record</t>
  </si>
  <si>
    <t>Case Blue</t>
  </si>
  <si>
    <t>Japan Self-Defense Forces Day</t>
  </si>
  <si>
    <t>Summer tank event</t>
  </si>
  <si>
    <t>The Road for the Brave</t>
  </si>
  <si>
    <t>Canada Day</t>
  </si>
  <si>
    <t>French Air Force Day</t>
  </si>
  <si>
    <t>Swedish Air Force Day</t>
  </si>
  <si>
    <t>First Battle of El Alamein</t>
  </si>
  <si>
    <t>Operation Seydlitz</t>
  </si>
  <si>
    <t>South African National Defence Force Day</t>
  </si>
  <si>
    <t>US Independence Day</t>
  </si>
  <si>
    <t>Battle of Kursk / Operation Citadel</t>
  </si>
  <si>
    <t>Tank football</t>
  </si>
  <si>
    <t>Sicilian Campaign / Operation Husky</t>
  </si>
  <si>
    <t>Siauliai offensive</t>
  </si>
  <si>
    <t>Total Domination</t>
  </si>
  <si>
    <t>Boulogne-sur-Mer</t>
  </si>
  <si>
    <t>Argentine Independence Day</t>
  </si>
  <si>
    <t>The Beginning of the Battle of Britain</t>
  </si>
  <si>
    <t>Atomic Heart</t>
  </si>
  <si>
    <t>Battle of Prokhorovka</t>
  </si>
  <si>
    <t>A-4E first flight</t>
  </si>
  <si>
    <t>Battle of Soltsy</t>
  </si>
  <si>
    <t>The sky is for heroes (AB)</t>
  </si>
  <si>
    <t>Operation Goodwood</t>
  </si>
  <si>
    <t>Russian Navy Air Force anniversary</t>
  </si>
  <si>
    <t>The beginning of the Battle of Stalingrad</t>
  </si>
  <si>
    <t>Bastille Day</t>
  </si>
  <si>
    <t>Me 262 first flight</t>
  </si>
  <si>
    <t>Golden Fights</t>
  </si>
  <si>
    <t>Battle of Guam (1944)</t>
  </si>
  <si>
    <t>Hunter first flight</t>
  </si>
  <si>
    <t>T-2 first flight</t>
  </si>
  <si>
    <t>Battles of Caucasus &amp; Ruhr</t>
  </si>
  <si>
    <t>Operation Mersad</t>
  </si>
  <si>
    <t>Russian Navy Day</t>
  </si>
  <si>
    <t>First Rzhev-Sychev Operation</t>
  </si>
  <si>
    <t>Operation Bluecoat</t>
  </si>
  <si>
    <t>Chinese People's Liberation Army Day</t>
  </si>
  <si>
    <t>Battle of the Bridges</t>
  </si>
  <si>
    <t>New Missions</t>
  </si>
  <si>
    <t>Russian Airborne Forces Day</t>
  </si>
  <si>
    <t>Operation Polkovodets Rumyantsev</t>
  </si>
  <si>
    <t>Fast Lions Challenge</t>
  </si>
  <si>
    <t>Lightning first flight</t>
  </si>
  <si>
    <t>Spas-Demenskaya operation</t>
  </si>
  <si>
    <t>Artem Mikoyan's birthday</t>
  </si>
  <si>
    <t>Battle of the Swallows</t>
  </si>
  <si>
    <t>Operation Lüttich</t>
  </si>
  <si>
    <t>Tartu offensive</t>
  </si>
  <si>
    <t>Russian Air Force Day</t>
  </si>
  <si>
    <t>Falaise pocket</t>
  </si>
  <si>
    <t>Eagle's Day</t>
  </si>
  <si>
    <t>Tornado first flight</t>
  </si>
  <si>
    <t>First Battle of Me-163</t>
  </si>
  <si>
    <t>Polish Armed Forces Day</t>
  </si>
  <si>
    <t>Tactical Landing</t>
  </si>
  <si>
    <t>US Airborne Day</t>
  </si>
  <si>
    <t>Operation Starlite</t>
  </si>
  <si>
    <t>The Hardest Day</t>
  </si>
  <si>
    <t>Zinovy Kolobanov’s feat of arms</t>
  </si>
  <si>
    <t>Jolly Roger / Under the black flag</t>
  </si>
  <si>
    <t>Kozelsk offensive</t>
  </si>
  <si>
    <t>War Thunder Quiz</t>
  </si>
  <si>
    <t>Tank Biathlon and Sea Biathlon</t>
  </si>
  <si>
    <t>Prinz Eugen launch</t>
  </si>
  <si>
    <t>MiG-15 enters into service</t>
  </si>
  <si>
    <t>Battle of Milne Bay</t>
  </si>
  <si>
    <t>Liberation of Paris</t>
  </si>
  <si>
    <t>Airshow in War Thunder</t>
  </si>
  <si>
    <t>Battle of Alam el Halfa</t>
  </si>
  <si>
    <t>Yelninskaya operation</t>
  </si>
  <si>
    <t>Wingball</t>
  </si>
  <si>
    <t>Operation Grand Slam</t>
  </si>
  <si>
    <t>Bryansk operation</t>
  </si>
  <si>
    <t>The end of World War II</t>
  </si>
  <si>
    <t>Grumman "Wildcat" &amp; “Hellcat” and Hawker “Tempest”</t>
  </si>
  <si>
    <t>Ferdinand Porsche and his Tank Destroyer</t>
  </si>
  <si>
    <t>The Romanian Air Force</t>
  </si>
  <si>
    <t>Arcade Events Marathon</t>
  </si>
  <si>
    <t>Berlin Victory Parade of 1945</t>
  </si>
  <si>
    <t>Tanker's Day</t>
  </si>
  <si>
    <t>Brazilian Independence Day</t>
  </si>
  <si>
    <t>Battle of Dukla Pass</t>
  </si>
  <si>
    <t>Operation Achse</t>
  </si>
  <si>
    <t>Battle of Asal Uttar</t>
  </si>
  <si>
    <t>Indian Summer</t>
  </si>
  <si>
    <t>Semyon Lavochkin's birthday</t>
  </si>
  <si>
    <t>The sky is for heroes (RB)</t>
  </si>
  <si>
    <t>Riga offensive (1944)</t>
  </si>
  <si>
    <t>Operation Dragoon</t>
  </si>
  <si>
    <t>Night Battles</t>
  </si>
  <si>
    <t>Nikolai Ilyich Kamov's birthday</t>
  </si>
  <si>
    <t>Battle of Britain Day</t>
  </si>
  <si>
    <t>YP-38 first flight</t>
  </si>
  <si>
    <t>Ju 87 first flight</t>
  </si>
  <si>
    <t>Battle of Chawinda</t>
  </si>
  <si>
    <t>Battle of Arracourt</t>
  </si>
  <si>
    <t>Birthday of the US Air Force</t>
  </si>
  <si>
    <t>Battle of Hürtgen Forest</t>
  </si>
  <si>
    <t>Alexander Koldunov's birthday</t>
  </si>
  <si>
    <t>Kurt Knispel, the Tank Legend</t>
  </si>
  <si>
    <t>Mi-24 first flight</t>
  </si>
  <si>
    <t>The landing at Grigor’evka</t>
  </si>
  <si>
    <t>Yak-38 first flight</t>
  </si>
  <si>
    <t>"Defense" Stalingrad</t>
  </si>
  <si>
    <t>Tuapse defensive operation</t>
  </si>
  <si>
    <t>Richard Ira Bong's birthday</t>
  </si>
  <si>
    <t>Double reward for streaks while playing in squads</t>
  </si>
  <si>
    <t>Battle of Caucasus</t>
  </si>
  <si>
    <t>1.35 special event</t>
  </si>
  <si>
    <t>Operation Halberd</t>
  </si>
  <si>
    <t>Operation Samen-ol-A’emeh</t>
  </si>
  <si>
    <t>Mozdok-Malgobek defensive operation</t>
  </si>
  <si>
    <t>William Edward Boeing's birthday</t>
  </si>
  <si>
    <t>Chinese National Day</t>
  </si>
  <si>
    <t>Battle of the Scheldt</t>
  </si>
  <si>
    <t>German Unity Day</t>
  </si>
  <si>
    <t>Dewoitine D.520 first flight</t>
  </si>
  <si>
    <t>Volturno Line</t>
  </si>
  <si>
    <t>Dornier Do 217: Unsung Heavy Bomber</t>
  </si>
  <si>
    <t>Battle of Vella Lavella</t>
  </si>
  <si>
    <t>Valley of Tears</t>
  </si>
  <si>
    <t>Bomber Chronicles</t>
  </si>
  <si>
    <t>Orsha operation</t>
  </si>
  <si>
    <t>The War Thunder Air Racing Weekend</t>
  </si>
  <si>
    <t>Battle of Cape Esperance</t>
  </si>
  <si>
    <t>Iron Duke (18) launch</t>
  </si>
  <si>
    <t>United States Navy Day</t>
  </si>
  <si>
    <t>Gumbinnen operation</t>
  </si>
  <si>
    <t>Battle of the Chinese Farm</t>
  </si>
  <si>
    <t>Birtday of two aces</t>
  </si>
  <si>
    <t>Tupolev SB-2</t>
  </si>
  <si>
    <t>The First Strike on Britain</t>
  </si>
  <si>
    <t>Tikhvin Defensive Operation</t>
  </si>
  <si>
    <t>Vautour first flight</t>
  </si>
  <si>
    <t>Rapid Fire</t>
  </si>
  <si>
    <t>Guardian Angel</t>
  </si>
  <si>
    <t>Second Battle of El Alamein</t>
  </si>
  <si>
    <t>Trafalgar Day</t>
  </si>
  <si>
    <t>Niobe Day</t>
  </si>
  <si>
    <t>Tupolev Construction Bureau anniversary</t>
  </si>
  <si>
    <t>Battle of Leyte Gulf</t>
  </si>
  <si>
    <t>Battle of Henderson Field</t>
  </si>
  <si>
    <t>UH-1 first flight</t>
  </si>
  <si>
    <t>90th anniversary of Focke-Wulf</t>
  </si>
  <si>
    <t>Pacific Pack Weekend</t>
  </si>
  <si>
    <t>"Formula War Thunder": Training Run</t>
  </si>
  <si>
    <t>P-51 first flight</t>
  </si>
  <si>
    <t>Draken first flight</t>
  </si>
  <si>
    <t>Turkish Republic Day</t>
  </si>
  <si>
    <t>Budapest operation</t>
  </si>
  <si>
    <t>The End of the Battle of Britain</t>
  </si>
  <si>
    <t>Golden Battles</t>
  </si>
  <si>
    <t>Halloween</t>
  </si>
  <si>
    <t>Barbara Line</t>
  </si>
  <si>
    <t>Italian National Unity Day</t>
  </si>
  <si>
    <t>War Thunder Birthday</t>
  </si>
  <si>
    <t>Apatin-Kaposvár operation</t>
  </si>
  <si>
    <t>Hurricane first flight</t>
  </si>
  <si>
    <t>He 219 first flight</t>
  </si>
  <si>
    <t>Andrei Nikolaevich Tupolev's birthday</t>
  </si>
  <si>
    <t>Gomel-Rechitsa operation</t>
  </si>
  <si>
    <t>Battle of Taranto</t>
  </si>
  <si>
    <t>Jack Northrop's Anniversary</t>
  </si>
  <si>
    <t>Remembrance Day</t>
  </si>
  <si>
    <t>Polish Independence Day</t>
  </si>
  <si>
    <t>People's Liberation Army Air Force Day</t>
  </si>
  <si>
    <t>Klinsko-Solnechnogorsk defensive operation</t>
  </si>
  <si>
    <t>"Formula War Thunder”: The First Stage</t>
  </si>
  <si>
    <t>Lend Lease</t>
  </si>
  <si>
    <t>Naval mines</t>
  </si>
  <si>
    <t>Panfilov’s 28 movie premiere</t>
  </si>
  <si>
    <t>Operation Crusader</t>
  </si>
  <si>
    <t>Battle for Stalingrad</t>
  </si>
  <si>
    <t>"Formula War Thunder”: The Second Stage</t>
  </si>
  <si>
    <t>100 - Team Deathmatch Event</t>
  </si>
  <si>
    <t>Black Friday</t>
  </si>
  <si>
    <t>Mosquito first flight</t>
  </si>
  <si>
    <t>Naval Infantry Day</t>
  </si>
  <si>
    <t>Jagdtiger "Hunting Tiger"</t>
  </si>
  <si>
    <t>Operation Tariq al-Qods</t>
  </si>
  <si>
    <t>Thanksgiving Day</t>
  </si>
  <si>
    <t>"Formula War Thunder": The third stage</t>
  </si>
  <si>
    <t>Luftwaffe Command, Control and Organization</t>
  </si>
  <si>
    <t>St. Andrew's Day</t>
  </si>
  <si>
    <t>Bernhardt Line</t>
  </si>
  <si>
    <t>Opatovatskiy Landing</t>
  </si>
  <si>
    <t>'Normandie - Niemen' Anniversary</t>
  </si>
  <si>
    <t>Dawn of the Jet Age in the Royal Navy</t>
  </si>
  <si>
    <t>"Formula War Thunder": The final stage</t>
  </si>
  <si>
    <t>Test Drive</t>
  </si>
  <si>
    <t>Battle of Sio</t>
  </si>
  <si>
    <t>Battle of Moscow</t>
  </si>
  <si>
    <t>Indian Armed Forces Flag Day</t>
  </si>
  <si>
    <t>Pearl Harbor</t>
  </si>
  <si>
    <t>Still Waters</t>
  </si>
  <si>
    <t>MiG Anniversary</t>
  </si>
  <si>
    <t>Operation Compass / Attack on Nibeiwa</t>
  </si>
  <si>
    <t>Rocket Science</t>
  </si>
  <si>
    <t>Hudson first flight</t>
  </si>
  <si>
    <t>The Italian Thunderbolt</t>
  </si>
  <si>
    <t>100 - Team Deathmatch Event (Rockets)</t>
  </si>
  <si>
    <t>Operation Winter Storm</t>
  </si>
  <si>
    <t>Friday the 13th</t>
  </si>
  <si>
    <t>Helicopter Pilot's Day</t>
  </si>
  <si>
    <t>Pandora's Box</t>
  </si>
  <si>
    <t>Battle of the Bulge / Battles in Ardennes</t>
  </si>
  <si>
    <t>Wright Brothers' First Flight</t>
  </si>
  <si>
    <t>Advent giveaway</t>
  </si>
  <si>
    <t>WW2 Chronicles</t>
  </si>
  <si>
    <t>Kursk-Oboyan offensive operation</t>
  </si>
  <si>
    <t>Flying Tigers</t>
  </si>
  <si>
    <t>Release of War Thunder</t>
  </si>
  <si>
    <t>Zhytomyr-Berdychiv operation</t>
  </si>
  <si>
    <t>Battle of Changsha</t>
  </si>
  <si>
    <t>Christmas</t>
  </si>
  <si>
    <t>Tank Races</t>
  </si>
  <si>
    <t>Battle of the Kerch Peninsula</t>
  </si>
  <si>
    <t>Operation Nordwind</t>
  </si>
  <si>
    <t>Battle of the Barents Sea</t>
  </si>
  <si>
    <t>MiG-15 first flight</t>
  </si>
  <si>
    <t>The Brief Life of Turret Gunner</t>
  </si>
  <si>
    <t>Free Tier I prem vehicle</t>
  </si>
  <si>
    <t>Winter Sale</t>
  </si>
  <si>
    <t>Happy New Year</t>
  </si>
  <si>
    <t>--</t>
  </si>
  <si>
    <t>Ruhr operation</t>
  </si>
  <si>
    <t>D-Day</t>
  </si>
  <si>
    <t>Operation Husky</t>
  </si>
  <si>
    <t>Mozdok-Malgobek defensive operations</t>
  </si>
  <si>
    <t>Birthday of two aces</t>
  </si>
  <si>
    <t>Battle of the Bulge</t>
  </si>
  <si>
    <t>The Brief Life of a Turret Gunner</t>
  </si>
  <si>
    <t>Large Calibres</t>
  </si>
  <si>
    <t>Kurt Tank Anniversary</t>
  </si>
  <si>
    <t>Storm Over Belgrade</t>
  </si>
  <si>
    <t>Cosmonautics Day</t>
  </si>
  <si>
    <t>May day in War Thunder</t>
  </si>
  <si>
    <t>Battle of Kursk</t>
  </si>
  <si>
    <t>First Battle of Me 163</t>
  </si>
  <si>
    <t>Gerhard Fieseler's birthday</t>
  </si>
  <si>
    <t>Winter sale</t>
  </si>
  <si>
    <t>The Korsun – Shevchenkovsky Offensive</t>
  </si>
  <si>
    <t>Corsair Race</t>
  </si>
  <si>
    <t>Jolly Roger</t>
  </si>
  <si>
    <t>The End of WWII in the Pacific</t>
  </si>
  <si>
    <t>Battle of Britain</t>
  </si>
  <si>
    <t>Tank races</t>
  </si>
  <si>
    <r>
      <rPr>
        <u/>
        <sz val="11"/>
        <color rgb="FF1155CC"/>
        <rFont val="Calibri"/>
      </rPr>
      <t>D</t>
    </r>
    <r>
      <rPr>
        <u/>
        <sz val="11"/>
        <color rgb="FF1155CC"/>
        <rFont val="Calibri"/>
      </rPr>
      <t>-Day</t>
    </r>
  </si>
  <si>
    <t>Under the black flag</t>
  </si>
  <si>
    <t>Battle in Ardennes</t>
  </si>
  <si>
    <t>100 - Team Deathmatch</t>
  </si>
  <si>
    <t>Thanksgiving</t>
  </si>
  <si>
    <t>Spitfire Day</t>
  </si>
  <si>
    <t>Battle Royale</t>
  </si>
  <si>
    <t>Corsair battle</t>
  </si>
  <si>
    <t>Spot the Ball</t>
  </si>
  <si>
    <t>Tank Football</t>
  </si>
  <si>
    <t>Russian Airbone Forces Day</t>
  </si>
  <si>
    <t>Sicillian Campaign</t>
  </si>
  <si>
    <r>
      <rPr>
        <u/>
        <sz val="11"/>
        <color rgb="FF1155CC"/>
        <rFont val="Calibri"/>
      </rPr>
      <t>Russian Air Force</t>
    </r>
    <r>
      <rPr>
        <u/>
        <sz val="11"/>
        <color rgb="FF1155CC"/>
        <rFont val="Calibri"/>
      </rPr>
      <t xml:space="preserve"> Day</t>
    </r>
  </si>
  <si>
    <t>Quarantine Maneuvers</t>
  </si>
  <si>
    <t>Attack on Nibeiwa</t>
  </si>
  <si>
    <t>April Fools / TailSpin</t>
  </si>
  <si>
    <t>Channel Dash</t>
  </si>
  <si>
    <t>Siauliai Offensive</t>
  </si>
  <si>
    <t>Sicilian Campaign</t>
  </si>
  <si>
    <t>First Rzhev-Sychev operation</t>
  </si>
  <si>
    <t>Operation Eagle Attack</t>
  </si>
  <si>
    <t>Tikhvin defensive operation</t>
  </si>
  <si>
    <t>Operation Compass</t>
  </si>
  <si>
    <t>Ardennes Offensive</t>
  </si>
  <si>
    <t>Home Guard: Swedish National Security Forces Day</t>
  </si>
  <si>
    <t>Operation Cerberus</t>
  </si>
  <si>
    <t>Graz-Amstetten operation</t>
  </si>
  <si>
    <t>Elbe Day</t>
  </si>
  <si>
    <t>Fire ram</t>
  </si>
  <si>
    <t>Operation Samen-ol-A'emeh</t>
  </si>
  <si>
    <t>Moments of Valour: Türkiye</t>
  </si>
  <si>
    <t>Germany Navy Day</t>
  </si>
  <si>
    <t>Freedom Fighter</t>
  </si>
  <si>
    <t>Enter the Serpent</t>
  </si>
  <si>
    <t>Flight of the Vulture</t>
  </si>
  <si>
    <t>Dreams Come True</t>
  </si>
  <si>
    <t>Mobile Sniper</t>
  </si>
  <si>
    <t>Steel Baron</t>
  </si>
  <si>
    <t>Persian Tomcat</t>
  </si>
  <si>
    <t>Flight of the Albatross</t>
  </si>
  <si>
    <t>Operation Overlord</t>
  </si>
  <si>
    <t>Legend of Victory</t>
  </si>
  <si>
    <t>Inferno Cannon</t>
  </si>
  <si>
    <t>Imperial Flagship</t>
  </si>
  <si>
    <t>Sword of Justice</t>
  </si>
  <si>
    <t>Call of the Dragon</t>
  </si>
  <si>
    <t>Single vehicle event devblogs</t>
  </si>
  <si>
    <t>Event</t>
  </si>
  <si>
    <t>Object 292</t>
  </si>
  <si>
    <t>BM-31-12</t>
  </si>
  <si>
    <t>Sturmtiger</t>
  </si>
  <si>
    <t>Event &amp; IS-2 (2-j) (№321)</t>
  </si>
  <si>
    <t>Northrop F-5A(G)</t>
  </si>
  <si>
    <t>Shir 2</t>
  </si>
  <si>
    <t>Industria Aeronautică Română I.A.R.93 B</t>
  </si>
  <si>
    <t>Boxer MGS</t>
  </si>
  <si>
    <t>Barham (04)</t>
  </si>
  <si>
    <t>Grumman F-14A (IRN)</t>
  </si>
  <si>
    <t>Alcione (F 544)</t>
  </si>
  <si>
    <t>Churchill Mk. III A.V.R.E.</t>
  </si>
  <si>
    <t>Yakovlev Yak-3 (Eremin)</t>
  </si>
  <si>
    <t>130 mm SP Gun-Howitzer</t>
  </si>
  <si>
    <t>Baden</t>
  </si>
  <si>
    <t>British Aerospace / Hindustan Aeronautics Limited Jaguar IS "Shamsher"</t>
  </si>
  <si>
    <t>T.O.G. 2*</t>
  </si>
  <si>
    <t>KV-7 (U-13)</t>
  </si>
  <si>
    <t>Winter Tales</t>
  </si>
  <si>
    <t>Winter Extreme</t>
  </si>
  <si>
    <t>Summer Extreme</t>
  </si>
  <si>
    <t>Winter Quest</t>
  </si>
  <si>
    <t>Summer Quest</t>
  </si>
  <si>
    <t>Operation W.I.N.T.E.R.</t>
  </si>
  <si>
    <t>Summer Landing</t>
  </si>
  <si>
    <t>Operation S.U.M.M.E.R.</t>
  </si>
  <si>
    <t>Operation F.R.O.S.T.</t>
  </si>
  <si>
    <t>Operation H.E.A.T.</t>
  </si>
  <si>
    <t>Festive Quest</t>
  </si>
  <si>
    <t>Good Old S.U.M.M.E.R</t>
  </si>
  <si>
    <t>War Thunder Winter Holiday</t>
  </si>
  <si>
    <t>War Thunder Fulfills Your Wishes</t>
  </si>
  <si>
    <t>Summertime Madness</t>
  </si>
  <si>
    <t>Holiday War Thunder Marathon</t>
  </si>
  <si>
    <t>Winter Magic</t>
  </si>
  <si>
    <t>Summer / winter event devblogs</t>
  </si>
  <si>
    <t>Newport News (CA-148)</t>
  </si>
  <si>
    <t>T-80U (Drozd)</t>
  </si>
  <si>
    <t>m.S.P.W. (1,5cm Drilling)</t>
  </si>
  <si>
    <t>IS-7</t>
  </si>
  <si>
    <t>IMAM Ro.57bis</t>
  </si>
  <si>
    <t>Explainer</t>
  </si>
  <si>
    <t>Deutsche Aerospace / Panavia IDS-Tornado (Marinefliegerkommando)</t>
  </si>
  <si>
    <t>Mikoyan-Gurevich MiG-21PFM</t>
  </si>
  <si>
    <t>Latécoère 298D</t>
  </si>
  <si>
    <t>No. 13 (K-8)</t>
  </si>
  <si>
    <t>Baltimore (CA-68)</t>
  </si>
  <si>
    <t>Class 3</t>
  </si>
  <si>
    <t>Tokushu Heiki</t>
  </si>
  <si>
    <t>Repair Factory</t>
  </si>
  <si>
    <t>Project "Overpowered"</t>
  </si>
  <si>
    <t>The Battle for Arachis</t>
  </si>
  <si>
    <t>Export Order</t>
  </si>
  <si>
    <t>Future Technology</t>
  </si>
  <si>
    <t>Wargame "Strategist"</t>
  </si>
  <si>
    <t>Space Race</t>
  </si>
  <si>
    <t>Operation "Shipyard"</t>
  </si>
  <si>
    <t>Battlefield Engineer!</t>
  </si>
  <si>
    <t>Flying Serpent, Crouching Tiger</t>
  </si>
  <si>
    <t>Crafting event devblogs</t>
  </si>
  <si>
    <t>North American F-100F-5</t>
  </si>
  <si>
    <t>AMD 35 (SA 35)</t>
  </si>
  <si>
    <t>Ostfriesland</t>
  </si>
  <si>
    <t>Davis (DD-395)</t>
  </si>
  <si>
    <t>Mohawk (F 31)</t>
  </si>
  <si>
    <t>SU-76D</t>
  </si>
  <si>
    <t>Zavod №293 BI-1</t>
  </si>
  <si>
    <t>Kurama</t>
  </si>
  <si>
    <t>Shcherbakov</t>
  </si>
  <si>
    <t>CCVL</t>
  </si>
  <si>
    <t>Alecto Mk. I</t>
  </si>
  <si>
    <t>Leopard 2 K (T 14)</t>
  </si>
  <si>
    <t>McDonnell Douglas F-4F-59 Phantom II</t>
  </si>
  <si>
    <t>m.S.P.W. (3,7cm Pa.K.)</t>
  </si>
  <si>
    <t>Pr. 161. BK-501</t>
  </si>
  <si>
    <t>Polikarpov I-180S</t>
  </si>
  <si>
    <t>CCVL (LOSAT)</t>
  </si>
  <si>
    <t>LTV A-7K Corsair II</t>
  </si>
  <si>
    <t>Dassault-Breguet Jaguar E</t>
  </si>
  <si>
    <t>Israel Aircraft Industries Kfir C2</t>
  </si>
  <si>
    <t>Pbil m/40</t>
  </si>
  <si>
    <t>Yūgure (DD-184)</t>
  </si>
  <si>
    <t>Lübeck (F 224)</t>
  </si>
  <si>
    <t>VT 1-2</t>
  </si>
  <si>
    <t>Junkers Ju 388 J</t>
  </si>
  <si>
    <t>Kawasaki Ki 48-II Otsu</t>
  </si>
  <si>
    <t>QN506</t>
  </si>
  <si>
    <t>Polikarpov U-2M</t>
  </si>
  <si>
    <t>T-72M2 Moderna</t>
  </si>
  <si>
    <t>Northrop YF-5A</t>
  </si>
  <si>
    <t>XM8 AGS</t>
  </si>
  <si>
    <t>Merkava Mk. 3 D [USA]</t>
  </si>
  <si>
    <t>Westland P. 9 &amp; Sikorsky CH-34A Choctaw</t>
  </si>
  <si>
    <t>Pr. 122bis, MPK-173</t>
  </si>
  <si>
    <t>Merkava Mk. 1 [USA]</t>
  </si>
  <si>
    <t>Tiger (C 20)</t>
  </si>
  <si>
    <t>Pz.Sfl. IVc</t>
  </si>
  <si>
    <t>BR changes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</si>
  <si>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</si>
  <si>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</si>
  <si>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</si>
  <si>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</si>
  <si>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</si>
  <si>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</si>
  <si>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</si>
  <si>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</si>
  <si>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</si>
  <si>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</si>
  <si>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</si>
  <si>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</si>
  <si>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Jul 30.</t>
  </si>
  <si>
    <t>Oct 15.</t>
  </si>
  <si>
    <t>Apr 13.</t>
  </si>
  <si>
    <t>Jun 08.</t>
  </si>
  <si>
    <t>Sep 22.</t>
  </si>
  <si>
    <t>Jan 26.</t>
  </si>
  <si>
    <t>Jun 30.</t>
  </si>
  <si>
    <t>Oct 24.</t>
  </si>
  <si>
    <t>Dec 29.</t>
  </si>
  <si>
    <t>Feb 10.</t>
  </si>
  <si>
    <t>Jun 29.</t>
  </si>
  <si>
    <t>Oct 12.</t>
  </si>
  <si>
    <t>Apr 10.</t>
  </si>
  <si>
    <t>Jul 09.</t>
  </si>
  <si>
    <t>Nov 19.</t>
  </si>
  <si>
    <t>Feb 20.</t>
  </si>
  <si>
    <t>Jul 01.</t>
  </si>
  <si>
    <t>Oct 14.</t>
  </si>
  <si>
    <t>Jan 28.</t>
  </si>
  <si>
    <t>Apr 03.</t>
  </si>
  <si>
    <t>Jun 22.</t>
  </si>
  <si>
    <t>Aug 25.</t>
  </si>
  <si>
    <t>Dec 02.</t>
  </si>
  <si>
    <t>Jan 22.</t>
  </si>
  <si>
    <t>May 17.</t>
  </si>
  <si>
    <t>Jul 05.</t>
  </si>
  <si>
    <t>Aug 10.</t>
  </si>
  <si>
    <t>Sep 23.</t>
  </si>
  <si>
    <t>Nov 25.</t>
  </si>
  <si>
    <t>May 13.</t>
  </si>
  <si>
    <t>Sep 18.</t>
  </si>
  <si>
    <t>Nov 22.</t>
  </si>
  <si>
    <t>Jan 19.</t>
  </si>
  <si>
    <t>Apr 05.</t>
  </si>
  <si>
    <t>Aug 01.</t>
  </si>
  <si>
    <t>Oct 09.</t>
  </si>
  <si>
    <t>Jan 17.</t>
  </si>
  <si>
    <t>Oct 02.</t>
  </si>
  <si>
    <t>Economy changes</t>
  </si>
  <si>
    <t>Jun 15.</t>
  </si>
  <si>
    <t>Nov 11.</t>
  </si>
  <si>
    <t>Feb 13.</t>
  </si>
  <si>
    <t>Apr 14.</t>
  </si>
  <si>
    <t>Apr 20.</t>
  </si>
  <si>
    <t>Feb 22.</t>
  </si>
  <si>
    <t>Apr 04.</t>
  </si>
  <si>
    <t>Jul 11.</t>
  </si>
  <si>
    <t>Oct 17.</t>
  </si>
  <si>
    <t>Apr 24.</t>
  </si>
  <si>
    <t>Jun 19.</t>
  </si>
  <si>
    <t>Oct 05.</t>
  </si>
  <si>
    <t>Dec 11.</t>
  </si>
  <si>
    <t>Feb 04.</t>
  </si>
  <si>
    <t>Apr 29.</t>
  </si>
  <si>
    <t>Jul 15.</t>
  </si>
  <si>
    <t>Aug 19.</t>
  </si>
  <si>
    <t>May 24.</t>
  </si>
  <si>
    <t>Q&amp;As</t>
  </si>
  <si>
    <t>Jan 12.</t>
  </si>
  <si>
    <t>Twitch Drops</t>
  </si>
  <si>
    <t>Language filters ("badwords")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</si>
  <si>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</si>
  <si>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</si>
  <si>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</si>
  <si>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</si>
  <si>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</si>
  <si>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</si>
  <si>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</si>
  <si>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</si>
  <si>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</si>
  <si>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</si>
  <si>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</si>
  <si>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</si>
  <si>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</si>
  <si>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</si>
  <si>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</si>
  <si>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</si>
  <si>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</si>
  <si>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</si>
  <si>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</si>
  <si>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</si>
  <si>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</si>
  <si>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</si>
  <si>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</si>
  <si>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</si>
  <si>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</si>
  <si>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</si>
  <si>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Bonus</t>
  </si>
  <si>
    <t>a(|s)h[0o]le</t>
  </si>
  <si>
    <t>examples:</t>
  </si>
  <si>
    <t>baise</t>
  </si>
  <si>
    <t>cabron</t>
  </si>
  <si>
    <t>dick</t>
  </si>
  <si>
    <t>ejaculate</t>
  </si>
  <si>
    <t>facking</t>
  </si>
  <si>
    <t>g[o0][o0](|o|0)(k|ch|ck)</t>
  </si>
  <si>
    <t>hore</t>
  </si>
  <si>
    <t>incest</t>
  </si>
  <si>
    <t>jackass</t>
  </si>
  <si>
    <t>kkk</t>
  </si>
  <si>
    <t>lesbo</t>
  </si>
  <si>
    <t>madonna puttana</t>
  </si>
  <si>
    <t>n(|[aeiu14])[qg6](|q|g|6)([e3]r|[ag46])(|man|z|let)</t>
  </si>
  <si>
    <t>omeko</t>
  </si>
  <si>
    <t>paki</t>
  </si>
  <si>
    <t>qahbeh</t>
  </si>
  <si>
    <t>r[4a]p[13ie](|5|s)(|7|t)</t>
  </si>
  <si>
    <t>sadist</t>
  </si>
  <si>
    <t>taint</t>
  </si>
  <si>
    <t>ushigoroshi</t>
  </si>
  <si>
    <t>vagina</t>
  </si>
  <si>
    <t>wank</t>
  </si>
  <si>
    <t>xblpet</t>
  </si>
  <si>
    <t>yed</t>
  </si>
  <si>
    <t>zabourah</t>
  </si>
  <si>
    <t>8=d</t>
  </si>
  <si>
    <t>asshole</t>
  </si>
  <si>
    <t>bakachon</t>
  </si>
  <si>
    <t>cacca</t>
  </si>
  <si>
    <t>dikc</t>
  </si>
  <si>
    <t>enema</t>
  </si>
  <si>
    <t>fanculo</t>
  </si>
  <si>
    <t>goo</t>
  </si>
  <si>
    <t>hor3</t>
  </si>
  <si>
    <t>inc3st</t>
  </si>
  <si>
    <t>jackoff</t>
  </si>
  <si>
    <t>k k k</t>
  </si>
  <si>
    <t>lesb0</t>
  </si>
  <si>
    <t>manberries</t>
  </si>
  <si>
    <t>nigger</t>
  </si>
  <si>
    <t>orafis</t>
  </si>
  <si>
    <t>paky</t>
  </si>
  <si>
    <t>queef</t>
  </si>
  <si>
    <t>rape</t>
  </si>
  <si>
    <t>salaud</t>
  </si>
  <si>
    <t>tampon</t>
  </si>
  <si>
    <t>usigorosi</t>
  </si>
  <si>
    <t>vagin4</t>
  </si>
  <si>
    <t>wetback</t>
  </si>
  <si>
    <t>xbl pet</t>
  </si>
  <si>
    <t>yabunirami</t>
  </si>
  <si>
    <t>zipperhead</t>
  </si>
  <si>
    <t>(|s) means either nothing or an s, any number of times</t>
  </si>
  <si>
    <t>ash0le</t>
  </si>
  <si>
    <t>bakatyon</t>
  </si>
  <si>
    <t>cadela</t>
  </si>
  <si>
    <t>d1ck</t>
  </si>
  <si>
    <t>encule</t>
  </si>
  <si>
    <t>fanny</t>
  </si>
  <si>
    <t>gook</t>
  </si>
  <si>
    <t>h0re</t>
  </si>
  <si>
    <t>injun</t>
  </si>
  <si>
    <t>jack off</t>
  </si>
  <si>
    <t>kanker</t>
  </si>
  <si>
    <t>lezbo</t>
  </si>
  <si>
    <t>manko</t>
  </si>
  <si>
    <t>nigga</t>
  </si>
  <si>
    <t>orgasim</t>
  </si>
  <si>
    <t>packi</t>
  </si>
  <si>
    <t>queer</t>
  </si>
  <si>
    <t>r4p1st</t>
  </si>
  <si>
    <t>salope</t>
  </si>
  <si>
    <t>tap[ae]tte</t>
  </si>
  <si>
    <t>vag1na</t>
  </si>
  <si>
    <t>wetb4ck</t>
  </si>
  <si>
    <t>xblp3t</t>
  </si>
  <si>
    <t>ahole</t>
  </si>
  <si>
    <t>ballsack</t>
  </si>
  <si>
    <t>cagada</t>
  </si>
  <si>
    <t>d1kc</t>
  </si>
  <si>
    <t>enjokousai</t>
  </si>
  <si>
    <t>fatass</t>
  </si>
  <si>
    <t>gooooooch</t>
  </si>
  <si>
    <t>h0r3</t>
  </si>
  <si>
    <t>inculato</t>
  </si>
  <si>
    <t>jap</t>
  </si>
  <si>
    <t>kike</t>
  </si>
  <si>
    <t>lezb0</t>
  </si>
  <si>
    <t>manshaft</t>
  </si>
  <si>
    <t>nagman</t>
  </si>
  <si>
    <t>orgasm</t>
  </si>
  <si>
    <t>packy</t>
  </si>
  <si>
    <t>qweir</t>
  </si>
  <si>
    <t>r4p357</t>
  </si>
  <si>
    <t>sangokujin</t>
  </si>
  <si>
    <t>vag1n4</t>
  </si>
  <si>
    <t>w3tback</t>
  </si>
  <si>
    <t>x8lpet</t>
  </si>
  <si>
    <t>asssssssssh0le</t>
  </si>
  <si>
    <t>bassterds</t>
  </si>
  <si>
    <t>cameljokey</t>
  </si>
  <si>
    <t>dago</t>
  </si>
  <si>
    <t>enzyokousai</t>
  </si>
  <si>
    <t>fag</t>
  </si>
  <si>
    <t>g000ooock</t>
  </si>
  <si>
    <t>h[o0](|o|0)r</t>
  </si>
  <si>
    <t>intercourse</t>
  </si>
  <si>
    <t>japs</t>
  </si>
  <si>
    <t>kik3</t>
  </si>
  <si>
    <t>l3sbo</t>
  </si>
  <si>
    <t>mamhoon</t>
  </si>
  <si>
    <t>nu6z</t>
  </si>
  <si>
    <t>orgasum</t>
  </si>
  <si>
    <t>paska</t>
  </si>
  <si>
    <t>rap15555tttt</t>
  </si>
  <si>
    <t>sangokuzin</t>
  </si>
  <si>
    <t>tit</t>
  </si>
  <si>
    <t>va6ina</t>
  </si>
  <si>
    <t>w3tb4ck</t>
  </si>
  <si>
    <t>x8lp3t</t>
  </si>
  <si>
    <t>[5sz] means either a 5, an s or a z</t>
  </si>
  <si>
    <t>anus</t>
  </si>
  <si>
    <t>bastard</t>
  </si>
  <si>
    <t>cameljockey</t>
  </si>
  <si>
    <t>d4go</t>
  </si>
  <si>
    <t>etahinin</t>
  </si>
  <si>
    <t>faget</t>
  </si>
  <si>
    <t>gooo00k</t>
  </si>
  <si>
    <t>hor</t>
  </si>
  <si>
    <t>inugorosi</t>
  </si>
  <si>
    <t>jerkoff</t>
  </si>
  <si>
    <t>k1ke</t>
  </si>
  <si>
    <t>l3sb0</t>
  </si>
  <si>
    <t>maricon</t>
  </si>
  <si>
    <t>ngqer</t>
  </si>
  <si>
    <t>oriface</t>
  </si>
  <si>
    <t>panties</t>
  </si>
  <si>
    <t>raape</t>
  </si>
  <si>
    <t>santorum</t>
  </si>
  <si>
    <t>tard</t>
  </si>
  <si>
    <t>va6in4</t>
  </si>
  <si>
    <t>wichser</t>
  </si>
  <si>
    <t>xl3lpet</t>
  </si>
  <si>
    <t>anal</t>
  </si>
  <si>
    <t>bamf</t>
  </si>
  <si>
    <t>caralho</t>
  </si>
  <si>
    <t>darkie</t>
  </si>
  <si>
    <t>etambo</t>
  </si>
  <si>
    <t>fagit</t>
  </si>
  <si>
    <t>gay</t>
  </si>
  <si>
    <t>hoooor</t>
  </si>
  <si>
    <t>inugoroshi</t>
  </si>
  <si>
    <t>jerk-off</t>
  </si>
  <si>
    <t>k1k3</t>
  </si>
  <si>
    <t>l3zbo</t>
  </si>
  <si>
    <t>mas(ter|tur|str)ba(|i)(t|cion|it|re|zione)</t>
  </si>
  <si>
    <t>negra</t>
  </si>
  <si>
    <t>orifice</t>
  </si>
  <si>
    <t>pecker</t>
  </si>
  <si>
    <t>recktum</t>
  </si>
  <si>
    <t>scank</t>
  </si>
  <si>
    <t>turd</t>
  </si>
  <si>
    <t>va61na</t>
  </si>
  <si>
    <t>whore</t>
  </si>
  <si>
    <t>xblrewards</t>
  </si>
  <si>
    <t>a[5sz][5sz]</t>
  </si>
  <si>
    <t>beaner</t>
  </si>
  <si>
    <t>carpet muncher</t>
  </si>
  <si>
    <t>deeznut</t>
  </si>
  <si>
    <t>etanbo</t>
  </si>
  <si>
    <t>fag1t</t>
  </si>
  <si>
    <t>gestapo</t>
  </si>
  <si>
    <t>hoooo000r</t>
  </si>
  <si>
    <t>j[i1]g(|g)[a4]b[o0]</t>
  </si>
  <si>
    <t>kichigai</t>
  </si>
  <si>
    <t>l3zb0</t>
  </si>
  <si>
    <t>masba</t>
  </si>
  <si>
    <t>n1gr</t>
  </si>
  <si>
    <t>orifiss</t>
  </si>
  <si>
    <t>pedo</t>
  </si>
  <si>
    <t>reck7um</t>
  </si>
  <si>
    <t>schaffer</t>
  </si>
  <si>
    <t>tarlouse</t>
  </si>
  <si>
    <t>va61n4</t>
  </si>
  <si>
    <t>wh0re</t>
  </si>
  <si>
    <t>$ means it only matches if nothing comes after it (e.g. hell is matched, but hello isn't)</t>
  </si>
  <si>
    <t>ass</t>
  </si>
  <si>
    <t>beetch</t>
  </si>
  <si>
    <t>castrate</t>
  </si>
  <si>
    <t>deez nuts</t>
  </si>
  <si>
    <t>faggit</t>
  </si>
  <si>
    <t>god damn</t>
  </si>
  <si>
    <t>h00ooor</t>
  </si>
  <si>
    <t>jigabo</t>
  </si>
  <si>
    <t>kilurself</t>
  </si>
  <si>
    <t>lesbian</t>
  </si>
  <si>
    <t>masterbat</t>
  </si>
  <si>
    <t>nggr</t>
  </si>
  <si>
    <t>orgy</t>
  </si>
  <si>
    <t>peeenus</t>
  </si>
  <si>
    <t>rectum</t>
  </si>
  <si>
    <t>scheiss</t>
  </si>
  <si>
    <t>teabag</t>
  </si>
  <si>
    <t>vajina</t>
  </si>
  <si>
    <t>whor3</t>
  </si>
  <si>
    <t>azz</t>
  </si>
  <si>
    <t>bee[ao]tch</t>
  </si>
  <si>
    <t>cawk</t>
  </si>
  <si>
    <t>dild0</t>
  </si>
  <si>
    <t>fagg1t</t>
  </si>
  <si>
    <t>god-damn</t>
  </si>
  <si>
    <t>h4x0r</t>
  </si>
  <si>
    <t>j1ggg4b0</t>
  </si>
  <si>
    <t>kitigai</t>
  </si>
  <si>
    <t>lezzie</t>
  </si>
  <si>
    <t>masstrbaiit</t>
  </si>
  <si>
    <t>n3gr</t>
  </si>
  <si>
    <t>orospu</t>
  </si>
  <si>
    <t>peenus</t>
  </si>
  <si>
    <t>rec7um</t>
  </si>
  <si>
    <t>scheiße</t>
  </si>
  <si>
    <t>teebag</t>
  </si>
  <si>
    <t>vajin4</t>
  </si>
  <si>
    <t>wh0r3</t>
  </si>
  <si>
    <t>a55</t>
  </si>
  <si>
    <t>beeyotch</t>
  </si>
  <si>
    <t>cazzo</t>
  </si>
  <si>
    <t>dildo</t>
  </si>
  <si>
    <t>faggot</t>
  </si>
  <si>
    <t>goldenshowers</t>
  </si>
  <si>
    <t>hairpie</t>
  </si>
  <si>
    <t>j1gggggabo</t>
  </si>
  <si>
    <t>kluklux</t>
  </si>
  <si>
    <t>lezzian</t>
  </si>
  <si>
    <t>masterbaitre</t>
  </si>
  <si>
    <t>nastt</t>
  </si>
  <si>
    <t>peinus</t>
  </si>
  <si>
    <t>r3cktum</t>
  </si>
  <si>
    <t>schijt</t>
  </si>
  <si>
    <t>tea bag</t>
  </si>
  <si>
    <t>vaj1na</t>
  </si>
  <si>
    <t>whitepower</t>
  </si>
  <si>
    <t>asz</t>
  </si>
  <si>
    <t>beeeyotch</t>
  </si>
  <si>
    <t>ceemen</t>
  </si>
  <si>
    <t>dilld0</t>
  </si>
  <si>
    <t>fags</t>
  </si>
  <si>
    <t>golliwog</t>
  </si>
  <si>
    <t>hakujakusha</t>
  </si>
  <si>
    <t>jigg4bo</t>
  </si>
  <si>
    <t>klu klux</t>
  </si>
  <si>
    <t>lipshits</t>
  </si>
  <si>
    <t>masturbazione</t>
  </si>
  <si>
    <t>nazi</t>
  </si>
  <si>
    <t>pen15</t>
  </si>
  <si>
    <t>r3ck7um</t>
  </si>
  <si>
    <t>schlampe</t>
  </si>
  <si>
    <t>teensex</t>
  </si>
  <si>
    <t>vaj1n4</t>
  </si>
  <si>
    <t>white power</t>
  </si>
  <si>
    <t>Due to the script converting the words to lowercase for testing, all characters' uppercase versions also count.</t>
  </si>
  <si>
    <t>a5s</t>
  </si>
  <si>
    <t>beefwhistle</t>
  </si>
  <si>
    <t>circlejerk</t>
  </si>
  <si>
    <t>dio bestia</t>
  </si>
  <si>
    <t>fagz</t>
  </si>
  <si>
    <t>gollywog</t>
  </si>
  <si>
    <t>hakuroubyo</t>
  </si>
  <si>
    <t>jisim</t>
  </si>
  <si>
    <t>klu klux klan</t>
  </si>
  <si>
    <t>lipshitz</t>
  </si>
  <si>
    <t>masochist</t>
  </si>
  <si>
    <t>naz1</t>
  </si>
  <si>
    <t>pen1s</t>
  </si>
  <si>
    <t>r3ctum</t>
  </si>
  <si>
    <t>schlong</t>
  </si>
  <si>
    <t>teino</t>
  </si>
  <si>
    <t>va1gina</t>
  </si>
  <si>
    <t>wog</t>
  </si>
  <si>
    <t>bellend</t>
  </si>
  <si>
    <t>chankoro</t>
  </si>
  <si>
    <t>dominatricks</t>
  </si>
  <si>
    <t>faig</t>
  </si>
  <si>
    <t>guiena</t>
  </si>
  <si>
    <t>hakuzyakusya</t>
  </si>
  <si>
    <t>jiss</t>
  </si>
  <si>
    <t>ku klux klan</t>
  </si>
  <si>
    <t>masokist</t>
  </si>
  <si>
    <t>nazl</t>
  </si>
  <si>
    <t>pena5</t>
  </si>
  <si>
    <t>r3c7um</t>
  </si>
  <si>
    <t>schmuck</t>
  </si>
  <si>
    <t>testa di cazzo</t>
  </si>
  <si>
    <t>va1gin4</t>
  </si>
  <si>
    <t>wop</t>
  </si>
  <si>
    <t>assface</t>
  </si>
  <si>
    <t>bestiality</t>
  </si>
  <si>
    <t>chieokure</t>
  </si>
  <si>
    <t>dominatrics</t>
  </si>
  <si>
    <t>fart</t>
  </si>
  <si>
    <t>gyp</t>
  </si>
  <si>
    <t>hantoujin</t>
  </si>
  <si>
    <t>jizm</t>
  </si>
  <si>
    <t>klerelijer</t>
  </si>
  <si>
    <t>meth</t>
  </si>
  <si>
    <t>natzi</t>
  </si>
  <si>
    <t>penas</t>
  </si>
  <si>
    <t>raghead</t>
  </si>
  <si>
    <t>schwuchtel</t>
  </si>
  <si>
    <t>testicle</t>
  </si>
  <si>
    <t>va1g1na</t>
  </si>
  <si>
    <t>arsch</t>
  </si>
  <si>
    <t>beyitch</t>
  </si>
  <si>
    <t>chikusatsu</t>
  </si>
  <si>
    <t>dominatrix</t>
  </si>
  <si>
    <t>felch</t>
  </si>
  <si>
    <t>hantouzin</t>
  </si>
  <si>
    <t>jizz</t>
  </si>
  <si>
    <t>klojo</t>
  </si>
  <si>
    <t>merd</t>
  </si>
  <si>
    <t>natz1</t>
  </si>
  <si>
    <t>peni5</t>
  </si>
  <si>
    <t>raibyo</t>
  </si>
  <si>
    <t>screw</t>
  </si>
  <si>
    <t>tieokure</t>
  </si>
  <si>
    <t>va1g1n4</t>
  </si>
  <si>
    <t>arschloch</t>
  </si>
  <si>
    <t>beyotch</t>
  </si>
  <si>
    <t>ch1kusatsu</t>
  </si>
  <si>
    <t>dong</t>
  </si>
  <si>
    <t>f3lch</t>
  </si>
  <si>
    <t>hoar</t>
  </si>
  <si>
    <t>joder</t>
  </si>
  <si>
    <t>klootzak</t>
  </si>
  <si>
    <t>mibun</t>
  </si>
  <si>
    <t>natzl</t>
  </si>
  <si>
    <t>penis</t>
  </si>
  <si>
    <t>raip</t>
  </si>
  <si>
    <t>scrote</t>
  </si>
  <si>
    <t>tinpo</t>
  </si>
  <si>
    <t>va16ina</t>
  </si>
  <si>
    <t>abortion</t>
  </si>
  <si>
    <t>bioch</t>
  </si>
  <si>
    <t>ching chong</t>
  </si>
  <si>
    <t>douche</t>
  </si>
  <si>
    <t>fetish</t>
  </si>
  <si>
    <t>hoer</t>
  </si>
  <si>
    <t>joto</t>
  </si>
  <si>
    <t>koonhunt</t>
  </si>
  <si>
    <t>mierda</t>
  </si>
  <si>
    <t>n4zi</t>
  </si>
  <si>
    <t>penl5</t>
  </si>
  <si>
    <t>rapage</t>
  </si>
  <si>
    <t>secks</t>
  </si>
  <si>
    <t>titt</t>
  </si>
  <si>
    <t>va16in4</t>
  </si>
  <si>
    <t>ainuzin</t>
  </si>
  <si>
    <t>biach</t>
  </si>
  <si>
    <t>ch1ng chong</t>
  </si>
  <si>
    <t>downie</t>
  </si>
  <si>
    <t>fgt</t>
  </si>
  <si>
    <t>hoor</t>
  </si>
  <si>
    <t>junglebunny</t>
  </si>
  <si>
    <t>koon hunt</t>
  </si>
  <si>
    <t>milf</t>
  </si>
  <si>
    <t>n4z1</t>
  </si>
  <si>
    <t>penls</t>
  </si>
  <si>
    <t>raping</t>
  </si>
  <si>
    <t>seishinhakujaku</t>
  </si>
  <si>
    <t>thot</t>
  </si>
  <si>
    <t>va161na</t>
  </si>
  <si>
    <t>ainujin</t>
  </si>
  <si>
    <t>b1och</t>
  </si>
  <si>
    <t>chinga</t>
  </si>
  <si>
    <t>downy</t>
  </si>
  <si>
    <t>figlio di putana</t>
  </si>
  <si>
    <t>h0ar</t>
  </si>
  <si>
    <t>jungle bunny</t>
  </si>
  <si>
    <t>koonkill</t>
  </si>
  <si>
    <t>minge</t>
  </si>
  <si>
    <t>n4zl</t>
  </si>
  <si>
    <t>penu5</t>
  </si>
  <si>
    <t>rautenberg</t>
  </si>
  <si>
    <t>seishinijo</t>
  </si>
  <si>
    <t>tokushugakkuu</t>
  </si>
  <si>
    <t>va161n4</t>
  </si>
  <si>
    <t>akimekura</t>
  </si>
  <si>
    <t>b1ach</t>
  </si>
  <si>
    <t>ch1nga</t>
  </si>
  <si>
    <t>dyke</t>
  </si>
  <si>
    <t>flipping the bird</t>
  </si>
  <si>
    <t>h0er</t>
  </si>
  <si>
    <t>koon kill</t>
  </si>
  <si>
    <t>miststück</t>
  </si>
  <si>
    <t>n4tzi</t>
  </si>
  <si>
    <t>penus</t>
  </si>
  <si>
    <t>seisinhakuzyaku</t>
  </si>
  <si>
    <t>tokushugakkuy</t>
  </si>
  <si>
    <t>va1jina</t>
  </si>
  <si>
    <t>aokan</t>
  </si>
  <si>
    <t>biotch</t>
  </si>
  <si>
    <t>chingada madre</t>
  </si>
  <si>
    <t>dumbass</t>
  </si>
  <si>
    <t>f(|i|u|v|x|0)[ck][ckt]</t>
  </si>
  <si>
    <t>h0or</t>
  </si>
  <si>
    <t>J exceptions</t>
  </si>
  <si>
    <t>koroshiteyaru</t>
  </si>
  <si>
    <t>mitsukuchi</t>
  </si>
  <si>
    <t>n4tz1</t>
  </si>
  <si>
    <t>p3n15</t>
  </si>
  <si>
    <t>red tube</t>
  </si>
  <si>
    <t>seisinizyo</t>
  </si>
  <si>
    <t>va1jin4</t>
  </si>
  <si>
    <t>aids</t>
  </si>
  <si>
    <t>biatch</t>
  </si>
  <si>
    <t>ch1ngada madre</t>
  </si>
  <si>
    <t>durka durka</t>
  </si>
  <si>
    <t>fuck</t>
  </si>
  <si>
    <t>homo</t>
  </si>
  <si>
    <t>japan</t>
  </si>
  <si>
    <t>koumoujin</t>
  </si>
  <si>
    <t>mitukuti</t>
  </si>
  <si>
    <t>n4tzl</t>
  </si>
  <si>
    <t>p3n1s</t>
  </si>
  <si>
    <t>reggin</t>
  </si>
  <si>
    <t>semushiotoko</t>
  </si>
  <si>
    <t>tokushugakkyy</t>
  </si>
  <si>
    <t>va1j1na</t>
  </si>
  <si>
    <t>arse</t>
  </si>
  <si>
    <t>b1otch</t>
  </si>
  <si>
    <t>chink</t>
  </si>
  <si>
    <t>fuuvvuuckt</t>
  </si>
  <si>
    <t>hom0</t>
  </si>
  <si>
    <t>koumouzin</t>
  </si>
  <si>
    <t>monkleigh</t>
  </si>
  <si>
    <t>nepesaurio</t>
  </si>
  <si>
    <t>p3na5</t>
  </si>
  <si>
    <t>reipu</t>
  </si>
  <si>
    <t>semusiotoko</t>
  </si>
  <si>
    <t>tokusyugakkuu</t>
  </si>
  <si>
    <t>va1j1n4</t>
  </si>
  <si>
    <t>arsed</t>
  </si>
  <si>
    <t>b1atch</t>
  </si>
  <si>
    <t>ching</t>
  </si>
  <si>
    <t>D exceptions</t>
  </si>
  <si>
    <t>fickckt</t>
  </si>
  <si>
    <t>h0mo</t>
  </si>
  <si>
    <t>kraut</t>
  </si>
  <si>
    <t>[mf][0aou](ther|tha|thr|za|7th3r|th3r)([\\s-]*)[fms][aouv](c|ck|k)(|r|er|3r)</t>
  </si>
  <si>
    <t>niigr</t>
  </si>
  <si>
    <t>p3nas</t>
  </si>
  <si>
    <t>retard</t>
  </si>
  <si>
    <t>semen</t>
  </si>
  <si>
    <t>tokusyugakkuy</t>
  </si>
  <si>
    <t>v4gina</t>
  </si>
  <si>
    <t>arses</t>
  </si>
  <si>
    <t>bitc</t>
  </si>
  <si>
    <t>chinpo</t>
  </si>
  <si>
    <t>dagon</t>
  </si>
  <si>
    <t>fxxxck</t>
  </si>
  <si>
    <t>h0m0</t>
  </si>
  <si>
    <t>knob</t>
  </si>
  <si>
    <t>motherfucker</t>
  </si>
  <si>
    <t>niiger</t>
  </si>
  <si>
    <t>p3ni5</t>
  </si>
  <si>
    <t>reet</t>
  </si>
  <si>
    <t>sex</t>
  </si>
  <si>
    <t>tokusyugakkyu</t>
  </si>
  <si>
    <t>v4gin4</t>
  </si>
  <si>
    <t>arsehole</t>
  </si>
  <si>
    <t>b1tc</t>
  </si>
  <si>
    <t>ch1ng</t>
  </si>
  <si>
    <t>dicker           (due to Dicker Max)</t>
  </si>
  <si>
    <t>f00ckt</t>
  </si>
  <si>
    <t>hell$</t>
  </si>
  <si>
    <t>knulle</t>
  </si>
  <si>
    <t>m0thrfvcr</t>
  </si>
  <si>
    <t>niglet</t>
  </si>
  <si>
    <t>p3nis</t>
  </si>
  <si>
    <t>ricchione</t>
  </si>
  <si>
    <t>sharmuta</t>
  </si>
  <si>
    <t>tokusyugakkyy</t>
  </si>
  <si>
    <t>v4g1na</t>
  </si>
  <si>
    <t>arseholes</t>
  </si>
  <si>
    <t>btch</t>
  </si>
  <si>
    <t>ch1nk</t>
  </si>
  <si>
    <t>fvckt</t>
  </si>
  <si>
    <t>hells$</t>
  </si>
  <si>
    <t>kuk</t>
  </si>
  <si>
    <t>fazamok3r</t>
  </si>
  <si>
    <t>nignog</t>
  </si>
  <si>
    <t>p3nl5</t>
  </si>
  <si>
    <t>rimjob</t>
  </si>
  <si>
    <t>sharmute</t>
  </si>
  <si>
    <t>torukoburo</t>
  </si>
  <si>
    <t>v4g1n4</t>
  </si>
  <si>
    <t>arseholed</t>
  </si>
  <si>
    <t>bitch</t>
  </si>
  <si>
    <t>ch1npo</t>
  </si>
  <si>
    <t>f u c k</t>
  </si>
  <si>
    <t>helvete</t>
  </si>
  <si>
    <t>kuksuger</t>
  </si>
  <si>
    <t>fufa</t>
  </si>
  <si>
    <t>nimpinin</t>
  </si>
  <si>
    <t>p3nls</t>
  </si>
  <si>
    <t>rizzape</t>
  </si>
  <si>
    <t>shat</t>
  </si>
  <si>
    <t>torukojo</t>
  </si>
  <si>
    <t>v46ina</t>
  </si>
  <si>
    <t>arseholing</t>
  </si>
  <si>
    <t>b1tch</t>
  </si>
  <si>
    <t>clit</t>
  </si>
  <si>
    <t>f u c k e r</t>
  </si>
  <si>
    <t>herpes</t>
  </si>
  <si>
    <t>kunt</t>
  </si>
  <si>
    <t>mother     makr</t>
  </si>
  <si>
    <t>ninpinin</t>
  </si>
  <si>
    <t>p3nu5</t>
  </si>
  <si>
    <t>rompari</t>
  </si>
  <si>
    <t>sha7</t>
  </si>
  <si>
    <t>torukozyo</t>
  </si>
  <si>
    <t>v46in4</t>
  </si>
  <si>
    <t>arselicker</t>
  </si>
  <si>
    <t>biiiiitch</t>
  </si>
  <si>
    <t>cl1t</t>
  </si>
  <si>
    <t>fickdich</t>
  </si>
  <si>
    <t>hitle</t>
  </si>
  <si>
    <t>kun7</t>
  </si>
  <si>
    <t>f0za    mok3r</t>
  </si>
  <si>
    <t>nipple</t>
  </si>
  <si>
    <t>p3nus</t>
  </si>
  <si>
    <t>rukker</t>
  </si>
  <si>
    <t>sh1t</t>
  </si>
  <si>
    <t>tosatu</t>
  </si>
  <si>
    <t>v461na</t>
  </si>
  <si>
    <t>auschwitz</t>
  </si>
  <si>
    <t>bi1i1i1i1tch</t>
  </si>
  <si>
    <t>cli7</t>
  </si>
  <si>
    <t>fku</t>
  </si>
  <si>
    <t>hitl3</t>
  </si>
  <si>
    <t>kurac</t>
  </si>
  <si>
    <t>molest</t>
  </si>
  <si>
    <t>nhiggerman</t>
  </si>
  <si>
    <t>pendejo</t>
  </si>
  <si>
    <t>sh17</t>
  </si>
  <si>
    <t>tosatsu</t>
  </si>
  <si>
    <t>v461n4</t>
  </si>
  <si>
    <t>bl(|y)ad(|t)</t>
  </si>
  <si>
    <t>cl17</t>
  </si>
  <si>
    <t>f(|c|u)[ou](|c|u)k(|ah|en|er|in|c|k|t)</t>
  </si>
  <si>
    <t>h1tle</t>
  </si>
  <si>
    <t>kurombo</t>
  </si>
  <si>
    <t>mong</t>
  </si>
  <si>
    <t>nyggerman</t>
  </si>
  <si>
    <t>penile</t>
  </si>
  <si>
    <t>shit</t>
  </si>
  <si>
    <t>towelhead</t>
  </si>
  <si>
    <t>v4jina</t>
  </si>
  <si>
    <t>A exceptions</t>
  </si>
  <si>
    <t>blad</t>
  </si>
  <si>
    <t>chlamydia</t>
  </si>
  <si>
    <t>fucker</t>
  </si>
  <si>
    <t>h1tl3</t>
  </si>
  <si>
    <t>kurva</t>
  </si>
  <si>
    <t>moon cricket</t>
  </si>
  <si>
    <t>nutsack</t>
  </si>
  <si>
    <t>penis-breath</t>
  </si>
  <si>
    <t>shi7</t>
  </si>
  <si>
    <t>tranny</t>
  </si>
  <si>
    <t>v4jin4</t>
  </si>
  <si>
    <t>ass[aeiou]</t>
  </si>
  <si>
    <t>blyad</t>
  </si>
  <si>
    <t>choad</t>
  </si>
  <si>
    <t>fcuukin</t>
  </si>
  <si>
    <t>hitlr</t>
  </si>
  <si>
    <t>kurwa</t>
  </si>
  <si>
    <t>moon criket</t>
  </si>
  <si>
    <t>nutted</t>
  </si>
  <si>
    <t>penuus</t>
  </si>
  <si>
    <t>shlt</t>
  </si>
  <si>
    <t>twat</t>
  </si>
  <si>
    <t>v4j1na</t>
  </si>
  <si>
    <t>assa...</t>
  </si>
  <si>
    <t>blyyyadtttt</t>
  </si>
  <si>
    <t>chode</t>
  </si>
  <si>
    <t>fuk</t>
  </si>
  <si>
    <t>kusi</t>
  </si>
  <si>
    <t>mouliewop</t>
  </si>
  <si>
    <t>perra</t>
  </si>
  <si>
    <t>shl7</t>
  </si>
  <si>
    <t>twa7</t>
  </si>
  <si>
    <t>v4j1n4</t>
  </si>
  <si>
    <t>asse...</t>
  </si>
  <si>
    <t>blyyad</t>
  </si>
  <si>
    <t>chonga</t>
  </si>
  <si>
    <t>fcokah</t>
  </si>
  <si>
    <t>h1tlr</t>
  </si>
  <si>
    <t>kyrpa</t>
  </si>
  <si>
    <t>muie</t>
  </si>
  <si>
    <t>perse</t>
  </si>
  <si>
    <t>shyt</t>
  </si>
  <si>
    <t>tw4t</t>
  </si>
  <si>
    <t>v41gina</t>
  </si>
  <si>
    <t>assi...</t>
  </si>
  <si>
    <t>bladtttt</t>
  </si>
  <si>
    <t>chonko</t>
  </si>
  <si>
    <t>foreskin</t>
  </si>
  <si>
    <t>holocaust</t>
  </si>
  <si>
    <t>kxkxk</t>
  </si>
  <si>
    <t>mulkku</t>
  </si>
  <si>
    <t>phagor</t>
  </si>
  <si>
    <t>shy7</t>
  </si>
  <si>
    <t>tw47</t>
  </si>
  <si>
    <t>v41gin4</t>
  </si>
  <si>
    <t>asso...</t>
  </si>
  <si>
    <t>blyadt</t>
  </si>
  <si>
    <t>chourenbo</t>
  </si>
  <si>
    <t>fotze</t>
  </si>
  <si>
    <t>honky</t>
  </si>
  <si>
    <t>mulatto</t>
  </si>
  <si>
    <t>phagot</t>
  </si>
  <si>
    <t>shemale</t>
  </si>
  <si>
    <t>tunbo</t>
  </si>
  <si>
    <t>v41g1na</t>
  </si>
  <si>
    <t>assu...</t>
  </si>
  <si>
    <t>binladen</t>
  </si>
  <si>
    <t>chourenpo</t>
  </si>
  <si>
    <t>foutre</t>
  </si>
  <si>
    <t>honkey</t>
  </si>
  <si>
    <t>muschi</t>
  </si>
  <si>
    <t>phaggor</t>
  </si>
  <si>
    <t>shinajin</t>
  </si>
  <si>
    <t>tyankoro</t>
  </si>
  <si>
    <t>v41g1n4</t>
  </si>
  <si>
    <t>bin laden</t>
  </si>
  <si>
    <t>chourembo</t>
  </si>
  <si>
    <t>fudge packer</t>
  </si>
  <si>
    <t>hooker</t>
  </si>
  <si>
    <t>phaggot</t>
  </si>
  <si>
    <t>shinheimin</t>
  </si>
  <si>
    <t>tyonga</t>
  </si>
  <si>
    <t>v416ina</t>
  </si>
  <si>
    <t>chourempo</t>
  </si>
  <si>
    <t>fujinoyamai</t>
  </si>
  <si>
    <t>ho0ker</t>
  </si>
  <si>
    <t>M exceptions</t>
  </si>
  <si>
    <t>phuc</t>
  </si>
  <si>
    <t>shipal</t>
  </si>
  <si>
    <t>tyonko</t>
  </si>
  <si>
    <t>v416in4</t>
  </si>
  <si>
    <t>chourepbo</t>
  </si>
  <si>
    <t>fupa</t>
  </si>
  <si>
    <t>h0oker</t>
  </si>
  <si>
    <t>method</t>
  </si>
  <si>
    <t>phuk</t>
  </si>
  <si>
    <t>shirakko</t>
  </si>
  <si>
    <t>tyourinbo</t>
  </si>
  <si>
    <t>v4161na</t>
  </si>
  <si>
    <t>choureppo</t>
  </si>
  <si>
    <t>fxuxcxk</t>
  </si>
  <si>
    <t>h00ker</t>
  </si>
  <si>
    <t>pika</t>
  </si>
  <si>
    <t>shiz</t>
  </si>
  <si>
    <t>tyourippo</t>
  </si>
  <si>
    <t>v4161n4</t>
  </si>
  <si>
    <t>chourinbo</t>
  </si>
  <si>
    <t>fu$</t>
  </si>
  <si>
    <t>huevon</t>
  </si>
  <si>
    <t>pikey</t>
  </si>
  <si>
    <t>shokubutsuningen</t>
  </si>
  <si>
    <t>tyurenbo</t>
  </si>
  <si>
    <t>v41jina</t>
  </si>
  <si>
    <t>chourinpo</t>
  </si>
  <si>
    <t>hui</t>
  </si>
  <si>
    <t>picka</t>
  </si>
  <si>
    <t>sinazin</t>
  </si>
  <si>
    <t>v41jin4</t>
  </si>
  <si>
    <t>chourimbo</t>
  </si>
  <si>
    <t>hukasyokumin</t>
  </si>
  <si>
    <t>pickey</t>
  </si>
  <si>
    <t>sinheimin</t>
  </si>
  <si>
    <t>T exceptions</t>
  </si>
  <si>
    <t>v41j1na</t>
  </si>
  <si>
    <t>chourimpo</t>
  </si>
  <si>
    <t>hure</t>
  </si>
  <si>
    <t>pierdol</t>
  </si>
  <si>
    <t>skank</t>
  </si>
  <si>
    <t>titan</t>
  </si>
  <si>
    <t>v41j1n4</t>
  </si>
  <si>
    <t>blowjob</t>
  </si>
  <si>
    <t>chouripbo</t>
  </si>
  <si>
    <t>huzinoyamai</t>
  </si>
  <si>
    <t>pillu</t>
  </si>
  <si>
    <t>skanck</t>
  </si>
  <si>
    <t>vaccagare</t>
  </si>
  <si>
    <t>blowme</t>
  </si>
  <si>
    <t>chourippo</t>
  </si>
  <si>
    <t>hymen</t>
  </si>
  <si>
    <t>pimmel</t>
  </si>
  <si>
    <t>skribz</t>
  </si>
  <si>
    <t>vaffanculo</t>
  </si>
  <si>
    <t>butthole</t>
  </si>
  <si>
    <t>chuurenbo</t>
  </si>
  <si>
    <t>pinche</t>
  </si>
  <si>
    <t>skurwysyn</t>
  </si>
  <si>
    <t>vatefaire</t>
  </si>
  <si>
    <t>buttwipe</t>
  </si>
  <si>
    <t>chuurenpo</t>
  </si>
  <si>
    <t>piss</t>
  </si>
  <si>
    <t>slut</t>
  </si>
  <si>
    <t>vittu</t>
  </si>
  <si>
    <t>boffing</t>
  </si>
  <si>
    <t>chuurembo</t>
  </si>
  <si>
    <t>H exceptions</t>
  </si>
  <si>
    <t>pizda</t>
  </si>
  <si>
    <t>smd</t>
  </si>
  <si>
    <t>vullva</t>
  </si>
  <si>
    <t>boobs</t>
  </si>
  <si>
    <t>chuurempo</t>
  </si>
  <si>
    <t>hor[admnrs]</t>
  </si>
  <si>
    <t>polla</t>
  </si>
  <si>
    <t>son-of-a-bitch</t>
  </si>
  <si>
    <t>vulva</t>
  </si>
  <si>
    <t>boobz</t>
  </si>
  <si>
    <t>chuurepbo</t>
  </si>
  <si>
    <t>hora...</t>
  </si>
  <si>
    <t>poontsee</t>
  </si>
  <si>
    <t>sodom</t>
  </si>
  <si>
    <t>vvhitepower</t>
  </si>
  <si>
    <t>bo0bs</t>
  </si>
  <si>
    <t>chuureppo</t>
  </si>
  <si>
    <t>hord...</t>
  </si>
  <si>
    <t>poop</t>
  </si>
  <si>
    <t>sofaking</t>
  </si>
  <si>
    <t>bo0bz</t>
  </si>
  <si>
    <t>chuurinbo</t>
  </si>
  <si>
    <t>hom...</t>
  </si>
  <si>
    <t>porra</t>
  </si>
  <si>
    <t>sofa king</t>
  </si>
  <si>
    <t>b00bs</t>
  </si>
  <si>
    <t>chuurinpo</t>
  </si>
  <si>
    <t>horn...</t>
  </si>
  <si>
    <t>porn</t>
  </si>
  <si>
    <t>spanishick</t>
  </si>
  <si>
    <t>b00bz</t>
  </si>
  <si>
    <t>chuurimbo</t>
  </si>
  <si>
    <t>horr...</t>
  </si>
  <si>
    <t>p0rn</t>
  </si>
  <si>
    <t>spanishook</t>
  </si>
  <si>
    <t>b0obs</t>
  </si>
  <si>
    <t>chuurimpo</t>
  </si>
  <si>
    <t>hors...</t>
  </si>
  <si>
    <t>pr0n</t>
  </si>
  <si>
    <t>spanishunk</t>
  </si>
  <si>
    <t>b0obz</t>
  </si>
  <si>
    <t>chuuripbo</t>
  </si>
  <si>
    <t>preteen</t>
  </si>
  <si>
    <t>sphencter</t>
  </si>
  <si>
    <t>boner</t>
  </si>
  <si>
    <t>chuurippo</t>
  </si>
  <si>
    <t>pula</t>
  </si>
  <si>
    <t>spierdalaj</t>
  </si>
  <si>
    <t>bon3r</t>
  </si>
  <si>
    <t>cocain</t>
  </si>
  <si>
    <t>pule</t>
  </si>
  <si>
    <t>splooge</t>
  </si>
  <si>
    <t>bukakke</t>
  </si>
  <si>
    <t>cockhead</t>
  </si>
  <si>
    <t>puta</t>
  </si>
  <si>
    <t>std</t>
  </si>
  <si>
    <t>bullshit</t>
  </si>
  <si>
    <t>cogli(|o)n[ei]</t>
  </si>
  <si>
    <t>puto</t>
  </si>
  <si>
    <t>cucchia cazzi</t>
  </si>
  <si>
    <t>bung</t>
  </si>
  <si>
    <t>cogline</t>
  </si>
  <si>
    <t>polac</t>
  </si>
  <si>
    <t>suckmy</t>
  </si>
  <si>
    <t>butagorosi</t>
  </si>
  <si>
    <t>cogliini</t>
  </si>
  <si>
    <t>polack</t>
  </si>
  <si>
    <t>suck my</t>
  </si>
  <si>
    <t>butthead</t>
  </si>
  <si>
    <t>coglione</t>
  </si>
  <si>
    <t>polak</t>
  </si>
  <si>
    <t>suka</t>
  </si>
  <si>
    <t>buttplug</t>
  </si>
  <si>
    <t>coglioni</t>
  </si>
  <si>
    <t>polakk</t>
  </si>
  <si>
    <t>syokubutuningen</t>
  </si>
  <si>
    <t>cogliooone</t>
  </si>
  <si>
    <t>poonani</t>
  </si>
  <si>
    <t>cogliooooooni</t>
  </si>
  <si>
    <t>porca madonna</t>
  </si>
  <si>
    <t>coitus</t>
  </si>
  <si>
    <t>porch monkey</t>
  </si>
  <si>
    <t>cojelon</t>
  </si>
  <si>
    <t>porche monkey</t>
  </si>
  <si>
    <t>cojones</t>
  </si>
  <si>
    <t>pri</t>
  </si>
  <si>
    <t>condom</t>
  </si>
  <si>
    <t>pr1</t>
  </si>
  <si>
    <t>coon</t>
  </si>
  <si>
    <t>pric</t>
  </si>
  <si>
    <t>coon hunt</t>
  </si>
  <si>
    <t>pr1c</t>
  </si>
  <si>
    <t>coon kill</t>
  </si>
  <si>
    <t>p[uv][5sz][5sz](|5|s|z)[135iley](|es)</t>
  </si>
  <si>
    <t>cooter</t>
  </si>
  <si>
    <t>pussy</t>
  </si>
  <si>
    <t>cottonpic</t>
  </si>
  <si>
    <t>pv55555es</t>
  </si>
  <si>
    <t>cotton pic</t>
  </si>
  <si>
    <t>puszse</t>
  </si>
  <si>
    <t>cotton pik</t>
  </si>
  <si>
    <t>pvzz55es</t>
  </si>
  <si>
    <t>cottonpik</t>
  </si>
  <si>
    <t>puss3es</t>
  </si>
  <si>
    <t>crackhead</t>
  </si>
  <si>
    <t>pvs5s5</t>
  </si>
  <si>
    <t>csam</t>
  </si>
  <si>
    <t>pubi</t>
  </si>
  <si>
    <t>culo</t>
  </si>
  <si>
    <t>pubic</t>
  </si>
  <si>
    <t>culear</t>
  </si>
  <si>
    <t>pube</t>
  </si>
  <si>
    <t>culero</t>
  </si>
  <si>
    <t>pubec</t>
  </si>
  <si>
    <t>cum</t>
  </si>
  <si>
    <t>pub1</t>
  </si>
  <si>
    <t>cunt</t>
  </si>
  <si>
    <t>pub1c</t>
  </si>
  <si>
    <t>cun7</t>
  </si>
  <si>
    <t>punal</t>
  </si>
  <si>
    <t>cvnt</t>
  </si>
  <si>
    <t>punani</t>
  </si>
  <si>
    <t>punan1</t>
  </si>
  <si>
    <t>cnts</t>
  </si>
  <si>
    <t>punanl</t>
  </si>
  <si>
    <t>cntz</t>
  </si>
  <si>
    <t>pun4ni</t>
  </si>
  <si>
    <t>c[0o](|c)k</t>
  </si>
  <si>
    <t>pun4n1</t>
  </si>
  <si>
    <t>cok</t>
  </si>
  <si>
    <t>pun4nl</t>
  </si>
  <si>
    <t>c0k</t>
  </si>
  <si>
    <t>pute</t>
  </si>
  <si>
    <t>cock</t>
  </si>
  <si>
    <t>puttana</t>
  </si>
  <si>
    <t>c0ck</t>
  </si>
  <si>
    <t>puttane</t>
  </si>
  <si>
    <t>coccccck</t>
  </si>
  <si>
    <t>puttaniere</t>
  </si>
  <si>
    <t>c0cccccccccck</t>
  </si>
  <si>
    <t>puuke</t>
  </si>
  <si>
    <t>crap</t>
  </si>
  <si>
    <t>cyka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</si>
</sst>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yyyy&quot;-&quot;mm&quot;-&quot;dd"/>
    <numFmt numFmtId="165" formatCode="yyyy&quot;-&quot;mm&quot;-&quot;dd&quot; &quot;hh&quot;:&quot;mm"/>
    <numFmt numFmtId="166" formatCode="0\ &quot;days&quot;"/>
    <numFmt numFmtId="167" formatCode="[=1]0&quot; day&quot;;\ 0&quot; days&quot;"/>
    <numFmt numFmtId="168" formatCode="yyyy\-mm\-dd\ h:mm"/>
    <numFmt numFmtId="169" formatCode="yyyy\-mm\-dd"/>
    <numFmt numFmtId="170" formatCode="yyyy\-mm\-dd\ hh:mm"/>
    <numFmt numFmtId="171" formatCode="hh&quot;:&quot;mm"/>
    <numFmt numFmtId="172" formatCode="0.00\ &quot;days&quot;"/>
    <numFmt numFmtId="173" formatCode="mmm&quot; &quot;dd&quot;.&quot;"/>
    <numFmt numFmtId="174" formatCode="[=1]&quot;in ~&quot;0\ &quot;day&quot;;&quot;in ~&quot;0\ &quot;days&quot;"/>
    <numFmt numFmtId="175" formatCode="[=1]&quot;~&quot;0\ &quot;day&quot;;&quot;~&quot;0\ &quot;days&quot;"/>
    <numFmt numFmtId="176" formatCode="&quot;in ~&quot;0\ &quot;days&quot;"/>
    <numFmt numFmtId="177" formatCode="[=1]0&quot; day&quot;;[=-1]0&quot; day&quot;;0&quot; days&quot;"/>
    <numFmt numFmtId="178" formatCode="[=1]0&quot; day&quot;;0&quot; days&quot;"/>
    <numFmt numFmtId="179" formatCode="hh:mm"/>
    <numFmt numFmtId="180" formatCode="d/m/yyyy"/>
  </numFmts>
  <fonts count="126" x14ac:knownFonts="1">
    <font>
      <sz val="10"/>
      <color rgb="FF000000"/>
      <name val="Arial"/>
      <scheme val="minor"/>
    </font>
    <font>
      <sz val="18"/>
      <color theme="1"/>
      <name val="Calibri"/>
    </font>
    <font>
      <u/>
      <sz val="18"/>
      <color rgb="FF0000FF"/>
      <name val="Calibri"/>
    </font>
    <font>
      <sz val="10"/>
      <name val="Arial"/>
    </font>
    <font>
      <sz val="11"/>
      <color theme="1"/>
      <name val="Calibri"/>
    </font>
    <font>
      <sz val="14"/>
      <color theme="1"/>
      <name val="Calibri"/>
    </font>
    <font>
      <sz val="10"/>
      <color theme="1"/>
      <name val="Arial"/>
      <scheme val="minor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0"/>
      <color theme="1"/>
      <name val="Arial"/>
    </font>
    <font>
      <sz val="11"/>
      <color rgb="FF000000"/>
      <name val="Calibri"/>
    </font>
    <font>
      <u/>
      <sz val="18"/>
      <color rgb="FF1155CC"/>
      <name val="Calibri"/>
    </font>
    <font>
      <sz val="10"/>
      <color theme="1"/>
      <name val="Calibri"/>
    </font>
    <font>
      <u/>
      <sz val="11"/>
      <color rgb="FF1155CC"/>
      <name val="Calibri"/>
    </font>
    <font>
      <b/>
      <sz val="11"/>
      <color theme="1"/>
      <name val="Calibri"/>
    </font>
    <font>
      <sz val="11"/>
      <color theme="1"/>
      <name val="Arial"/>
      <scheme val="minor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sz val="12"/>
      <color theme="1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sz val="18"/>
      <name val="Calibri"/>
    </font>
    <font>
      <sz val="12"/>
      <name val="Calibri"/>
    </font>
    <font>
      <u/>
      <sz val="12"/>
      <color rgb="FF1155CC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ABAB"/>
        <bgColor rgb="FFFFABAB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3FF5B"/>
        <bgColor rgb="FFF3FF5B"/>
      </patternFill>
    </fill>
    <fill>
      <patternFill patternType="solid">
        <fgColor rgb="FFFFB9FF"/>
        <bgColor rgb="FFFFB9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65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4" fillId="2" borderId="1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7" fontId="4" fillId="0" borderId="10" xfId="0" applyNumberFormat="1" applyFont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167" fontId="4" fillId="2" borderId="10" xfId="0" applyNumberFormat="1" applyFont="1" applyFill="1" applyBorder="1" applyAlignment="1">
      <alignment horizontal="center" vertical="center" wrapText="1"/>
    </xf>
    <xf numFmtId="167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 wrapText="1"/>
    </xf>
    <xf numFmtId="165" fontId="4" fillId="2" borderId="8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5" fontId="11" fillId="2" borderId="10" xfId="0" applyNumberFormat="1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8" fontId="12" fillId="0" borderId="10" xfId="0" applyNumberFormat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/>
    </xf>
    <xf numFmtId="169" fontId="4" fillId="0" borderId="10" xfId="0" applyNumberFormat="1" applyFont="1" applyBorder="1" applyAlignment="1">
      <alignment horizontal="center" vertical="center" wrapText="1"/>
    </xf>
    <xf numFmtId="170" fontId="14" fillId="0" borderId="10" xfId="0" applyNumberFormat="1" applyFont="1" applyBorder="1" applyAlignment="1">
      <alignment horizontal="center" vertical="center" wrapText="1"/>
    </xf>
    <xf numFmtId="169" fontId="4" fillId="0" borderId="0" xfId="0" applyNumberFormat="1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170" fontId="15" fillId="2" borderId="1" xfId="0" applyNumberFormat="1" applyFont="1" applyFill="1" applyBorder="1" applyAlignment="1">
      <alignment horizontal="center" vertical="center" wrapText="1"/>
    </xf>
    <xf numFmtId="169" fontId="4" fillId="2" borderId="10" xfId="0" applyNumberFormat="1" applyFont="1" applyFill="1" applyBorder="1" applyAlignment="1">
      <alignment horizontal="center" vertical="center" wrapText="1"/>
    </xf>
    <xf numFmtId="169" fontId="4" fillId="2" borderId="0" xfId="0" applyNumberFormat="1" applyFont="1" applyFill="1" applyAlignment="1">
      <alignment horizontal="center" vertical="center" wrapText="1"/>
    </xf>
    <xf numFmtId="169" fontId="4" fillId="2" borderId="12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170" fontId="16" fillId="0" borderId="1" xfId="0" applyNumberFormat="1" applyFont="1" applyBorder="1" applyAlignment="1">
      <alignment horizontal="center" vertical="center" wrapText="1"/>
    </xf>
    <xf numFmtId="169" fontId="4" fillId="0" borderId="12" xfId="0" applyNumberFormat="1" applyFont="1" applyBorder="1" applyAlignment="1">
      <alignment horizontal="center" vertical="center" wrapText="1"/>
    </xf>
    <xf numFmtId="170" fontId="4" fillId="2" borderId="1" xfId="0" applyNumberFormat="1" applyFont="1" applyFill="1" applyBorder="1" applyAlignment="1">
      <alignment horizontal="center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71" fontId="4" fillId="0" borderId="11" xfId="0" applyNumberFormat="1" applyFont="1" applyBorder="1" applyAlignment="1">
      <alignment horizontal="center" vertical="center" wrapText="1"/>
    </xf>
    <xf numFmtId="172" fontId="4" fillId="0" borderId="11" xfId="0" applyNumberFormat="1" applyFont="1" applyBorder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0" fontId="4" fillId="2" borderId="11" xfId="0" applyNumberFormat="1" applyFont="1" applyFill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3" fontId="4" fillId="2" borderId="10" xfId="0" applyNumberFormat="1" applyFont="1" applyFill="1" applyBorder="1" applyAlignment="1">
      <alignment horizontal="center" vertical="center" wrapText="1"/>
    </xf>
    <xf numFmtId="174" fontId="6" fillId="2" borderId="11" xfId="0" applyNumberFormat="1" applyFont="1" applyFill="1" applyBorder="1" applyAlignment="1">
      <alignment horizontal="center" vertical="center" wrapText="1"/>
    </xf>
    <xf numFmtId="173" fontId="4" fillId="2" borderId="1" xfId="0" applyNumberFormat="1" applyFont="1" applyFill="1" applyBorder="1" applyAlignment="1">
      <alignment horizontal="center" vertical="center" wrapText="1"/>
    </xf>
    <xf numFmtId="174" fontId="17" fillId="2" borderId="7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73" fontId="4" fillId="0" borderId="10" xfId="0" applyNumberFormat="1" applyFont="1" applyBorder="1" applyAlignment="1">
      <alignment horizontal="center" vertical="center" wrapText="1"/>
    </xf>
    <xf numFmtId="174" fontId="6" fillId="0" borderId="11" xfId="0" applyNumberFormat="1" applyFont="1" applyBorder="1" applyAlignment="1">
      <alignment horizontal="center" vertical="center" wrapText="1"/>
    </xf>
    <xf numFmtId="174" fontId="17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9" fontId="4" fillId="0" borderId="0" xfId="0" applyNumberFormat="1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175" fontId="6" fillId="2" borderId="11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75" fontId="6" fillId="0" borderId="11" xfId="0" applyNumberFormat="1" applyFont="1" applyBorder="1" applyAlignment="1">
      <alignment horizontal="center" vertical="center" wrapText="1"/>
    </xf>
    <xf numFmtId="0" fontId="6" fillId="7" borderId="0" xfId="0" applyFont="1" applyFill="1" applyAlignment="1">
      <alignment vertical="center"/>
    </xf>
    <xf numFmtId="173" fontId="4" fillId="0" borderId="1" xfId="0" applyNumberFormat="1" applyFont="1" applyBorder="1" applyAlignment="1">
      <alignment horizontal="center" vertical="center" wrapText="1"/>
    </xf>
    <xf numFmtId="173" fontId="4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7" borderId="7" xfId="0" applyFont="1" applyFill="1" applyBorder="1" applyAlignment="1">
      <alignment horizontal="center" vertical="center" wrapText="1"/>
    </xf>
    <xf numFmtId="0" fontId="6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7" borderId="1" xfId="0" applyNumberFormat="1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171" fontId="4" fillId="2" borderId="10" xfId="0" applyNumberFormat="1" applyFont="1" applyFill="1" applyBorder="1" applyAlignment="1">
      <alignment horizontal="center" vertical="center" wrapText="1"/>
    </xf>
    <xf numFmtId="178" fontId="4" fillId="2" borderId="10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71" fontId="4" fillId="0" borderId="10" xfId="0" applyNumberFormat="1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9" fontId="4" fillId="2" borderId="3" xfId="0" applyNumberFormat="1" applyFont="1" applyFill="1" applyBorder="1" applyAlignment="1">
      <alignment horizontal="center" vertical="center" wrapText="1"/>
    </xf>
    <xf numFmtId="171" fontId="4" fillId="2" borderId="3" xfId="0" applyNumberFormat="1" applyFont="1" applyFill="1" applyBorder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1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0" fontId="17" fillId="0" borderId="0" xfId="0" applyNumberFormat="1" applyFont="1"/>
    <xf numFmtId="49" fontId="4" fillId="2" borderId="10" xfId="0" applyNumberFormat="1" applyFont="1" applyFill="1" applyBorder="1" applyAlignment="1">
      <alignment horizont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wrapText="1"/>
    </xf>
    <xf numFmtId="49" fontId="4" fillId="0" borderId="12" xfId="0" applyNumberFormat="1" applyFont="1" applyBorder="1" applyAlignment="1">
      <alignment horizontal="center" vertical="center" wrapText="1"/>
    </xf>
    <xf numFmtId="20" fontId="4" fillId="2" borderId="10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20" fontId="4" fillId="2" borderId="3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20" fontId="4" fillId="2" borderId="0" xfId="0" applyNumberFormat="1" applyFont="1" applyFill="1" applyAlignment="1">
      <alignment horizontal="center" vertical="center" wrapText="1"/>
    </xf>
    <xf numFmtId="178" fontId="4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179" fontId="4" fillId="2" borderId="10" xfId="0" applyNumberFormat="1" applyFont="1" applyFill="1" applyBorder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9" fontId="4" fillId="2" borderId="0" xfId="0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9" fontId="4" fillId="2" borderId="0" xfId="0" applyNumberFormat="1" applyFont="1" applyFill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79" fontId="4" fillId="0" borderId="10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66" fontId="4" fillId="2" borderId="1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169" fontId="4" fillId="8" borderId="17" xfId="0" applyNumberFormat="1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9" fontId="4" fillId="6" borderId="1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7" fillId="0" borderId="0" xfId="0" applyFont="1"/>
    <xf numFmtId="0" fontId="36" fillId="0" borderId="16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73" fontId="20" fillId="0" borderId="0" xfId="0" applyNumberFormat="1" applyFont="1" applyAlignment="1">
      <alignment horizontal="center" vertical="center"/>
    </xf>
    <xf numFmtId="173" fontId="4" fillId="2" borderId="12" xfId="0" applyNumberFormat="1" applyFont="1" applyFill="1" applyBorder="1" applyAlignment="1">
      <alignment horizontal="center" vertical="center" wrapText="1"/>
    </xf>
    <xf numFmtId="173" fontId="4" fillId="2" borderId="0" xfId="0" applyNumberFormat="1" applyFont="1" applyFill="1" applyAlignment="1">
      <alignment horizontal="center" vertical="center" wrapText="1"/>
    </xf>
    <xf numFmtId="173" fontId="37" fillId="2" borderId="12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73" fontId="38" fillId="0" borderId="9" xfId="0" applyNumberFormat="1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73" fontId="39" fillId="0" borderId="10" xfId="0" applyNumberFormat="1" applyFont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173" fontId="4" fillId="0" borderId="9" xfId="0" applyNumberFormat="1" applyFont="1" applyBorder="1" applyAlignment="1">
      <alignment horizontal="center" vertical="center" wrapText="1"/>
    </xf>
    <xf numFmtId="173" fontId="40" fillId="0" borderId="9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173" fontId="41" fillId="2" borderId="0" xfId="0" applyNumberFormat="1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3" fontId="43" fillId="2" borderId="0" xfId="0" applyNumberFormat="1" applyFont="1" applyFill="1" applyAlignment="1">
      <alignment horizontal="center" vertical="center" wrapText="1"/>
    </xf>
    <xf numFmtId="173" fontId="44" fillId="2" borderId="12" xfId="0" applyNumberFormat="1" applyFont="1" applyFill="1" applyBorder="1" applyAlignment="1">
      <alignment horizontal="center" vertical="center" wrapText="1"/>
    </xf>
    <xf numFmtId="173" fontId="45" fillId="2" borderId="12" xfId="0" applyNumberFormat="1" applyFont="1" applyFill="1" applyBorder="1" applyAlignment="1">
      <alignment horizontal="center" vertical="center" wrapText="1"/>
    </xf>
    <xf numFmtId="173" fontId="46" fillId="0" borderId="2" xfId="0" applyNumberFormat="1" applyFont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73" fontId="47" fillId="0" borderId="3" xfId="0" applyNumberFormat="1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3" fontId="48" fillId="0" borderId="2" xfId="0" applyNumberFormat="1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73" fontId="49" fillId="0" borderId="2" xfId="0" applyNumberFormat="1" applyFont="1" applyBorder="1" applyAlignment="1">
      <alignment horizontal="center" vertical="center" wrapText="1"/>
    </xf>
    <xf numFmtId="173" fontId="50" fillId="0" borderId="6" xfId="0" applyNumberFormat="1" applyFont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173" fontId="51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173" fontId="52" fillId="0" borderId="1" xfId="0" applyNumberFormat="1" applyFont="1" applyBorder="1" applyAlignment="1">
      <alignment horizontal="center" vertical="center" wrapText="1"/>
    </xf>
    <xf numFmtId="173" fontId="53" fillId="0" borderId="6" xfId="0" applyNumberFormat="1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73" fontId="54" fillId="0" borderId="3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3" fontId="55" fillId="0" borderId="12" xfId="0" applyNumberFormat="1" applyFont="1" applyBorder="1" applyAlignment="1">
      <alignment horizontal="center" vertical="center" wrapText="1"/>
    </xf>
    <xf numFmtId="173" fontId="56" fillId="0" borderId="12" xfId="0" applyNumberFormat="1" applyFont="1" applyBorder="1" applyAlignment="1">
      <alignment horizontal="center" vertical="center" wrapText="1"/>
    </xf>
    <xf numFmtId="173" fontId="60" fillId="0" borderId="3" xfId="0" applyNumberFormat="1" applyFont="1" applyBorder="1" applyAlignment="1">
      <alignment horizontal="center" vertical="center" wrapText="1"/>
    </xf>
    <xf numFmtId="173" fontId="61" fillId="2" borderId="2" xfId="0" applyNumberFormat="1" applyFont="1" applyFill="1" applyBorder="1" applyAlignment="1">
      <alignment horizontal="center" vertical="center" wrapText="1"/>
    </xf>
    <xf numFmtId="173" fontId="62" fillId="2" borderId="2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173" fontId="64" fillId="7" borderId="2" xfId="0" applyNumberFormat="1" applyFont="1" applyFill="1" applyBorder="1" applyAlignment="1">
      <alignment horizontal="center" vertical="center" wrapText="1"/>
    </xf>
    <xf numFmtId="173" fontId="18" fillId="7" borderId="3" xfId="0" applyNumberFormat="1" applyFont="1" applyFill="1" applyBorder="1" applyAlignment="1">
      <alignment horizontal="center" vertical="center" wrapText="1"/>
    </xf>
    <xf numFmtId="173" fontId="65" fillId="7" borderId="12" xfId="0" applyNumberFormat="1" applyFont="1" applyFill="1" applyBorder="1" applyAlignment="1">
      <alignment horizontal="center" vertical="center" wrapText="1"/>
    </xf>
    <xf numFmtId="173" fontId="18" fillId="7" borderId="0" xfId="0" applyNumberFormat="1" applyFont="1" applyFill="1" applyAlignment="1">
      <alignment horizontal="center" vertical="center" wrapText="1"/>
    </xf>
    <xf numFmtId="173" fontId="66" fillId="0" borderId="12" xfId="0" applyNumberFormat="1" applyFont="1" applyBorder="1" applyAlignment="1">
      <alignment horizontal="center" vertical="center" wrapText="1"/>
    </xf>
    <xf numFmtId="173" fontId="67" fillId="2" borderId="6" xfId="0" applyNumberFormat="1" applyFont="1" applyFill="1" applyBorder="1" applyAlignment="1">
      <alignment horizontal="center" vertical="center" wrapText="1"/>
    </xf>
    <xf numFmtId="0" fontId="68" fillId="2" borderId="9" xfId="0" applyFont="1" applyFill="1" applyBorder="1" applyAlignment="1">
      <alignment horizontal="center" vertical="center" wrapText="1"/>
    </xf>
    <xf numFmtId="0" fontId="69" fillId="2" borderId="10" xfId="0" applyFont="1" applyFill="1" applyBorder="1" applyAlignment="1">
      <alignment horizontal="center" vertical="center" wrapText="1"/>
    </xf>
    <xf numFmtId="0" fontId="70" fillId="0" borderId="12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2" fillId="0" borderId="12" xfId="0" applyFont="1" applyBorder="1" applyAlignment="1">
      <alignment horizontal="center" vertical="center" wrapText="1"/>
    </xf>
    <xf numFmtId="0" fontId="73" fillId="7" borderId="12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7" borderId="0" xfId="0" applyFont="1" applyFill="1" applyAlignment="1">
      <alignment horizontal="center" vertical="center" wrapText="1"/>
    </xf>
    <xf numFmtId="0" fontId="76" fillId="0" borderId="0" xfId="0" quotePrefix="1" applyFont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/>
    </xf>
    <xf numFmtId="0" fontId="82" fillId="2" borderId="2" xfId="0" applyFont="1" applyFill="1" applyBorder="1" applyAlignment="1">
      <alignment horizontal="center" vertical="center" wrapText="1"/>
    </xf>
    <xf numFmtId="0" fontId="84" fillId="2" borderId="12" xfId="0" applyFont="1" applyFill="1" applyBorder="1" applyAlignment="1">
      <alignment horizontal="center" vertical="center" wrapText="1"/>
    </xf>
    <xf numFmtId="0" fontId="85" fillId="2" borderId="12" xfId="0" applyFont="1" applyFill="1" applyBorder="1" applyAlignment="1">
      <alignment horizontal="center" vertical="center" wrapText="1"/>
    </xf>
    <xf numFmtId="0" fontId="86" fillId="2" borderId="0" xfId="0" applyFont="1" applyFill="1" applyAlignment="1">
      <alignment horizontal="center" vertical="center" wrapText="1"/>
    </xf>
    <xf numFmtId="0" fontId="87" fillId="2" borderId="0" xfId="0" applyFont="1" applyFill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 wrapText="1"/>
    </xf>
    <xf numFmtId="0" fontId="89" fillId="2" borderId="1" xfId="0" applyFont="1" applyFill="1" applyBorder="1" applyAlignment="1">
      <alignment horizontal="center" vertical="center" wrapText="1"/>
    </xf>
    <xf numFmtId="0" fontId="90" fillId="7" borderId="0" xfId="0" applyFont="1" applyFill="1" applyAlignment="1">
      <alignment horizontal="center" vertical="center"/>
    </xf>
    <xf numFmtId="0" fontId="92" fillId="2" borderId="6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 wrapText="1"/>
    </xf>
    <xf numFmtId="0" fontId="94" fillId="2" borderId="2" xfId="0" applyFont="1" applyFill="1" applyBorder="1" applyAlignment="1">
      <alignment horizontal="center" vertical="center" wrapText="1"/>
    </xf>
    <xf numFmtId="0" fontId="95" fillId="2" borderId="12" xfId="0" applyFont="1" applyFill="1" applyBorder="1" applyAlignment="1">
      <alignment horizontal="center" vertical="center" wrapText="1"/>
    </xf>
    <xf numFmtId="0" fontId="96" fillId="7" borderId="12" xfId="0" applyFont="1" applyFill="1" applyBorder="1" applyAlignment="1">
      <alignment horizontal="center" vertical="center" wrapText="1"/>
    </xf>
    <xf numFmtId="0" fontId="98" fillId="7" borderId="6" xfId="0" applyFont="1" applyFill="1" applyBorder="1" applyAlignment="1">
      <alignment horizontal="center" vertical="center" wrapText="1"/>
    </xf>
    <xf numFmtId="0" fontId="101" fillId="2" borderId="6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4" fontId="17" fillId="0" borderId="0" xfId="0" applyNumberFormat="1" applyFont="1"/>
    <xf numFmtId="0" fontId="4" fillId="7" borderId="1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0" fontId="102" fillId="0" borderId="7" xfId="0" applyFont="1" applyBorder="1" applyAlignment="1">
      <alignment horizontal="center" vertical="center" wrapText="1"/>
    </xf>
    <xf numFmtId="0" fontId="102" fillId="2" borderId="11" xfId="0" applyFont="1" applyFill="1" applyBorder="1" applyAlignment="1">
      <alignment horizontal="center" vertical="center" wrapText="1"/>
    </xf>
    <xf numFmtId="0" fontId="102" fillId="0" borderId="11" xfId="0" applyFont="1" applyBorder="1" applyAlignment="1">
      <alignment horizontal="center" vertical="center" wrapText="1"/>
    </xf>
    <xf numFmtId="0" fontId="103" fillId="0" borderId="10" xfId="0" applyFont="1" applyBorder="1" applyAlignment="1">
      <alignment horizontal="center" vertical="center" wrapText="1"/>
    </xf>
    <xf numFmtId="0" fontId="104" fillId="2" borderId="11" xfId="0" applyFont="1" applyFill="1" applyBorder="1" applyAlignment="1">
      <alignment horizontal="center" vertical="center" wrapText="1"/>
    </xf>
    <xf numFmtId="0" fontId="102" fillId="2" borderId="7" xfId="0" applyFont="1" applyFill="1" applyBorder="1" applyAlignment="1">
      <alignment horizontal="center" vertical="center" wrapText="1"/>
    </xf>
    <xf numFmtId="173" fontId="105" fillId="2" borderId="10" xfId="0" applyNumberFormat="1" applyFont="1" applyFill="1" applyBorder="1" applyAlignment="1">
      <alignment horizontal="center" vertical="center" wrapText="1"/>
    </xf>
    <xf numFmtId="0" fontId="106" fillId="2" borderId="10" xfId="0" applyFont="1" applyFill="1" applyBorder="1" applyAlignment="1">
      <alignment horizontal="center" vertical="center" wrapText="1"/>
    </xf>
    <xf numFmtId="0" fontId="107" fillId="2" borderId="10" xfId="0" applyFont="1" applyFill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109" fillId="2" borderId="1" xfId="0" applyFont="1" applyFill="1" applyBorder="1" applyAlignment="1">
      <alignment horizontal="center" vertical="center" wrapText="1"/>
    </xf>
    <xf numFmtId="0" fontId="110" fillId="0" borderId="11" xfId="0" applyFont="1" applyBorder="1" applyAlignment="1">
      <alignment horizontal="center" vertical="center" wrapText="1"/>
    </xf>
    <xf numFmtId="173" fontId="111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2" fillId="0" borderId="3" xfId="0" applyFont="1" applyBorder="1" applyAlignment="1">
      <alignment horizontal="center" vertical="center" wrapText="1"/>
    </xf>
    <xf numFmtId="0" fontId="102" fillId="0" borderId="10" xfId="0" applyFont="1" applyBorder="1" applyAlignment="1">
      <alignment horizontal="center" vertical="center" wrapText="1"/>
    </xf>
    <xf numFmtId="173" fontId="112" fillId="2" borderId="3" xfId="0" applyNumberFormat="1" applyFont="1" applyFill="1" applyBorder="1" applyAlignment="1">
      <alignment horizontal="center" vertical="center" wrapText="1"/>
    </xf>
    <xf numFmtId="173" fontId="114" fillId="2" borderId="1" xfId="0" applyNumberFormat="1" applyFont="1" applyFill="1" applyBorder="1" applyAlignment="1">
      <alignment horizontal="center" vertical="center" wrapText="1"/>
    </xf>
    <xf numFmtId="173" fontId="116" fillId="0" borderId="1" xfId="0" applyNumberFormat="1" applyFont="1" applyBorder="1" applyAlignment="1">
      <alignment horizontal="center" vertical="center" wrapText="1"/>
    </xf>
    <xf numFmtId="173" fontId="117" fillId="0" borderId="10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173" fontId="118" fillId="2" borderId="10" xfId="0" applyNumberFormat="1" applyFont="1" applyFill="1" applyBorder="1" applyAlignment="1">
      <alignment horizontal="center" vertical="center" wrapText="1"/>
    </xf>
    <xf numFmtId="173" fontId="119" fillId="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3" fontId="120" fillId="2" borderId="10" xfId="0" applyNumberFormat="1" applyFont="1" applyFill="1" applyBorder="1" applyAlignment="1">
      <alignment horizontal="center" vertical="center" wrapText="1"/>
    </xf>
    <xf numFmtId="173" fontId="4" fillId="2" borderId="11" xfId="0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173" fontId="121" fillId="0" borderId="11" xfId="0" applyNumberFormat="1" applyFont="1" applyBorder="1" applyAlignment="1">
      <alignment horizontal="center" vertical="center" wrapText="1"/>
    </xf>
    <xf numFmtId="173" fontId="122" fillId="0" borderId="1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6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7" xfId="0" applyFont="1" applyBorder="1"/>
    <xf numFmtId="0" fontId="1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7" fillId="0" borderId="9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11" xfId="0" applyFont="1" applyBorder="1"/>
    <xf numFmtId="0" fontId="8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8" xfId="0" applyFont="1" applyBorder="1"/>
    <xf numFmtId="0" fontId="4" fillId="0" borderId="9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3" fillId="0" borderId="12" xfId="0" applyFont="1" applyBorder="1"/>
    <xf numFmtId="0" fontId="19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49" fontId="5" fillId="0" borderId="9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5" fillId="0" borderId="15" xfId="0" applyFont="1" applyBorder="1" applyAlignment="1">
      <alignment horizontal="center" vertical="center"/>
    </xf>
    <xf numFmtId="0" fontId="3" fillId="0" borderId="18" xfId="0" applyFont="1" applyBorder="1"/>
    <xf numFmtId="0" fontId="18" fillId="7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3" fontId="62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18" fillId="2" borderId="2" xfId="0" applyFont="1" applyFill="1" applyBorder="1" applyAlignment="1">
      <alignment horizontal="center" vertical="center" wrapText="1"/>
    </xf>
    <xf numFmtId="173" fontId="64" fillId="7" borderId="2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173" fontId="45" fillId="2" borderId="12" xfId="0" applyNumberFormat="1" applyFont="1" applyFill="1" applyBorder="1" applyAlignment="1">
      <alignment horizontal="center" vertical="center" wrapText="1"/>
    </xf>
    <xf numFmtId="173" fontId="4" fillId="7" borderId="2" xfId="0" applyNumberFormat="1" applyFont="1" applyFill="1" applyBorder="1" applyAlignment="1">
      <alignment horizontal="center" vertical="center" wrapText="1"/>
    </xf>
    <xf numFmtId="173" fontId="66" fillId="0" borderId="12" xfId="0" applyNumberFormat="1" applyFont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173" fontId="18" fillId="7" borderId="3" xfId="0" applyNumberFormat="1" applyFont="1" applyFill="1" applyBorder="1" applyAlignment="1">
      <alignment horizontal="center" vertical="center" wrapText="1"/>
    </xf>
    <xf numFmtId="173" fontId="65" fillId="7" borderId="12" xfId="0" applyNumberFormat="1" applyFont="1" applyFill="1" applyBorder="1" applyAlignment="1">
      <alignment horizontal="center" vertical="center" wrapText="1"/>
    </xf>
    <xf numFmtId="173" fontId="18" fillId="7" borderId="0" xfId="0" applyNumberFormat="1" applyFont="1" applyFill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73" fontId="41" fillId="2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73" fontId="4" fillId="2" borderId="8" xfId="0" applyNumberFormat="1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73" fontId="37" fillId="2" borderId="12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73" fontId="4" fillId="2" borderId="0" xfId="0" applyNumberFormat="1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73" fontId="18" fillId="2" borderId="12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3" fontId="44" fillId="2" borderId="12" xfId="0" applyNumberFormat="1" applyFont="1" applyFill="1" applyBorder="1" applyAlignment="1">
      <alignment horizontal="center" vertical="center" wrapText="1"/>
    </xf>
    <xf numFmtId="173" fontId="43" fillId="2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173" fontId="46" fillId="0" borderId="2" xfId="0" applyNumberFormat="1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3" fontId="47" fillId="0" borderId="3" xfId="0" applyNumberFormat="1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173" fontId="4" fillId="0" borderId="3" xfId="0" applyNumberFormat="1" applyFont="1" applyBorder="1" applyAlignment="1">
      <alignment horizontal="center" vertical="center" wrapText="1"/>
    </xf>
    <xf numFmtId="173" fontId="4" fillId="0" borderId="4" xfId="0" applyNumberFormat="1" applyFont="1" applyBorder="1" applyAlignment="1">
      <alignment horizontal="center" vertical="center" wrapText="1"/>
    </xf>
    <xf numFmtId="173" fontId="49" fillId="0" borderId="2" xfId="0" applyNumberFormat="1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73" fontId="4" fillId="2" borderId="12" xfId="0" applyNumberFormat="1" applyFont="1" applyFill="1" applyBorder="1" applyAlignment="1">
      <alignment horizontal="center" vertical="center" wrapText="1"/>
    </xf>
    <xf numFmtId="173" fontId="18" fillId="2" borderId="0" xfId="0" applyNumberFormat="1" applyFont="1" applyFill="1" applyAlignment="1">
      <alignment horizontal="center" vertical="center" wrapText="1"/>
    </xf>
    <xf numFmtId="173" fontId="42" fillId="2" borderId="0" xfId="0" applyNumberFormat="1" applyFont="1" applyFill="1" applyAlignment="1">
      <alignment horizontal="center" vertical="center" wrapText="1"/>
    </xf>
    <xf numFmtId="173" fontId="48" fillId="0" borderId="2" xfId="0" applyNumberFormat="1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73" fontId="56" fillId="0" borderId="12" xfId="0" applyNumberFormat="1" applyFont="1" applyBorder="1" applyAlignment="1">
      <alignment horizontal="center" vertical="center" wrapText="1"/>
    </xf>
    <xf numFmtId="173" fontId="55" fillId="0" borderId="12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3" fontId="54" fillId="0" borderId="3" xfId="0" applyNumberFormat="1" applyFont="1" applyBorder="1" applyAlignment="1">
      <alignment horizontal="center" vertical="center" wrapText="1"/>
    </xf>
    <xf numFmtId="173" fontId="57" fillId="2" borderId="12" xfId="0" applyNumberFormat="1" applyFont="1" applyFill="1" applyBorder="1" applyAlignment="1">
      <alignment horizontal="center" vertical="center" wrapText="1"/>
    </xf>
    <xf numFmtId="173" fontId="58" fillId="0" borderId="3" xfId="0" applyNumberFormat="1" applyFont="1" applyBorder="1" applyAlignment="1">
      <alignment horizontal="center" vertical="center" wrapText="1"/>
    </xf>
    <xf numFmtId="173" fontId="60" fillId="0" borderId="3" xfId="0" applyNumberFormat="1" applyFont="1" applyBorder="1" applyAlignment="1">
      <alignment horizontal="center" vertical="center" wrapText="1"/>
    </xf>
    <xf numFmtId="173" fontId="63" fillId="2" borderId="3" xfId="0" applyNumberFormat="1" applyFont="1" applyFill="1" applyBorder="1" applyAlignment="1">
      <alignment horizontal="center" vertical="center" wrapText="1"/>
    </xf>
    <xf numFmtId="173" fontId="61" fillId="2" borderId="2" xfId="0" applyNumberFormat="1" applyFont="1" applyFill="1" applyBorder="1" applyAlignment="1">
      <alignment horizontal="center" vertical="center" wrapText="1"/>
    </xf>
    <xf numFmtId="173" fontId="59" fillId="0" borderId="0" xfId="0" applyNumberFormat="1" applyFont="1" applyAlignment="1">
      <alignment horizontal="center" vertical="center" wrapText="1"/>
    </xf>
    <xf numFmtId="173" fontId="18" fillId="2" borderId="2" xfId="0" applyNumberFormat="1" applyFont="1" applyFill="1" applyBorder="1" applyAlignment="1">
      <alignment horizontal="center" vertical="center" wrapText="1"/>
    </xf>
    <xf numFmtId="173" fontId="4" fillId="0" borderId="0" xfId="0" applyNumberFormat="1" applyFont="1" applyAlignment="1">
      <alignment horizontal="center" vertical="center" wrapText="1"/>
    </xf>
    <xf numFmtId="173" fontId="4" fillId="0" borderId="12" xfId="0" applyNumberFormat="1" applyFont="1" applyBorder="1" applyAlignment="1">
      <alignment horizontal="center" vertical="center" wrapText="1"/>
    </xf>
    <xf numFmtId="173" fontId="18" fillId="7" borderId="12" xfId="0" applyNumberFormat="1" applyFont="1" applyFill="1" applyBorder="1" applyAlignment="1">
      <alignment horizontal="center" vertical="center" wrapText="1"/>
    </xf>
    <xf numFmtId="0" fontId="87" fillId="2" borderId="0" xfId="0" applyFont="1" applyFill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82" fillId="2" borderId="2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center" wrapText="1"/>
    </xf>
    <xf numFmtId="0" fontId="84" fillId="2" borderId="12" xfId="0" applyFont="1" applyFill="1" applyBorder="1" applyAlignment="1">
      <alignment horizontal="center" vertical="center" wrapText="1"/>
    </xf>
    <xf numFmtId="0" fontId="83" fillId="2" borderId="2" xfId="0" quotePrefix="1" applyFont="1" applyFill="1" applyBorder="1" applyAlignment="1">
      <alignment horizontal="center" vertical="center" wrapText="1"/>
    </xf>
    <xf numFmtId="0" fontId="85" fillId="2" borderId="12" xfId="0" applyFont="1" applyFill="1" applyBorder="1" applyAlignment="1">
      <alignment horizontal="center" vertical="center" wrapText="1"/>
    </xf>
    <xf numFmtId="0" fontId="86" fillId="2" borderId="0" xfId="0" applyFont="1" applyFill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0" fillId="0" borderId="12" xfId="0" applyFont="1" applyBorder="1" applyAlignment="1">
      <alignment horizontal="center" vertical="center" wrapText="1"/>
    </xf>
    <xf numFmtId="0" fontId="72" fillId="0" borderId="12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96" fillId="7" borderId="12" xfId="0" applyFont="1" applyFill="1" applyBorder="1" applyAlignment="1">
      <alignment horizontal="center" vertical="center" wrapText="1"/>
    </xf>
    <xf numFmtId="0" fontId="97" fillId="7" borderId="12" xfId="0" quotePrefix="1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00" fillId="2" borderId="12" xfId="0" applyFont="1" applyFill="1" applyBorder="1" applyAlignment="1">
      <alignment horizontal="center" vertical="center" wrapText="1"/>
    </xf>
    <xf numFmtId="0" fontId="76" fillId="0" borderId="0" xfId="0" quotePrefix="1" applyFont="1" applyAlignment="1">
      <alignment horizontal="center" vertical="center" wrapText="1"/>
    </xf>
    <xf numFmtId="0" fontId="91" fillId="7" borderId="0" xfId="0" applyFont="1" applyFill="1" applyAlignment="1">
      <alignment horizontal="center" vertical="center" wrapText="1"/>
    </xf>
    <xf numFmtId="0" fontId="99" fillId="2" borderId="12" xfId="0" quotePrefix="1" applyFont="1" applyFill="1" applyBorder="1" applyAlignment="1">
      <alignment horizontal="center" vertical="center" wrapText="1"/>
    </xf>
    <xf numFmtId="0" fontId="103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0" fontId="69" fillId="2" borderId="10" xfId="0" applyFont="1" applyFill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102" fillId="2" borderId="4" xfId="0" applyFont="1" applyFill="1" applyBorder="1" applyAlignment="1">
      <alignment horizontal="center" vertical="center" wrapText="1"/>
    </xf>
    <xf numFmtId="173" fontId="112" fillId="2" borderId="3" xfId="0" applyNumberFormat="1" applyFont="1" applyFill="1" applyBorder="1" applyAlignment="1">
      <alignment horizontal="center" vertical="center" wrapText="1"/>
    </xf>
    <xf numFmtId="173" fontId="113" fillId="2" borderId="4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73" fontId="115" fillId="0" borderId="4" xfId="0" applyNumberFormat="1" applyFont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173" fontId="122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9" xfId="0" applyFont="1" applyBorder="1"/>
    <xf numFmtId="0" fontId="5" fillId="0" borderId="23" xfId="0" applyFont="1" applyBorder="1" applyAlignment="1">
      <alignment horizontal="center" vertical="center" wrapText="1"/>
    </xf>
    <xf numFmtId="0" fontId="3" fillId="0" borderId="22" xfId="0" applyFont="1" applyBorder="1"/>
    <xf numFmtId="0" fontId="4" fillId="0" borderId="2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3" fillId="0" borderId="24" xfId="0" applyFont="1" applyBorder="1"/>
    <xf numFmtId="0" fontId="5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78"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B9FF"/>
          <bgColor rgb="FFFFB9FF"/>
        </patternFill>
      </fill>
    </dxf>
    <dxf>
      <fill>
        <patternFill patternType="solid">
          <fgColor rgb="FFF3FF5B"/>
          <bgColor rgb="FFF3FF5B"/>
        </patternFill>
      </fill>
    </dxf>
    <dxf>
      <fill>
        <patternFill patternType="solid">
          <fgColor rgb="FFFFABAB"/>
          <bgColor rgb="FFFFABAB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szabi99.github.io/" TargetMode="External"/><Relationship Id="rId2" Type="http://schemas.openxmlformats.org/officeDocument/2006/relationships/hyperlink" Target="https://docs.google.com/spreadsheets/d/1SsOpw9LAKOs0V5FBnv1VqAlu3OssmX7DJaaVAUREw78/edit" TargetMode="External"/><Relationship Id="rId1" Type="http://schemas.openxmlformats.org/officeDocument/2006/relationships/hyperlink" Target="https://www.reddit.com/user/gszabi99/" TargetMode="External"/><Relationship Id="rId5" Type="http://schemas.openxmlformats.org/officeDocument/2006/relationships/hyperlink" Target="https://discord.gg/wtdatamine" TargetMode="External"/><Relationship Id="rId4" Type="http://schemas.openxmlformats.org/officeDocument/2006/relationships/hyperlink" Target="https://forms.gle/uCxPcEdfWXw2A3Ck6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ld-forum.warthunder.com/index.php?/topic/331379-165-rumor-round-up-and-discussion/page/307/&amp;tab=comments" TargetMode="External"/><Relationship Id="rId18" Type="http://schemas.openxmlformats.org/officeDocument/2006/relationships/hyperlink" Target="https://old-forum.warthunder.com/index.php?/topic/392717-177-rumor-round-up-and-discussion/page/380/&amp;tab=comments" TargetMode="External"/><Relationship Id="rId26" Type="http://schemas.openxmlformats.org/officeDocument/2006/relationships/hyperlink" Target="https://old-forum.warthunder.com/index.php?/topic/467582-news-planned-technical-works-29102019/" TargetMode="External"/><Relationship Id="rId39" Type="http://schemas.openxmlformats.org/officeDocument/2006/relationships/hyperlink" Target="https://old-forum.warthunder.com/index.php?/topic/556548-planned-technical-works-15062022-danger-zone-update/" TargetMode="External"/><Relationship Id="rId21" Type="http://schemas.openxmlformats.org/officeDocument/2006/relationships/hyperlink" Target="https://old-forum.warthunder.com/index.php?/topic/426133-183-rumor-round-up-and-discussion/page/65/&amp;tab=comments" TargetMode="External"/><Relationship Id="rId34" Type="http://schemas.openxmlformats.org/officeDocument/2006/relationships/hyperlink" Target="https://old-forum.warthunder.com/index.php?/topic/525827-planned-technical-works-2062021/" TargetMode="External"/><Relationship Id="rId42" Type="http://schemas.openxmlformats.org/officeDocument/2006/relationships/hyperlink" Target="https://old-forum.warthunder.com/index.php?/topic/566350-apex-predators-update-rumor-round-up-and-discussion/page/538/&amp;tab=comments" TargetMode="External"/><Relationship Id="rId7" Type="http://schemas.openxmlformats.org/officeDocument/2006/relationships/hyperlink" Target="https://old-forum.warthunder.com/index.php?/topic/252768-future-content-rumour-roundup-currently-153/page/260/&amp;tab=comments" TargetMode="External"/><Relationship Id="rId2" Type="http://schemas.openxmlformats.org/officeDocument/2006/relationships/hyperlink" Target="https://old-forum.warthunder.com/index.php?/topic/181158-server-maintenance/" TargetMode="External"/><Relationship Id="rId16" Type="http://schemas.openxmlformats.org/officeDocument/2006/relationships/hyperlink" Target="https://old-forum.warthunder.com/index.php?/topic/385960-planned-technical-works-01112017/" TargetMode="External"/><Relationship Id="rId20" Type="http://schemas.openxmlformats.org/officeDocument/2006/relationships/hyperlink" Target="https://old-forum.warthunder.com/index.php?/topic/414847-181-rumor-round-up-and-discussion/page/164/&amp;tab=comments" TargetMode="External"/><Relationship Id="rId29" Type="http://schemas.openxmlformats.org/officeDocument/2006/relationships/hyperlink" Target="https://old-forum.warthunder.com/index.php?/topic/479194-war-thunder-starfighters-rumor-round-up-and-discussion/&amp;do=findComment&amp;comment=8541036" TargetMode="External"/><Relationship Id="rId41" Type="http://schemas.openxmlformats.org/officeDocument/2006/relationships/hyperlink" Target="https://old-forum.warthunder.com/index.php?/topic/566332-planned-technical-works-26102022-fire-and-ice-update/" TargetMode="External"/><Relationship Id="rId1" Type="http://schemas.openxmlformats.org/officeDocument/2006/relationships/hyperlink" Target="https://old-forum.warthunder.com/index.php?/topic/137467-server-maintenance-0730-gmt-to-1230-gmt/" TargetMode="External"/><Relationship Id="rId6" Type="http://schemas.openxmlformats.org/officeDocument/2006/relationships/hyperlink" Target="https://old-forum.warthunder.com/index.php?/topic/250633-maintenance-scheduled-server-maintenance/&amp;tab=comments" TargetMode="External"/><Relationship Id="rId11" Type="http://schemas.openxmlformats.org/officeDocument/2006/relationships/hyperlink" Target="https://old-forum.warthunder.com/index.php?/topic/325105-news-scheduled-server-maintenance-02082016-0800-gmt-utc/" TargetMode="External"/><Relationship Id="rId24" Type="http://schemas.openxmlformats.org/officeDocument/2006/relationships/hyperlink" Target="https://old-forum.warthunder.com/index.php?/topic/453437-planned-technical-works-29052019/" TargetMode="External"/><Relationship Id="rId32" Type="http://schemas.openxmlformats.org/officeDocument/2006/relationships/hyperlink" Target="https://old-forum.warthunder.com/index.php?/topic/509426-planned-technical-works-18122020/" TargetMode="External"/><Relationship Id="rId37" Type="http://schemas.openxmlformats.org/officeDocument/2006/relationships/hyperlink" Target="https://old-forum.warthunder.com/index.php?/topic/542598-planned-technical-works-14122021/" TargetMode="External"/><Relationship Id="rId40" Type="http://schemas.openxmlformats.org/officeDocument/2006/relationships/hyperlink" Target="https://old-forum.warthunder.com/index.php?/topic/556170-major-update-drone-age-rumor-round-up-and-discussion/&amp;do=findComment&amp;comment=9435914" TargetMode="External"/><Relationship Id="rId5" Type="http://schemas.openxmlformats.org/officeDocument/2006/relationships/hyperlink" Target="https://old-forum.warthunder.com/index.php?/topic/236001-news-scheduled-server-maintenance-30th-of-april-from-730-gmt-to-1000-gmt/" TargetMode="External"/><Relationship Id="rId15" Type="http://schemas.openxmlformats.org/officeDocument/2006/relationships/hyperlink" Target="https://old-forum.warthunder.com/index.php?/topic/355719-169-rumor-round-up-and-discussion/page/201/&amp;tab=comments" TargetMode="External"/><Relationship Id="rId23" Type="http://schemas.openxmlformats.org/officeDocument/2006/relationships/hyperlink" Target="https://old-forum.warthunder.com/index.php?/topic/436312-187-rumor-round-up-and-discussion/page/347/&amp;tab=comments" TargetMode="External"/><Relationship Id="rId28" Type="http://schemas.openxmlformats.org/officeDocument/2006/relationships/hyperlink" Target="https://old-forum.warthunder.com/index.php?/topic/471965-197-rumor-round-up-and-discussion/page/474/&amp;tab=comments" TargetMode="External"/><Relationship Id="rId36" Type="http://schemas.openxmlformats.org/officeDocument/2006/relationships/hyperlink" Target="https://old-forum.warthunder.com/index.php?/topic/534242-major-update-ground-breaking-rumor-round-up-and-discussion/page/372/&amp;tab=comments" TargetMode="External"/><Relationship Id="rId10" Type="http://schemas.openxmlformats.org/officeDocument/2006/relationships/hyperlink" Target="https://old-forum.warthunder.com/index.php?/topic/303630-patch-159-rumor-roundup/page/281/&amp;tab=comments" TargetMode="External"/><Relationship Id="rId19" Type="http://schemas.openxmlformats.org/officeDocument/2006/relationships/hyperlink" Target="https://old-forum.warthunder.com/index.php?/topic/402749-179-rumor-round-up-and-discussion/page/317/&amp;tab=comments" TargetMode="External"/><Relationship Id="rId31" Type="http://schemas.openxmlformats.org/officeDocument/2006/relationships/hyperlink" Target="https://old-forum.warthunder.com/index.php?/topic/504048-planned-technical-works-17112020/&amp;tab=comments" TargetMode="External"/><Relationship Id="rId44" Type="http://schemas.openxmlformats.org/officeDocument/2006/relationships/hyperlink" Target="https://old-forum.warthunder.com/index.php?/topic/583238-planned-technical-works-14062023-la-royale-update/" TargetMode="External"/><Relationship Id="rId4" Type="http://schemas.openxmlformats.org/officeDocument/2006/relationships/hyperlink" Target="https://old-forum.warthunder.com/index.php?/topic/218208-news-scheduled-server-maintenance-24th-of-february-at-0700-gmt-to-1200-gmt/" TargetMode="External"/><Relationship Id="rId9" Type="http://schemas.openxmlformats.org/officeDocument/2006/relationships/hyperlink" Target="https://old-forum.warthunder.com/index.php?/topic/285382-patch-157-rumor-roundup/page/294/&amp;tab=comments" TargetMode="External"/><Relationship Id="rId14" Type="http://schemas.openxmlformats.org/officeDocument/2006/relationships/hyperlink" Target="https://old-forum.warthunder.com/index.php?/topic/342835-167-rumor-round-up-and-discussion/&amp;do=findComment&amp;comment=6834319" TargetMode="External"/><Relationship Id="rId22" Type="http://schemas.openxmlformats.org/officeDocument/2006/relationships/hyperlink" Target="https://old-forum.warthunder.com/index.php?/topic/430132-185-rumor-round-up-and-discussion/page/244/&amp;tab=comments" TargetMode="External"/><Relationship Id="rId27" Type="http://schemas.openxmlformats.org/officeDocument/2006/relationships/hyperlink" Target="https://old-forum.warthunder.com/index.php?/topic/471913-planned-technical-works-17122019" TargetMode="External"/><Relationship Id="rId30" Type="http://schemas.openxmlformats.org/officeDocument/2006/relationships/hyperlink" Target="https://old-forum.warthunder.com/index.php?/topic/497170-planned-technical-works-02092020" TargetMode="External"/><Relationship Id="rId35" Type="http://schemas.openxmlformats.org/officeDocument/2006/relationships/hyperlink" Target="https://old-forum.warthunder.com/index.php?/topic/525881-next-major-update-direct-hit-rumor-round-up-and-discussion/page/548/&amp;tab=comments" TargetMode="External"/><Relationship Id="rId43" Type="http://schemas.openxmlformats.org/officeDocument/2006/relationships/hyperlink" Target="https://old-forum.warthunder.com/index.php?/topic/570315-major-update-sky-guardians-rumor-round-up-and-discussion/page/444/&amp;tab=comments" TargetMode="External"/><Relationship Id="rId8" Type="http://schemas.openxmlformats.org/officeDocument/2006/relationships/hyperlink" Target="https://old-forum.warthunder.com/index.php?/topic/285000-scheduled-server-maintenance-15122015/" TargetMode="External"/><Relationship Id="rId3" Type="http://schemas.openxmlformats.org/officeDocument/2006/relationships/hyperlink" Target="https://old-forum.warthunder.com/index.php?/topic/198458-news-scheduled-server-maintenance/" TargetMode="External"/><Relationship Id="rId12" Type="http://schemas.openxmlformats.org/officeDocument/2006/relationships/hyperlink" Target="https://old-forum.warthunder.com/index.php?/topic/325333-patch-163-rumor-roundup-and-discussion/&amp;do=findComment&amp;comment=6482321" TargetMode="External"/><Relationship Id="rId17" Type="http://schemas.openxmlformats.org/officeDocument/2006/relationships/hyperlink" Target="https://old-forum.warthunder.com/index.php?/topic/386020-175-rumor-round-up-and-discussion/page/148/&amp;tab=comments" TargetMode="External"/><Relationship Id="rId25" Type="http://schemas.openxmlformats.org/officeDocument/2006/relationships/hyperlink" Target="https://old-forum.warthunder.com/index.php?/topic/453485-191-rumor-round-up-and-discussion/page/495/&amp;tab=comments" TargetMode="External"/><Relationship Id="rId33" Type="http://schemas.openxmlformats.org/officeDocument/2006/relationships/hyperlink" Target="https://old-forum.warthunder.com/index.php?/topic/518020-planned-technical-works-10032021" TargetMode="External"/><Relationship Id="rId38" Type="http://schemas.openxmlformats.org/officeDocument/2006/relationships/hyperlink" Target="https://old-forum.warthunder.com/index.php?/topic/542648-major-update-wind-of-change-rumor-round-up-and-discussion/page/679/&amp;tab=comment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qytpzBl.png" TargetMode="External"/><Relationship Id="rId3" Type="http://schemas.openxmlformats.org/officeDocument/2006/relationships/hyperlink" Target="https://i.imgur.com/1CqgbmH.png" TargetMode="External"/><Relationship Id="rId7" Type="http://schemas.openxmlformats.org/officeDocument/2006/relationships/hyperlink" Target="https://i.imgur.com/WaWEzbc.png" TargetMode="External"/><Relationship Id="rId2" Type="http://schemas.openxmlformats.org/officeDocument/2006/relationships/hyperlink" Target="https://i.imgur.com/rw9R6Lu.jpeg" TargetMode="External"/><Relationship Id="rId1" Type="http://schemas.openxmlformats.org/officeDocument/2006/relationships/hyperlink" Target="https://i.imgur.com/efUz1X7.png" TargetMode="External"/><Relationship Id="rId6" Type="http://schemas.openxmlformats.org/officeDocument/2006/relationships/hyperlink" Target="https://i.imgur.com/6fS1VNf.jpeg" TargetMode="External"/><Relationship Id="rId5" Type="http://schemas.openxmlformats.org/officeDocument/2006/relationships/hyperlink" Target="https://i.imgur.com/ahyUAuv.jpeg" TargetMode="External"/><Relationship Id="rId4" Type="http://schemas.openxmlformats.org/officeDocument/2006/relationships/hyperlink" Target="https://i.imgur.com/Ze5fhWf.png" TargetMode="External"/><Relationship Id="rId9" Type="http://schemas.openxmlformats.org/officeDocument/2006/relationships/hyperlink" Target="https://i.imgur.com/7du2kVx.jpeg" TargetMode="External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warthunder.com/en/news/7044-development-hms-blackpool-f77-officer-guardian-en" TargetMode="External"/><Relationship Id="rId170" Type="http://schemas.openxmlformats.org/officeDocument/2006/relationships/hyperlink" Target="https://warthunder.com/en/news/8760-development-buccaneer-s2b-swashbuckling-sky-pirate-en" TargetMode="External"/><Relationship Id="rId268" Type="http://schemas.openxmlformats.org/officeDocument/2006/relationships/hyperlink" Target="https://warthunder.com/en/news/4001--en" TargetMode="External"/><Relationship Id="rId475" Type="http://schemas.openxmlformats.org/officeDocument/2006/relationships/hyperlink" Target="https://warthunder.com/en/news/4162-development-updated-model-of-the-he-111h-6-bomber-en" TargetMode="External"/><Relationship Id="rId682" Type="http://schemas.openxmlformats.org/officeDocument/2006/relationships/hyperlink" Target="https://warthunder.com/en/news/3960--en" TargetMode="External"/><Relationship Id="rId128" Type="http://schemas.openxmlformats.org/officeDocument/2006/relationships/hyperlink" Target="https://warthunder.com/en/news/7287-development-ijn-yubari-the-sensei-en" TargetMode="External"/><Relationship Id="rId335" Type="http://schemas.openxmlformats.org/officeDocument/2006/relationships/hyperlink" Target="https://warthunder.com/en/news/8627-development-f-15-eagle-soaring-high-en" TargetMode="External"/><Relationship Id="rId542" Type="http://schemas.openxmlformats.org/officeDocument/2006/relationships/hyperlink" Target="https://warthunder.com/en/news/8927-development-hms-queen-mary-royalty-at-sea-en" TargetMode="External"/><Relationship Id="rId987" Type="http://schemas.openxmlformats.org/officeDocument/2006/relationships/hyperlink" Target="https://warthunder.com/en/news/3917--en" TargetMode="External"/><Relationship Id="rId402" Type="http://schemas.openxmlformats.org/officeDocument/2006/relationships/hyperlink" Target="https://warthunder.com/en/news/6843-development-cm25-armor-reaper-en" TargetMode="External"/><Relationship Id="rId847" Type="http://schemas.openxmlformats.org/officeDocument/2006/relationships/hyperlink" Target="https://warthunder.com/en/news/8944-development-cv9035dk-the-nordic-gunslinger-en" TargetMode="External"/><Relationship Id="rId1032" Type="http://schemas.openxmlformats.org/officeDocument/2006/relationships/hyperlink" Target="https://warthunder.com/en/news/3765-development-new-hangar-for-aircraft-and-ground-vehicles-en" TargetMode="External"/><Relationship Id="rId707" Type="http://schemas.openxmlformats.org/officeDocument/2006/relationships/hyperlink" Target="https://warthunder.com/en/news/6206-development-hunter-f-6-winged-comfort-en" TargetMode="External"/><Relationship Id="rId914" Type="http://schemas.openxmlformats.org/officeDocument/2006/relationships/hyperlink" Target="https://warthunder.com/en/news/6936-development-ptz-89-hungry-dragon-en" TargetMode="External"/><Relationship Id="rId43" Type="http://schemas.openxmlformats.org/officeDocument/2006/relationships/hyperlink" Target="https://warthunder.com/en/news/4220-development-m163-vulcan-gatling-fury-en" TargetMode="External"/><Relationship Id="rId192" Type="http://schemas.openxmlformats.org/officeDocument/2006/relationships/hyperlink" Target="https://warthunder.com/en/news/6430-development-br%C3%A9guet-693a-b2-french-flavoured-ground-attack-en" TargetMode="External"/><Relationship Id="rId497" Type="http://schemas.openxmlformats.org/officeDocument/2006/relationships/hyperlink" Target="https://warthunder.com/en/news/8014-development-m728-combat-engineer-en" TargetMode="External"/><Relationship Id="rId357" Type="http://schemas.openxmlformats.org/officeDocument/2006/relationships/hyperlink" Target="https://warthunder.com/en/news/6051-development-t-80u-making-contact-en" TargetMode="External"/><Relationship Id="rId54" Type="http://schemas.openxmlformats.org/officeDocument/2006/relationships/hyperlink" Target="https://warthunder.com/en/news/4067--en" TargetMode="External"/><Relationship Id="rId217" Type="http://schemas.openxmlformats.org/officeDocument/2006/relationships/hyperlink" Target="https://warthunder.com/en/news/3849--en" TargetMode="External"/><Relationship Id="rId564" Type="http://schemas.openxmlformats.org/officeDocument/2006/relationships/hyperlink" Target="https://warthunder.com/en/news/6345-development-sidam-25-mistral-blowing-away-the-competition-en" TargetMode="External"/><Relationship Id="rId771" Type="http://schemas.openxmlformats.org/officeDocument/2006/relationships/hyperlink" Target="https://warthunder.com/en/news/9188-shop-pre-order-premium-jets-av-8s-su-22m4-and-ja37di-en" TargetMode="External"/><Relationship Id="rId869" Type="http://schemas.openxmlformats.org/officeDocument/2006/relationships/hyperlink" Target="https://warthunder.com/en/news/4388-development-st-a2-one-step-closer-to-the-goal-en" TargetMode="External"/><Relationship Id="rId424" Type="http://schemas.openxmlformats.org/officeDocument/2006/relationships/hyperlink" Target="https://warthunder.com/en/news/4080--en" TargetMode="External"/><Relationship Id="rId631" Type="http://schemas.openxmlformats.org/officeDocument/2006/relationships/hyperlink" Target="https://warthunder.com/en/devblog/current/857" TargetMode="External"/><Relationship Id="rId729" Type="http://schemas.openxmlformats.org/officeDocument/2006/relationships/hyperlink" Target="https://warthunder.com/en/news/9187-development-icvp-fast-response-en" TargetMode="External"/><Relationship Id="rId1054" Type="http://schemas.openxmlformats.org/officeDocument/2006/relationships/hyperlink" Target="https://warthunder.com/en/news/3946--en" TargetMode="External"/><Relationship Id="rId270" Type="http://schemas.openxmlformats.org/officeDocument/2006/relationships/hyperlink" Target="https://warthunder.com/en/news/3950--en" TargetMode="External"/><Relationship Id="rId936" Type="http://schemas.openxmlformats.org/officeDocument/2006/relationships/hyperlink" Target="https://warthunder.com/en/news/7203-development-assistance-when-extinguishing-fires-en" TargetMode="External"/><Relationship Id="rId65" Type="http://schemas.openxmlformats.org/officeDocument/2006/relationships/hyperlink" Target="https://warthunder.com/en/news/8095-development-optimization-of-the-war-thunder-file-structure-en" TargetMode="External"/><Relationship Id="rId130" Type="http://schemas.openxmlformats.org/officeDocument/2006/relationships/hyperlink" Target="https://warthunder.com/en/news/7047-development-ptl02-chinese-wheels-en" TargetMode="External"/><Relationship Id="rId368" Type="http://schemas.openxmlformats.org/officeDocument/2006/relationships/hyperlink" Target="https://warthunder.com/en/news/4351-development-object-906-river-mosquito-en" TargetMode="External"/><Relationship Id="rId575" Type="http://schemas.openxmlformats.org/officeDocument/2006/relationships/hyperlink" Target="https://warthunder.com/en/news/4720-development-a-whole-new-kuban-en" TargetMode="External"/><Relationship Id="rId782" Type="http://schemas.openxmlformats.org/officeDocument/2006/relationships/hyperlink" Target="https://warthunder.com/en/news/7607-development-merkava-mk-4b-mk-4m-the-chariots-of-modern-warfare-en" TargetMode="External"/><Relationship Id="rId228" Type="http://schemas.openxmlformats.org/officeDocument/2006/relationships/hyperlink" Target="https://warthunder.com/en/news/8419-development-uss-texas-bb-35-the-first-and-the-last-en" TargetMode="External"/><Relationship Id="rId435" Type="http://schemas.openxmlformats.org/officeDocument/2006/relationships/hyperlink" Target="https://warthunder.com/en/news/9164-development-luchs-a2-war-paws-en" TargetMode="External"/><Relationship Id="rId642" Type="http://schemas.openxmlformats.org/officeDocument/2006/relationships/hyperlink" Target="https://warthunder.com/en/news/8929-development-desert-warrior-horseman-of-the-apocalypse-en" TargetMode="External"/><Relationship Id="rId1065" Type="http://schemas.openxmlformats.org/officeDocument/2006/relationships/hyperlink" Target="https://warthunder.com/en/news/3897--en" TargetMode="External"/><Relationship Id="rId281" Type="http://schemas.openxmlformats.org/officeDocument/2006/relationships/hyperlink" Target="https://warthunder.com/en/news/8620-development-t-90m-modernized-breakthrough-en" TargetMode="External"/><Relationship Id="rId502" Type="http://schemas.openxmlformats.org/officeDocument/2006/relationships/hyperlink" Target="https://warthunder.com/en/news/7310-development-dynamics-of-war-thunder-missiles-en" TargetMode="External"/><Relationship Id="rId947" Type="http://schemas.openxmlformats.org/officeDocument/2006/relationships/hyperlink" Target="https://warthunder.com/en/news/4585-development-type-60-atm-death-on-a-wire-en" TargetMode="External"/><Relationship Id="rId76" Type="http://schemas.openxmlformats.org/officeDocument/2006/relationships/hyperlink" Target="https://warthunder.com/en/news/6976-development-heroes-of-jutland-sms-von-der-tann-en" TargetMode="External"/><Relationship Id="rId141" Type="http://schemas.openxmlformats.org/officeDocument/2006/relationships/hyperlink" Target="https://warthunder.com/en/news/5899-development-breda-501-when-looks-deceive-en" TargetMode="External"/><Relationship Id="rId379" Type="http://schemas.openxmlformats.org/officeDocument/2006/relationships/hyperlink" Target="https://warthunder.com/en/news/3854--en" TargetMode="External"/><Relationship Id="rId586" Type="http://schemas.openxmlformats.org/officeDocument/2006/relationships/hyperlink" Target="https://warthunder.com/en/news/3910--en" TargetMode="External"/><Relationship Id="rId793" Type="http://schemas.openxmlformats.org/officeDocument/2006/relationships/hyperlink" Target="https://warthunder.com/en/news/5938-development-of-40-mk-2a-made-in-italy-en" TargetMode="External"/><Relationship Id="rId807" Type="http://schemas.openxmlformats.org/officeDocument/2006/relationships/hyperlink" Target="https://warthunder.com/en/news/3966--en" TargetMode="External"/><Relationship Id="rId7" Type="http://schemas.openxmlformats.org/officeDocument/2006/relationships/hyperlink" Target="https://warthunder.com/en/news/8611-development-shop-rank-viii-ground-vehicles-and-rank-vii-premiums-introducing-the-challenger-2-oes-m1a1-hc-en" TargetMode="External"/><Relationship Id="rId239" Type="http://schemas.openxmlformats.org/officeDocument/2006/relationships/hyperlink" Target="https://warthunder.com/en/news/7160-development-sea-vixen-faw-2-breaking-convention-en" TargetMode="External"/><Relationship Id="rId446" Type="http://schemas.openxmlformats.org/officeDocument/2006/relationships/hyperlink" Target="https://warthunder.com/en/news/7838-development-location-pradesh-en" TargetMode="External"/><Relationship Id="rId653" Type="http://schemas.openxmlformats.org/officeDocument/2006/relationships/hyperlink" Target="https://warthunder.com/en/news/7184-development-yak-28b-the-bomb-express-en" TargetMode="External"/><Relationship Id="rId292" Type="http://schemas.openxmlformats.org/officeDocument/2006/relationships/hyperlink" Target="https://warthunder.com/en/news/7376-development-wiesel-armored-vehicles-mk20-tow-2-adwc-en" TargetMode="External"/><Relationship Id="rId306" Type="http://schemas.openxmlformats.org/officeDocument/2006/relationships/hyperlink" Target="https://warthunder.com/en/news/5918-development-challenger-mk-3-a-royal-upgrade-en" TargetMode="External"/><Relationship Id="rId860" Type="http://schemas.openxmlformats.org/officeDocument/2006/relationships/hyperlink" Target="https://warthunder.com/en/news/6360-development-chengdu-j-7ii-domestic-technologies-en" TargetMode="External"/><Relationship Id="rId958" Type="http://schemas.openxmlformats.org/officeDocument/2006/relationships/hyperlink" Target="https://warthunder.com/en/news/6941-development-imperatritsa-mariya-the-empress-of-the-black-sea-en" TargetMode="External"/><Relationship Id="rId87" Type="http://schemas.openxmlformats.org/officeDocument/2006/relationships/hyperlink" Target="https://warthunder.com/en/news/5814-fleet-development-hmas-nepal-g25-air-raid-survivor-en" TargetMode="External"/><Relationship Id="rId513" Type="http://schemas.openxmlformats.org/officeDocument/2006/relationships/hyperlink" Target="https://warthunder.com/en/news/6190-development-me-264-the-teutonic-superfortress-en" TargetMode="External"/><Relationship Id="rId597" Type="http://schemas.openxmlformats.org/officeDocument/2006/relationships/hyperlink" Target="https://warthunder.com/en/news/8439-development-rank-vi-bluewater-fleet-and-pre-order-for-premium-battleships-arkansas-and-marat-en" TargetMode="External"/><Relationship Id="rId720" Type="http://schemas.openxmlformats.org/officeDocument/2006/relationships/hyperlink" Target="https://warthunder.com/en/news/4083--en" TargetMode="External"/><Relationship Id="rId818" Type="http://schemas.openxmlformats.org/officeDocument/2006/relationships/hyperlink" Target="https://warthunder.com/en/news/7856-development-mirage-2000c-s5-the-new-improved-classic-en" TargetMode="External"/><Relationship Id="rId152" Type="http://schemas.openxmlformats.org/officeDocument/2006/relationships/hyperlink" Target="https://warthunder.com/en/news/4225-development-ki-87-the-super-turbocharged-samurai-en" TargetMode="External"/><Relationship Id="rId457" Type="http://schemas.openxmlformats.org/officeDocument/2006/relationships/hyperlink" Target="https://warthunder.com/en/news/6609-development-pvkv-ii-glass-cannon-en" TargetMode="External"/><Relationship Id="rId1003" Type="http://schemas.openxmlformats.org/officeDocument/2006/relationships/hyperlink" Target="https://warthunder.com/en/news/3918--en" TargetMode="External"/><Relationship Id="rId664" Type="http://schemas.openxmlformats.org/officeDocument/2006/relationships/hyperlink" Target="https://warthunder.com/en/news/5936-development-type-89-the-fire-dragon-en" TargetMode="External"/><Relationship Id="rId871" Type="http://schemas.openxmlformats.org/officeDocument/2006/relationships/hyperlink" Target="https://warthunder.com/en/news/4091--en" TargetMode="External"/><Relationship Id="rId969" Type="http://schemas.openxmlformats.org/officeDocument/2006/relationships/hyperlink" Target="https://warthunder.com/en/news/4039--en" TargetMode="External"/><Relationship Id="rId14" Type="http://schemas.openxmlformats.org/officeDocument/2006/relationships/hyperlink" Target="https://warthunder.com/en/news/7814-development-uss-alaska-cb-1-en" TargetMode="External"/><Relationship Id="rId317" Type="http://schemas.openxmlformats.org/officeDocument/2006/relationships/hyperlink" Target="https://warthunder.com/en/news/4239-development-f9f-8-cougar-a-perfect-predator-en" TargetMode="External"/><Relationship Id="rId524" Type="http://schemas.openxmlformats.org/officeDocument/2006/relationships/hyperlink" Target="https://warthunder.com/en/news/4537-development-heavy-tank-t34-commanding-respect-en" TargetMode="External"/><Relationship Id="rId731" Type="http://schemas.openxmlformats.org/officeDocument/2006/relationships/hyperlink" Target="https://warthunder.com/en/news/8933-development-namer-30-desert-feline-en" TargetMode="External"/><Relationship Id="rId98" Type="http://schemas.openxmlformats.org/officeDocument/2006/relationships/hyperlink" Target="https://warthunder.com/en/news/4147-development-p-47n-a-bolt-from-the-blue-en" TargetMode="External"/><Relationship Id="rId163" Type="http://schemas.openxmlformats.org/officeDocument/2006/relationships/hyperlink" Target="https://warthunder.com/en/news/3832--en" TargetMode="External"/><Relationship Id="rId370" Type="http://schemas.openxmlformats.org/officeDocument/2006/relationships/hyperlink" Target="https://warthunder.com/en/news/4163-development-crew-reinforcements-en" TargetMode="External"/><Relationship Id="rId829" Type="http://schemas.openxmlformats.org/officeDocument/2006/relationships/hyperlink" Target="https://warthunder.com/en/news/6078-development-g-91ys-turning-and-burning-en" TargetMode="External"/><Relationship Id="rId1014" Type="http://schemas.openxmlformats.org/officeDocument/2006/relationships/hyperlink" Target="https://warthunder.com/en/news/4428-development-type-3-chi-nu-ii-crouching-tiger-en" TargetMode="External"/><Relationship Id="rId230" Type="http://schemas.openxmlformats.org/officeDocument/2006/relationships/hyperlink" Target="https://warthunder.com/en/news/8100-development-new-locations-en" TargetMode="External"/><Relationship Id="rId468" Type="http://schemas.openxmlformats.org/officeDocument/2006/relationships/hyperlink" Target="https://warthunder.com/en/news/5189-development-arsenal-vb-10-02-professional-striker-en" TargetMode="External"/><Relationship Id="rId675" Type="http://schemas.openxmlformats.org/officeDocument/2006/relationships/hyperlink" Target="https://warthunder.com/en/news/4254-development-new-location-sinai-en" TargetMode="External"/><Relationship Id="rId882" Type="http://schemas.openxmlformats.org/officeDocument/2006/relationships/hyperlink" Target="https://warthunder.com/en/news/8137-development-new-effects-for-aviation-in-the-sky-guardians-update-en" TargetMode="External"/><Relationship Id="rId25" Type="http://schemas.openxmlformats.org/officeDocument/2006/relationships/hyperlink" Target="https://warthunder.com/en/news/6702-development-zsd-63-twin-barrel-mower-en" TargetMode="External"/><Relationship Id="rId328" Type="http://schemas.openxmlformats.org/officeDocument/2006/relationships/hyperlink" Target="https://warthunder.com/en/news/3835--en" TargetMode="External"/><Relationship Id="rId535" Type="http://schemas.openxmlformats.org/officeDocument/2006/relationships/hyperlink" Target="https://warthunder.com/en/news/3909--en" TargetMode="External"/><Relationship Id="rId742" Type="http://schemas.openxmlformats.org/officeDocument/2006/relationships/hyperlink" Target="https://warthunder.com/en/news/7322-development-updates-to-japanese-ground-forces-new-vehicles-camouflages-more-en" TargetMode="External"/><Relationship Id="rId174" Type="http://schemas.openxmlformats.org/officeDocument/2006/relationships/hyperlink" Target="https://warthunder.com/en/news/8232-development-le-malin-the-malign-destroyer-en" TargetMode="External"/><Relationship Id="rId381" Type="http://schemas.openxmlformats.org/officeDocument/2006/relationships/hyperlink" Target="https://old-forum.warthunder.com/index.php?/topic/74013-i-185/" TargetMode="External"/><Relationship Id="rId602" Type="http://schemas.openxmlformats.org/officeDocument/2006/relationships/hyperlink" Target="https://warthunder.com/en/news/7842-development-andrea-doria-the-dreadnought-of-the-mediterranean-en" TargetMode="External"/><Relationship Id="rId1025" Type="http://schemas.openxmlformats.org/officeDocument/2006/relationships/hyperlink" Target="https://warthunder.com/en/news/3874--en" TargetMode="External"/><Relationship Id="rId241" Type="http://schemas.openxmlformats.org/officeDocument/2006/relationships/hyperlink" Target="https://warthunder.com/en/news/6979-development-st-a3-the-fastest-gunslinger-in-the-east-en" TargetMode="External"/><Relationship Id="rId479" Type="http://schemas.openxmlformats.org/officeDocument/2006/relationships/hyperlink" Target="https://warthunder.com/en/news/4026--en" TargetMode="External"/><Relationship Id="rId686" Type="http://schemas.openxmlformats.org/officeDocument/2006/relationships/hyperlink" Target="https://warthunder.com/en/news/9172-development-squadron-vehicles-super-hind-en" TargetMode="External"/><Relationship Id="rId893" Type="http://schemas.openxmlformats.org/officeDocument/2006/relationships/hyperlink" Target="https://warthunder.com/en/news/6083-development-h-34-choctaw-a-worthy-start-en" TargetMode="External"/><Relationship Id="rId907" Type="http://schemas.openxmlformats.org/officeDocument/2006/relationships/hyperlink" Target="https://warthunder.com/en/news/8949-development-seek-destroy-improvements-refinements-en" TargetMode="External"/><Relationship Id="rId36" Type="http://schemas.openxmlformats.org/officeDocument/2006/relationships/hyperlink" Target="https://warthunder.com/en/news/5304-development-dagor-engine-5-0-temporal-anti-aliasing-variance-clipping-taa-en" TargetMode="External"/><Relationship Id="rId339" Type="http://schemas.openxmlformats.org/officeDocument/2006/relationships/hyperlink" Target="https://warthunder.com/en/news/8108-development-challenger-2e-hurry-up-sir-en" TargetMode="External"/><Relationship Id="rId546" Type="http://schemas.openxmlformats.org/officeDocument/2006/relationships/hyperlink" Target="https://warthunder.com/en/news/8432-development-new-locations-rocky-pillars-and-test-site-2271-en" TargetMode="External"/><Relationship Id="rId753" Type="http://schemas.openxmlformats.org/officeDocument/2006/relationships/hyperlink" Target="https://warthunder.com/en/news/5940-development-kms-k%C3%B6ln-the-teutonic-ironclad-en" TargetMode="External"/><Relationship Id="rId101" Type="http://schemas.openxmlformats.org/officeDocument/2006/relationships/hyperlink" Target="https://warthunder.com/en/news/4048--en" TargetMode="External"/><Relationship Id="rId185" Type="http://schemas.openxmlformats.org/officeDocument/2006/relationships/hyperlink" Target="https://warthunder.com/en/news/7048-development-m3a3-bradley-the-upgraded-warhorse-en" TargetMode="External"/><Relationship Id="rId406" Type="http://schemas.openxmlformats.org/officeDocument/2006/relationships/hyperlink" Target="https://warthunder.com/en/news/6443-development-rank-v-in-the-war-thunder-navy-the-uss-pensacola-en" TargetMode="External"/><Relationship Id="rId960" Type="http://schemas.openxmlformats.org/officeDocument/2006/relationships/hyperlink" Target="https://warthunder.com/en/news/6366-development-cm11-when-old-meets-new-en" TargetMode="External"/><Relationship Id="rId1036" Type="http://schemas.openxmlformats.org/officeDocument/2006/relationships/hyperlink" Target="https://warthunder.com/en/news/4110--en" TargetMode="External"/><Relationship Id="rId392" Type="http://schemas.openxmlformats.org/officeDocument/2006/relationships/hyperlink" Target="https://warthunder.com/en/news/8006-development-mig-29-9-13-the-fulcrum-en" TargetMode="External"/><Relationship Id="rId613" Type="http://schemas.openxmlformats.org/officeDocument/2006/relationships/hyperlink" Target="https://warthunder.com/en/news/6451-development-m1a2-abrams-higher-and-higher-en" TargetMode="External"/><Relationship Id="rId697" Type="http://schemas.openxmlformats.org/officeDocument/2006/relationships/hyperlink" Target="https://warthunder.com/en/news/7480-development-vautour-iia-and-vautour-iin-in-the-lineups-of-france-and-israel-en" TargetMode="External"/><Relationship Id="rId820" Type="http://schemas.openxmlformats.org/officeDocument/2006/relationships/hyperlink" Target="https://warthunder.com/en/news/7612-development-dagor-engine-6-5-new-graphic-features-en" TargetMode="External"/><Relationship Id="rId918" Type="http://schemas.openxmlformats.org/officeDocument/2006/relationships/hyperlink" Target="https://warthunder.com/en/news/6088-development-location-coral-islands-en" TargetMode="External"/><Relationship Id="rId252" Type="http://schemas.openxmlformats.org/officeDocument/2006/relationships/hyperlink" Target="https://warthunder.com/en/news/5824-development-bo-105-attack-helicopters-en" TargetMode="External"/><Relationship Id="rId47" Type="http://schemas.openxmlformats.org/officeDocument/2006/relationships/hyperlink" Target="https://warthunder.com/en/news/4054--en" TargetMode="External"/><Relationship Id="rId112" Type="http://schemas.openxmlformats.org/officeDocument/2006/relationships/hyperlink" Target="https://warthunder.com/en/news/9135-development-plz05-long-barrel-excellence-en" TargetMode="External"/><Relationship Id="rId557" Type="http://schemas.openxmlformats.org/officeDocument/2006/relationships/hyperlink" Target="https://warthunder.com/en/news/7005-development-ztz99-pouncing-tiger-en" TargetMode="External"/><Relationship Id="rId764" Type="http://schemas.openxmlformats.org/officeDocument/2006/relationships/hyperlink" Target="https://warthunder.com/en/news/4061--en" TargetMode="External"/><Relationship Id="rId971" Type="http://schemas.openxmlformats.org/officeDocument/2006/relationships/hyperlink" Target="https://warthunder.com/en/devblog/current/640" TargetMode="External"/><Relationship Id="rId196" Type="http://schemas.openxmlformats.org/officeDocument/2006/relationships/hyperlink" Target="https://warthunder.com/en/news/5910-development-m14-41-smooth-start-en" TargetMode="External"/><Relationship Id="rId417" Type="http://schemas.openxmlformats.org/officeDocument/2006/relationships/hyperlink" Target="https://warthunder.com/en/news/4930-development-xa-38-grizzly-packing-a-punch-en" TargetMode="External"/><Relationship Id="rId624" Type="http://schemas.openxmlformats.org/officeDocument/2006/relationships/hyperlink" Target="https://warthunder.com/en/news/4934-development-mitsubishi-ki-109-an-unexpected-threat-en" TargetMode="External"/><Relationship Id="rId831" Type="http://schemas.openxmlformats.org/officeDocument/2006/relationships/hyperlink" Target="https://warthunder.com/en/news/5753-development-fv510-warrior-built-for-the-future-en" TargetMode="External"/><Relationship Id="rId1047" Type="http://schemas.openxmlformats.org/officeDocument/2006/relationships/hyperlink" Target="https://warthunder.com/en/news/3878--en" TargetMode="External"/><Relationship Id="rId263" Type="http://schemas.openxmlformats.org/officeDocument/2006/relationships/hyperlink" Target="https://warthunder.com/en/news/4158-development-ki-100-a-new-heart-en" TargetMode="External"/><Relationship Id="rId470" Type="http://schemas.openxmlformats.org/officeDocument/2006/relationships/hyperlink" Target="https://warthunder.com/en/news/4901-development-btr-152a-ztpu-2-skeet-shooter-en" TargetMode="External"/><Relationship Id="rId929" Type="http://schemas.openxmlformats.org/officeDocument/2006/relationships/hyperlink" Target="https://warthunder.com/en/news/3914--en" TargetMode="External"/><Relationship Id="rId58" Type="http://schemas.openxmlformats.org/officeDocument/2006/relationships/hyperlink" Target="https://warthunder.com/en/news/9133-development-fv107-scimitar-single-edged-sword-en" TargetMode="External"/><Relationship Id="rId123" Type="http://schemas.openxmlformats.org/officeDocument/2006/relationships/hyperlink" Target="https://warthunder.com/en/news/7815-development-vk-30-02-m-the-cub-roars-en" TargetMode="External"/><Relationship Id="rId330" Type="http://schemas.openxmlformats.org/officeDocument/2006/relationships/hyperlink" Target="https://warthunder.com/en/news/9260-development-pre-order-rdflt-and-bmd-4m-en" TargetMode="External"/><Relationship Id="rId568" Type="http://schemas.openxmlformats.org/officeDocument/2006/relationships/hyperlink" Target="https://warthunder.com/en/news/5837-development-type-75-multiple-rocket-launcher-explosive-hailstorm-en" TargetMode="External"/><Relationship Id="rId775" Type="http://schemas.openxmlformats.org/officeDocument/2006/relationships/hyperlink" Target="https://warthunder.com/en/news/8670-development-detailed-information-surrounding-spall-liners-in-war-thunder-en" TargetMode="External"/><Relationship Id="rId982" Type="http://schemas.openxmlformats.org/officeDocument/2006/relationships/hyperlink" Target="https://warthunder.com/en/news/4986-development-object-120-taran-the-hammer-of-tanks-en" TargetMode="External"/><Relationship Id="rId428" Type="http://schemas.openxmlformats.org/officeDocument/2006/relationships/hyperlink" Target="https://warthunder.com/en/news/3983--en" TargetMode="External"/><Relationship Id="rId635" Type="http://schemas.openxmlformats.org/officeDocument/2006/relationships/hyperlink" Target="https://warthunder.com/en/news/3964--en" TargetMode="External"/><Relationship Id="rId842" Type="http://schemas.openxmlformats.org/officeDocument/2006/relationships/hyperlink" Target="https://warthunder.com/en/news/3967--en" TargetMode="External"/><Relationship Id="rId1058" Type="http://schemas.openxmlformats.org/officeDocument/2006/relationships/hyperlink" Target="https://warthunder.com/en/news/3889--en" TargetMode="External"/><Relationship Id="rId274" Type="http://schemas.openxmlformats.org/officeDocument/2006/relationships/hyperlink" Target="https://old-forum.warthunder.com/index.php?/topic/125734-the-war-thunder-cdk/" TargetMode="External"/><Relationship Id="rId481" Type="http://schemas.openxmlformats.org/officeDocument/2006/relationships/hyperlink" Target="https://warthunder.com/en/news/3984--en" TargetMode="External"/><Relationship Id="rId702" Type="http://schemas.openxmlformats.org/officeDocument/2006/relationships/hyperlink" Target="https://warthunder.com/en/news/6731-development-f-104-starfighter-the-manned-missile-en" TargetMode="External"/><Relationship Id="rId69" Type="http://schemas.openxmlformats.org/officeDocument/2006/relationships/hyperlink" Target="https://warthunder.com/en/news/7687-development-pvkv-iii-swedish-pop-head-en" TargetMode="External"/><Relationship Id="rId134" Type="http://schemas.openxmlformats.org/officeDocument/2006/relationships/hyperlink" Target="https://warthunder.com/en/news/6709-development-char-d2-slow-advance-en" TargetMode="External"/><Relationship Id="rId579" Type="http://schemas.openxmlformats.org/officeDocument/2006/relationships/hyperlink" Target="https://warthunder.com/en/news/3733-development-asu-85-death-from-the-skies-en" TargetMode="External"/><Relationship Id="rId786" Type="http://schemas.openxmlformats.org/officeDocument/2006/relationships/hyperlink" Target="https://warthunder.com/en/news/6929-development-settsu-serving-through-the-ages-en" TargetMode="External"/><Relationship Id="rId993" Type="http://schemas.openxmlformats.org/officeDocument/2006/relationships/hyperlink" Target="https://warthunder.com/en/news/6637-development-new-onboard-aviation-systems-en" TargetMode="External"/><Relationship Id="rId341" Type="http://schemas.openxmlformats.org/officeDocument/2006/relationships/hyperlink" Target="https://warthunder.com/en/news/7922-development-new-locations-arctic-and-rocky-canyon-en" TargetMode="External"/><Relationship Id="rId439" Type="http://schemas.openxmlformats.org/officeDocument/2006/relationships/hyperlink" Target="https://warthunder.com/en/news/8633-development-vt-4a1-actively-protected-en" TargetMode="External"/><Relationship Id="rId646" Type="http://schemas.openxmlformats.org/officeDocument/2006/relationships/hyperlink" Target="https://warthunder.com/en/news/8262-development-magach-hydra-tracked-serpent-en" TargetMode="External"/><Relationship Id="rId201" Type="http://schemas.openxmlformats.org/officeDocument/2006/relationships/hyperlink" Target="https://warthunder.com/en/news/5162-development-m4a1-fl10-the-charming-sherman-en" TargetMode="External"/><Relationship Id="rId285" Type="http://schemas.openxmlformats.org/officeDocument/2006/relationships/hyperlink" Target="https://warthunder.com/en/news/8101-development-pre-order-type-16-fps-wheeled-spg-en" TargetMode="External"/><Relationship Id="rId506" Type="http://schemas.openxmlformats.org/officeDocument/2006/relationships/hyperlink" Target="https://warthunder.com/en/news/6914-development-hms-dreadnought-the-face-of-a-new-generation-en" TargetMode="External"/><Relationship Id="rId853" Type="http://schemas.openxmlformats.org/officeDocument/2006/relationships/hyperlink" Target="https://warthunder.com/en/news/7738-development-replay-rewind-en" TargetMode="External"/><Relationship Id="rId492" Type="http://schemas.openxmlformats.org/officeDocument/2006/relationships/hyperlink" Target="https://warthunder.com/en/news/8607-development-strv-122b-a-tough-nut-to-crack-en" TargetMode="External"/><Relationship Id="rId713" Type="http://schemas.openxmlformats.org/officeDocument/2006/relationships/hyperlink" Target="https://warthunder.com/en/news/5206-development-amx-30-mod-1972-next-generation-en" TargetMode="External"/><Relationship Id="rId797" Type="http://schemas.openxmlformats.org/officeDocument/2006/relationships/hyperlink" Target="https://warthunder.com/en/news/4946-development-chieftain-mk-10-dressing-up-for-war-en" TargetMode="External"/><Relationship Id="rId920" Type="http://schemas.openxmlformats.org/officeDocument/2006/relationships/hyperlink" Target="https://warthunder.com/en/news/5772-development-new-pilots-en" TargetMode="External"/><Relationship Id="rId145" Type="http://schemas.openxmlformats.org/officeDocument/2006/relationships/hyperlink" Target="https://warthunder.com/en/news/5310-development-dagor-engine-5-0-displacement-mapping-mud-and-puddles-en" TargetMode="External"/><Relationship Id="rId352" Type="http://schemas.openxmlformats.org/officeDocument/2006/relationships/hyperlink" Target="https://warthunder.com/en/news/6602-development-rooikat-105-the-cat-with-bigger-claws-en" TargetMode="External"/><Relationship Id="rId212" Type="http://schemas.openxmlformats.org/officeDocument/2006/relationships/hyperlink" Target="https://warthunder.com/en/news/4018--en" TargetMode="External"/><Relationship Id="rId657" Type="http://schemas.openxmlformats.org/officeDocument/2006/relationships/hyperlink" Target="https://warthunder.com/en/news/6732-development-attilio-regolo-the-upsized-destroyer-en" TargetMode="External"/><Relationship Id="rId864" Type="http://schemas.openxmlformats.org/officeDocument/2006/relationships/hyperlink" Target="https://warthunder.com/en/news/5762-development-t54e1-the-gunslinger-en" TargetMode="External"/><Relationship Id="rId296" Type="http://schemas.openxmlformats.org/officeDocument/2006/relationships/hyperlink" Target="https://warthunder.com/en/news/6984-development-visual-effects-for-ground-vehicles-en" TargetMode="External"/><Relationship Id="rId517" Type="http://schemas.openxmlformats.org/officeDocument/2006/relationships/hyperlink" Target="https://warthunder.com/en/news/5736-development-mi-24a-the-impeccable-hind-en" TargetMode="External"/><Relationship Id="rId724" Type="http://schemas.openxmlformats.org/officeDocument/2006/relationships/hyperlink" Target="https://warthunder.com/en/news/3989--en" TargetMode="External"/><Relationship Id="rId931" Type="http://schemas.openxmlformats.org/officeDocument/2006/relationships/hyperlink" Target="https://warthunder.com/en/news/9200-development-mirage-2000d-rmv-sword-of-damocles-en" TargetMode="External"/><Relationship Id="rId60" Type="http://schemas.openxmlformats.org/officeDocument/2006/relationships/hyperlink" Target="https://warthunder.com/en/news/8757-development-wessex-hu5-her-majestys-helicopter-en" TargetMode="External"/><Relationship Id="rId156" Type="http://schemas.openxmlformats.org/officeDocument/2006/relationships/hyperlink" Target="https://warthunder.com/en/news/4047--en" TargetMode="External"/><Relationship Id="rId363" Type="http://schemas.openxmlformats.org/officeDocument/2006/relationships/hyperlink" Target="https://warthunder.com/en/news/5181-development-lorraine-40t-sports-heavy-en" TargetMode="External"/><Relationship Id="rId570" Type="http://schemas.openxmlformats.org/officeDocument/2006/relationships/hyperlink" Target="https://warthunder.com/en/news/5536-development-xm803-the-second-chance-en" TargetMode="External"/><Relationship Id="rId1007" Type="http://schemas.openxmlformats.org/officeDocument/2006/relationships/hyperlink" Target="https://warthunder.com/en/news/8311-development-missile-duels-fair-play-en" TargetMode="External"/><Relationship Id="rId223" Type="http://schemas.openxmlformats.org/officeDocument/2006/relationships/hyperlink" Target="https://warthunder.com/en/news/9040-development-squadron-vehicles-jf-17-thunder-en" TargetMode="External"/><Relationship Id="rId430" Type="http://schemas.openxmlformats.org/officeDocument/2006/relationships/hyperlink" Target="https://warthunder.com/en/news/3907--en" TargetMode="External"/><Relationship Id="rId668" Type="http://schemas.openxmlformats.org/officeDocument/2006/relationships/hyperlink" Target="https://warthunder.com/en/news/5351-development-t-64b-when-good-is-not-good-enough-en" TargetMode="External"/><Relationship Id="rId875" Type="http://schemas.openxmlformats.org/officeDocument/2006/relationships/hyperlink" Target="https://warthunder.com/en/news/3913--en" TargetMode="External"/><Relationship Id="rId1060" Type="http://schemas.openxmlformats.org/officeDocument/2006/relationships/hyperlink" Target="https://warthunder.com/en/news/3891--en" TargetMode="External"/><Relationship Id="rId18" Type="http://schemas.openxmlformats.org/officeDocument/2006/relationships/hyperlink" Target="https://warthunder.com/en/news/7364-development-tigre-destroyer-recruit-instructor-en" TargetMode="External"/><Relationship Id="rId528" Type="http://schemas.openxmlformats.org/officeDocument/2006/relationships/hyperlink" Target="https://warthunder.com/en/news/3731-development-t29-the-experimental-monster-video-added-en" TargetMode="External"/><Relationship Id="rId735" Type="http://schemas.openxmlformats.org/officeDocument/2006/relationships/hyperlink" Target="https://warthunder.com/en/news/8268-development-btr-80a-post-soviet-vibe-en" TargetMode="External"/><Relationship Id="rId942" Type="http://schemas.openxmlformats.org/officeDocument/2006/relationships/hyperlink" Target="https://warthunder.com/en/news/5948-development-hms-dido-the-peacemaker-en" TargetMode="External"/><Relationship Id="rId167" Type="http://schemas.openxmlformats.org/officeDocument/2006/relationships/hyperlink" Target="https://warthunder.com/en/news/9144-development-dunkerque-spear-point-en" TargetMode="External"/><Relationship Id="rId374" Type="http://schemas.openxmlformats.org/officeDocument/2006/relationships/hyperlink" Target="https://warthunder.com/en/news/4022--en" TargetMode="External"/><Relationship Id="rId581" Type="http://schemas.openxmlformats.org/officeDocument/2006/relationships/hyperlink" Target="https://warthunder.com/en/news/4058--en" TargetMode="External"/><Relationship Id="rId1018" Type="http://schemas.openxmlformats.org/officeDocument/2006/relationships/hyperlink" Target="https://warthunder.com/en/news/3919--en" TargetMode="External"/><Relationship Id="rId71" Type="http://schemas.openxmlformats.org/officeDocument/2006/relationships/hyperlink" Target="https://warthunder.com/en/news/7439-development-flusi-1-the-gun-nut-en" TargetMode="External"/><Relationship Id="rId234" Type="http://schemas.openxmlformats.org/officeDocument/2006/relationships/hyperlink" Target="https://warthunder.com/en/news/7696-development-vbc-pt-2-sub-caliber-hive-en" TargetMode="External"/><Relationship Id="rId679" Type="http://schemas.openxmlformats.org/officeDocument/2006/relationships/hyperlink" Target="https://warthunder.com/en/news/4028--en" TargetMode="External"/><Relationship Id="rId802" Type="http://schemas.openxmlformats.org/officeDocument/2006/relationships/hyperlink" Target="https://warthunder.com/en/news/3740-development-new-location-novorossiysk-en" TargetMode="External"/><Relationship Id="rId886" Type="http://schemas.openxmlformats.org/officeDocument/2006/relationships/hyperlink" Target="https://warthunder.com/en/news/7191-development-aerfer-sagittario-2-the-legacy-continues-en" TargetMode="External"/><Relationship Id="rId2" Type="http://schemas.openxmlformats.org/officeDocument/2006/relationships/hyperlink" Target="https://warthunder.com/en/news/9248-development-vbci-tactical-titan-en" TargetMode="External"/><Relationship Id="rId29" Type="http://schemas.openxmlformats.org/officeDocument/2006/relationships/hyperlink" Target="https://warthunder.com/en/news/6317-development-changes-and-optimization-in-the-german-tech-tree-en" TargetMode="External"/><Relationship Id="rId441" Type="http://schemas.openxmlformats.org/officeDocument/2006/relationships/hyperlink" Target="https://warthunder.com/en/news/8435-development-pre-order-vidar-divine-vengeance-en" TargetMode="External"/><Relationship Id="rId539" Type="http://schemas.openxmlformats.org/officeDocument/2006/relationships/hyperlink" Target="https://warthunder.com/en/news/9277-development-eurofighter-typhoon-oncoming-storm-en" TargetMode="External"/><Relationship Id="rId746" Type="http://schemas.openxmlformats.org/officeDocument/2006/relationships/hyperlink" Target="https://warthunder.com/en/news/6735-development-tone-bow-towards-enemy-en" TargetMode="External"/><Relationship Id="rId178" Type="http://schemas.openxmlformats.org/officeDocument/2006/relationships/hyperlink" Target="https://warthunder.com/en/news/7824-development-mikhail-kutuzov-the-monument-to-the-big-ships-en" TargetMode="External"/><Relationship Id="rId301" Type="http://schemas.openxmlformats.org/officeDocument/2006/relationships/hyperlink" Target="https://warthunder.com/en/news/6498-development-prinz-eugen-steaming-into-the-atomic-age-en" TargetMode="External"/><Relationship Id="rId953" Type="http://schemas.openxmlformats.org/officeDocument/2006/relationships/hyperlink" Target="https://warthunder.com/en/news/3868--en" TargetMode="External"/><Relationship Id="rId1029" Type="http://schemas.openxmlformats.org/officeDocument/2006/relationships/hyperlink" Target="https://warthunder.com/en/news/3921--en" TargetMode="External"/><Relationship Id="rId82" Type="http://schemas.openxmlformats.org/officeDocument/2006/relationships/hyperlink" Target="https://warthunder.com/en/news/6427-development-centurion-action-x-the-chiefturion-en" TargetMode="External"/><Relationship Id="rId385" Type="http://schemas.openxmlformats.org/officeDocument/2006/relationships/hyperlink" Target="https://warthunder.com/en/news/8919-development-dutch-and-belgian-aircraft-are-joining-the-french-tree-en" TargetMode="External"/><Relationship Id="rId592" Type="http://schemas.openxmlformats.org/officeDocument/2006/relationships/hyperlink" Target="https://warthunder.com/en/news/9061-development-su-24m-a-suitcase-full-of-surprises-en" TargetMode="External"/><Relationship Id="rId606" Type="http://schemas.openxmlformats.org/officeDocument/2006/relationships/hyperlink" Target="https://warthunder.com/en/news/7181-development-dante-alighieri-a-poet-goes-to-war-en" TargetMode="External"/><Relationship Id="rId813" Type="http://schemas.openxmlformats.org/officeDocument/2006/relationships/hyperlink" Target="https://warthunder.com/en/news/8813-development-squadron-vehicles-f-5e-fcu-en" TargetMode="External"/><Relationship Id="rId245" Type="http://schemas.openxmlformats.org/officeDocument/2006/relationships/hyperlink" Target="https://warthunder.com/en/news/6597-development-douglas-a-4b-skyhawk-a-story-of-simplicity-en" TargetMode="External"/><Relationship Id="rId452" Type="http://schemas.openxmlformats.org/officeDocument/2006/relationships/hyperlink" Target="https://warthunder.com/en/news/7067-development-ratel-90-the-bush-breaker-en" TargetMode="External"/><Relationship Id="rId897" Type="http://schemas.openxmlformats.org/officeDocument/2006/relationships/hyperlink" Target="https://warthunder.com/en/news/5371-development-spitfire-mk-v-model-update-and-new-modifications-en" TargetMode="External"/><Relationship Id="rId105" Type="http://schemas.openxmlformats.org/officeDocument/2006/relationships/hyperlink" Target="https://warthunder.com/en/news/3953--en" TargetMode="External"/><Relationship Id="rId312" Type="http://schemas.openxmlformats.org/officeDocument/2006/relationships/hyperlink" Target="https://warthunder.com/en/news/5041-development-farman-f-222-2-big-heavy-yours-en" TargetMode="External"/><Relationship Id="rId757" Type="http://schemas.openxmlformats.org/officeDocument/2006/relationships/hyperlink" Target="https://warthunder.com/en/news/4916-development-t114-bat-giant-slayer-en" TargetMode="External"/><Relationship Id="rId964" Type="http://schemas.openxmlformats.org/officeDocument/2006/relationships/hyperlink" Target="https://warthunder.com/en/news/5379-development-rocket-s-new-chant-new-sounds-for-the-mlrs-en" TargetMode="External"/><Relationship Id="rId93" Type="http://schemas.openxmlformats.org/officeDocument/2006/relationships/hyperlink" Target="https://warthunder.com/en/news/4906-development-t-64a-the-pioneer-of-a-new-era-en" TargetMode="External"/><Relationship Id="rId189" Type="http://schemas.openxmlformats.org/officeDocument/2006/relationships/hyperlink" Target="https://warthunder.com/en/news/6711-development-hstv-l-view-of-tomorrow-en" TargetMode="External"/><Relationship Id="rId396" Type="http://schemas.openxmlformats.org/officeDocument/2006/relationships/hyperlink" Target="https://warthunder.com/en/news/7382-development-new-locations-vyborg-bay-bourbon-island-and-aral-sea-en" TargetMode="External"/><Relationship Id="rId617" Type="http://schemas.openxmlformats.org/officeDocument/2006/relationships/hyperlink" Target="https://warthunder.com/en/news/5934-development-mig-19pt-target-locked-en" TargetMode="External"/><Relationship Id="rId824" Type="http://schemas.openxmlformats.org/officeDocument/2006/relationships/hyperlink" Target="https://warthunder.com/en/news/6737-development-type-93-breaking-barriers-and-airframes-en" TargetMode="External"/><Relationship Id="rId256" Type="http://schemas.openxmlformats.org/officeDocument/2006/relationships/hyperlink" Target="https://warthunder.com/en/news/5169-development-sau-40-the-ugly-duckling-en" TargetMode="External"/><Relationship Id="rId463" Type="http://schemas.openxmlformats.org/officeDocument/2006/relationships/hyperlink" Target="https://warthunder.com/en/news/5926-development-the-future-of-aviation-in-war-thunder-supersonic-jet-aircraft-and-air-to-air-missiles-en" TargetMode="External"/><Relationship Id="rId670" Type="http://schemas.openxmlformats.org/officeDocument/2006/relationships/hyperlink" Target="https://warthunder.com/en/news/5128-development-leo-451-early-catch-me-if-you-can-en" TargetMode="External"/><Relationship Id="rId116" Type="http://schemas.openxmlformats.org/officeDocument/2006/relationships/hyperlink" Target="https://warthunder.com/en/news/8617-development-uss-roanoke-a-no-fly-zone-en" TargetMode="External"/><Relationship Id="rId323" Type="http://schemas.openxmlformats.org/officeDocument/2006/relationships/hyperlink" Target="https://warthunder.com/en/news/4002--en" TargetMode="External"/><Relationship Id="rId530" Type="http://schemas.openxmlformats.org/officeDocument/2006/relationships/hyperlink" Target="https://warthunder.com/en/news/4055--en" TargetMode="External"/><Relationship Id="rId768" Type="http://schemas.openxmlformats.org/officeDocument/2006/relationships/hyperlink" Target="https://warthunder.com/en/news/4012--en" TargetMode="External"/><Relationship Id="rId975" Type="http://schemas.openxmlformats.org/officeDocument/2006/relationships/hyperlink" Target="https://warthunder.com/en/news/6942-development-yak-38-yak-38m-hover-jet-en" TargetMode="External"/><Relationship Id="rId20" Type="http://schemas.openxmlformats.org/officeDocument/2006/relationships/hyperlink" Target="https://warthunder.com/en/news/7159-development-squadron-vehicles-hms-liverpool-en" TargetMode="External"/><Relationship Id="rId628" Type="http://schemas.openxmlformats.org/officeDocument/2006/relationships/hyperlink" Target="https://warthunder.com/en/news/4253-development-a1e1-independent-a-land-ironclad-en" TargetMode="External"/><Relationship Id="rId835" Type="http://schemas.openxmlformats.org/officeDocument/2006/relationships/hyperlink" Target="https://warthunder.com/en/news/4562-development-29-k-reach-the-sky-en" TargetMode="External"/><Relationship Id="rId267" Type="http://schemas.openxmlformats.org/officeDocument/2006/relationships/hyperlink" Target="https://warthunder.com/en/news/4019--en" TargetMode="External"/><Relationship Id="rId474" Type="http://schemas.openxmlformats.org/officeDocument/2006/relationships/hyperlink" Target="https://warthunder.com/en/news/4241-development-flakpz-i-gepard-the-second-and-last-of-its-name-en" TargetMode="External"/><Relationship Id="rId1020" Type="http://schemas.openxmlformats.org/officeDocument/2006/relationships/hyperlink" Target="https://warthunder.com/en/news/6649-development-the-neustrashimy-destroyer-a-superdestroyer-en" TargetMode="External"/><Relationship Id="rId127" Type="http://schemas.openxmlformats.org/officeDocument/2006/relationships/hyperlink" Target="https://warthunder.com/en/news/7369-development-v-12d-smooth-start-en" TargetMode="External"/><Relationship Id="rId681" Type="http://schemas.openxmlformats.org/officeDocument/2006/relationships/hyperlink" Target="https://warthunder.com/en/news/3988--en" TargetMode="External"/><Relationship Id="rId779" Type="http://schemas.openxmlformats.org/officeDocument/2006/relationships/hyperlink" Target="https://warthunder.com/en/news/8011-development-squadron-vehicles-sea-harrier-frs-1-en" TargetMode="External"/><Relationship Id="rId902" Type="http://schemas.openxmlformats.org/officeDocument/2006/relationships/hyperlink" Target="https://warthunder.com/en/news/4092--en" TargetMode="External"/><Relationship Id="rId986" Type="http://schemas.openxmlformats.org/officeDocument/2006/relationships/hyperlink" Target="https://warthunder.com/en/news/4040--en" TargetMode="External"/><Relationship Id="rId31" Type="http://schemas.openxmlformats.org/officeDocument/2006/relationships/hyperlink" Target="https://warthunder.com/en/news/6035-development-challenger-2-and-rank-vii-armored-vehicles-en" TargetMode="External"/><Relationship Id="rId334" Type="http://schemas.openxmlformats.org/officeDocument/2006/relationships/hyperlink" Target="https://warthunder.com/en/news/8772-shop-development-pre-orders-type-90b-fuji-and-merkava-mk3-raam-segol-en" TargetMode="External"/><Relationship Id="rId541" Type="http://schemas.openxmlformats.org/officeDocument/2006/relationships/hyperlink" Target="https://warthunder.com/en/news/9059-development-j-10a-the-firebird-en" TargetMode="External"/><Relationship Id="rId639" Type="http://schemas.openxmlformats.org/officeDocument/2006/relationships/hyperlink" Target="https://warthunder.com/en/devblog/current/584" TargetMode="External"/><Relationship Id="rId180" Type="http://schemas.openxmlformats.org/officeDocument/2006/relationships/hyperlink" Target="https://warthunder.com/en/news/7585-development-dagor-engine-6-5-new-surface-rendering-en" TargetMode="External"/><Relationship Id="rId278" Type="http://schemas.openxmlformats.org/officeDocument/2006/relationships/hyperlink" Target="https://warthunder.com/en/news/" TargetMode="External"/><Relationship Id="rId401" Type="http://schemas.openxmlformats.org/officeDocument/2006/relationships/hyperlink" Target="https://warthunder.com/en/news/6912-development-saab-sk-60b-instructed-to-destroy-en" TargetMode="External"/><Relationship Id="rId846" Type="http://schemas.openxmlformats.org/officeDocument/2006/relationships/hyperlink" Target="https://warthunder.com/en/news/9083-shop-event-development-join-the-testing-for-the-french-coastal-fleet-en" TargetMode="External"/><Relationship Id="rId1031" Type="http://schemas.openxmlformats.org/officeDocument/2006/relationships/hyperlink" Target="https://warthunder.com/en/news/4448-development-ki-100-ii-the-last-of-the-ki-61-family-en" TargetMode="External"/><Relationship Id="rId485" Type="http://schemas.openxmlformats.org/officeDocument/2006/relationships/hyperlink" Target="https://warthunder.com/en/news/3838--en" TargetMode="External"/><Relationship Id="rId692" Type="http://schemas.openxmlformats.org/officeDocument/2006/relationships/hyperlink" Target="https://warthunder.com/en/news/8265-development-au-f-1-fire-fire-fire-en" TargetMode="External"/><Relationship Id="rId706" Type="http://schemas.openxmlformats.org/officeDocument/2006/relationships/hyperlink" Target="https://warthunder.com/en/news/6350-development-mig-21f-13-the-silver-swallow-en" TargetMode="External"/><Relationship Id="rId913" Type="http://schemas.openxmlformats.org/officeDocument/2006/relationships/hyperlink" Target="https://warthunder.com/en/news/7201-development-pgz-09-short-bursts-en" TargetMode="External"/><Relationship Id="rId42" Type="http://schemas.openxmlformats.org/officeDocument/2006/relationships/hyperlink" Target="https://warthunder.com/en/news/4328-development-type-2-ka-mi-beach-patrol-en" TargetMode="External"/><Relationship Id="rId138" Type="http://schemas.openxmlformats.org/officeDocument/2006/relationships/hyperlink" Target="https://warthunder.com/en/news/6318-development-westland-scout-wasp-sting-like-a-bee-en" TargetMode="External"/><Relationship Id="rId345" Type="http://schemas.openxmlformats.org/officeDocument/2006/relationships/hyperlink" Target="https://warthunder.com/en/news/7302-development-new-locations-updated-test-drive-en" TargetMode="External"/><Relationship Id="rId552" Type="http://schemas.openxmlformats.org/officeDocument/2006/relationships/hyperlink" Target="https://warthunder.com/en/news/7464-development-new-locations-israel-and-the-return-of-volokolamsk-en" TargetMode="External"/><Relationship Id="rId997" Type="http://schemas.openxmlformats.org/officeDocument/2006/relationships/hyperlink" Target="https://warthunder.com/en/news/5564-development-the-fritz-x-guided-bomb-right-on-target-en" TargetMode="External"/><Relationship Id="rId191" Type="http://schemas.openxmlformats.org/officeDocument/2006/relationships/hyperlink" Target="https://warthunder.com/en/news/6493-development-new-location-new-zealand-cape-en" TargetMode="External"/><Relationship Id="rId205" Type="http://schemas.openxmlformats.org/officeDocument/2006/relationships/hyperlink" Target="https://warthunder.com/en/news/4515-development-centurion-mk-i-a-tank-for-a-new-era-en" TargetMode="External"/><Relationship Id="rId412" Type="http://schemas.openxmlformats.org/officeDocument/2006/relationships/hyperlink" Target="https://warthunder.com/en/news/5730-development-ah-1g-cobra-strike-fast-strike-hard-en" TargetMode="External"/><Relationship Id="rId857" Type="http://schemas.openxmlformats.org/officeDocument/2006/relationships/hyperlink" Target="https://warthunder.com/en/news/6931-development-t-90a-boris-the-bullet-dodger-en" TargetMode="External"/><Relationship Id="rId1042" Type="http://schemas.openxmlformats.org/officeDocument/2006/relationships/hyperlink" Target="https://warthunder.com/en/news/3927--en" TargetMode="External"/><Relationship Id="rId289" Type="http://schemas.openxmlformats.org/officeDocument/2006/relationships/hyperlink" Target="https://warthunder.com/en/news/7699-development-sms-bayern-a-state-at-war-en" TargetMode="External"/><Relationship Id="rId496" Type="http://schemas.openxmlformats.org/officeDocument/2006/relationships/hyperlink" Target="https://warthunder.com/en/news/8114-development-ah-6m-little-bird-the-killer-egg-en" TargetMode="External"/><Relationship Id="rId717" Type="http://schemas.openxmlformats.org/officeDocument/2006/relationships/hyperlink" Target="https://warthunder.com/en/news/4378-development-so-ki-elusive-twin-guns-en" TargetMode="External"/><Relationship Id="rId924" Type="http://schemas.openxmlformats.org/officeDocument/2006/relationships/hyperlink" Target="https://warthunder.com/en/news/4579-development-sturmpanzer-ii-tiny-annihilator-en" TargetMode="External"/><Relationship Id="rId53" Type="http://schemas.openxmlformats.org/officeDocument/2006/relationships/hyperlink" Target="https://warthunder.com/en/news/3846--en" TargetMode="External"/><Relationship Id="rId149" Type="http://schemas.openxmlformats.org/officeDocument/2006/relationships/hyperlink" Target="https://warthunder.com/en/news/4696-development-ba-88-lince-a-wild-spirit-en" TargetMode="External"/><Relationship Id="rId356" Type="http://schemas.openxmlformats.org/officeDocument/2006/relationships/hyperlink" Target="https://warthunder.com/en/news/6177-development-leclerc-s1-la-r%C3%A9publique-s-finest-en" TargetMode="External"/><Relationship Id="rId563" Type="http://schemas.openxmlformats.org/officeDocument/2006/relationships/hyperlink" Target="https://warthunder.com/en/news/6448-development-py%C3%B6rremyrsky-the-nordic-whirlwind-en" TargetMode="External"/><Relationship Id="rId770" Type="http://schemas.openxmlformats.org/officeDocument/2006/relationships/hyperlink" Target="https://warthunder.com/en/news/3845--en" TargetMode="External"/><Relationship Id="rId216" Type="http://schemas.openxmlformats.org/officeDocument/2006/relationships/hyperlink" Target="https://warthunder.com/en/news/3905--en" TargetMode="External"/><Relationship Id="rId423" Type="http://schemas.openxmlformats.org/officeDocument/2006/relationships/hyperlink" Target="https://warthunder.com/en/news/3727-development-pzkpfw-iii-ausf-b-en" TargetMode="External"/><Relationship Id="rId868" Type="http://schemas.openxmlformats.org/officeDocument/2006/relationships/hyperlink" Target="https://warthunder.com/en/news/4564-development-is-6-the-soviet-hammer-en" TargetMode="External"/><Relationship Id="rId1053" Type="http://schemas.openxmlformats.org/officeDocument/2006/relationships/hyperlink" Target="https://warthunder.com/en/news/3884--en" TargetMode="External"/><Relationship Id="rId630" Type="http://schemas.openxmlformats.org/officeDocument/2006/relationships/hyperlink" Target="https://warthunder.com/en/news/4081--en" TargetMode="External"/><Relationship Id="rId728" Type="http://schemas.openxmlformats.org/officeDocument/2006/relationships/hyperlink" Target="https://warthunder.com/en/news/3844--en" TargetMode="External"/><Relationship Id="rId935" Type="http://schemas.openxmlformats.org/officeDocument/2006/relationships/hyperlink" Target="https://warthunder.com/en/news/7866-development-sms-elbing-armor-inside-en" TargetMode="External"/><Relationship Id="rId64" Type="http://schemas.openxmlformats.org/officeDocument/2006/relationships/hyperlink" Target="https://warthunder.com/en/news/8224-development-bf2c-1-goshawk-new-reserve-aircraft-of-the-usa-en" TargetMode="External"/><Relationship Id="rId367" Type="http://schemas.openxmlformats.org/officeDocument/2006/relationships/hyperlink" Target="https://warthunder.com/en/news/4525-development-t14-the-ground-assault-tank-en" TargetMode="External"/><Relationship Id="rId574" Type="http://schemas.openxmlformats.org/officeDocument/2006/relationships/hyperlink" Target="https://warthunder.com/en/news/4909-development-bmp-1-master-of-adaptation-en" TargetMode="External"/><Relationship Id="rId227" Type="http://schemas.openxmlformats.org/officeDocument/2006/relationships/hyperlink" Target="https://warthunder.com/en/news/8537-development-m109-the-king-of-battle-en" TargetMode="External"/><Relationship Id="rId781" Type="http://schemas.openxmlformats.org/officeDocument/2006/relationships/hyperlink" Target="https://warthunder.com/en/news/7729-development-btr-zd-gun-savvy-en" TargetMode="External"/><Relationship Id="rId879" Type="http://schemas.openxmlformats.org/officeDocument/2006/relationships/hyperlink" Target="https://warthunder.com/en/news/8824-development-rn-bolzano-the-last-stand-en" TargetMode="External"/><Relationship Id="rId434" Type="http://schemas.openxmlformats.org/officeDocument/2006/relationships/hyperlink" Target="https://warthunder.com/en/news/9268-development-panzerhaubitze-2000-best-in-its-class-en" TargetMode="External"/><Relationship Id="rId641" Type="http://schemas.openxmlformats.org/officeDocument/2006/relationships/hyperlink" Target="https://warthunder.com/en/news/9060-development-squadron-vehicles-cv9035nl-en" TargetMode="External"/><Relationship Id="rId739" Type="http://schemas.openxmlformats.org/officeDocument/2006/relationships/hyperlink" Target="https://warthunder.com/en/news/7731-development-israeli-helicopters-en" TargetMode="External"/><Relationship Id="rId1064" Type="http://schemas.openxmlformats.org/officeDocument/2006/relationships/hyperlink" Target="https://warthunder.com/en/news/3895--en" TargetMode="External"/><Relationship Id="rId280" Type="http://schemas.openxmlformats.org/officeDocument/2006/relationships/hyperlink" Target="https://warthunder.com/en/news/8770-shop-development-pre-order-f-20a-tigershark-en" TargetMode="External"/><Relationship Id="rId501" Type="http://schemas.openxmlformats.org/officeDocument/2006/relationships/hyperlink" Target="https://warthunder.com/en/news/7460-development-2s3m-hammer-of-the-war-god-en" TargetMode="External"/><Relationship Id="rId946" Type="http://schemas.openxmlformats.org/officeDocument/2006/relationships/hyperlink" Target="https://warthunder.com/en/news/4964-development-p-51h-mustang-winged-perfection-en" TargetMode="External"/><Relationship Id="rId75" Type="http://schemas.openxmlformats.org/officeDocument/2006/relationships/hyperlink" Target="https://warthunder.com/en/news/7045-development-fokker-d-xxi-the-flying-dutchman-en" TargetMode="External"/><Relationship Id="rId140" Type="http://schemas.openxmlformats.org/officeDocument/2006/relationships/hyperlink" Target="https://warthunder.com/en/news/6043-development-new-location-alaska-en" TargetMode="External"/><Relationship Id="rId378" Type="http://schemas.openxmlformats.org/officeDocument/2006/relationships/hyperlink" Target="https://warthunder.com/en/news/3906--en" TargetMode="External"/><Relationship Id="rId585" Type="http://schemas.openxmlformats.org/officeDocument/2006/relationships/hyperlink" Target="https://warthunder.com/en/news/3963--en" TargetMode="External"/><Relationship Id="rId792" Type="http://schemas.openxmlformats.org/officeDocument/2006/relationships/hyperlink" Target="https://warthunder.com/en/news/6075-development-kms-n%C3%BCrnberg-the-seasoned-sea-dog-en" TargetMode="External"/><Relationship Id="rId806" Type="http://schemas.openxmlformats.org/officeDocument/2006/relationships/hyperlink" Target="https://warthunder.com/en/news/3991--en" TargetMode="External"/><Relationship Id="rId6" Type="http://schemas.openxmlformats.org/officeDocument/2006/relationships/hyperlink" Target="https://warthunder.com/en/news/8744-development-shop-pre-order-centauro-rgo-and-strv-121b-christian-ii-en" TargetMode="External"/><Relationship Id="rId238" Type="http://schemas.openxmlformats.org/officeDocument/2006/relationships/hyperlink" Target="https://warthunder.com/en/news/7293-development-vickers-mk-3-handy-upgrades-en" TargetMode="External"/><Relationship Id="rId445" Type="http://schemas.openxmlformats.org/officeDocument/2006/relationships/hyperlink" Target="https://warthunder.com/en/news/7927-development-premium-destroyer-uss-frank-knox-and-economic-changes-to-the-uss-moffett-en" TargetMode="External"/><Relationship Id="rId652" Type="http://schemas.openxmlformats.org/officeDocument/2006/relationships/hyperlink" Target="https://warthunder.com/en/news/7315-development-bv-138-c-1-ship-of-the-sky-en" TargetMode="External"/><Relationship Id="rId291" Type="http://schemas.openxmlformats.org/officeDocument/2006/relationships/hyperlink" Target="https://warthunder.com/en/news/7448-development-type-10-making-the-good-better-en" TargetMode="External"/><Relationship Id="rId305" Type="http://schemas.openxmlformats.org/officeDocument/2006/relationships/hyperlink" Target="https://warthunder.com/en/news/6050-development-uss-brooklyn-more-means-more-en" TargetMode="External"/><Relationship Id="rId512" Type="http://schemas.openxmlformats.org/officeDocument/2006/relationships/hyperlink" Target="https://warthunder.com/en/news/6342-development-supermarine-swift-banking-on-success-en" TargetMode="External"/><Relationship Id="rId957" Type="http://schemas.openxmlformats.org/officeDocument/2006/relationships/hyperlink" Target="https://warthunder.com/en/news/7865-development-harrier-gr-7-next-gen-jump-jet-en" TargetMode="External"/><Relationship Id="rId86" Type="http://schemas.openxmlformats.org/officeDocument/2006/relationships/hyperlink" Target="https://warthunder.com/en/news/5894-development-semovente-105-25-m43-low-profile-high-power-en" TargetMode="External"/><Relationship Id="rId151" Type="http://schemas.openxmlformats.org/officeDocument/2006/relationships/hyperlink" Target="https://warthunder.com/en/news/4335-development-type-3-chi-nu-last-line-of-defense-en" TargetMode="External"/><Relationship Id="rId389" Type="http://schemas.openxmlformats.org/officeDocument/2006/relationships/hyperlink" Target="https://warthunder.com/en/news/8429-development-f-16c-block-50-the-more-the-merrier-en" TargetMode="External"/><Relationship Id="rId596" Type="http://schemas.openxmlformats.org/officeDocument/2006/relationships/hyperlink" Target="https://warthunder.com/en/news/8560-development-rn-conte-di-cavour-a-challenge-for-the-bravest-en" TargetMode="External"/><Relationship Id="rId817" Type="http://schemas.openxmlformats.org/officeDocument/2006/relationships/hyperlink" Target="https://warthunder.com/en/news/8033-development-char-2bis-the-beast-of-champagne-en" TargetMode="External"/><Relationship Id="rId1002" Type="http://schemas.openxmlformats.org/officeDocument/2006/relationships/hyperlink" Target="https://warthunder.com/en/news/4041--en" TargetMode="External"/><Relationship Id="rId249" Type="http://schemas.openxmlformats.org/officeDocument/2006/relationships/hyperlink" Target="https://warthunder.com/en/news/6175-development-9p149-shturm-s-the-invisible-hunter-en" TargetMode="External"/><Relationship Id="rId456" Type="http://schemas.openxmlformats.org/officeDocument/2006/relationships/hyperlink" Target="https://warthunder.com/en/news/6728-development-mirage-iiic-an-illusive-figure-en" TargetMode="External"/><Relationship Id="rId663" Type="http://schemas.openxmlformats.org/officeDocument/2006/relationships/hyperlink" Target="https://warthunder.com/en/news/6063-development-mitsubishi-t-2-the-supersonic-stork-en" TargetMode="External"/><Relationship Id="rId870" Type="http://schemas.openxmlformats.org/officeDocument/2006/relationships/hyperlink" Target="https://warthunder.com/en/news/3734-development-strv-81-the-missile-centurion-en" TargetMode="External"/><Relationship Id="rId13" Type="http://schemas.openxmlformats.org/officeDocument/2006/relationships/hyperlink" Target="https://warthunder.com/en/news/7899-development-fus%C5%8D-a-broadside-to-remember-en" TargetMode="External"/><Relationship Id="rId109" Type="http://schemas.openxmlformats.org/officeDocument/2006/relationships/hyperlink" Target="https://old-forum.warthunder.com/index.php?/topic/104115-currently-in-development-new-aircraft-and-features/" TargetMode="External"/><Relationship Id="rId316" Type="http://schemas.openxmlformats.org/officeDocument/2006/relationships/hyperlink" Target="https://warthunder.com/en/news/4349-development-type-1-chi-he-an-updated-classic-en" TargetMode="External"/><Relationship Id="rId523" Type="http://schemas.openxmlformats.org/officeDocument/2006/relationships/hyperlink" Target="https://warthunder.com/en/news/4717-development-m60a2-the-starship-en" TargetMode="External"/><Relationship Id="rId968" Type="http://schemas.openxmlformats.org/officeDocument/2006/relationships/hyperlink" Target="https://warthunder.com/en/devblog/current/885" TargetMode="External"/><Relationship Id="rId97" Type="http://schemas.openxmlformats.org/officeDocument/2006/relationships/hyperlink" Target="https://warthunder.com/en/news/4224-development-su-6-chasing-the-leader-en" TargetMode="External"/><Relationship Id="rId730" Type="http://schemas.openxmlformats.org/officeDocument/2006/relationships/hyperlink" Target="https://warthunder.com/en/news/9072-development-puma-vjtf-claws-and-spikes-en" TargetMode="External"/><Relationship Id="rId828" Type="http://schemas.openxmlformats.org/officeDocument/2006/relationships/hyperlink" Target="https://warthunder.com/en/news/6209-development-update-new-clouds-for-air-battles-en" TargetMode="External"/><Relationship Id="rId1013" Type="http://schemas.openxmlformats.org/officeDocument/2006/relationships/hyperlink" Target="https://warthunder.com/en/news/5569-development-protection-analysis-en" TargetMode="External"/><Relationship Id="rId162" Type="http://schemas.openxmlformats.org/officeDocument/2006/relationships/hyperlink" Target="https://warthunder.com/en/news/3848--en" TargetMode="External"/><Relationship Id="rId467" Type="http://schemas.openxmlformats.org/officeDocument/2006/relationships/hyperlink" Target="https://warthunder.com/en/news/5338-development-dagor-engine-5-0-light-and-shadows-global-illumination-contact-shadows-shadows-on-effects-en" TargetMode="External"/><Relationship Id="rId674" Type="http://schemas.openxmlformats.org/officeDocument/2006/relationships/hyperlink" Target="https://warthunder.com/en/news/4375-development-major-updates-for-aircraft-en" TargetMode="External"/><Relationship Id="rId881" Type="http://schemas.openxmlformats.org/officeDocument/2006/relationships/hyperlink" Target="https://warthunder.com/en/news/8287-development-freccia-vbm-the-spike-thrower-en" TargetMode="External"/><Relationship Id="rId979" Type="http://schemas.openxmlformats.org/officeDocument/2006/relationships/hyperlink" Target="https://warthunder.com/en/news/5973-development-modular-airfields-in-enduring-confrontation-en" TargetMode="External"/><Relationship Id="rId24" Type="http://schemas.openxmlformats.org/officeDocument/2006/relationships/hyperlink" Target="https://warthunder.com/en/news/6828-development-akebono-destroyer-escort-en" TargetMode="External"/><Relationship Id="rId327" Type="http://schemas.openxmlformats.org/officeDocument/2006/relationships/hyperlink" Target="https://warthunder.com/en/news/3853--en" TargetMode="External"/><Relationship Id="rId534" Type="http://schemas.openxmlformats.org/officeDocument/2006/relationships/hyperlink" Target="https://warthunder.com/en/news/3955--en" TargetMode="External"/><Relationship Id="rId741" Type="http://schemas.openxmlformats.org/officeDocument/2006/relationships/hyperlink" Target="https://warthunder.com/en/news/7487-development-squadron-vehicles-su-22m3-en" TargetMode="External"/><Relationship Id="rId839" Type="http://schemas.openxmlformats.org/officeDocument/2006/relationships/hyperlink" Target="https://warthunder.com/en/news/4086--en" TargetMode="External"/><Relationship Id="rId173" Type="http://schemas.openxmlformats.org/officeDocument/2006/relationships/hyperlink" Target="https://warthunder.com/en/news/8418-development-to-55-the-scorched-land-en" TargetMode="External"/><Relationship Id="rId380" Type="http://schemas.openxmlformats.org/officeDocument/2006/relationships/hyperlink" Target="https://warthunder.com/en/news/3836--en" TargetMode="External"/><Relationship Id="rId601" Type="http://schemas.openxmlformats.org/officeDocument/2006/relationships/hyperlink" Target="https://warthunder.com/en/news/7938-development-tor-m1-and-new-options-for-sam-based-spaags-en" TargetMode="External"/><Relationship Id="rId1024" Type="http://schemas.openxmlformats.org/officeDocument/2006/relationships/hyperlink" Target="https://warthunder.com/en/news/3920--en" TargetMode="External"/><Relationship Id="rId240" Type="http://schemas.openxmlformats.org/officeDocument/2006/relationships/hyperlink" Target="https://warthunder.com/en/news/7049-development-sms-kaiser-the-emperor-at-sea-en" TargetMode="External"/><Relationship Id="rId478" Type="http://schemas.openxmlformats.org/officeDocument/2006/relationships/hyperlink" Target="https://warthunder.com/en/devblog/current/853" TargetMode="External"/><Relationship Id="rId685" Type="http://schemas.openxmlformats.org/officeDocument/2006/relationships/hyperlink" Target="https://warthunder.com/en/news/3843--en" TargetMode="External"/><Relationship Id="rId892" Type="http://schemas.openxmlformats.org/officeDocument/2006/relationships/hyperlink" Target="https://warthunder.com/en/news/6210-development-douglas-a2d-1-skyshark-wyvern-to-the-max-en" TargetMode="External"/><Relationship Id="rId906" Type="http://schemas.openxmlformats.org/officeDocument/2006/relationships/hyperlink" Target="https://warthunder.com/en/news/9196-development-hms-repulse-who-touches-me-is-broken-en" TargetMode="External"/><Relationship Id="rId35" Type="http://schemas.openxmlformats.org/officeDocument/2006/relationships/hyperlink" Target="https://warthunder.com/en/news/5499-development-type-90-the-lightweight-heavy-hitter-en" TargetMode="External"/><Relationship Id="rId100" Type="http://schemas.openxmlformats.org/officeDocument/2006/relationships/hyperlink" Target="https://warthunder.com/en/news/4065--en" TargetMode="External"/><Relationship Id="rId338" Type="http://schemas.openxmlformats.org/officeDocument/2006/relationships/hyperlink" Target="https://warthunder.com/en/news/8241-development-colbert-heavy-cruiser-the-contender-en" TargetMode="External"/><Relationship Id="rId545" Type="http://schemas.openxmlformats.org/officeDocument/2006/relationships/hyperlink" Target="https://warthunder.com/en/news/8553-development-mh-60l-black-hawk-air-cavalry-en" TargetMode="External"/><Relationship Id="rId752" Type="http://schemas.openxmlformats.org/officeDocument/2006/relationships/hyperlink" Target="https://warthunder.com/en/news/6062-development-sa-316b-alouette-iii-the-high-flying-skylark-en" TargetMode="External"/><Relationship Id="rId184" Type="http://schemas.openxmlformats.org/officeDocument/2006/relationships/hyperlink" Target="https://warthunder.com/en/news/7169-development-new-effects-for-the-nuclear-blast-en" TargetMode="External"/><Relationship Id="rId391" Type="http://schemas.openxmlformats.org/officeDocument/2006/relationships/hyperlink" Target="https://warthunder.com/en/news/8107-development-pre-order-uss-ca-134-des-moines-1948-heavy-cruiser-en" TargetMode="External"/><Relationship Id="rId405" Type="http://schemas.openxmlformats.org/officeDocument/2006/relationships/hyperlink" Target="https://warthunder.com/en/news/6503-development-ffvs-j22-settling-the-bill-en" TargetMode="External"/><Relationship Id="rId612" Type="http://schemas.openxmlformats.org/officeDocument/2006/relationships/hyperlink" Target="https://warthunder.com/en/news/6514-development-sendai-the-night-raider-en" TargetMode="External"/><Relationship Id="rId1035" Type="http://schemas.openxmlformats.org/officeDocument/2006/relationships/hyperlink" Target="https://warthunder.com/en/news/3781-development-parallax-and-updated-sights-for-ground-vehicles-en" TargetMode="External"/><Relationship Id="rId251" Type="http://schemas.openxmlformats.org/officeDocument/2006/relationships/hyperlink" Target="https://warthunder.com/en/news/5912-development-sho-t-kal-dalet-conquering-the-desert-en" TargetMode="External"/><Relationship Id="rId489" Type="http://schemas.openxmlformats.org/officeDocument/2006/relationships/hyperlink" Target="https://warthunder.com/en/news/9057-development-ijn-amagi-the-towering-mountain-en" TargetMode="External"/><Relationship Id="rId696" Type="http://schemas.openxmlformats.org/officeDocument/2006/relationships/hyperlink" Target="https://warthunder.com/en/news/7728-development-napalm-comes-to-war-thunder-en" TargetMode="External"/><Relationship Id="rId917" Type="http://schemas.openxmlformats.org/officeDocument/2006/relationships/hyperlink" Target="https://warthunder.com/en/news/6217-development-the-t1-type-motor-torpedo-boat-the-early-stages-en" TargetMode="External"/><Relationship Id="rId46" Type="http://schemas.openxmlformats.org/officeDocument/2006/relationships/hyperlink" Target="https://warthunder.com/en/news/4064--en" TargetMode="External"/><Relationship Id="rId349" Type="http://schemas.openxmlformats.org/officeDocument/2006/relationships/hyperlink" Target="https://warthunder.com/en/news/6910-development-t-72av-turms-t-syrian-guard-en" TargetMode="External"/><Relationship Id="rId556" Type="http://schemas.openxmlformats.org/officeDocument/2006/relationships/hyperlink" Target="https://warthunder.com/en/news/7073-development-new-location-seversk-13-en" TargetMode="External"/><Relationship Id="rId763" Type="http://schemas.openxmlformats.org/officeDocument/2006/relationships/hyperlink" Target="https://warthunder.com/en/news/4087--en" TargetMode="External"/><Relationship Id="rId111" Type="http://schemas.openxmlformats.org/officeDocument/2006/relationships/hyperlink" Target="https://warthunder.com/en/news/9257-development-la-galissonniere-harmony-of-qualities-en" TargetMode="External"/><Relationship Id="rId195" Type="http://schemas.openxmlformats.org/officeDocument/2006/relationships/hyperlink" Target="https://warthunder.com/en/news/6042-development-uss-somers-dd-381-strength-in-numbers-en" TargetMode="External"/><Relationship Id="rId209" Type="http://schemas.openxmlformats.org/officeDocument/2006/relationships/hyperlink" Target="https://warthunder.com/en/news/4107--en" TargetMode="External"/><Relationship Id="rId416" Type="http://schemas.openxmlformats.org/officeDocument/2006/relationships/hyperlink" Target="https://warthunder.com/en/news/5069-development-begleitpanzer-57-bofors-marder-united-at-last-en" TargetMode="External"/><Relationship Id="rId970" Type="http://schemas.openxmlformats.org/officeDocument/2006/relationships/hyperlink" Target="https://warthunder.com/en/news/3916--en" TargetMode="External"/><Relationship Id="rId1046" Type="http://schemas.openxmlformats.org/officeDocument/2006/relationships/hyperlink" Target="https://warthunder.com/en/devblog/current/715" TargetMode="External"/><Relationship Id="rId623" Type="http://schemas.openxmlformats.org/officeDocument/2006/relationships/hyperlink" Target="https://warthunder.com/en/news/5123-development-a-35b-the-american-legionnaire-en" TargetMode="External"/><Relationship Id="rId830" Type="http://schemas.openxmlformats.org/officeDocument/2006/relationships/hyperlink" Target="https://warthunder.com/en/news/5943-development-otomatic-spaag-belated-perfection-en" TargetMode="External"/><Relationship Id="rId928" Type="http://schemas.openxmlformats.org/officeDocument/2006/relationships/hyperlink" Target="https://warthunder.com/en/news/4036--en" TargetMode="External"/><Relationship Id="rId57" Type="http://schemas.openxmlformats.org/officeDocument/2006/relationships/hyperlink" Target="https://warthunder.com/en/news/9254-development-a-line-of-thai-aircraft-for-japan-en" TargetMode="External"/><Relationship Id="rId262" Type="http://schemas.openxmlformats.org/officeDocument/2006/relationships/hyperlink" Target="https://warthunder.com/en/news/4233-development-leopard-a1a1-modernized-blitzkrieg-en" TargetMode="External"/><Relationship Id="rId567" Type="http://schemas.openxmlformats.org/officeDocument/2006/relationships/hyperlink" Target="https://warthunder.com/en/news/5932-development-krasny-krym-all-weapons-fire-at-will-en" TargetMode="External"/><Relationship Id="rId122" Type="http://schemas.openxmlformats.org/officeDocument/2006/relationships/hyperlink" Target="https://warthunder.com/en/news/7908-development-finnish-aviation-and-armored-vehicles-en" TargetMode="External"/><Relationship Id="rId774" Type="http://schemas.openxmlformats.org/officeDocument/2006/relationships/hyperlink" Target="https://warthunder.com/en/news/8795-development-m60-120s-the-frankentank-en" TargetMode="External"/><Relationship Id="rId981" Type="http://schemas.openxmlformats.org/officeDocument/2006/relationships/hyperlink" Target="https://warthunder.com/en/news/5385-development-modern-tank-realism-and-balance-en" TargetMode="External"/><Relationship Id="rId1057" Type="http://schemas.openxmlformats.org/officeDocument/2006/relationships/hyperlink" Target="https://warthunder.com/en/news/3887--en" TargetMode="External"/><Relationship Id="rId427" Type="http://schemas.openxmlformats.org/officeDocument/2006/relationships/hyperlink" Target="https://warthunder.com/en/news/4004--en" TargetMode="External"/><Relationship Id="rId634" Type="http://schemas.openxmlformats.org/officeDocument/2006/relationships/hyperlink" Target="https://warthunder.com/en/news/3987--en" TargetMode="External"/><Relationship Id="rId841" Type="http://schemas.openxmlformats.org/officeDocument/2006/relationships/hyperlink" Target="https://warthunder.com/en/news/3992--en" TargetMode="External"/><Relationship Id="rId273" Type="http://schemas.openxmlformats.org/officeDocument/2006/relationships/hyperlink" Target="https://warthunder.com/en/news/3834--en" TargetMode="External"/><Relationship Id="rId480" Type="http://schemas.openxmlformats.org/officeDocument/2006/relationships/hyperlink" Target="https://warthunder.com/en/news/4005--en" TargetMode="External"/><Relationship Id="rId701" Type="http://schemas.openxmlformats.org/officeDocument/2006/relationships/hyperlink" Target="https://warthunder.com/en/news/6925-development-new-ai-aircraft-carriers-en" TargetMode="External"/><Relationship Id="rId939" Type="http://schemas.openxmlformats.org/officeDocument/2006/relationships/hyperlink" Target="https://warthunder.com/en/news/6365-development-chapayev-the-commander-at-sea-en" TargetMode="External"/><Relationship Id="rId68" Type="http://schemas.openxmlformats.org/officeDocument/2006/relationships/hyperlink" Target="https://warthunder.com/en/news/7818-development-pbv-302-bill-scandinavian-frugality-en" TargetMode="External"/><Relationship Id="rId133" Type="http://schemas.openxmlformats.org/officeDocument/2006/relationships/hyperlink" Target="https://warthunder.com/en/news/6830-development-new-t-72-modifications-here-come-the-top-of-the-line-russians-en" TargetMode="External"/><Relationship Id="rId340" Type="http://schemas.openxmlformats.org/officeDocument/2006/relationships/hyperlink" Target="https://warthunder.com/en/news/8003-development-f-16a-american-fighting-falcon-en" TargetMode="External"/><Relationship Id="rId578" Type="http://schemas.openxmlformats.org/officeDocument/2006/relationships/hyperlink" Target="https://warthunder.com/en/news/4244-development-8-8cm-flak-37-sf-auf-s-zgkw-18t-a-heavyweight-flak-en" TargetMode="External"/><Relationship Id="rId785" Type="http://schemas.openxmlformats.org/officeDocument/2006/relationships/hyperlink" Target="https://warthunder.com/en/news/7078-development-f8u-2-crusader-the-last-of-the-gunfighters-en" TargetMode="External"/><Relationship Id="rId992" Type="http://schemas.openxmlformats.org/officeDocument/2006/relationships/hyperlink" Target="https://warthunder.com/en/news/6945-development-battle-pass-in-war-thunder-en" TargetMode="External"/><Relationship Id="rId200" Type="http://schemas.openxmlformats.org/officeDocument/2006/relationships/hyperlink" Target="https://warthunder.com/en/news/5318-development-dagor-engine-5-0-weather-and-environment-rain-fog-clouds-and-sun-en" TargetMode="External"/><Relationship Id="rId438" Type="http://schemas.openxmlformats.org/officeDocument/2006/relationships/hyperlink" Target="https://warthunder.com/en/news/8778-development-ijn-mutsu-setting-new-standards-en" TargetMode="External"/><Relationship Id="rId645" Type="http://schemas.openxmlformats.org/officeDocument/2006/relationships/hyperlink" Target="https://warthunder.com/en/news/8442-development-mi-8tv-a-good-mate-to-have-en" TargetMode="External"/><Relationship Id="rId852" Type="http://schemas.openxmlformats.org/officeDocument/2006/relationships/hyperlink" Target="https://warthunder.com/en/news/7859-development-the-helicopter-tech-tree-for-china-comes-in-the-drone-age-update-en" TargetMode="External"/><Relationship Id="rId284" Type="http://schemas.openxmlformats.org/officeDocument/2006/relationships/hyperlink" Target="https://warthunder.com/en/news/8234-development-new-location-iberian-castle-en" TargetMode="External"/><Relationship Id="rId491" Type="http://schemas.openxmlformats.org/officeDocument/2006/relationships/hyperlink" Target="https://warthunder.com/en/news/8779-development-zerstorer-45-a-new-wind-en" TargetMode="External"/><Relationship Id="rId505" Type="http://schemas.openxmlformats.org/officeDocument/2006/relationships/hyperlink" Target="https://warthunder.com/en/news/6991-development-sd-kfz-251-21-deadly-triplets-en" TargetMode="External"/><Relationship Id="rId712" Type="http://schemas.openxmlformats.org/officeDocument/2006/relationships/hyperlink" Target="https://warthunder.com/en/news/5355-development-m1-abrams-the-desert-warrior-en" TargetMode="External"/><Relationship Id="rId79" Type="http://schemas.openxmlformats.org/officeDocument/2006/relationships/hyperlink" Target="https://warthunder.com/en/news/6706-development-the-ms-15-italian-navy-coming-to-war-thunder-en" TargetMode="External"/><Relationship Id="rId144" Type="http://schemas.openxmlformats.org/officeDocument/2006/relationships/hyperlink" Target="https://warthunder.com/en/news/5503-development-t-64bv-defence-reaction-en" TargetMode="External"/><Relationship Id="rId589" Type="http://schemas.openxmlformats.org/officeDocument/2006/relationships/hyperlink" Target="https://old-forum.warthunder.com/index.php?/topic/86338-developers39-diaries-progression-system-update/" TargetMode="External"/><Relationship Id="rId796" Type="http://schemas.openxmlformats.org/officeDocument/2006/relationships/hyperlink" Target="https://warthunder.com/en/news/5356-development-heinkel-he-177-a-5-greif-the-flaming-arrow-en" TargetMode="External"/><Relationship Id="rId351" Type="http://schemas.openxmlformats.org/officeDocument/2006/relationships/hyperlink" Target="https://warthunder.com/en/news/6708-development-f3h-2-demon-linking-eras-en" TargetMode="External"/><Relationship Id="rId449" Type="http://schemas.openxmlformats.org/officeDocument/2006/relationships/hyperlink" Target="https://warthunder.com/en/news/7383-development-israel-a-new-gaming-nation-coming-to-war-thunder-en" TargetMode="External"/><Relationship Id="rId656" Type="http://schemas.openxmlformats.org/officeDocument/2006/relationships/hyperlink" Target="https://warthunder.com/en/news/6879-development-sarh-air-to-air-missiles-en" TargetMode="External"/><Relationship Id="rId863" Type="http://schemas.openxmlformats.org/officeDocument/2006/relationships/hyperlink" Target="https://warthunder.com/en/news/5942-development-new-location-fuego-islands-en" TargetMode="External"/><Relationship Id="rId211" Type="http://schemas.openxmlformats.org/officeDocument/2006/relationships/hyperlink" Target="https://warthunder.com/en/devblog/current/848" TargetMode="External"/><Relationship Id="rId295" Type="http://schemas.openxmlformats.org/officeDocument/2006/relationships/hyperlink" Target="https://warthunder.com/en/news/7052-development-olifant-mk1a-the-beast-of-desert-en" TargetMode="External"/><Relationship Id="rId309" Type="http://schemas.openxmlformats.org/officeDocument/2006/relationships/hyperlink" Target="https://warthunder.com/en/news/5521-development-new-location-italy-en" TargetMode="External"/><Relationship Id="rId516" Type="http://schemas.openxmlformats.org/officeDocument/2006/relationships/hyperlink" Target="https://warthunder.com/en/news/5836-development-ju-288c-en" TargetMode="External"/><Relationship Id="rId723" Type="http://schemas.openxmlformats.org/officeDocument/2006/relationships/hyperlink" Target="https://warthunder.com/en/news/4011--en" TargetMode="External"/><Relationship Id="rId930" Type="http://schemas.openxmlformats.org/officeDocument/2006/relationships/hyperlink" Target="https://warthunder.com/en/news/3867--en" TargetMode="External"/><Relationship Id="rId1006" Type="http://schemas.openxmlformats.org/officeDocument/2006/relationships/hyperlink" Target="https://warthunder.com/en/news/8486-development-spitfire-cockpits-get-a-makeover-en" TargetMode="External"/><Relationship Id="rId155" Type="http://schemas.openxmlformats.org/officeDocument/2006/relationships/hyperlink" Target="https://warthunder.com/en/devblog/current/864" TargetMode="External"/><Relationship Id="rId362" Type="http://schemas.openxmlformats.org/officeDocument/2006/relationships/hyperlink" Target="https://warthunder.com/en/news/5327-development-martin-baker-m-b-5-hold-my-tea-en" TargetMode="External"/><Relationship Id="rId222" Type="http://schemas.openxmlformats.org/officeDocument/2006/relationships/hyperlink" Target="https://warthunder.com/en/news/9145-development-pre-order-object-140-en" TargetMode="External"/><Relationship Id="rId667" Type="http://schemas.openxmlformats.org/officeDocument/2006/relationships/hyperlink" Target="https://warthunder.com/en/news/5539-development-leopard-2a4-setting-the-standard-en" TargetMode="External"/><Relationship Id="rId874" Type="http://schemas.openxmlformats.org/officeDocument/2006/relationships/hyperlink" Target="https://warthunder.com/en/news/3968--en" TargetMode="External"/><Relationship Id="rId17" Type="http://schemas.openxmlformats.org/officeDocument/2006/relationships/hyperlink" Target="https://warthunder.com/en/news/7438-development-challenger-2-tes-a-new-perspective-en" TargetMode="External"/><Relationship Id="rId527" Type="http://schemas.openxmlformats.org/officeDocument/2006/relationships/hyperlink" Target="https://warthunder.com/en/news/4167-development-squadron-battles-en" TargetMode="External"/><Relationship Id="rId734" Type="http://schemas.openxmlformats.org/officeDocument/2006/relationships/hyperlink" Target="https://warthunder.com/en/news/8448-development-leopard-2-pso-urban-warfare-tactics-en" TargetMode="External"/><Relationship Id="rId941" Type="http://schemas.openxmlformats.org/officeDocument/2006/relationships/hyperlink" Target="https://warthunder.com/en/news/6087-development-m1a1-abrams-leaping-forward-en" TargetMode="External"/><Relationship Id="rId70" Type="http://schemas.openxmlformats.org/officeDocument/2006/relationships/hyperlink" Target="https://warthunder.com/en/news/7567-development-turm-iii-and-pre-order-bonuses-en" TargetMode="External"/><Relationship Id="rId166" Type="http://schemas.openxmlformats.org/officeDocument/2006/relationships/hyperlink" Target="https://warthunder.com/en/news/9258-development-new-location-attica-en" TargetMode="External"/><Relationship Id="rId373" Type="http://schemas.openxmlformats.org/officeDocument/2006/relationships/hyperlink" Target="https://warthunder.com/en/news/4052--en" TargetMode="External"/><Relationship Id="rId580" Type="http://schemas.openxmlformats.org/officeDocument/2006/relationships/hyperlink" Target="https://warthunder.com/en/news/4088--en" TargetMode="External"/><Relationship Id="rId801" Type="http://schemas.openxmlformats.org/officeDocument/2006/relationships/hyperlink" Target="https://warthunder.com/en/news/4261-development-improved-visual-effects-for-fire-and-tracers-en" TargetMode="External"/><Relationship Id="rId1017" Type="http://schemas.openxmlformats.org/officeDocument/2006/relationships/hyperlink" Target="https://warthunder.com/en/news/4042--en" TargetMode="External"/><Relationship Id="rId1" Type="http://schemas.openxmlformats.org/officeDocument/2006/relationships/hyperlink" Target="https://warthunder.com/en/news/9378-development-hms-warspite-grand-old-lady-en" TargetMode="External"/><Relationship Id="rId233" Type="http://schemas.openxmlformats.org/officeDocument/2006/relationships/hyperlink" Target="https://warthunder.com/en/news/7826-development-hj-9-the-red-arrow-en" TargetMode="External"/><Relationship Id="rId440" Type="http://schemas.openxmlformats.org/officeDocument/2006/relationships/hyperlink" Target="https://warthunder.com/en/news/8545-development-f-111a-aardvark-the-ultimate-bomber-en" TargetMode="External"/><Relationship Id="rId678" Type="http://schemas.openxmlformats.org/officeDocument/2006/relationships/hyperlink" Target="https://warthunder.com/en/news/4057--en" TargetMode="External"/><Relationship Id="rId885" Type="http://schemas.openxmlformats.org/officeDocument/2006/relationships/hyperlink" Target="https://warthunder.com/en/news/7615-development-amx-elc-bis-the-grass-crawler-en" TargetMode="External"/><Relationship Id="rId28" Type="http://schemas.openxmlformats.org/officeDocument/2006/relationships/hyperlink" Target="https://warthunder.com/en/news/6422-development-ka-50-black-shark-en" TargetMode="External"/><Relationship Id="rId300" Type="http://schemas.openxmlformats.org/officeDocument/2006/relationships/hyperlink" Target="https://warthunder.com/en/news/6600-development-ikv-103-heat-mortar-en" TargetMode="External"/><Relationship Id="rId538" Type="http://schemas.openxmlformats.org/officeDocument/2006/relationships/hyperlink" Target="https://old-forum.warthunder.com/index.php?/topic/81120-new-render-with-directx-11-support/" TargetMode="External"/><Relationship Id="rId745" Type="http://schemas.openxmlformats.org/officeDocument/2006/relationships/hyperlink" Target="https://warthunder.com/en/news/6927-development-leopard-2a6-deadlier-than-ever-en" TargetMode="External"/><Relationship Id="rId952" Type="http://schemas.openxmlformats.org/officeDocument/2006/relationships/hyperlink" Target="https://warthunder.com/en/news/4109--en" TargetMode="External"/><Relationship Id="rId81" Type="http://schemas.openxmlformats.org/officeDocument/2006/relationships/hyperlink" Target="https://warthunder.com/en/news/6487-development-hmas-tobruk-advance-australia-en" TargetMode="External"/><Relationship Id="rId177" Type="http://schemas.openxmlformats.org/officeDocument/2006/relationships/hyperlink" Target="https://warthunder.com/en/news/7906-development-m1a2-sep-tusk-up-close-personal-en" TargetMode="External"/><Relationship Id="rId384" Type="http://schemas.openxmlformats.org/officeDocument/2006/relationships/hyperlink" Target="https://warthunder.com/en/news/9055-shop-development-pre-order-al-khalid-i-en" TargetMode="External"/><Relationship Id="rId591" Type="http://schemas.openxmlformats.org/officeDocument/2006/relationships/hyperlink" Target="https://warthunder.com/en/news/9171-development-sabra-mki-magachs-final-form-en" TargetMode="External"/><Relationship Id="rId605" Type="http://schemas.openxmlformats.org/officeDocument/2006/relationships/hyperlink" Target="https://warthunder.com/en/news/7312-development-uss-pittsburgh-the-longest-ship-in-the-world-en" TargetMode="External"/><Relationship Id="rId812" Type="http://schemas.openxmlformats.org/officeDocument/2006/relationships/hyperlink" Target="https://warthunder.com/en/news/8943-development-f-4f-kws-lv-ice-arch-phantom-en" TargetMode="External"/><Relationship Id="rId1028" Type="http://schemas.openxmlformats.org/officeDocument/2006/relationships/hyperlink" Target="https://warthunder.com/en/news/4044--en" TargetMode="External"/><Relationship Id="rId244" Type="http://schemas.openxmlformats.org/officeDocument/2006/relationships/hyperlink" Target="https://warthunder.com/en/news/6717-development-unguided-brits-en" TargetMode="External"/><Relationship Id="rId689" Type="http://schemas.openxmlformats.org/officeDocument/2006/relationships/hyperlink" Target="https://warthunder.com/en/news/8789-development-fv721-fox-an-opportunistic-predator-en" TargetMode="External"/><Relationship Id="rId896" Type="http://schemas.openxmlformats.org/officeDocument/2006/relationships/hyperlink" Target="https://warthunder.com/en/news/5561-development-massive-update-to-air-battle-audio-en" TargetMode="External"/><Relationship Id="rId39" Type="http://schemas.openxmlformats.org/officeDocument/2006/relationships/hyperlink" Target="https://warthunder.com/en/news/4902-development-krupp-steyr-waffentr%C3%A4ger-a-deadly-surprise-en" TargetMode="External"/><Relationship Id="rId451" Type="http://schemas.openxmlformats.org/officeDocument/2006/relationships/hyperlink" Target="https://warthunder.com/en/news/7164-development-marder-a1-the-first-ifv-of-the-west-en" TargetMode="External"/><Relationship Id="rId549" Type="http://schemas.openxmlformats.org/officeDocument/2006/relationships/hyperlink" Target="https://warthunder.com/en/news/8015-shop-pre-order-new-rank-vii-premium-jet-fighters-part-2-en" TargetMode="External"/><Relationship Id="rId756" Type="http://schemas.openxmlformats.org/officeDocument/2006/relationships/hyperlink" Target="https://warthunder.com/en/news/5358-development-squadron-squads-en" TargetMode="External"/><Relationship Id="rId104" Type="http://schemas.openxmlformats.org/officeDocument/2006/relationships/hyperlink" Target="https://warthunder.com/en/news/3975--en" TargetMode="External"/><Relationship Id="rId188" Type="http://schemas.openxmlformats.org/officeDocument/2006/relationships/hyperlink" Target="https://warthunder.com/en/news/6831-development-nanchang-q-5-phoenix-reborn-en" TargetMode="External"/><Relationship Id="rId311" Type="http://schemas.openxmlformats.org/officeDocument/2006/relationships/hyperlink" Target="https://warthunder.com/en/news/5175-development-somua-s-35-shield-of-the-republic-en" TargetMode="External"/><Relationship Id="rId395" Type="http://schemas.openxmlformats.org/officeDocument/2006/relationships/hyperlink" Target="https://warthunder.com/en/news/7698-development-dassault-milan-the-flying-mustache-en" TargetMode="External"/><Relationship Id="rId409" Type="http://schemas.openxmlformats.org/officeDocument/2006/relationships/hyperlink" Target="https://warthunder.com/en/news/6056-development-sm-92-second-chance-for-a-second-tail-en" TargetMode="External"/><Relationship Id="rId963" Type="http://schemas.openxmlformats.org/officeDocument/2006/relationships/hyperlink" Target="https://warthunder.com/en/news/5563-development-amx-40-fire-and-forget-en" TargetMode="External"/><Relationship Id="rId1039" Type="http://schemas.openxmlformats.org/officeDocument/2006/relationships/hyperlink" Target="https://warthunder.com/en/news/3882--en" TargetMode="External"/><Relationship Id="rId92" Type="http://schemas.openxmlformats.org/officeDocument/2006/relationships/hyperlink" Target="https://warthunder.com/en/news/5022-development-potez-p-631-attacker-s-apprentice-en" TargetMode="External"/><Relationship Id="rId616" Type="http://schemas.openxmlformats.org/officeDocument/2006/relationships/hyperlink" Target="https://warthunder.com/en/news/6067-development-shop-type-74-mod-g-kai-and-pre-order-of-the-japanese-packs-en" TargetMode="External"/><Relationship Id="rId823" Type="http://schemas.openxmlformats.org/officeDocument/2006/relationships/hyperlink" Target="https://warthunder.com/en/news/6926-development-uss-north-dakota-dreadnought-of-the-new-world-en" TargetMode="External"/><Relationship Id="rId255" Type="http://schemas.openxmlformats.org/officeDocument/2006/relationships/hyperlink" Target="https://warthunder.com/en/news/5319-development-la-200-the-high-speed-kite-en" TargetMode="External"/><Relationship Id="rId462" Type="http://schemas.openxmlformats.org/officeDocument/2006/relationships/hyperlink" Target="https://warthunder.com/en/news/6055-development-kirov-light-cruiser-baltic-fleet-warrior-en" TargetMode="External"/><Relationship Id="rId115" Type="http://schemas.openxmlformats.org/officeDocument/2006/relationships/hyperlink" Target="https://warthunder.com/en/news/8759-development-vtt-dca-french-meat-chopper-en" TargetMode="External"/><Relationship Id="rId322" Type="http://schemas.openxmlformats.org/officeDocument/2006/relationships/hyperlink" Target="https://warthunder.com/en/news/4020--en" TargetMode="External"/><Relationship Id="rId767" Type="http://schemas.openxmlformats.org/officeDocument/2006/relationships/hyperlink" Target="https://warthunder.com/en/news/3961--en" TargetMode="External"/><Relationship Id="rId974" Type="http://schemas.openxmlformats.org/officeDocument/2006/relationships/hyperlink" Target="https://warthunder.com/en/news/8301-development-vijayanta-armour-from-india-en" TargetMode="External"/><Relationship Id="rId199" Type="http://schemas.openxmlformats.org/officeDocument/2006/relationships/hyperlink" Target="https://warthunder.com/en/news/5508-development-curtiss-p-40f-the-mediterranean-angel-of-death-en" TargetMode="External"/><Relationship Id="rId627" Type="http://schemas.openxmlformats.org/officeDocument/2006/relationships/hyperlink" Target="https://warthunder.com/en/news/4369-development-type-61-the-japanese-style-patton-en" TargetMode="External"/><Relationship Id="rId834" Type="http://schemas.openxmlformats.org/officeDocument/2006/relationships/hyperlink" Target="https://warthunder.com/en/news/4945-development-type-5-ho-ri-mother-of-dragons-en" TargetMode="External"/><Relationship Id="rId266" Type="http://schemas.openxmlformats.org/officeDocument/2006/relationships/hyperlink" Target="https://warthunder.com/en/news/4050--en" TargetMode="External"/><Relationship Id="rId473" Type="http://schemas.openxmlformats.org/officeDocument/2006/relationships/hyperlink" Target="https://warthunder.com/en/news/4359-development-type-2-ho-i-a-volatile-ally-en" TargetMode="External"/><Relationship Id="rId680" Type="http://schemas.openxmlformats.org/officeDocument/2006/relationships/hyperlink" Target="https://warthunder.com/en/news/4010--en" TargetMode="External"/><Relationship Id="rId901" Type="http://schemas.openxmlformats.org/officeDocument/2006/relationships/hyperlink" Target="https://warthunder.com/en/news/3745-development-it-1-the-soviet-missile-tank-en" TargetMode="External"/><Relationship Id="rId30" Type="http://schemas.openxmlformats.org/officeDocument/2006/relationships/hyperlink" Target="https://warthunder.com/en/news/6163-development-the-japanese-fleet-in-war-thunder-pre-orders-for-the-pg-02-and-kiyoshimo-en" TargetMode="External"/><Relationship Id="rId126" Type="http://schemas.openxmlformats.org/officeDocument/2006/relationships/hyperlink" Target="https://warthunder.com/en/news/7440-development-leclerc-sxxi-knight-s-helm-en" TargetMode="External"/><Relationship Id="rId333" Type="http://schemas.openxmlformats.org/officeDocument/2006/relationships/hyperlink" Target="https://warthunder.com/en/news/8910-development-new-locations-mysterious-valley-and-bering-sea-en" TargetMode="External"/><Relationship Id="rId540" Type="http://schemas.openxmlformats.org/officeDocument/2006/relationships/hyperlink" Target="https://warthunder.com/en/news/9153-development-mi-8amtsh-vn-upgraded-assault-en" TargetMode="External"/><Relationship Id="rId778" Type="http://schemas.openxmlformats.org/officeDocument/2006/relationships/hyperlink" Target="https://warthunder.com/en/news/8133-development-pre-order-f-4s-phantom-ii-pack-en" TargetMode="External"/><Relationship Id="rId985" Type="http://schemas.openxmlformats.org/officeDocument/2006/relationships/hyperlink" Target="https://warthunder.com/en/news/4100--en" TargetMode="External"/><Relationship Id="rId638" Type="http://schemas.openxmlformats.org/officeDocument/2006/relationships/hyperlink" Target="https://warthunder.com/en/news/3842--en" TargetMode="External"/><Relationship Id="rId845" Type="http://schemas.openxmlformats.org/officeDocument/2006/relationships/hyperlink" Target="https://warthunder.com/en/news/9192-development-osa-ak-and-osa-akm-air-defense-classics-en" TargetMode="External"/><Relationship Id="rId1030" Type="http://schemas.openxmlformats.org/officeDocument/2006/relationships/hyperlink" Target="https://warthunder.com/en/news/3875--en" TargetMode="External"/><Relationship Id="rId277" Type="http://schemas.openxmlformats.org/officeDocument/2006/relationships/hyperlink" Target="https://warthunder.com/en/news/9148-development-tornado-gr4-tenacious-tonka-en" TargetMode="External"/><Relationship Id="rId400" Type="http://schemas.openxmlformats.org/officeDocument/2006/relationships/hyperlink" Target="https://warthunder.com/en/news/6980-development-pola-in-it-together-en" TargetMode="External"/><Relationship Id="rId484" Type="http://schemas.openxmlformats.org/officeDocument/2006/relationships/hyperlink" Target="https://warthunder.com/en/news/3856--en" TargetMode="External"/><Relationship Id="rId705" Type="http://schemas.openxmlformats.org/officeDocument/2006/relationships/hyperlink" Target="https://warthunder.com/en/news/6455-development-amx-30-acra-luxury-%C3%A0-la-fran%C3%A7aise-en" TargetMode="External"/><Relationship Id="rId137" Type="http://schemas.openxmlformats.org/officeDocument/2006/relationships/hyperlink" Target="https://warthunder.com/en/news/6428-development-bmp-3-helping-hand-en" TargetMode="External"/><Relationship Id="rId344" Type="http://schemas.openxmlformats.org/officeDocument/2006/relationships/hyperlink" Target="https://warthunder.com/en/news/7378-development-ground-breaking-self-entrenching-and-bomb-craters-en" TargetMode="External"/><Relationship Id="rId691" Type="http://schemas.openxmlformats.org/officeDocument/2006/relationships/hyperlink" Target="https://warthunder.com/en/news/8445-development-improved-chaparral-oppa-chaparral-style-en" TargetMode="External"/><Relationship Id="rId789" Type="http://schemas.openxmlformats.org/officeDocument/2006/relationships/hyperlink" Target="https://warthunder.com/en/news/6530-development-saab-j21a-1-nordic-exotic-en" TargetMode="External"/><Relationship Id="rId912" Type="http://schemas.openxmlformats.org/officeDocument/2006/relationships/hyperlink" Target="https://warthunder.com/en/news/7620-development-custom-weapon-setups-for-aircraft-en" TargetMode="External"/><Relationship Id="rId996" Type="http://schemas.openxmlformats.org/officeDocument/2006/relationships/hyperlink" Target="https://warthunder.com/en/news/5974-development-reggiane-re-2001-cn-the-black-falcon-en" TargetMode="External"/><Relationship Id="rId41" Type="http://schemas.openxmlformats.org/officeDocument/2006/relationships/hyperlink" Target="https://warthunder.com/en/news/4506-development-new-tracers-en" TargetMode="External"/><Relationship Id="rId551" Type="http://schemas.openxmlformats.org/officeDocument/2006/relationships/hyperlink" Target="https://warthunder.com/en/news/7841-development-squadron-vehicles-t-80uk-en" TargetMode="External"/><Relationship Id="rId649" Type="http://schemas.openxmlformats.org/officeDocument/2006/relationships/hyperlink" Target="https://warthunder.com/en/news/7843-development-new-visual-effects-in-the-drone-age-update-en" TargetMode="External"/><Relationship Id="rId856" Type="http://schemas.openxmlformats.org/officeDocument/2006/relationships/hyperlink" Target="https://warthunder.com/en/news/7084-development-new-features-upcoming-with-the-ixwa-strike-update-en" TargetMode="External"/><Relationship Id="rId190" Type="http://schemas.openxmlformats.org/officeDocument/2006/relationships/hyperlink" Target="https://warthunder.com/en/news/6596-development-lago-i-the-medium-from-the-north-en" TargetMode="External"/><Relationship Id="rId204" Type="http://schemas.openxmlformats.org/officeDocument/2006/relationships/hyperlink" Target="https://warthunder.com/en/news/4698-development-cant-z-1007-alcione-bird-of-prey-en" TargetMode="External"/><Relationship Id="rId288" Type="http://schemas.openxmlformats.org/officeDocument/2006/relationships/hyperlink" Target="https://warthunder.com/en/news/7829-development-pre-order-vrcc-centauro-en" TargetMode="External"/><Relationship Id="rId411" Type="http://schemas.openxmlformats.org/officeDocument/2006/relationships/hyperlink" Target="https://warthunder.com/en/news/5833-development-uh-1d-the-german-iroquois-helicopter-en" TargetMode="External"/><Relationship Id="rId509" Type="http://schemas.openxmlformats.org/officeDocument/2006/relationships/hyperlink" Target="https://warthunder.com/en/news/6610-development-sverdlov-class-the-tzar-of-the-seas-en" TargetMode="External"/><Relationship Id="rId1041" Type="http://schemas.openxmlformats.org/officeDocument/2006/relationships/hyperlink" Target="https://warthunder.com/en/news/3879--en" TargetMode="External"/><Relationship Id="rId495" Type="http://schemas.openxmlformats.org/officeDocument/2006/relationships/hyperlink" Target="https://warthunder.com/en/news/8247-development-object-435-armored-hammer-en" TargetMode="External"/><Relationship Id="rId716" Type="http://schemas.openxmlformats.org/officeDocument/2006/relationships/hyperlink" Target="https://warthunder.com/en/news/4546-development-the-ardennes-en" TargetMode="External"/><Relationship Id="rId923" Type="http://schemas.openxmlformats.org/officeDocument/2006/relationships/hyperlink" Target="https://warthunder.com/en/news/4963-development-fv102-striker-five-missile-death-punch-en" TargetMode="External"/><Relationship Id="rId52" Type="http://schemas.openxmlformats.org/officeDocument/2006/relationships/hyperlink" Target="https://warthunder.com/en/news/3903--en" TargetMode="External"/><Relationship Id="rId148" Type="http://schemas.openxmlformats.org/officeDocument/2006/relationships/hyperlink" Target="https://warthunder.com/en/news/4908-development-m60a1-rise-p-explosive-reactive-american-en" TargetMode="External"/><Relationship Id="rId355" Type="http://schemas.openxmlformats.org/officeDocument/2006/relationships/hyperlink" Target="https://warthunder.com/en/news/6336-development-night-vision-devices-and-thermal-sights-en" TargetMode="External"/><Relationship Id="rId562" Type="http://schemas.openxmlformats.org/officeDocument/2006/relationships/hyperlink" Target="https://warthunder.com/en/news/6510-development-sav-20-12-48-nordic-sledgehammer-en" TargetMode="External"/><Relationship Id="rId215" Type="http://schemas.openxmlformats.org/officeDocument/2006/relationships/hyperlink" Target="https://warthunder.com/en/news/3951--en" TargetMode="External"/><Relationship Id="rId422" Type="http://schemas.openxmlformats.org/officeDocument/2006/relationships/hyperlink" Target="https://warthunder.com/en/news/4164-development-m4a5-canadian-cadet-en" TargetMode="External"/><Relationship Id="rId867" Type="http://schemas.openxmlformats.org/officeDocument/2006/relationships/hyperlink" Target="https://warthunder.com/en/news/4952-development-gunner-s-view-en" TargetMode="External"/><Relationship Id="rId1052" Type="http://schemas.openxmlformats.org/officeDocument/2006/relationships/hyperlink" Target="https://warthunder.com/en/news/3945--en" TargetMode="External"/><Relationship Id="rId299" Type="http://schemas.openxmlformats.org/officeDocument/2006/relationships/hyperlink" Target="https://warthunder.com/en/news/6719-development-trento-playing-by-the-book-en" TargetMode="External"/><Relationship Id="rId727" Type="http://schemas.openxmlformats.org/officeDocument/2006/relationships/hyperlink" Target="https://warthunder.com/en/devblog/current/632" TargetMode="External"/><Relationship Id="rId934" Type="http://schemas.openxmlformats.org/officeDocument/2006/relationships/hyperlink" Target="https://warthunder.com/en/news/8295-development-battleship-lorraine-the-last-french-dreadnought-en" TargetMode="External"/><Relationship Id="rId63" Type="http://schemas.openxmlformats.org/officeDocument/2006/relationships/hyperlink" Target="https://warthunder.com/en/news/8412-development-mbt-2000-the-star-of-the-east-en" TargetMode="External"/><Relationship Id="rId159" Type="http://schemas.openxmlformats.org/officeDocument/2006/relationships/hyperlink" Target="https://warthunder.com/en/news/3977--en" TargetMode="External"/><Relationship Id="rId366" Type="http://schemas.openxmlformats.org/officeDocument/2006/relationships/hyperlink" Target="https://warthunder.com/en/news/4708-development-piaggio-p-108b-the-imperial-eagle-en" TargetMode="External"/><Relationship Id="rId573" Type="http://schemas.openxmlformats.org/officeDocument/2006/relationships/hyperlink" Target="https://warthunder.com/en/news/5113-development-m-s-410-the-duelist-en" TargetMode="External"/><Relationship Id="rId780" Type="http://schemas.openxmlformats.org/officeDocument/2006/relationships/hyperlink" Target="https://warthunder.com/en/news/7854-development-pre-order-t129-atak-en" TargetMode="External"/><Relationship Id="rId226" Type="http://schemas.openxmlformats.org/officeDocument/2006/relationships/hyperlink" Target="https://warthunder.com/en/news/8621-development-challenger-3-prototype-smoothbore-galore-en" TargetMode="External"/><Relationship Id="rId433" Type="http://schemas.openxmlformats.org/officeDocument/2006/relationships/hyperlink" Target="https://old-forum.warthunder.com/index.php?/topic/74403-ki-84-and-a6m3-mod22-ko/" TargetMode="External"/><Relationship Id="rId878" Type="http://schemas.openxmlformats.org/officeDocument/2006/relationships/hyperlink" Target="https://warthunder.com/en/news/8945-development-vextra-105-close-fire-support-en" TargetMode="External"/><Relationship Id="rId1063" Type="http://schemas.openxmlformats.org/officeDocument/2006/relationships/hyperlink" Target="https://warthunder.com/en/news/3894--en" TargetMode="External"/><Relationship Id="rId640" Type="http://schemas.openxmlformats.org/officeDocument/2006/relationships/hyperlink" Target="https://warthunder.com/en/news/9177-development-jds-murasame-dd-107-a-new-blade-en" TargetMode="External"/><Relationship Id="rId738" Type="http://schemas.openxmlformats.org/officeDocument/2006/relationships/hyperlink" Target="https://warthunder.com/en/news/7852-development-new-models-of-the-swedish-and-japanese-tankers-en" TargetMode="External"/><Relationship Id="rId945" Type="http://schemas.openxmlformats.org/officeDocument/2006/relationships/hyperlink" Target="https://warthunder.com/en/news/5375-development-first-order-ammo-racks-and-automatic-loaders-en" TargetMode="External"/><Relationship Id="rId74" Type="http://schemas.openxmlformats.org/officeDocument/2006/relationships/hyperlink" Target="https://warthunder.com/en/news/7166-development-top-gun-day-premium-f-5c-in-red-menace-camo-for-pre-order-en" TargetMode="External"/><Relationship Id="rId377" Type="http://schemas.openxmlformats.org/officeDocument/2006/relationships/hyperlink" Target="https://warthunder.com/en/news/3958--en" TargetMode="External"/><Relationship Id="rId500" Type="http://schemas.openxmlformats.org/officeDocument/2006/relationships/hyperlink" Target="https://warthunder.com/en/news/7715-development-100-17-su-lancia-3ro-the-fly-swatter-battery-en" TargetMode="External"/><Relationship Id="rId584" Type="http://schemas.openxmlformats.org/officeDocument/2006/relationships/hyperlink" Target="https://warthunder.com/en/news/3986--en" TargetMode="External"/><Relationship Id="rId805" Type="http://schemas.openxmlformats.org/officeDocument/2006/relationships/hyperlink" Target="https://warthunder.com/en/news/4031--en" TargetMode="External"/><Relationship Id="rId5" Type="http://schemas.openxmlformats.org/officeDocument/2006/relationships/hyperlink" Target="https://warthunder.com/en/news/8898-development-fox-3-active-radar-homing-missiles-en" TargetMode="External"/><Relationship Id="rId237" Type="http://schemas.openxmlformats.org/officeDocument/2006/relationships/hyperlink" Target="https://warthunder.com/en/news/7375-development-hms-marlborough-the-iron-duke-en" TargetMode="External"/><Relationship Id="rId791" Type="http://schemas.openxmlformats.org/officeDocument/2006/relationships/hyperlink" Target="https://warthunder.com/en/news/6205-development-mutsuki-frozen-in-the-crosshairs-en" TargetMode="External"/><Relationship Id="rId889" Type="http://schemas.openxmlformats.org/officeDocument/2006/relationships/hyperlink" Target="https://warthunder.com/en/news/6744-development-uss-cleveland-the-workhorse-of-the-navy-en" TargetMode="External"/><Relationship Id="rId444" Type="http://schemas.openxmlformats.org/officeDocument/2006/relationships/hyperlink" Target="https://warthunder.com/en/news/8013-development-tornado-ids-gr-1-the-european-striker-en" TargetMode="External"/><Relationship Id="rId651" Type="http://schemas.openxmlformats.org/officeDocument/2006/relationships/hyperlink" Target="https://warthunder.com/en/news/7466-development-kfir-c-7-the-sharp-clawed-lion-cub-en" TargetMode="External"/><Relationship Id="rId749" Type="http://schemas.openxmlformats.org/officeDocument/2006/relationships/hyperlink" Target="https://warthunder.com/en/news/6461-development-belfast-the-guardian-of-the-thames-en" TargetMode="External"/><Relationship Id="rId290" Type="http://schemas.openxmlformats.org/officeDocument/2006/relationships/hyperlink" Target="https://warthunder.com/en/news/7588-development-location-sun-city-en" TargetMode="External"/><Relationship Id="rId304" Type="http://schemas.openxmlformats.org/officeDocument/2006/relationships/hyperlink" Target="https://warthunder.com/en/news/6176-development-f-86k-sabre-dog-the-grand-tourist-en" TargetMode="External"/><Relationship Id="rId388" Type="http://schemas.openxmlformats.org/officeDocument/2006/relationships/hyperlink" Target="https://warthunder.com/en/news/8543-development-object-775-the-flattened-pancake-en" TargetMode="External"/><Relationship Id="rId511" Type="http://schemas.openxmlformats.org/officeDocument/2006/relationships/hyperlink" Target="https://warthunder.com/en/news/6445-development-ztz96-top-tier-chinese-en" TargetMode="External"/><Relationship Id="rId609" Type="http://schemas.openxmlformats.org/officeDocument/2006/relationships/hyperlink" Target="https://warthunder.com/en/news/6856-development-volumetric-shells-in-the-raining-fire-update-en" TargetMode="External"/><Relationship Id="rId956" Type="http://schemas.openxmlformats.org/officeDocument/2006/relationships/hyperlink" Target="https://warthunder.com/en/news/8297-development-new-effects-in-the-la-royale-update-en" TargetMode="External"/><Relationship Id="rId85" Type="http://schemas.openxmlformats.org/officeDocument/2006/relationships/hyperlink" Target="https://warthunder.com/en/news/6039-development-sea-hawk-fga-6-jet-vulture-en" TargetMode="External"/><Relationship Id="rId150" Type="http://schemas.openxmlformats.org/officeDocument/2006/relationships/hyperlink" Target="https://warthunder.com/en/news/4512-development-type-87-the-japanese-gepard-en" TargetMode="External"/><Relationship Id="rId595" Type="http://schemas.openxmlformats.org/officeDocument/2006/relationships/hyperlink" Target="https://warthunder.com/en/news/8638-development-mirage-4000-ahead-of-the-game-en" TargetMode="External"/><Relationship Id="rId816" Type="http://schemas.openxmlformats.org/officeDocument/2006/relationships/hyperlink" Target="https://warthunder.com/en/news/8132-development-m53-59-czechoslovak-lizard-en" TargetMode="External"/><Relationship Id="rId1001" Type="http://schemas.openxmlformats.org/officeDocument/2006/relationships/hyperlink" Target="https://warthunder.com/en/news/4097--en" TargetMode="External"/><Relationship Id="rId248" Type="http://schemas.openxmlformats.org/officeDocument/2006/relationships/hyperlink" Target="https://warthunder.com/en/news/6334-development-uss-atlanta-the-explosive-air-traffic-controller-en" TargetMode="External"/><Relationship Id="rId455" Type="http://schemas.openxmlformats.org/officeDocument/2006/relationships/hyperlink" Target="https://warthunder.com/en/news/6845-development-new-location-aleutian-islands-en" TargetMode="External"/><Relationship Id="rId662" Type="http://schemas.openxmlformats.org/officeDocument/2006/relationships/hyperlink" Target="https://warthunder.com/en/news/6204-development-karo-tei-type-2-young-gunner-en" TargetMode="External"/><Relationship Id="rId12" Type="http://schemas.openxmlformats.org/officeDocument/2006/relationships/hyperlink" Target="https://warthunder.com/en/news/7983-development-9a35m2-it-s-time-to-master-missiles-en" TargetMode="External"/><Relationship Id="rId108" Type="http://schemas.openxmlformats.org/officeDocument/2006/relationships/hyperlink" Target="https://warthunder.com/en/devblog/current/599" TargetMode="External"/><Relationship Id="rId315" Type="http://schemas.openxmlformats.org/officeDocument/2006/relationships/hyperlink" Target="https://warthunder.com/en/news/4524-development-sp%C3%A4hpanzer-ru-251-the-fastest-on-land-en" TargetMode="External"/><Relationship Id="rId522" Type="http://schemas.openxmlformats.org/officeDocument/2006/relationships/hyperlink" Target="https://warthunder.com/en/news/4913-development-de-havilland-hornet-deadly-sting-en" TargetMode="External"/><Relationship Id="rId967" Type="http://schemas.openxmlformats.org/officeDocument/2006/relationships/hyperlink" Target="https://warthunder.com/en/news/3751-development-m48a1-en" TargetMode="External"/><Relationship Id="rId96" Type="http://schemas.openxmlformats.org/officeDocument/2006/relationships/hyperlink" Target="https://warthunder.com/en/news/4330-development-type-97-chi-ha-hope-of-the-army-en" TargetMode="External"/><Relationship Id="rId161" Type="http://schemas.openxmlformats.org/officeDocument/2006/relationships/hyperlink" Target="https://warthunder.com/en/news/3938--en" TargetMode="External"/><Relationship Id="rId399" Type="http://schemas.openxmlformats.org/officeDocument/2006/relationships/hyperlink" Target="https://warthunder.com/en/news/7060-development-f-5a-freedom-fighter-bring-em-hell-en" TargetMode="External"/><Relationship Id="rId827" Type="http://schemas.openxmlformats.org/officeDocument/2006/relationships/hyperlink" Target="https://warthunder.com/en/news/6359-development-mogami-going-all-out-en" TargetMode="External"/><Relationship Id="rId1012" Type="http://schemas.openxmlformats.org/officeDocument/2006/relationships/hyperlink" Target="https://warthunder.com/en/news/5977-development-oto-r3-t106-double-barrel-mayhem-en" TargetMode="External"/><Relationship Id="rId259" Type="http://schemas.openxmlformats.org/officeDocument/2006/relationships/hyperlink" Target="https://warthunder.com/en/news/4706-development-t-55a-the-eastern-menace-en" TargetMode="External"/><Relationship Id="rId466" Type="http://schemas.openxmlformats.org/officeDocument/2006/relationships/hyperlink" Target="https://warthunder.com/en/news/5532-development-kawasaki-ki-32-the-bomber-of-three-armies-en" TargetMode="External"/><Relationship Id="rId673" Type="http://schemas.openxmlformats.org/officeDocument/2006/relationships/hyperlink" Target="https://warthunder.com/en/news/4549-development-ki-67-hiryu-the-japanese-dragon-en" TargetMode="External"/><Relationship Id="rId880" Type="http://schemas.openxmlformats.org/officeDocument/2006/relationships/hyperlink" Target="https://warthunder.com/en/news/8460-development-mig-29smt-strike-from-beyond-the-horizon-en" TargetMode="External"/><Relationship Id="rId23" Type="http://schemas.openxmlformats.org/officeDocument/2006/relationships/hyperlink" Target="https://warthunder.com/en/news/6899-development-lorraine-37l-antichar-anti-tank-tractor-en" TargetMode="External"/><Relationship Id="rId119" Type="http://schemas.openxmlformats.org/officeDocument/2006/relationships/hyperlink" Target="https://warthunder.com/en/news/8228-development-grumman-f-14b-tomcat-the-bombcat-en" TargetMode="External"/><Relationship Id="rId326" Type="http://schemas.openxmlformats.org/officeDocument/2006/relationships/hyperlink" Target="https://warthunder.com/en/news/4070--en" TargetMode="External"/><Relationship Id="rId533" Type="http://schemas.openxmlformats.org/officeDocument/2006/relationships/hyperlink" Target="https://warthunder.com/en/news/3985--en" TargetMode="External"/><Relationship Id="rId978" Type="http://schemas.openxmlformats.org/officeDocument/2006/relationships/hyperlink" Target="https://warthunder.com/en/news/6093-development-super-myst%C3%A8re-b-2-over-the-barrier-en" TargetMode="External"/><Relationship Id="rId740" Type="http://schemas.openxmlformats.org/officeDocument/2006/relationships/hyperlink" Target="https://warthunder.com/en/news/7606-development-hard-kill-active-protection-systems-in-war-thunder-en" TargetMode="External"/><Relationship Id="rId838" Type="http://schemas.openxmlformats.org/officeDocument/2006/relationships/hyperlink" Target="https://warthunder.com/en/news/3741-development-the-yak-30d-a-long-anticipated-top-jet-fighter-in-the-yakovlev-fighters-branch-en" TargetMode="External"/><Relationship Id="rId1023" Type="http://schemas.openxmlformats.org/officeDocument/2006/relationships/hyperlink" Target="https://warthunder.com/en/news/4043--en" TargetMode="External"/><Relationship Id="rId172" Type="http://schemas.openxmlformats.org/officeDocument/2006/relationships/hyperlink" Target="https://warthunder.com/en/news/8531-development-ah-129d-mangusta-spiked-up-mongoose-en" TargetMode="External"/><Relationship Id="rId477" Type="http://schemas.openxmlformats.org/officeDocument/2006/relationships/hyperlink" Target="https://warthunder.com/en/news/4077--en" TargetMode="External"/><Relationship Id="rId600" Type="http://schemas.openxmlformats.org/officeDocument/2006/relationships/hyperlink" Target="https://warthunder.com/en/news/8016-development-khalid-the-sword-from-the-desert-en" TargetMode="External"/><Relationship Id="rId684" Type="http://schemas.openxmlformats.org/officeDocument/2006/relationships/hyperlink" Target="https://warthunder.com/en/news/3862--en" TargetMode="External"/><Relationship Id="rId337" Type="http://schemas.openxmlformats.org/officeDocument/2006/relationships/hyperlink" Target="https://warthunder.com/en/news/8427-development-squadron-vehicles-t-90-bhishma-en" TargetMode="External"/><Relationship Id="rId891" Type="http://schemas.openxmlformats.org/officeDocument/2006/relationships/hyperlink" Target="https://warthunder.com/en/news/6361-development-type-75-the-pulverizer-en" TargetMode="External"/><Relationship Id="rId905" Type="http://schemas.openxmlformats.org/officeDocument/2006/relationships/hyperlink" Target="https://warthunder.com/en/news/3866--en" TargetMode="External"/><Relationship Id="rId989" Type="http://schemas.openxmlformats.org/officeDocument/2006/relationships/hyperlink" Target="https://warthunder.com/en/news/9215-development-firebirds-improved-mud-on-ground-vehicles-naval-effect-improvements-en" TargetMode="External"/><Relationship Id="rId34" Type="http://schemas.openxmlformats.org/officeDocument/2006/relationships/hyperlink" Target="https://warthunder.com/en/news/5709-development-mi-24-and-ah-1f-rotorcraft-icons-en" TargetMode="External"/><Relationship Id="rId544" Type="http://schemas.openxmlformats.org/officeDocument/2006/relationships/hyperlink" Target="https://warthunder.com/en/news/8636-development-leopard-2a7v-the-ultimate-evolution-en" TargetMode="External"/><Relationship Id="rId751" Type="http://schemas.openxmlformats.org/officeDocument/2006/relationships/hyperlink" Target="https://warthunder.com/en/news/6208-development-alvis-stormer-hvm-control-of-the-skies-en" TargetMode="External"/><Relationship Id="rId849" Type="http://schemas.openxmlformats.org/officeDocument/2006/relationships/hyperlink" Target="https://warthunder.com/en/news/8458-development-kf41-the-majestic-lynx-en" TargetMode="External"/><Relationship Id="rId183" Type="http://schemas.openxmlformats.org/officeDocument/2006/relationships/hyperlink" Target="https://warthunder.com/en/news/7289-development-reports-concerning-the-protection-of-post-war-combat-vehicles-en" TargetMode="External"/><Relationship Id="rId390" Type="http://schemas.openxmlformats.org/officeDocument/2006/relationships/hyperlink" Target="https://warthunder.com/en/news/8245-development-raketenautomat-double-barrel-rocket-launcher-en" TargetMode="External"/><Relationship Id="rId404" Type="http://schemas.openxmlformats.org/officeDocument/2006/relationships/hyperlink" Target="https://warthunder.com/en/news/6601-development-amx-32-further-improvements-en" TargetMode="External"/><Relationship Id="rId611" Type="http://schemas.openxmlformats.org/officeDocument/2006/relationships/hyperlink" Target="https://warthunder.com/en/news/6612-development-kamov-ka-29-nimble-fatboy-en" TargetMode="External"/><Relationship Id="rId1034" Type="http://schemas.openxmlformats.org/officeDocument/2006/relationships/hyperlink" Target="https://warthunder.com/en/news/3880--en" TargetMode="External"/><Relationship Id="rId250" Type="http://schemas.openxmlformats.org/officeDocument/2006/relationships/hyperlink" Target="https://warthunder.com/en/news/6047-development-mig-19s-magnificent-performance-en" TargetMode="External"/><Relationship Id="rId488" Type="http://schemas.openxmlformats.org/officeDocument/2006/relationships/hyperlink" Target="https://warthunder.com/en/news/9166-development-su-34-precision-jackpot-en" TargetMode="External"/><Relationship Id="rId695" Type="http://schemas.openxmlformats.org/officeDocument/2006/relationships/hyperlink" Target="https://warthunder.com/en/news/7846-development-su-25-and-su-25k-armor-pecking-rooks-en" TargetMode="External"/><Relationship Id="rId709" Type="http://schemas.openxmlformats.org/officeDocument/2006/relationships/hyperlink" Target="https://warthunder.com/en/news/5937-development-new-location-vietnam-hills-en" TargetMode="External"/><Relationship Id="rId916" Type="http://schemas.openxmlformats.org/officeDocument/2006/relationships/hyperlink" Target="https://warthunder.com/en/news/6363-development-hms-arethusa-mistress-of-the-seas-en" TargetMode="External"/><Relationship Id="rId45" Type="http://schemas.openxmlformats.org/officeDocument/2006/relationships/hyperlink" Target="https://warthunder.com/en/news/4101--en" TargetMode="External"/><Relationship Id="rId110" Type="http://schemas.openxmlformats.org/officeDocument/2006/relationships/hyperlink" Target="https://old-forum.warthunder.com/index.php?/topic/72537-yak-9u/" TargetMode="External"/><Relationship Id="rId348" Type="http://schemas.openxmlformats.org/officeDocument/2006/relationships/hyperlink" Target="https://warthunder.com/en/news/6989-development-italian-helicopters-en" TargetMode="External"/><Relationship Id="rId555" Type="http://schemas.openxmlformats.org/officeDocument/2006/relationships/hyperlink" Target="https://warthunder.com/en/news/7173-development-ito-90m-airspace-is-closed-en" TargetMode="External"/><Relationship Id="rId762" Type="http://schemas.openxmlformats.org/officeDocument/2006/relationships/hyperlink" Target="https://warthunder.com/en/news/3736-development-m551-sheridan-en" TargetMode="External"/><Relationship Id="rId194" Type="http://schemas.openxmlformats.org/officeDocument/2006/relationships/hyperlink" Target="https://warthunder.com/en/news/6173-development-bradley-adats-one-to-rule-them-all-en" TargetMode="External"/><Relationship Id="rId208" Type="http://schemas.openxmlformats.org/officeDocument/2006/relationships/hyperlink" Target="https://warthunder.com/en/news/4150-development-m60a1-facing-the-enemy-en" TargetMode="External"/><Relationship Id="rId415" Type="http://schemas.openxmlformats.org/officeDocument/2006/relationships/hyperlink" Target="https://warthunder.com/en/news/5186-development-m4a4-sa50-the-desert-warrior-en" TargetMode="External"/><Relationship Id="rId622" Type="http://schemas.openxmlformats.org/officeDocument/2006/relationships/hyperlink" Target="https://warthunder.com/en/news/5190-development-fcm-36-wait-until-you-see-the-whites-of-their-eyes-en" TargetMode="External"/><Relationship Id="rId1045" Type="http://schemas.openxmlformats.org/officeDocument/2006/relationships/hyperlink" Target="https://warthunder.com/en/news/3877--en" TargetMode="External"/><Relationship Id="rId261" Type="http://schemas.openxmlformats.org/officeDocument/2006/relationships/hyperlink" Target="https://warthunder.com/en/news/4341-development-type-89-i-go-ko-first-series-en" TargetMode="External"/><Relationship Id="rId499" Type="http://schemas.openxmlformats.org/officeDocument/2006/relationships/hyperlink" Target="https://warthunder.com/en/news/7840-development-drones-en" TargetMode="External"/><Relationship Id="rId927" Type="http://schemas.openxmlformats.org/officeDocument/2006/relationships/hyperlink" Target="https://warthunder.com/en/news/4094--en" TargetMode="External"/><Relationship Id="rId56" Type="http://schemas.openxmlformats.org/officeDocument/2006/relationships/hyperlink" Target="https://old-forum.warthunder.com/index.php?/topic/70813-work-in-progress-tank-sounds-recording/" TargetMode="External"/><Relationship Id="rId359" Type="http://schemas.openxmlformats.org/officeDocument/2006/relationships/hyperlink" Target="https://warthunder.com/en/news/5830-fleet-development-flower-class-corvette-the-convoy-guardian-en" TargetMode="External"/><Relationship Id="rId566" Type="http://schemas.openxmlformats.org/officeDocument/2006/relationships/hyperlink" Target="https://warthunder.com/en/news/6064-development-radar-station-new-opportunities-in-the-game-en" TargetMode="External"/><Relationship Id="rId773" Type="http://schemas.openxmlformats.org/officeDocument/2006/relationships/hyperlink" Target="https://warthunder.com/en/news/8940-development-early-access-for-the-french-coastal-fleet-the-vlt-2-en" TargetMode="External"/><Relationship Id="rId121" Type="http://schemas.openxmlformats.org/officeDocument/2006/relationships/hyperlink" Target="https://warthunder.com/en/news/7988-development-magach-7-the-ram-hits-again-en" TargetMode="External"/><Relationship Id="rId219" Type="http://schemas.openxmlformats.org/officeDocument/2006/relationships/hyperlink" Target="https://warthunder.com/en/news/3828--en" TargetMode="External"/><Relationship Id="rId426" Type="http://schemas.openxmlformats.org/officeDocument/2006/relationships/hyperlink" Target="https://warthunder.com/en/news/4021--en" TargetMode="External"/><Relationship Id="rId633" Type="http://schemas.openxmlformats.org/officeDocument/2006/relationships/hyperlink" Target="https://warthunder.com/en/news/4008--en" TargetMode="External"/><Relationship Id="rId980" Type="http://schemas.openxmlformats.org/officeDocument/2006/relationships/hyperlink" Target="https://warthunder.com/en/news/5565-development-il-28sh-the-soviet-rocketeer-en" TargetMode="External"/><Relationship Id="rId1056" Type="http://schemas.openxmlformats.org/officeDocument/2006/relationships/hyperlink" Target="https://warthunder.com/en/news/3886--en" TargetMode="External"/><Relationship Id="rId840" Type="http://schemas.openxmlformats.org/officeDocument/2006/relationships/hyperlink" Target="https://warthunder.com/en/news/4032--en" TargetMode="External"/><Relationship Id="rId938" Type="http://schemas.openxmlformats.org/officeDocument/2006/relationships/hyperlink" Target="https://warthunder.com/en/news/6631-development-swedish-ground-vehicles-u-sh-405-en" TargetMode="External"/><Relationship Id="rId67" Type="http://schemas.openxmlformats.org/officeDocument/2006/relationships/hyperlink" Target="https://warthunder.com/en/news/7900-development-bosvark-the-little-truck-that-grew-up-en" TargetMode="External"/><Relationship Id="rId272" Type="http://schemas.openxmlformats.org/officeDocument/2006/relationships/hyperlink" Target="https://warthunder.com/en/news/3850--en" TargetMode="External"/><Relationship Id="rId577" Type="http://schemas.openxmlformats.org/officeDocument/2006/relationships/hyperlink" Target="https://warthunder.com/en/news/4365-development-tu-14t-the-fastest-torpedo-bomber-en" TargetMode="External"/><Relationship Id="rId700" Type="http://schemas.openxmlformats.org/officeDocument/2006/relationships/hyperlink" Target="https://warthunder.com/en/news/7075-development-sarc-mk-vi-elephant-in-the-bushes-en" TargetMode="External"/><Relationship Id="rId132" Type="http://schemas.openxmlformats.org/officeDocument/2006/relationships/hyperlink" Target="https://warthunder.com/en/news/6902-development-flarakrad-protective-sphere-en" TargetMode="External"/><Relationship Id="rId784" Type="http://schemas.openxmlformats.org/officeDocument/2006/relationships/hyperlink" Target="https://warthunder.com/en/news/7188-development-dardo-ifv-first-hit-rights-en" TargetMode="External"/><Relationship Id="rId991" Type="http://schemas.openxmlformats.org/officeDocument/2006/relationships/hyperlink" Target="https://warthunder.com/en/news/8308-development-m4-t26-a-sherman-and-a-half-en" TargetMode="External"/><Relationship Id="rId437" Type="http://schemas.openxmlformats.org/officeDocument/2006/relationships/hyperlink" Target="https://warthunder.com/en/news/8922-development-pre-order-amx-a-1a-en" TargetMode="External"/><Relationship Id="rId644" Type="http://schemas.openxmlformats.org/officeDocument/2006/relationships/hyperlink" Target="https://warthunder.com/en/news/8645-development-jas39-gripen-the-ultimate-nordic-warbird-en" TargetMode="External"/><Relationship Id="rId851" Type="http://schemas.openxmlformats.org/officeDocument/2006/relationships/hyperlink" Target="https://warthunder.com/en/news/8136-development-dev-team-replies-to-community-feedback-on-the-sky-guardians-update-en" TargetMode="External"/><Relationship Id="rId283" Type="http://schemas.openxmlformats.org/officeDocument/2006/relationships/hyperlink" Target="https://warthunder.com/en/news/8425-development-amx-10m-a-familiar-beast-en" TargetMode="External"/><Relationship Id="rId490" Type="http://schemas.openxmlformats.org/officeDocument/2006/relationships/hyperlink" Target="https://warthunder.com/en/news/8924-development-zsl92-rapid-firepower-en" TargetMode="External"/><Relationship Id="rId504" Type="http://schemas.openxmlformats.org/officeDocument/2006/relationships/hyperlink" Target="https://warthunder.com/en/news/7072-development-a6m5-hei-the-up-gunned-samurai-en" TargetMode="External"/><Relationship Id="rId711" Type="http://schemas.openxmlformats.org/officeDocument/2006/relationships/hyperlink" Target="https://warthunder.com/en/news/5547-fleet-development-uss-cowell-dd-547-vulture-hunter-en" TargetMode="External"/><Relationship Id="rId949" Type="http://schemas.openxmlformats.org/officeDocument/2006/relationships/hyperlink" Target="https://warthunder.com/en/news/3750-development-halifax-the-knight-of-the-sky-en" TargetMode="External"/><Relationship Id="rId78" Type="http://schemas.openxmlformats.org/officeDocument/2006/relationships/hyperlink" Target="https://warthunder.com/en/news/6825-development-somua-sm-heavy-weight-fighter-en" TargetMode="External"/><Relationship Id="rId143" Type="http://schemas.openxmlformats.org/officeDocument/2006/relationships/hyperlink" Target="https://warthunder.com/en/news/5713-development-char-25t-and-t-80b-en" TargetMode="External"/><Relationship Id="rId350" Type="http://schemas.openxmlformats.org/officeDocument/2006/relationships/hyperlink" Target="https://warthunder.com/en/news/6841-development-sepecat-jaguar-raining-fire-en" TargetMode="External"/><Relationship Id="rId588" Type="http://schemas.openxmlformats.org/officeDocument/2006/relationships/hyperlink" Target="https://warthunder.com/en/news/3841--en" TargetMode="External"/><Relationship Id="rId795" Type="http://schemas.openxmlformats.org/officeDocument/2006/relationships/hyperlink" Target="https://warthunder.com/en/news/5538-development-t-62m-1-the-fight-continues-en" TargetMode="External"/><Relationship Id="rId809" Type="http://schemas.openxmlformats.org/officeDocument/2006/relationships/hyperlink" Target="https://warthunder.com/en/news/3863--en" TargetMode="External"/><Relationship Id="rId9" Type="http://schemas.openxmlformats.org/officeDocument/2006/relationships/hyperlink" Target="https://warthunder.com/en/news/8408-development-2s1-the-blast-blossom-en" TargetMode="External"/><Relationship Id="rId210" Type="http://schemas.openxmlformats.org/officeDocument/2006/relationships/hyperlink" Target="https://warthunder.com/en/news/4079--en" TargetMode="External"/><Relationship Id="rId448" Type="http://schemas.openxmlformats.org/officeDocument/2006/relationships/hyperlink" Target="https://warthunder.com/en/news/7457-development-avia-s-199-a-knife-for-israel-en" TargetMode="External"/><Relationship Id="rId655" Type="http://schemas.openxmlformats.org/officeDocument/2006/relationships/hyperlink" Target="https://warthunder.com/en/news/6923-development-sms-westfalen-into-a-new-era-en" TargetMode="External"/><Relationship Id="rId862" Type="http://schemas.openxmlformats.org/officeDocument/2006/relationships/hyperlink" Target="https://warthunder.com/en/news/6081-development-squadron-activity-improvements-en" TargetMode="External"/><Relationship Id="rId294" Type="http://schemas.openxmlformats.org/officeDocument/2006/relationships/hyperlink" Target="https://warthunder.com/en/news/7170-development-pgz04a-a-much-anticipated-chinese-spaa-en" TargetMode="External"/><Relationship Id="rId308" Type="http://schemas.openxmlformats.org/officeDocument/2006/relationships/hyperlink" Target="https://warthunder.com/en/news/5724-development-leopard-1-with-the-rheinmetall-120mm-l44-en" TargetMode="External"/><Relationship Id="rId515" Type="http://schemas.openxmlformats.org/officeDocument/2006/relationships/hyperlink" Target="https://warthunder.com/en/news/5929-development-f-100d-super-sabre-the-new-era-en" TargetMode="External"/><Relationship Id="rId722" Type="http://schemas.openxmlformats.org/officeDocument/2006/relationships/hyperlink" Target="https://warthunder.com/en/news/4029--en" TargetMode="External"/><Relationship Id="rId89" Type="http://schemas.openxmlformats.org/officeDocument/2006/relationships/hyperlink" Target="https://warthunder.com/en/news/5502-development-f4u-7-the-corsair-under-a-french-tricolore-en" TargetMode="External"/><Relationship Id="rId154" Type="http://schemas.openxmlformats.org/officeDocument/2006/relationships/hyperlink" Target="https://warthunder.com/en/news/4106--en" TargetMode="External"/><Relationship Id="rId361" Type="http://schemas.openxmlformats.org/officeDocument/2006/relationships/hyperlink" Target="https://warthunder.com/en/news/5523-development-chieftain-marksman-top-scoring-shooter-en" TargetMode="External"/><Relationship Id="rId599" Type="http://schemas.openxmlformats.org/officeDocument/2006/relationships/hyperlink" Target="https://warthunder.com/en/news/8123-development-96k6-pantsir-s1-the-ultimatum-en" TargetMode="External"/><Relationship Id="rId1005" Type="http://schemas.openxmlformats.org/officeDocument/2006/relationships/hyperlink" Target="https://warthunder.com/en/news/9217-development-firebirds-motion-blur-in-war-thunder-en" TargetMode="External"/><Relationship Id="rId459" Type="http://schemas.openxmlformats.org/officeDocument/2006/relationships/hyperlink" Target="https://warthunder.com/en/news/6444-development-swedish-aircraft-in-war-thunder-saab-j29d-jet-powered-fighter-en" TargetMode="External"/><Relationship Id="rId666" Type="http://schemas.openxmlformats.org/officeDocument/2006/relationships/hyperlink" Target="https://warthunder.com/en/news/5742-development-flight-models-and-physics-of-war-thunder-helicopters-en" TargetMode="External"/><Relationship Id="rId873" Type="http://schemas.openxmlformats.org/officeDocument/2006/relationships/hyperlink" Target="https://warthunder.com/en/devblog/current/780" TargetMode="External"/><Relationship Id="rId16" Type="http://schemas.openxmlformats.org/officeDocument/2006/relationships/hyperlink" Target="https://warthunder.com/en/news/7563-development-uss-arizona-bb-39-all-or-nothing-en" TargetMode="External"/><Relationship Id="rId221" Type="http://schemas.openxmlformats.org/officeDocument/2006/relationships/hyperlink" Target="https://warthunder.com/en/news/9259-development-squadron-vehicles-su-33-en" TargetMode="External"/><Relationship Id="rId319" Type="http://schemas.openxmlformats.org/officeDocument/2006/relationships/hyperlink" Target="https://warthunder.com/en/news/3710/current" TargetMode="External"/><Relationship Id="rId526" Type="http://schemas.openxmlformats.org/officeDocument/2006/relationships/hyperlink" Target="https://warthunder.com/en/news/4245-development-bv-238-the-largest-aircraft-en" TargetMode="External"/><Relationship Id="rId733" Type="http://schemas.openxmlformats.org/officeDocument/2006/relationships/hyperlink" Target="https://warthunder.com/en/news/8666-development-premium-battleships-courbet-and-leonardo-da-vinci-en" TargetMode="External"/><Relationship Id="rId940" Type="http://schemas.openxmlformats.org/officeDocument/2006/relationships/hyperlink" Target="https://warthunder.com/en/news/6218-development-type-16-mcv-elite-marksman-en" TargetMode="External"/><Relationship Id="rId1016" Type="http://schemas.openxmlformats.org/officeDocument/2006/relationships/hyperlink" Target="https://warthunder.com/en/news/4099--en" TargetMode="External"/><Relationship Id="rId165" Type="http://schemas.openxmlformats.org/officeDocument/2006/relationships/hyperlink" Target="https://old-forum.warthunder.com/index.php?/topic/73510-tempest-ii/" TargetMode="External"/><Relationship Id="rId372" Type="http://schemas.openxmlformats.org/officeDocument/2006/relationships/hyperlink" Target="https://warthunder.com/en/news/4093--en" TargetMode="External"/><Relationship Id="rId677" Type="http://schemas.openxmlformats.org/officeDocument/2006/relationships/hyperlink" Target="https://warthunder.com/en/news/4082--en" TargetMode="External"/><Relationship Id="rId800" Type="http://schemas.openxmlformats.org/officeDocument/2006/relationships/hyperlink" Target="https://warthunder.com/en/news/4384-development-new-location-abandoned-factory-en" TargetMode="External"/><Relationship Id="rId232" Type="http://schemas.openxmlformats.org/officeDocument/2006/relationships/hyperlink" Target="https://warthunder.com/en/news/7912-development-pre-order-t-2-early-pack-en" TargetMode="External"/><Relationship Id="rId884" Type="http://schemas.openxmlformats.org/officeDocument/2006/relationships/hyperlink" Target="https://warthunder.com/en/news/7766-development-your-personal-fireworks-in-war-thunder-en" TargetMode="External"/><Relationship Id="rId27" Type="http://schemas.openxmlformats.org/officeDocument/2006/relationships/hyperlink" Target="https://warthunder.com/en/news/6486-development-j6b-jaktfalken-ii-falcon-from-the-north-en" TargetMode="External"/><Relationship Id="rId537" Type="http://schemas.openxmlformats.org/officeDocument/2006/relationships/hyperlink" Target="https://warthunder.com/en/news/3840--en" TargetMode="External"/><Relationship Id="rId744" Type="http://schemas.openxmlformats.org/officeDocument/2006/relationships/hyperlink" Target="https://warthunder.com/en/news/7079-development-head-up-displays-hud-en" TargetMode="External"/><Relationship Id="rId951" Type="http://schemas.openxmlformats.org/officeDocument/2006/relationships/hyperlink" Target="https://warthunder.com/en/news/4037--en" TargetMode="External"/><Relationship Id="rId80" Type="http://schemas.openxmlformats.org/officeDocument/2006/relationships/hyperlink" Target="https://warthunder.com/en/news/6592-development-strv-m-40l-en" TargetMode="External"/><Relationship Id="rId176" Type="http://schemas.openxmlformats.org/officeDocument/2006/relationships/hyperlink" Target="https://warthunder.com/en/news/7994-development-amx-32-105-the-sidekick-en" TargetMode="External"/><Relationship Id="rId383" Type="http://schemas.openxmlformats.org/officeDocument/2006/relationships/hyperlink" Target="https://warthunder.com/en/news/9161-development-f-15e-the-strike-eagle-en" TargetMode="External"/><Relationship Id="rId590" Type="http://schemas.openxmlformats.org/officeDocument/2006/relationships/hyperlink" Target="https://warthunder.com/en/news/9287-development-hq17-rockets-in-the-night-sky-en" TargetMode="External"/><Relationship Id="rId604" Type="http://schemas.openxmlformats.org/officeDocument/2006/relationships/hyperlink" Target="https://warthunder.com/en/news/7398-development-new-guided-aircraft-bombs-en" TargetMode="External"/><Relationship Id="rId811" Type="http://schemas.openxmlformats.org/officeDocument/2006/relationships/hyperlink" Target="https://warthunder.com/en/news/9078-development-stormer-air-defence-aircraft-ablaze-en" TargetMode="External"/><Relationship Id="rId1027" Type="http://schemas.openxmlformats.org/officeDocument/2006/relationships/hyperlink" Target="https://warthunder.com/en/news/3756-development-b-29-superfortress-tu-4-the-new-face-of-the-giant-en" TargetMode="External"/><Relationship Id="rId243" Type="http://schemas.openxmlformats.org/officeDocument/2006/relationships/hyperlink" Target="https://warthunder.com/en/news/6834-development-zara-raising-the-bar-en" TargetMode="External"/><Relationship Id="rId450" Type="http://schemas.openxmlformats.org/officeDocument/2006/relationships/hyperlink" Target="https://warthunder.com/en/news/7304-development-perfect-interceptor-ja37c-jaktviggen-and-premium-j35a-draken-en" TargetMode="External"/><Relationship Id="rId688" Type="http://schemas.openxmlformats.org/officeDocument/2006/relationships/hyperlink" Target="https://warthunder.com/en/news/8935-development-pre-order-mig-21-bison-en" TargetMode="External"/><Relationship Id="rId895" Type="http://schemas.openxmlformats.org/officeDocument/2006/relationships/hyperlink" Target="https://warthunder.com/en/news/5768-development-i-225-high-flyer-en" TargetMode="External"/><Relationship Id="rId909" Type="http://schemas.openxmlformats.org/officeDocument/2006/relationships/hyperlink" Target="https://warthunder.com/en/news/8291-development-missile-science-new-physics-with-line-of-sight-guidance-missiles-en" TargetMode="External"/><Relationship Id="rId38" Type="http://schemas.openxmlformats.org/officeDocument/2006/relationships/hyperlink" Target="https://warthunder.com/en/news/5007-development-dewoitine-d-371-aerial-trickster-pre-order-available-en" TargetMode="External"/><Relationship Id="rId103" Type="http://schemas.openxmlformats.org/officeDocument/2006/relationships/hyperlink" Target="https://warthunder.com/en/devblog/current/786" TargetMode="External"/><Relationship Id="rId310" Type="http://schemas.openxmlformats.org/officeDocument/2006/relationships/hyperlink" Target="https://warthunder.com/en/news/5323-development-challenger-1-a-worthy-heir-en" TargetMode="External"/><Relationship Id="rId548" Type="http://schemas.openxmlformats.org/officeDocument/2006/relationships/hyperlink" Target="https://warthunder.com/en/news/8115-development-french-navy-destroyer-aigle-en" TargetMode="External"/><Relationship Id="rId755" Type="http://schemas.openxmlformats.org/officeDocument/2006/relationships/hyperlink" Target="https://warthunder.com/en/news/5546-fleet-development-z20-karl-galster-en" TargetMode="External"/><Relationship Id="rId962" Type="http://schemas.openxmlformats.org/officeDocument/2006/relationships/hyperlink" Target="https://warthunder.com/en/news/5953-development-video-italian-ground-vehicles-research-tree-en" TargetMode="External"/><Relationship Id="rId91" Type="http://schemas.openxmlformats.org/officeDocument/2006/relationships/hyperlink" Target="https://warthunder.com/en/news/5149-development-amx-13-ss-11-en" TargetMode="External"/><Relationship Id="rId187" Type="http://schemas.openxmlformats.org/officeDocument/2006/relationships/hyperlink" Target="https://warthunder.com/en/news/6909-development-new-skies-in-war-thunder-en" TargetMode="External"/><Relationship Id="rId394" Type="http://schemas.openxmlformats.org/officeDocument/2006/relationships/hyperlink" Target="https://warthunder.com/en/news/7833-development-skink-the-bird-eating-lizard-en" TargetMode="External"/><Relationship Id="rId408" Type="http://schemas.openxmlformats.org/officeDocument/2006/relationships/hyperlink" Target="https://warthunder.com/en/news/6186-development-amx-50-surblind%C3%A9-french-powerlifter-en" TargetMode="External"/><Relationship Id="rId615" Type="http://schemas.openxmlformats.org/officeDocument/2006/relationships/hyperlink" Target="https://warthunder.com/en/news/6198-development-super-amx-30-the-stabilizer-is-ready-to-go-en" TargetMode="External"/><Relationship Id="rId822" Type="http://schemas.openxmlformats.org/officeDocument/2006/relationships/hyperlink" Target="https://warthunder.com/en/news/7082-development-mars-15-light-cavalry-en" TargetMode="External"/><Relationship Id="rId1038" Type="http://schemas.openxmlformats.org/officeDocument/2006/relationships/hyperlink" Target="https://warthunder.com/en/devblog/current/705" TargetMode="External"/><Relationship Id="rId254" Type="http://schemas.openxmlformats.org/officeDocument/2006/relationships/hyperlink" Target="https://warthunder.com/en/news/5513-development-centurion-avre-engineer-at-war-en" TargetMode="External"/><Relationship Id="rId699" Type="http://schemas.openxmlformats.org/officeDocument/2006/relationships/hyperlink" Target="https://warthunder.com/en/news/7185-development-uss-wyoming-bb-32-high-calibre-romance-en" TargetMode="External"/><Relationship Id="rId49" Type="http://schemas.openxmlformats.org/officeDocument/2006/relationships/hyperlink" Target="https://warthunder.com/en/devblog/current/785" TargetMode="External"/><Relationship Id="rId114" Type="http://schemas.openxmlformats.org/officeDocument/2006/relationships/hyperlink" Target="https://warthunder.com/en/news/8905-development-option-for-smaller-team-sizes-in-air-realistic-battles-en" TargetMode="External"/><Relationship Id="rId461" Type="http://schemas.openxmlformats.org/officeDocument/2006/relationships/hyperlink" Target="https://warthunder.com/en/news/6188-development-akizuki-fire-for-effect-en" TargetMode="External"/><Relationship Id="rId559" Type="http://schemas.openxmlformats.org/officeDocument/2006/relationships/hyperlink" Target="https://warthunder.com/en/news/6848-development-peacock-corvette-coastal-show-off-en" TargetMode="External"/><Relationship Id="rId766" Type="http://schemas.openxmlformats.org/officeDocument/2006/relationships/hyperlink" Target="https://warthunder.com/en/news/3990--en" TargetMode="External"/><Relationship Id="rId198" Type="http://schemas.openxmlformats.org/officeDocument/2006/relationships/hyperlink" Target="https://warthunder.com/en/news/5714-development-tam-and-m247-sergeant-york-en" TargetMode="External"/><Relationship Id="rId321" Type="http://schemas.openxmlformats.org/officeDocument/2006/relationships/hyperlink" Target="https://warthunder.com/en/news/4051--en" TargetMode="External"/><Relationship Id="rId419" Type="http://schemas.openxmlformats.org/officeDocument/2006/relationships/hyperlink" Target="https://warthunder.com/en/news/4535-development-guiana-highlands-the-lost-world-en" TargetMode="External"/><Relationship Id="rId626" Type="http://schemas.openxmlformats.org/officeDocument/2006/relationships/hyperlink" Target="https://warthunder.com/en/news/4540-development-fv4005-big-box-surprise-en" TargetMode="External"/><Relationship Id="rId973" Type="http://schemas.openxmlformats.org/officeDocument/2006/relationships/hyperlink" Target="https://warthunder.com/en/news/8472-development-heinkel-he-115-c-1-the-flying-magician-en" TargetMode="External"/><Relationship Id="rId1049" Type="http://schemas.openxmlformats.org/officeDocument/2006/relationships/hyperlink" Target="https://warthunder.com/en/devblog/current/655" TargetMode="External"/><Relationship Id="rId833" Type="http://schemas.openxmlformats.org/officeDocument/2006/relationships/hyperlink" Target="https://warthunder.com/en/news/5361-development-martin-167-a3-american-mercenary-en" TargetMode="External"/><Relationship Id="rId265" Type="http://schemas.openxmlformats.org/officeDocument/2006/relationships/hyperlink" Target="https://warthunder.com/en/news/4078--en" TargetMode="External"/><Relationship Id="rId472" Type="http://schemas.openxmlformats.org/officeDocument/2006/relationships/hyperlink" Target="https://warthunder.com/en/news/4530-development-a-26b-50-the-king-of-attackers-en" TargetMode="External"/><Relationship Id="rId900" Type="http://schemas.openxmlformats.org/officeDocument/2006/relationships/hyperlink" Target="https://warthunder.com/en/news/4390-development-armoured-vehicles-of-japan-initial-research-tree-en" TargetMode="External"/><Relationship Id="rId125" Type="http://schemas.openxmlformats.org/officeDocument/2006/relationships/hyperlink" Target="https://warthunder.com/en/news/7572-development-albatros-sub-chaser-f-543-sea-shredder-en" TargetMode="External"/><Relationship Id="rId332" Type="http://schemas.openxmlformats.org/officeDocument/2006/relationships/hyperlink" Target="https://warthunder.com/en/news/9050-development-french-coastal-fleet-closed-testing-begins-soon-en" TargetMode="External"/><Relationship Id="rId777" Type="http://schemas.openxmlformats.org/officeDocument/2006/relationships/hyperlink" Target="https://warthunder.com/en/news/8271-development-j-8f-jet-fighter-and-future-plans-on-the-bvraams-en" TargetMode="External"/><Relationship Id="rId984" Type="http://schemas.openxmlformats.org/officeDocument/2006/relationships/hyperlink" Target="https://warthunder.com/en/news/3752-development-sturer-emil-en" TargetMode="External"/><Relationship Id="rId637" Type="http://schemas.openxmlformats.org/officeDocument/2006/relationships/hyperlink" Target="https://warthunder.com/en/news/3860--en" TargetMode="External"/><Relationship Id="rId844" Type="http://schemas.openxmlformats.org/officeDocument/2006/relationships/hyperlink" Target="https://warthunder.com/en/news/3864--en" TargetMode="External"/><Relationship Id="rId276" Type="http://schemas.openxmlformats.org/officeDocument/2006/relationships/hyperlink" Target="https://warthunder.com/en/news/9264-development-m44-big-bore-bulldog-en" TargetMode="External"/><Relationship Id="rId483" Type="http://schemas.openxmlformats.org/officeDocument/2006/relationships/hyperlink" Target="https://warthunder.com/en/news/3908--en" TargetMode="External"/><Relationship Id="rId690" Type="http://schemas.openxmlformats.org/officeDocument/2006/relationships/hyperlink" Target="https://warthunder.com/en/news/8652-development-su-27-feisty-flanker-en" TargetMode="External"/><Relationship Id="rId704" Type="http://schemas.openxmlformats.org/officeDocument/2006/relationships/hyperlink" Target="https://warthunder.com/en/news/6519-development-j32-lansen-flying-lance-en" TargetMode="External"/><Relationship Id="rId911" Type="http://schemas.openxmlformats.org/officeDocument/2006/relationships/hyperlink" Target="https://warthunder.com/en/news/7863-development-rooivalk-mk1f-csh-heavy-accent-en" TargetMode="External"/><Relationship Id="rId40" Type="http://schemas.openxmlformats.org/officeDocument/2006/relationships/hyperlink" Target="https://warthunder.com/en/news/4670-development-fiat-cr-32-the-spanish-cricket-en" TargetMode="External"/><Relationship Id="rId136" Type="http://schemas.openxmlformats.org/officeDocument/2006/relationships/hyperlink" Target="https://warthunder.com/en/news/6492-development-saab-b3c-bomber-to-start-from-en" TargetMode="External"/><Relationship Id="rId343" Type="http://schemas.openxmlformats.org/officeDocument/2006/relationships/hyperlink" Target="https://warthunder.com/en/news/7704-development-new-locations-abandoned-town-south-eastern-city-and-improved-sun-city-en" TargetMode="External"/><Relationship Id="rId550" Type="http://schemas.openxmlformats.org/officeDocument/2006/relationships/hyperlink" Target="https://warthunder.com/en/news/7933-development-2s38-fast-and-angry-en" TargetMode="External"/><Relationship Id="rId788" Type="http://schemas.openxmlformats.org/officeDocument/2006/relationships/hyperlink" Target="https://warthunder.com/en/news/6621-development-new-location-denmark-en" TargetMode="External"/><Relationship Id="rId995" Type="http://schemas.openxmlformats.org/officeDocument/2006/relationships/hyperlink" Target="https://warthunder.com/en/news/6095-development-type-1936a-mob-punching-above-its-weight-en" TargetMode="External"/><Relationship Id="rId203" Type="http://schemas.openxmlformats.org/officeDocument/2006/relationships/hyperlink" Target="https://warthunder.com/en/news/4921-development-explosive-reactive-and-composite-armour-en" TargetMode="External"/><Relationship Id="rId648" Type="http://schemas.openxmlformats.org/officeDocument/2006/relationships/hyperlink" Target="https://warthunder.com/en/news/8019-development-apex-predators-update-new-locations-en" TargetMode="External"/><Relationship Id="rId855" Type="http://schemas.openxmlformats.org/officeDocument/2006/relationships/hyperlink" Target="https://warthunder.com/en/news/7192-development-t-80bvm-era-of-improvements-en" TargetMode="External"/><Relationship Id="rId1040" Type="http://schemas.openxmlformats.org/officeDocument/2006/relationships/hyperlink" Target="https://warthunder.com/en/news/3926--en" TargetMode="External"/><Relationship Id="rId287" Type="http://schemas.openxmlformats.org/officeDocument/2006/relationships/hyperlink" Target="https://warthunder.com/en/news/7916-development-tcm-20-hail-of-bullets-en" TargetMode="External"/><Relationship Id="rId410" Type="http://schemas.openxmlformats.org/officeDocument/2006/relationships/hyperlink" Target="https://warthunder.com/en/news/5922-development-b1-centauro-the-wheeled-cheetah-en" TargetMode="External"/><Relationship Id="rId494" Type="http://schemas.openxmlformats.org/officeDocument/2006/relationships/hyperlink" Target="https://warthunder.com/en/news/8431-development-39-m-csaba-the-youngest-son-en" TargetMode="External"/><Relationship Id="rId508" Type="http://schemas.openxmlformats.org/officeDocument/2006/relationships/hyperlink" Target="https://warthunder.com/en/news/6690-development-italian-fleet-early-access-packs-en" TargetMode="External"/><Relationship Id="rId715" Type="http://schemas.openxmlformats.org/officeDocument/2006/relationships/hyperlink" Target="https://warthunder.com/en/news/4728-development-piaggio-p-108a-a-sailor-s-worst-nightmare-en" TargetMode="External"/><Relationship Id="rId922" Type="http://schemas.openxmlformats.org/officeDocument/2006/relationships/hyperlink" Target="https://warthunder.com/en/news/5373-development-re-2000-the-italian-falcon-en" TargetMode="External"/><Relationship Id="rId147" Type="http://schemas.openxmlformats.org/officeDocument/2006/relationships/hyperlink" Target="https://warthunder.com/en/news/5024-development-caudron-cr-714-racing-breed-en" TargetMode="External"/><Relationship Id="rId354" Type="http://schemas.openxmlformats.org/officeDocument/2006/relationships/hyperlink" Target="https://warthunder.com/en/news/6439-development-a129-mangusta-en" TargetMode="External"/><Relationship Id="rId799" Type="http://schemas.openxmlformats.org/officeDocument/2006/relationships/hyperlink" Target="https://warthunder.com/en/news/4558-development-new-co-op-missions-assault-en" TargetMode="External"/><Relationship Id="rId51" Type="http://schemas.openxmlformats.org/officeDocument/2006/relationships/hyperlink" Target="https://warthunder.com/en/news/3954--en" TargetMode="External"/><Relationship Id="rId561" Type="http://schemas.openxmlformats.org/officeDocument/2006/relationships/hyperlink" Target="https://warthunder.com/en/news/6608-development-new-location-sweden-en" TargetMode="External"/><Relationship Id="rId659" Type="http://schemas.openxmlformats.org/officeDocument/2006/relationships/hyperlink" Target="https://warthunder.com/en/news/6516-development-isuzu-hard-hitting-frigate-en" TargetMode="External"/><Relationship Id="rId866" Type="http://schemas.openxmlformats.org/officeDocument/2006/relationships/hyperlink" Target="https://warthunder.com/en/news/5365-development-kawasaki-ki-108-the-final-dragon-slayer-en" TargetMode="External"/><Relationship Id="rId214" Type="http://schemas.openxmlformats.org/officeDocument/2006/relationships/hyperlink" Target="https://warthunder.com/en/news/3979--en" TargetMode="External"/><Relationship Id="rId298" Type="http://schemas.openxmlformats.org/officeDocument/2006/relationships/hyperlink" Target="https://warthunder.com/en/news/6840-development-chi-ha-long-gun-the-last-chance-gun-en" TargetMode="External"/><Relationship Id="rId421" Type="http://schemas.openxmlformats.org/officeDocument/2006/relationships/hyperlink" Target="http://v/" TargetMode="External"/><Relationship Id="rId519" Type="http://schemas.openxmlformats.org/officeDocument/2006/relationships/hyperlink" Target="https://warthunder.com/en/news/5341-development-dagor-engine-5-0-new-landscape-creation-technology-en" TargetMode="External"/><Relationship Id="rId1051" Type="http://schemas.openxmlformats.org/officeDocument/2006/relationships/hyperlink" Target="https://warthunder.com/en/news/3883--en" TargetMode="External"/><Relationship Id="rId158" Type="http://schemas.openxmlformats.org/officeDocument/2006/relationships/hyperlink" Target="https://warthunder.com/en/devblog/current/787" TargetMode="External"/><Relationship Id="rId726" Type="http://schemas.openxmlformats.org/officeDocument/2006/relationships/hyperlink" Target="https://warthunder.com/en/news/4071--en" TargetMode="External"/><Relationship Id="rId933" Type="http://schemas.openxmlformats.org/officeDocument/2006/relationships/hyperlink" Target="https://warthunder.com/en/news/8466-development-updated-rwr-more-realism-and-features-en" TargetMode="External"/><Relationship Id="rId1009" Type="http://schemas.openxmlformats.org/officeDocument/2006/relationships/hyperlink" Target="https://warthunder.com/en/news/6638-development-ah-64-apache-the-rotary-chieftain-en" TargetMode="External"/><Relationship Id="rId62" Type="http://schemas.openxmlformats.org/officeDocument/2006/relationships/hyperlink" Target="https://warthunder.com/en/news/8521-development-pre-order-battleships-hms-iron-duke-and-ijn-yamashiro-en" TargetMode="External"/><Relationship Id="rId365" Type="http://schemas.openxmlformats.org/officeDocument/2006/relationships/hyperlink" Target="https://warthunder.com/en/news/4905-development-m50-ontos-something-out-of-the-ordinary-en" TargetMode="External"/><Relationship Id="rId572" Type="http://schemas.openxmlformats.org/officeDocument/2006/relationships/hyperlink" Target="https://warthunder.com/en/news/5194-development-gmc-cckw-353-a-deuce-and-a-half-and-a-gun-en" TargetMode="External"/><Relationship Id="rId225" Type="http://schemas.openxmlformats.org/officeDocument/2006/relationships/hyperlink" Target="https://warthunder.com/en/news/8767-development-the-hungarian-aircraft-line-is-coming-to-the-italian-tree-en" TargetMode="External"/><Relationship Id="rId432" Type="http://schemas.openxmlformats.org/officeDocument/2006/relationships/hyperlink" Target="https://warthunder.com/en/devblog/current/607" TargetMode="External"/><Relationship Id="rId877" Type="http://schemas.openxmlformats.org/officeDocument/2006/relationships/hyperlink" Target="https://warthunder.com/en/news/9195-development-firebirds-effects-improvements-to-aviation-en" TargetMode="External"/><Relationship Id="rId1062" Type="http://schemas.openxmlformats.org/officeDocument/2006/relationships/hyperlink" Target="https://warthunder.com/en/news/3893--en" TargetMode="External"/><Relationship Id="rId737" Type="http://schemas.openxmlformats.org/officeDocument/2006/relationships/hyperlink" Target="https://warthunder.com/en/news/8030-development-news-for-the-sea-en" TargetMode="External"/><Relationship Id="rId944" Type="http://schemas.openxmlformats.org/officeDocument/2006/relationships/hyperlink" Target="https://warthunder.com/en/news/5515-development-xm-1-c-and-xm-1-gm-ancestors-of-the-abrams-updated-en" TargetMode="External"/><Relationship Id="rId73" Type="http://schemas.openxmlformats.org/officeDocument/2006/relationships/hyperlink" Target="https://warthunder.com/en/news/7284-development-new-top-tier-ztz99-iii-and-pre-order-for-a-5c-en" TargetMode="External"/><Relationship Id="rId169" Type="http://schemas.openxmlformats.org/officeDocument/2006/relationships/hyperlink" Target="https://warthunder.com/en/news/8901-development-pre-order-leopard-2a4m-can-en" TargetMode="External"/><Relationship Id="rId376" Type="http://schemas.openxmlformats.org/officeDocument/2006/relationships/hyperlink" Target="https://warthunder.com/en/news/3982--en" TargetMode="External"/><Relationship Id="rId583" Type="http://schemas.openxmlformats.org/officeDocument/2006/relationships/hyperlink" Target="https://warthunder.com/en/news/4007--en" TargetMode="External"/><Relationship Id="rId790" Type="http://schemas.openxmlformats.org/officeDocument/2006/relationships/hyperlink" Target="https://warthunder.com/en/news/6353-development-new-war-thunder-nation-china-en" TargetMode="External"/><Relationship Id="rId804" Type="http://schemas.openxmlformats.org/officeDocument/2006/relationships/hyperlink" Target="https://warthunder.com/en/news/4063--en" TargetMode="External"/><Relationship Id="rId4" Type="http://schemas.openxmlformats.org/officeDocument/2006/relationships/hyperlink" Target="https://warthunder.com/en/news/9030-development-t1e1-90-mm-up-the-ante-en" TargetMode="External"/><Relationship Id="rId236" Type="http://schemas.openxmlformats.org/officeDocument/2006/relationships/hyperlink" Target="https://warthunder.com/en/news/7446-development-israeli-aviation-beta-testing-begins-in-the-upcoming-update-en" TargetMode="External"/><Relationship Id="rId443" Type="http://schemas.openxmlformats.org/officeDocument/2006/relationships/hyperlink" Target="https://warthunder.com/en/news/8110-development-uss-nevada-bb-36-cutting-the-edge-en" TargetMode="External"/><Relationship Id="rId650" Type="http://schemas.openxmlformats.org/officeDocument/2006/relationships/hyperlink" Target="https://warthunder.com/en/news/7722-development-ztz99a-roaring-tiger-en" TargetMode="External"/><Relationship Id="rId888" Type="http://schemas.openxmlformats.org/officeDocument/2006/relationships/hyperlink" Target="https://warthunder.com/en/news/6934-development-m1128-stryker-mgs-en" TargetMode="External"/><Relationship Id="rId303" Type="http://schemas.openxmlformats.org/officeDocument/2006/relationships/hyperlink" Target="https://warthunder.com/en/news/6332-development-object-685-return-of-the-river-mosquito-en" TargetMode="External"/><Relationship Id="rId748" Type="http://schemas.openxmlformats.org/officeDocument/2006/relationships/hyperlink" Target="https://warthunder.com/en/news/6520-development-new-location-south-kvarken-en" TargetMode="External"/><Relationship Id="rId955" Type="http://schemas.openxmlformats.org/officeDocument/2006/relationships/hyperlink" Target="https://warthunder.com/en/news/8469-development-leclerc-azur-action-in-urban-areas-en" TargetMode="External"/><Relationship Id="rId84" Type="http://schemas.openxmlformats.org/officeDocument/2006/relationships/hyperlink" Target="https://warthunder.com/en/news/6168-development-no-4-type-ch-8-bomb-truck-en" TargetMode="External"/><Relationship Id="rId387" Type="http://schemas.openxmlformats.org/officeDocument/2006/relationships/hyperlink" Target="https://warthunder.com/en/news/8630-development-m1a2-sep-v2-tusk-ii-american-cataphract-en" TargetMode="External"/><Relationship Id="rId510" Type="http://schemas.openxmlformats.org/officeDocument/2006/relationships/hyperlink" Target="https://warthunder.com/en/news/6504-development-admiral-graf-spee-outgunning-the-opposition-en" TargetMode="External"/><Relationship Id="rId594" Type="http://schemas.openxmlformats.org/officeDocument/2006/relationships/hyperlink" Target="https://warthunder.com/en/news/8782-development-north-holland-a-new-location-for-ground-battles-en" TargetMode="External"/><Relationship Id="rId608" Type="http://schemas.openxmlformats.org/officeDocument/2006/relationships/hyperlink" Target="https://warthunder.com/en/news/6918-development-jump-jets-arrive-in-war-thunder-meet-the-harrier-en" TargetMode="External"/><Relationship Id="rId815" Type="http://schemas.openxmlformats.org/officeDocument/2006/relationships/hyperlink" Target="https://warthunder.com/en/news/8276-development-su-25t-and-the-pre-order-of-the-su-39-sergey-strikes-back-en" TargetMode="External"/><Relationship Id="rId247" Type="http://schemas.openxmlformats.org/officeDocument/2006/relationships/hyperlink" Target="https://warthunder.com/en/news/6436-development-mi-28n-incoming-havoc-en" TargetMode="External"/><Relationship Id="rId899" Type="http://schemas.openxmlformats.org/officeDocument/2006/relationships/hyperlink" Target="https://warthunder.com/en/news/4577-development-exhaust-flames-en" TargetMode="External"/><Relationship Id="rId1000" Type="http://schemas.openxmlformats.org/officeDocument/2006/relationships/hyperlink" Target="https://warthunder.com/en/news/3753-development-n1k1-ja-violet-lightning-en" TargetMode="External"/><Relationship Id="rId107" Type="http://schemas.openxmlformats.org/officeDocument/2006/relationships/hyperlink" Target="https://warthunder.com/en/news/3847--en" TargetMode="External"/><Relationship Id="rId454" Type="http://schemas.openxmlformats.org/officeDocument/2006/relationships/hyperlink" Target="https://warthunder.com/en/news/6915-development-fleet-research-changes-and-the-first-battleships-en" TargetMode="External"/><Relationship Id="rId661" Type="http://schemas.openxmlformats.org/officeDocument/2006/relationships/hyperlink" Target="https://warthunder.com/en/news/6348-development-new-locations-in-the-update-1-91-en" TargetMode="External"/><Relationship Id="rId759" Type="http://schemas.openxmlformats.org/officeDocument/2006/relationships/hyperlink" Target="https://warthunder.com/en/news/4556-development-gun-stabilizer-en" TargetMode="External"/><Relationship Id="rId966" Type="http://schemas.openxmlformats.org/officeDocument/2006/relationships/hyperlink" Target="https://warthunder.com/en/news/4396-development-type-74-the-height-of-technology-en" TargetMode="External"/><Relationship Id="rId11" Type="http://schemas.openxmlformats.org/officeDocument/2006/relationships/hyperlink" Target="https://warthunder.com/en/news/8085-development-sd-kfz-222-a-little-tank-en" TargetMode="External"/><Relationship Id="rId314" Type="http://schemas.openxmlformats.org/officeDocument/2006/relationships/hyperlink" Target="https://warthunder.com/en/news/4704-development-fiat-g-91-pre-series-italian-comet-en" TargetMode="External"/><Relationship Id="rId398" Type="http://schemas.openxmlformats.org/officeDocument/2006/relationships/hyperlink" Target="https://warthunder.com/en/news/7177-development-the-mig-23m-and-rank-vii-for-aviation-en" TargetMode="External"/><Relationship Id="rId521" Type="http://schemas.openxmlformats.org/officeDocument/2006/relationships/hyperlink" Target="https://warthunder.com/en/news/5095-development-nc-223-3-let-nobody-leave-unsatisfied-en" TargetMode="External"/><Relationship Id="rId619" Type="http://schemas.openxmlformats.org/officeDocument/2006/relationships/hyperlink" Target="https://warthunder.com/en/news/5746-fleet-development-locations-for-naval-battles-mediterranean-port-and-green-mountains-gulf-en" TargetMode="External"/><Relationship Id="rId95" Type="http://schemas.openxmlformats.org/officeDocument/2006/relationships/hyperlink" Target="https://warthunder.com/en/news/4507-development-spitfire-mk-iib-an-old-friend-en" TargetMode="External"/><Relationship Id="rId160" Type="http://schemas.openxmlformats.org/officeDocument/2006/relationships/hyperlink" Target="https://warthunder.com/en/news/3952--en" TargetMode="External"/><Relationship Id="rId826" Type="http://schemas.openxmlformats.org/officeDocument/2006/relationships/hyperlink" Target="https://warthunder.com/en/news/6523-development-better-graphics-for-the-northern-wind-update-en" TargetMode="External"/><Relationship Id="rId1011" Type="http://schemas.openxmlformats.org/officeDocument/2006/relationships/hyperlink" Target="https://warthunder.com/en/news/6098-development-leopard-2a5-this-time-we-are-dead-serious-en" TargetMode="External"/><Relationship Id="rId258" Type="http://schemas.openxmlformats.org/officeDocument/2006/relationships/hyperlink" Target="https://warthunder.com/en/news/4923-development-kpz-70-mbt-70-a-warrior-of-two-armies-en" TargetMode="External"/><Relationship Id="rId465" Type="http://schemas.openxmlformats.org/officeDocument/2006/relationships/hyperlink" Target="https://warthunder.com/en/news/5732-development-vietnam-location-air-en" TargetMode="External"/><Relationship Id="rId672" Type="http://schemas.openxmlformats.org/officeDocument/2006/relationships/hyperlink" Target="https://warthunder.com/en/news/4723-development-pb4y-2-privateer-pirate-of-the-skies-en" TargetMode="External"/><Relationship Id="rId22" Type="http://schemas.openxmlformats.org/officeDocument/2006/relationships/hyperlink" Target="https://warthunder.com/en/news/6973-development-a-7d-corsair-ii-bulk-delivery-en" TargetMode="External"/><Relationship Id="rId118" Type="http://schemas.openxmlformats.org/officeDocument/2006/relationships/hyperlink" Target="https://warthunder.com/en/news/8416-development-pvkv-iv-the-last-effort-en" TargetMode="External"/><Relationship Id="rId325" Type="http://schemas.openxmlformats.org/officeDocument/2006/relationships/hyperlink" Target="https://warthunder.com/en/news/3949--en" TargetMode="External"/><Relationship Id="rId532" Type="http://schemas.openxmlformats.org/officeDocument/2006/relationships/hyperlink" Target="https://warthunder.com/en/news/4006--en" TargetMode="External"/><Relationship Id="rId977" Type="http://schemas.openxmlformats.org/officeDocument/2006/relationships/hyperlink" Target="https://warthunder.com/en/news/6372-development-new-soundscape-tools-in-war-thunder-en" TargetMode="External"/><Relationship Id="rId171" Type="http://schemas.openxmlformats.org/officeDocument/2006/relationships/hyperlink" Target="https://warthunder.com/en/news/8619-development-new-location-volcano-valley-for-aircraft-en" TargetMode="External"/><Relationship Id="rId837" Type="http://schemas.openxmlformats.org/officeDocument/2006/relationships/hyperlink" Target="https://warthunder.com/en/news/4263-development-texture-streaming-in-war-thunder-on-all-platforms-en" TargetMode="External"/><Relationship Id="rId1022" Type="http://schemas.openxmlformats.org/officeDocument/2006/relationships/hyperlink" Target="https://warthunder.com/en/news/3757-development-crew-trauma-packs-en" TargetMode="External"/><Relationship Id="rId269" Type="http://schemas.openxmlformats.org/officeDocument/2006/relationships/hyperlink" Target="https://warthunder.com/en/news/3980--en" TargetMode="External"/><Relationship Id="rId476" Type="http://schemas.openxmlformats.org/officeDocument/2006/relationships/hyperlink" Target="https://warthunder.com/en/news/3729-development-cockpit-for-p-61-bf-109b-1-en" TargetMode="External"/><Relationship Id="rId683" Type="http://schemas.openxmlformats.org/officeDocument/2006/relationships/hyperlink" Target="https://warthunder.com/en/news/3911--en" TargetMode="External"/><Relationship Id="rId890" Type="http://schemas.openxmlformats.org/officeDocument/2006/relationships/hyperlink" Target="https://warthunder.com/en/news/6626-development-hms-london-anticipated-calibre-en" TargetMode="External"/><Relationship Id="rId904" Type="http://schemas.openxmlformats.org/officeDocument/2006/relationships/hyperlink" Target="https://warthunder.com/en/news/4072--en" TargetMode="External"/><Relationship Id="rId33" Type="http://schemas.openxmlformats.org/officeDocument/2006/relationships/hyperlink" Target="https://warthunder.com/en/news/5810-fleet-news-what-awaits-us-in-update-1-83-masters-of-the-sea-en" TargetMode="External"/><Relationship Id="rId129" Type="http://schemas.openxmlformats.org/officeDocument/2006/relationships/hyperlink" Target="https://warthunder.com/en/news/7162-development-su-7bmk-from-russia-with-love-en" TargetMode="External"/><Relationship Id="rId336" Type="http://schemas.openxmlformats.org/officeDocument/2006/relationships/hyperlink" Target="https://warthunder.com/en/news/8539-development-optical-contrast-mode-en" TargetMode="External"/><Relationship Id="rId543" Type="http://schemas.openxmlformats.org/officeDocument/2006/relationships/hyperlink" Target="https://warthunder.com/en/news/8781-development-sensor-vision-rendering-and-new-replay-capabilities-en" TargetMode="External"/><Relationship Id="rId988" Type="http://schemas.openxmlformats.org/officeDocument/2006/relationships/hyperlink" Target="https://warthunder.com/en/news/3870--en" TargetMode="External"/><Relationship Id="rId182" Type="http://schemas.openxmlformats.org/officeDocument/2006/relationships/hyperlink" Target="https://warthunder.com/en/news/7371-development-vcc-80-30-dardo-s-elder-brother-en" TargetMode="External"/><Relationship Id="rId403" Type="http://schemas.openxmlformats.org/officeDocument/2006/relationships/hyperlink" Target="https://warthunder.com/en/news/6721-development-new-location-campania-re-visited-italy-en" TargetMode="External"/><Relationship Id="rId750" Type="http://schemas.openxmlformats.org/officeDocument/2006/relationships/hyperlink" Target="https://warthunder.com/en/news/6352-development-f-4c-phantom-ii-the-record-breaker-en" TargetMode="External"/><Relationship Id="rId848" Type="http://schemas.openxmlformats.org/officeDocument/2006/relationships/hyperlink" Target="https://warthunder.com/en/news/8811-development-ah-1w-super-cobra-the-venomous-marine-en" TargetMode="External"/><Relationship Id="rId1033" Type="http://schemas.openxmlformats.org/officeDocument/2006/relationships/hyperlink" Target="https://warthunder.com/en/news/3922--en" TargetMode="External"/><Relationship Id="rId487" Type="http://schemas.openxmlformats.org/officeDocument/2006/relationships/hyperlink" Target="https://warthunder.com/en/news/9278-development-introducing-the-tiger-and-ostwind-pack-en" TargetMode="External"/><Relationship Id="rId610" Type="http://schemas.openxmlformats.org/officeDocument/2006/relationships/hyperlink" Target="https://warthunder.com/en/news/6730-development-scimitar-f-1-the-twin-engine-beast-en" TargetMode="External"/><Relationship Id="rId694" Type="http://schemas.openxmlformats.org/officeDocument/2006/relationships/hyperlink" Target="https://warthunder.com/en/news/8020-development-duca-degli-abruzzi-ultimate-freelancer-en" TargetMode="External"/><Relationship Id="rId708" Type="http://schemas.openxmlformats.org/officeDocument/2006/relationships/hyperlink" Target="https://warthunder.com/en/news/6070-development-2s6-tunguska-better-together-en" TargetMode="External"/><Relationship Id="rId915" Type="http://schemas.openxmlformats.org/officeDocument/2006/relationships/hyperlink" Target="https://warthunder.com/en/news/6630-development-ztz96a-can-take-a-punch-en" TargetMode="External"/><Relationship Id="rId347" Type="http://schemas.openxmlformats.org/officeDocument/2006/relationships/hyperlink" Target="https://warthunder.com/en/news/7059-development-ratel-zt3-a2-the-sharpshooting-honey-badger-en" TargetMode="External"/><Relationship Id="rId999" Type="http://schemas.openxmlformats.org/officeDocument/2006/relationships/hyperlink" Target="https://warthunder.com/en/news/4405-development-la-11-the-last-of-its-kind-en" TargetMode="External"/><Relationship Id="rId44" Type="http://schemas.openxmlformats.org/officeDocument/2006/relationships/hyperlink" Target="https://warthunder.com/en/news/3803-development-spitfire-f-mk-ix-en" TargetMode="External"/><Relationship Id="rId554" Type="http://schemas.openxmlformats.org/officeDocument/2006/relationships/hyperlink" Target="https://warthunder.com/en/news/7309-development-avro-shackleton-mr-mk-2-the-flight-of-a-thousand-rivets-en" TargetMode="External"/><Relationship Id="rId761" Type="http://schemas.openxmlformats.org/officeDocument/2006/relationships/hyperlink" Target="https://warthunder.com/en/news/4257-development-hudson-mk-v-a-twin-engined-rascal-en" TargetMode="External"/><Relationship Id="rId859" Type="http://schemas.openxmlformats.org/officeDocument/2006/relationships/hyperlink" Target="https://warthunder.com/en/news/6623-development-saab-j35d-draken-the-supersonic-kite-en" TargetMode="External"/><Relationship Id="rId193" Type="http://schemas.openxmlformats.org/officeDocument/2006/relationships/hyperlink" Target="https://warthunder.com/en/news/6330-development-map-rotation-filter-en" TargetMode="External"/><Relationship Id="rId207" Type="http://schemas.openxmlformats.org/officeDocument/2006/relationships/hyperlink" Target="https://warthunder.com/en/news/4227-development-fv-438-swingfire-surprise-package-en" TargetMode="External"/><Relationship Id="rId414" Type="http://schemas.openxmlformats.org/officeDocument/2006/relationships/hyperlink" Target="https://warthunder.com/en/news/5329-development-magach-3-chariot-of-war-en" TargetMode="External"/><Relationship Id="rId498" Type="http://schemas.openxmlformats.org/officeDocument/2006/relationships/hyperlink" Target="https://warthunder.com/en/news/7931-development-bt-42-from-tank-to-tankhunter-en" TargetMode="External"/><Relationship Id="rId621" Type="http://schemas.openxmlformats.org/officeDocument/2006/relationships/hyperlink" Target="https://warthunder.com/en/news/5349-development-amx-30b2-brenus-modern-ironclad-en" TargetMode="External"/><Relationship Id="rId1044" Type="http://schemas.openxmlformats.org/officeDocument/2006/relationships/hyperlink" Target="https://warthunder.com/en/news/3929--en" TargetMode="External"/><Relationship Id="rId260" Type="http://schemas.openxmlformats.org/officeDocument/2006/relationships/hyperlink" Target="https://warthunder.com/en/news/4518-development-b-10b-the-racing-bomber-en" TargetMode="External"/><Relationship Id="rId719" Type="http://schemas.openxmlformats.org/officeDocument/2006/relationships/hyperlink" Target="https://warthunder.com/en/news/3738-development-cromwell-v-rp3-en" TargetMode="External"/><Relationship Id="rId926" Type="http://schemas.openxmlformats.org/officeDocument/2006/relationships/hyperlink" Target="https://warthunder.com/en/news/3746-development-he-219-the-night-hunter-en" TargetMode="External"/><Relationship Id="rId55" Type="http://schemas.openxmlformats.org/officeDocument/2006/relationships/hyperlink" Target="https://warthunder.com/en/news/3817--en" TargetMode="External"/><Relationship Id="rId120" Type="http://schemas.openxmlformats.org/officeDocument/2006/relationships/hyperlink" Target="https://warthunder.com/en/news/8092-development-zts63-1980-nimble-sniper-en" TargetMode="External"/><Relationship Id="rId358" Type="http://schemas.openxmlformats.org/officeDocument/2006/relationships/hyperlink" Target="https://warthunder.com/en/news/5919-development-m3-bradley-the-modern-workhorse-en" TargetMode="External"/><Relationship Id="rId565" Type="http://schemas.openxmlformats.org/officeDocument/2006/relationships/hyperlink" Target="https://warthunder.com/en/news/6194-development-furutaka-readied-for-war-en" TargetMode="External"/><Relationship Id="rId772" Type="http://schemas.openxmlformats.org/officeDocument/2006/relationships/hyperlink" Target="https://warthunder.com/en/news/9071-development-antelope-sky-sword-en" TargetMode="External"/><Relationship Id="rId218" Type="http://schemas.openxmlformats.org/officeDocument/2006/relationships/hyperlink" Target="https://warthunder.com/en/news/3833--en" TargetMode="External"/><Relationship Id="rId425" Type="http://schemas.openxmlformats.org/officeDocument/2006/relationships/hyperlink" Target="https://warthunder.com/en/news/4053--en" TargetMode="External"/><Relationship Id="rId632" Type="http://schemas.openxmlformats.org/officeDocument/2006/relationships/hyperlink" Target="https://warthunder.com/en/news/4027--en" TargetMode="External"/><Relationship Id="rId1055" Type="http://schemas.openxmlformats.org/officeDocument/2006/relationships/hyperlink" Target="https://warthunder.com/en/news/3885--en" TargetMode="External"/><Relationship Id="rId271" Type="http://schemas.openxmlformats.org/officeDocument/2006/relationships/hyperlink" Target="https://warthunder.com/en/news/3947--en" TargetMode="External"/><Relationship Id="rId937" Type="http://schemas.openxmlformats.org/officeDocument/2006/relationships/hyperlink" Target="https://warthunder.com/en/news/6939-development-celere-sahariano-the-desert-cheetah-en" TargetMode="External"/><Relationship Id="rId66" Type="http://schemas.openxmlformats.org/officeDocument/2006/relationships/hyperlink" Target="https://warthunder.com/en/news/7984-development-aircraft-rank-viii-announce-and-pre-order-of-the-a-6e-tram-intruder-en" TargetMode="External"/><Relationship Id="rId131" Type="http://schemas.openxmlformats.org/officeDocument/2006/relationships/hyperlink" Target="https://warthunder.com/en/news/6974-development-heroes-of-jutland-hms-invincible-en" TargetMode="External"/><Relationship Id="rId369" Type="http://schemas.openxmlformats.org/officeDocument/2006/relationships/hyperlink" Target="https://warthunder.com/en/news/4240-development-location-greece-en" TargetMode="External"/><Relationship Id="rId576" Type="http://schemas.openxmlformats.org/officeDocument/2006/relationships/hyperlink" Target="https://warthunder.com/en/news/4542-development-ju-87-stuka-new-models-en" TargetMode="External"/><Relationship Id="rId783" Type="http://schemas.openxmlformats.org/officeDocument/2006/relationships/hyperlink" Target="https://warthunder.com/en/news/7323-development-updated-models-for-flying-fortresses-en" TargetMode="External"/><Relationship Id="rId990" Type="http://schemas.openxmlformats.org/officeDocument/2006/relationships/hyperlink" Target="https://warthunder.com/en/news/8479-development-barak-ii-lightning-over-the-desert-en" TargetMode="External"/><Relationship Id="rId229" Type="http://schemas.openxmlformats.org/officeDocument/2006/relationships/hyperlink" Target="https://warthunder.com/en/news/8233-development-pr-56k-braviy-destroyer-the-missile-apprentice-en" TargetMode="External"/><Relationship Id="rId436" Type="http://schemas.openxmlformats.org/officeDocument/2006/relationships/hyperlink" Target="https://warthunder.com/en/news/9054-development-f-111c-f-when-pigs-fly-en" TargetMode="External"/><Relationship Id="rId643" Type="http://schemas.openxmlformats.org/officeDocument/2006/relationships/hyperlink" Target="https://warthunder.com/en/news/8785-development-bf-109-c-1-the-caesar-variant-en" TargetMode="External"/><Relationship Id="rId1066" Type="http://schemas.openxmlformats.org/officeDocument/2006/relationships/hyperlink" Target="https://warthunder.com/en/news/3899--en" TargetMode="External"/><Relationship Id="rId850" Type="http://schemas.openxmlformats.org/officeDocument/2006/relationships/hyperlink" Target="https://warthunder.com/en/news/8284-development-pz-kpfw-38-t-n-a-the-new-type-en" TargetMode="External"/><Relationship Id="rId948" Type="http://schemas.openxmlformats.org/officeDocument/2006/relationships/hyperlink" Target="https://warthunder.com/en/news/4398-development-new-location-38th-parallel-en" TargetMode="External"/><Relationship Id="rId77" Type="http://schemas.openxmlformats.org/officeDocument/2006/relationships/hyperlink" Target="https://warthunder.com/en/news/6900-development-vfm-5-private-venture-en" TargetMode="External"/><Relationship Id="rId282" Type="http://schemas.openxmlformats.org/officeDocument/2006/relationships/hyperlink" Target="https://warthunder.com/en/news/8538-development-flanders-a-new-ground-location-with-a-new-format-en" TargetMode="External"/><Relationship Id="rId503" Type="http://schemas.openxmlformats.org/officeDocument/2006/relationships/hyperlink" Target="https://warthunder.com/en/news/7179-development-location-red-desert-en" TargetMode="External"/><Relationship Id="rId587" Type="http://schemas.openxmlformats.org/officeDocument/2006/relationships/hyperlink" Target="https://warthunder.com/en/news/3858--en" TargetMode="External"/><Relationship Id="rId710" Type="http://schemas.openxmlformats.org/officeDocument/2006/relationships/hyperlink" Target="https://warthunder.com/en/news/5750-development-bmp-2-experienced-support-en" TargetMode="External"/><Relationship Id="rId808" Type="http://schemas.openxmlformats.org/officeDocument/2006/relationships/hyperlink" Target="https://warthunder.com/en/news/3912--en" TargetMode="External"/><Relationship Id="rId8" Type="http://schemas.openxmlformats.org/officeDocument/2006/relationships/hyperlink" Target="https://warthunder.com/en/news/8515-development-vickers-mk11-the-wheeled-behemoth-en" TargetMode="External"/><Relationship Id="rId142" Type="http://schemas.openxmlformats.org/officeDocument/2006/relationships/hyperlink" Target="https://warthunder.com/en/news/5817-fleet-development-sgb-304-grey-fox-old-technology-new-era-en" TargetMode="External"/><Relationship Id="rId447" Type="http://schemas.openxmlformats.org/officeDocument/2006/relationships/hyperlink" Target="https://warthunder.com/en/news/7705-development-f-14a-tomcat-into-the-danger-zone-en" TargetMode="External"/><Relationship Id="rId794" Type="http://schemas.openxmlformats.org/officeDocument/2006/relationships/hyperlink" Target="https://warthunder.com/en/news/5756-development-ah-1z-viper-a-lasting-legacy-en" TargetMode="External"/><Relationship Id="rId654" Type="http://schemas.openxmlformats.org/officeDocument/2006/relationships/hyperlink" Target="https://warthunder.com/en/news/7056-development-su-17m2-the-first-swing-wing-aircraft-in-war-thunder-en" TargetMode="External"/><Relationship Id="rId861" Type="http://schemas.openxmlformats.org/officeDocument/2006/relationships/hyperlink" Target="https://warthunder.com/en/news/6211-development-new-locations-in-update-1-89-smolensk-and-volcanic-island-en" TargetMode="External"/><Relationship Id="rId959" Type="http://schemas.openxmlformats.org/officeDocument/2006/relationships/hyperlink" Target="https://warthunder.com/en/news/6633-development-swedish-ground-vehicles-pvrbv-551-en" TargetMode="External"/><Relationship Id="rId293" Type="http://schemas.openxmlformats.org/officeDocument/2006/relationships/hyperlink" Target="https://warthunder.com/en/news/7295-development-2s25-sprut-sd-anti-tank-paratrooper-en" TargetMode="External"/><Relationship Id="rId307" Type="http://schemas.openxmlformats.org/officeDocument/2006/relationships/hyperlink" Target="https://warthunder.com/en/news/5808-development-sa-313b-the-first-skylark-en" TargetMode="External"/><Relationship Id="rId514" Type="http://schemas.openxmlformats.org/officeDocument/2006/relationships/hyperlink" Target="https://warthunder.com/en/news/6057-development-sa-341f-sa-342m-gazelle-light-hunter-en" TargetMode="External"/><Relationship Id="rId721" Type="http://schemas.openxmlformats.org/officeDocument/2006/relationships/hyperlink" Target="https://warthunder.com/en/news/4060--en" TargetMode="External"/><Relationship Id="rId88" Type="http://schemas.openxmlformats.org/officeDocument/2006/relationships/hyperlink" Target="https://warthunder.com/en/news/5708-development-uh-1-and-mi-4-early-birds-en" TargetMode="External"/><Relationship Id="rId153" Type="http://schemas.openxmlformats.org/officeDocument/2006/relationships/hyperlink" Target="https://warthunder.com/en/news/4149-development-sturmpanzer-iv-brummb%C3%A4r-the-high-calibre-grouch-en" TargetMode="External"/><Relationship Id="rId360" Type="http://schemas.openxmlformats.org/officeDocument/2006/relationships/hyperlink" Target="https://warthunder.com/en/news/5727-development-american-desert-location-en" TargetMode="External"/><Relationship Id="rId598" Type="http://schemas.openxmlformats.org/officeDocument/2006/relationships/hyperlink" Target="https://warthunder.com/en/news/8253-development-retarded-bombs-en" TargetMode="External"/><Relationship Id="rId819" Type="http://schemas.openxmlformats.org/officeDocument/2006/relationships/hyperlink" Target="https://warthunder.com/en/news/7734-development-helicopters-of-china-z-19e-en" TargetMode="External"/><Relationship Id="rId1004" Type="http://schemas.openxmlformats.org/officeDocument/2006/relationships/hyperlink" Target="https://warthunder.com/en/news/3871--en" TargetMode="External"/><Relationship Id="rId220" Type="http://schemas.openxmlformats.org/officeDocument/2006/relationships/hyperlink" Target="https://old-forum.warthunder.com/index.php?/topic/73926-a6m5-otsu/" TargetMode="External"/><Relationship Id="rId458" Type="http://schemas.openxmlformats.org/officeDocument/2006/relationships/hyperlink" Target="https://warthunder.com/en/news/6505-development-strv-103-0-last-man-standing-en" TargetMode="External"/><Relationship Id="rId665" Type="http://schemas.openxmlformats.org/officeDocument/2006/relationships/hyperlink" Target="https://warthunder.com/en/news/5844-development-explosive-reactive-armor-for-the-t-80b-en" TargetMode="External"/><Relationship Id="rId872" Type="http://schemas.openxmlformats.org/officeDocument/2006/relationships/hyperlink" Target="https://warthunder.com/en/news/4033--en" TargetMode="External"/><Relationship Id="rId15" Type="http://schemas.openxmlformats.org/officeDocument/2006/relationships/hyperlink" Target="https://warthunder.com/en/news/7684-development-vcac-mephisto-hell-hath-no-limits-en" TargetMode="External"/><Relationship Id="rId318" Type="http://schemas.openxmlformats.org/officeDocument/2006/relationships/hyperlink" Target="https://warthunder.com/en/news/4160-development-t-62-in-keeping-with-tradition-en" TargetMode="External"/><Relationship Id="rId525" Type="http://schemas.openxmlformats.org/officeDocument/2006/relationships/hyperlink" Target="https://warthunder.com/en/news/4361-development-type-3-ho-ni-iii-the-japanese-marder-en" TargetMode="External"/><Relationship Id="rId732" Type="http://schemas.openxmlformats.org/officeDocument/2006/relationships/hyperlink" Target="https://warthunder.com/en/news/8790-development-alpha-jet-a-e-alpha-strike-en" TargetMode="External"/><Relationship Id="rId99" Type="http://schemas.openxmlformats.org/officeDocument/2006/relationships/hyperlink" Target="https://warthunder.com/en/news/4105--en" TargetMode="External"/><Relationship Id="rId164" Type="http://schemas.openxmlformats.org/officeDocument/2006/relationships/hyperlink" Target="https://warthunder.com/en/devblog/current/586" TargetMode="External"/><Relationship Id="rId371" Type="http://schemas.openxmlformats.org/officeDocument/2006/relationships/hyperlink" Target="https://warthunder.com/en/news/3724-development-asu-57-air-delivery-en" TargetMode="External"/><Relationship Id="rId1015" Type="http://schemas.openxmlformats.org/officeDocument/2006/relationships/hyperlink" Target="https://warthunder.com/en/news/3755-development-lvt-a-1-en" TargetMode="External"/><Relationship Id="rId469" Type="http://schemas.openxmlformats.org/officeDocument/2006/relationships/hyperlink" Target="https://warthunder.com/en/news/5091-development-dewoitine-d-501-lost-but-not-forgotten-en" TargetMode="External"/><Relationship Id="rId676" Type="http://schemas.openxmlformats.org/officeDocument/2006/relationships/hyperlink" Target="https://warthunder.com/en/news/3735-development-westland-wyvern-the-turboprop-dragon-en" TargetMode="External"/><Relationship Id="rId883" Type="http://schemas.openxmlformats.org/officeDocument/2006/relationships/hyperlink" Target="https://warthunder.com/en/news/7860-development-location-golden-bay-en" TargetMode="External"/><Relationship Id="rId26" Type="http://schemas.openxmlformats.org/officeDocument/2006/relationships/hyperlink" Target="https://warthunder.com/en/news/6589-development-stridsvagn-m-31-en" TargetMode="External"/><Relationship Id="rId231" Type="http://schemas.openxmlformats.org/officeDocument/2006/relationships/hyperlink" Target="https://warthunder.com/en/news/7997-development-sub-i-ii-speed-and-bite-en" TargetMode="External"/><Relationship Id="rId329" Type="http://schemas.openxmlformats.org/officeDocument/2006/relationships/hyperlink" Target="https://old-forum.warthunder.com/index.php?/topic/73940-la-9/" TargetMode="External"/><Relationship Id="rId536" Type="http://schemas.openxmlformats.org/officeDocument/2006/relationships/hyperlink" Target="https://warthunder.com/en/news/3857--en" TargetMode="External"/><Relationship Id="rId175" Type="http://schemas.openxmlformats.org/officeDocument/2006/relationships/hyperlink" Target="https://warthunder.com/en/news/8096-development-ijn-nenohi-lightweight-battler-en" TargetMode="External"/><Relationship Id="rId743" Type="http://schemas.openxmlformats.org/officeDocument/2006/relationships/hyperlink" Target="https://warthunder.com/en/news/7190-development-location-drowned-city-en" TargetMode="External"/><Relationship Id="rId950" Type="http://schemas.openxmlformats.org/officeDocument/2006/relationships/hyperlink" Target="https://warthunder.com/en/news/4095--en" TargetMode="External"/><Relationship Id="rId1026" Type="http://schemas.openxmlformats.org/officeDocument/2006/relationships/hyperlink" Target="https://warthunder.com/en/news/4433-development-type-60-sprr-en" TargetMode="External"/><Relationship Id="rId382" Type="http://schemas.openxmlformats.org/officeDocument/2006/relationships/hyperlink" Target="https://warthunder.com/en/news/9269-development-dassault-rafale-c-f3-le-rafale-en" TargetMode="External"/><Relationship Id="rId603" Type="http://schemas.openxmlformats.org/officeDocument/2006/relationships/hyperlink" Target="https://warthunder.com/en/news/7462-development-bandkanon-1c-the-nordic-doomsday-weapon-en" TargetMode="External"/><Relationship Id="rId687" Type="http://schemas.openxmlformats.org/officeDocument/2006/relationships/hyperlink" Target="https://warthunder.com/en/news/9067-shop-development-pre-order-av-8b-night-attack-en" TargetMode="External"/><Relationship Id="rId810" Type="http://schemas.openxmlformats.org/officeDocument/2006/relationships/hyperlink" Target="https://warthunder.com/en/news/9191-development-location-improvements-updated-abandoned-factory-en" TargetMode="External"/><Relationship Id="rId908" Type="http://schemas.openxmlformats.org/officeDocument/2006/relationships/hyperlink" Target="https://warthunder.com/en/news/8462-development-super-etendard-thirsty-for-battle-en" TargetMode="External"/><Relationship Id="rId242" Type="http://schemas.openxmlformats.org/officeDocument/2006/relationships/hyperlink" Target="https://warthunder.com/en/news/6903-development-mig-21bis-ultimate-fishbed-en" TargetMode="External"/><Relationship Id="rId894" Type="http://schemas.openxmlformats.org/officeDocument/2006/relationships/hyperlink" Target="https://warthunder.com/en/news/5945-development-t-72a-the-globetrotter-en" TargetMode="External"/><Relationship Id="rId37" Type="http://schemas.openxmlformats.org/officeDocument/2006/relationships/hyperlink" Target="https://warthunder.com/en/news/5137-development-north-sea-navy-test-schedule-en" TargetMode="External"/><Relationship Id="rId102" Type="http://schemas.openxmlformats.org/officeDocument/2006/relationships/hyperlink" Target="https://warthunder.com/en/news/4016--en" TargetMode="External"/><Relationship Id="rId547" Type="http://schemas.openxmlformats.org/officeDocument/2006/relationships/hyperlink" Target="https://warthunder.com/en/news/8251-development-cv-9030-fin-finnish-shooter-en" TargetMode="External"/><Relationship Id="rId754" Type="http://schemas.openxmlformats.org/officeDocument/2006/relationships/hyperlink" Target="https://warthunder.com/en/news/5751-development-mi-35m-up-to-date-hind-en" TargetMode="External"/><Relationship Id="rId961" Type="http://schemas.openxmlformats.org/officeDocument/2006/relationships/hyperlink" Target="https://warthunder.com/en/news/6084-development-hmnzs-leander-the-legend-of-defiance-en" TargetMode="External"/><Relationship Id="rId90" Type="http://schemas.openxmlformats.org/officeDocument/2006/relationships/hyperlink" Target="https://warthunder.com/en/news/5309-development-leopard-2k-a-legend-in-the-making-en" TargetMode="External"/><Relationship Id="rId186" Type="http://schemas.openxmlformats.org/officeDocument/2006/relationships/hyperlink" Target="https://warthunder.com/en/news/6975-development-blackburn-buccaneer-s-2-banana-jet-en" TargetMode="External"/><Relationship Id="rId393" Type="http://schemas.openxmlformats.org/officeDocument/2006/relationships/hyperlink" Target="https://warthunder.com/en/news/7920-development-hms-glorious-an-outrageous-warship-design-en" TargetMode="External"/><Relationship Id="rId407" Type="http://schemas.openxmlformats.org/officeDocument/2006/relationships/hyperlink" Target="https://warthunder.com/en/news/6338-development-eurocopter-tiger-pouncing-on-the-prey-en" TargetMode="External"/><Relationship Id="rId614" Type="http://schemas.openxmlformats.org/officeDocument/2006/relationships/hyperlink" Target="https://warthunder.com/en/news/6346-development-admiral-hipper-commanding-the-high-seas-en" TargetMode="External"/><Relationship Id="rId821" Type="http://schemas.openxmlformats.org/officeDocument/2006/relationships/hyperlink" Target="https://warthunder.com/en/news/7194-development-naval-shell-chase-camera-en" TargetMode="External"/><Relationship Id="rId1037" Type="http://schemas.openxmlformats.org/officeDocument/2006/relationships/hyperlink" Target="https://warthunder.com/en/news/3881--en" TargetMode="External"/><Relationship Id="rId253" Type="http://schemas.openxmlformats.org/officeDocument/2006/relationships/hyperlink" Target="https://warthunder.com/en/news/5722-development-agm-12b-bullpup-they-can-t-dodge-en" TargetMode="External"/><Relationship Id="rId460" Type="http://schemas.openxmlformats.org/officeDocument/2006/relationships/hyperlink" Target="https://warthunder.com/en/news/6343-development-reggiane-re-2005-the-winged-archer-en" TargetMode="External"/><Relationship Id="rId698" Type="http://schemas.openxmlformats.org/officeDocument/2006/relationships/hyperlink" Target="https://warthunder.com/en/news/7319-development-c13-t90-senior-scout-en" TargetMode="External"/><Relationship Id="rId919" Type="http://schemas.openxmlformats.org/officeDocument/2006/relationships/hyperlink" Target="https://warthunder.com/en/news/5947-development-air-to-air-missiles-en" TargetMode="External"/><Relationship Id="rId48" Type="http://schemas.openxmlformats.org/officeDocument/2006/relationships/hyperlink" Target="https://warthunder.com/en/news/4015--en" TargetMode="External"/><Relationship Id="rId113" Type="http://schemas.openxmlformats.org/officeDocument/2006/relationships/hyperlink" Target="https://warthunder.com/en/news/9037-development-uss-tennessee-bb-43-smooth-sweet-en" TargetMode="External"/><Relationship Id="rId320" Type="http://schemas.openxmlformats.org/officeDocument/2006/relationships/hyperlink" Target="https://warthunder.com/en/news/4098--en" TargetMode="External"/><Relationship Id="rId558" Type="http://schemas.openxmlformats.org/officeDocument/2006/relationships/hyperlink" Target="https://warthunder.com/en/news/6916-development-new-hangars-en" TargetMode="External"/><Relationship Id="rId765" Type="http://schemas.openxmlformats.org/officeDocument/2006/relationships/hyperlink" Target="https://warthunder.com/en/news/4030--en" TargetMode="External"/><Relationship Id="rId972" Type="http://schemas.openxmlformats.org/officeDocument/2006/relationships/hyperlink" Target="https://warthunder.com/en/news/9214-development-firebirds-improvements-to-custom-tank-sights-hit-analyzer-en" TargetMode="External"/><Relationship Id="rId197" Type="http://schemas.openxmlformats.org/officeDocument/2006/relationships/hyperlink" Target="https://warthunder.com/en/news/5818-fleet-development-hmcs-haida-commonwealth-veteran-en" TargetMode="External"/><Relationship Id="rId418" Type="http://schemas.openxmlformats.org/officeDocument/2006/relationships/hyperlink" Target="https://warthunder.com/en/news/4713-development-sd-kfz-234-2-puma-the-nimble-feline-predator-en" TargetMode="External"/><Relationship Id="rId625" Type="http://schemas.openxmlformats.org/officeDocument/2006/relationships/hyperlink" Target="https://warthunder.com/en/news/4721-development-macchi-m-c-205-veltro-sicily-s-guardian-angel-en" TargetMode="External"/><Relationship Id="rId832" Type="http://schemas.openxmlformats.org/officeDocument/2006/relationships/hyperlink" Target="https://warthunder.com/en/news/5555-development-fj-4b-fury-last-of-its-kind-en" TargetMode="External"/><Relationship Id="rId1048" Type="http://schemas.openxmlformats.org/officeDocument/2006/relationships/hyperlink" Target="https://warthunder.com/en/news/3933--en" TargetMode="External"/><Relationship Id="rId264" Type="http://schemas.openxmlformats.org/officeDocument/2006/relationships/hyperlink" Target="https://warthunder.com/en/news/3698-development-new-additions-to-the-kv-2-series-en" TargetMode="External"/><Relationship Id="rId471" Type="http://schemas.openxmlformats.org/officeDocument/2006/relationships/hyperlink" Target="https://warthunder.com/en/news/4714-development-breda-ba-65-k14-the-sharp-eyed-hawk-en" TargetMode="External"/><Relationship Id="rId59" Type="http://schemas.openxmlformats.org/officeDocument/2006/relationships/hyperlink" Target="https://warthunder.com/en/news/9033-development-zsu-23-4m2-afghan-escort-vehicle-en" TargetMode="External"/><Relationship Id="rId124" Type="http://schemas.openxmlformats.org/officeDocument/2006/relationships/hyperlink" Target="https://warthunder.com/en/news/7691-development-hms-hood-the-imperial-representative-en" TargetMode="External"/><Relationship Id="rId569" Type="http://schemas.openxmlformats.org/officeDocument/2006/relationships/hyperlink" Target="https://warthunder.com/en/news/5740-development-tam-replacing-the-old-guard-en" TargetMode="External"/><Relationship Id="rId776" Type="http://schemas.openxmlformats.org/officeDocument/2006/relationships/hyperlink" Target="https://warthunder.com/en/news/8451-development-new-visual-effects-in-the-sons-of-attila-update-en" TargetMode="External"/><Relationship Id="rId983" Type="http://schemas.openxmlformats.org/officeDocument/2006/relationships/hyperlink" Target="https://warthunder.com/en/news/4407-development-ta-154a-1-from-a-player-for-the-players-en" TargetMode="External"/><Relationship Id="rId331" Type="http://schemas.openxmlformats.org/officeDocument/2006/relationships/hyperlink" Target="https://warthunder.com/en/news/9157-development-squadron-vehicles-f-117a-nighthawk-and-stealth-technology-en" TargetMode="External"/><Relationship Id="rId429" Type="http://schemas.openxmlformats.org/officeDocument/2006/relationships/hyperlink" Target="https://warthunder.com/en/devblog/current/740" TargetMode="External"/><Relationship Id="rId636" Type="http://schemas.openxmlformats.org/officeDocument/2006/relationships/hyperlink" Target="https://warthunder.com/en/news/4112--en" TargetMode="External"/><Relationship Id="rId1059" Type="http://schemas.openxmlformats.org/officeDocument/2006/relationships/hyperlink" Target="https://warthunder.com/en/news/3890--en" TargetMode="External"/><Relationship Id="rId843" Type="http://schemas.openxmlformats.org/officeDocument/2006/relationships/hyperlink" Target="https://warthunder.com/en/news/3915--en" TargetMode="External"/><Relationship Id="rId275" Type="http://schemas.openxmlformats.org/officeDocument/2006/relationships/hyperlink" Target="https://old-forum.warthunder.com/index.php?/topic/73930-fw190-d-9/" TargetMode="External"/><Relationship Id="rId482" Type="http://schemas.openxmlformats.org/officeDocument/2006/relationships/hyperlink" Target="https://warthunder.com/en/devblog/current/741" TargetMode="External"/><Relationship Id="rId703" Type="http://schemas.openxmlformats.org/officeDocument/2006/relationships/hyperlink" Target="https://warthunder.com/en/news/6614-development-t-72b-necessary-improvements-en" TargetMode="External"/><Relationship Id="rId910" Type="http://schemas.openxmlformats.org/officeDocument/2006/relationships/hyperlink" Target="https://warthunder.com/en/news/8142-development-squadron-vehicles-hunter-f-58-en" TargetMode="External"/><Relationship Id="rId135" Type="http://schemas.openxmlformats.org/officeDocument/2006/relationships/hyperlink" Target="https://warthunder.com/en/news/6595-development-stormartillerivagn-m-43-en" TargetMode="External"/><Relationship Id="rId342" Type="http://schemas.openxmlformats.org/officeDocument/2006/relationships/hyperlink" Target="https://warthunder.com/en/news/7830-development-aircraft-engine-fire-extinguishers-en" TargetMode="External"/><Relationship Id="rId787" Type="http://schemas.openxmlformats.org/officeDocument/2006/relationships/hyperlink" Target="https://warthunder.com/en/news/6718-development-9p157-2-khrizantema-why-not-both-en" TargetMode="External"/><Relationship Id="rId994" Type="http://schemas.openxmlformats.org/officeDocument/2006/relationships/hyperlink" Target="https://warthunder.com/en/news/6371-development-f-89b-and-f-89d-scorpion-jet-bros-en" TargetMode="External"/><Relationship Id="rId202" Type="http://schemas.openxmlformats.org/officeDocument/2006/relationships/hyperlink" Target="https://warthunder.com/en/news/5038-development-arsenal-vg-33-air-diver-en" TargetMode="External"/><Relationship Id="rId647" Type="http://schemas.openxmlformats.org/officeDocument/2006/relationships/hyperlink" Target="https://warthunder.com/en/news/8121-development-f-16aj-cover-boy-en" TargetMode="External"/><Relationship Id="rId854" Type="http://schemas.openxmlformats.org/officeDocument/2006/relationships/hyperlink" Target="https://warthunder.com/en/news/7610-development-mirage-f1c-a-break-from-tradition-en" TargetMode="External"/><Relationship Id="rId286" Type="http://schemas.openxmlformats.org/officeDocument/2006/relationships/hyperlink" Target="https://warthunder.com/en/news/8004-shop-pre-order-new-rank-vii-premium-jet-fighters-en" TargetMode="External"/><Relationship Id="rId493" Type="http://schemas.openxmlformats.org/officeDocument/2006/relationships/hyperlink" Target="https://warthunder.com/en/news/8546-development-jh-7a-the-flying-leopard-en" TargetMode="External"/><Relationship Id="rId507" Type="http://schemas.openxmlformats.org/officeDocument/2006/relationships/hyperlink" Target="https://warthunder.com/en/news/6844-development-new-p-47-thunderbolt-variants-en" TargetMode="External"/><Relationship Id="rId714" Type="http://schemas.openxmlformats.org/officeDocument/2006/relationships/hyperlink" Target="https://warthunder.com/en/news/4938-development-emperor-s-garden-en" TargetMode="External"/><Relationship Id="rId921" Type="http://schemas.openxmlformats.org/officeDocument/2006/relationships/hyperlink" Target="https://warthunder.com/en/news/5560-development-messerschmitt-bf-110-model-updates-new-modifications-en" TargetMode="External"/><Relationship Id="rId50" Type="http://schemas.openxmlformats.org/officeDocument/2006/relationships/hyperlink" Target="https://warthunder.com/en/news/3974--en" TargetMode="External"/><Relationship Id="rId146" Type="http://schemas.openxmlformats.org/officeDocument/2006/relationships/hyperlink" Target="https://warthunder.com/en/news/5161-development-char-b1ter-a-blast-from-the-past-en" TargetMode="External"/><Relationship Id="rId353" Type="http://schemas.openxmlformats.org/officeDocument/2006/relationships/hyperlink" Target="https://warthunder.com/en/news/6496-development-rooikat-76-mk-1d-desert-cat-en" TargetMode="External"/><Relationship Id="rId560" Type="http://schemas.openxmlformats.org/officeDocument/2006/relationships/hyperlink" Target="https://warthunder.com/en/news/6723-development-type-69-iig-asian-armadillo-en" TargetMode="External"/><Relationship Id="rId798" Type="http://schemas.openxmlformats.org/officeDocument/2006/relationships/hyperlink" Target="https://warthunder.com/en/news/4732-development-fiat-g-91r-1-the-high-speed-scout-en" TargetMode="External"/><Relationship Id="rId213" Type="http://schemas.openxmlformats.org/officeDocument/2006/relationships/hyperlink" Target="https://warthunder.com/en/news/4000--en" TargetMode="External"/><Relationship Id="rId420" Type="http://schemas.openxmlformats.org/officeDocument/2006/relationships/hyperlink" Target="https://warthunder.com/en/news/4356-development-lockheed-b-34-hudson-s-bigger-brother-en" TargetMode="External"/><Relationship Id="rId658" Type="http://schemas.openxmlformats.org/officeDocument/2006/relationships/hyperlink" Target="https://warthunder.com/en/news/6615-development-lightning-f-6-saddled-to-a-skyrocket-en" TargetMode="External"/><Relationship Id="rId865" Type="http://schemas.openxmlformats.org/officeDocument/2006/relationships/hyperlink" Target="https://warthunder.com/en/news/5556-development-vehicle-modification-upgrades-updated-en" TargetMode="External"/><Relationship Id="rId1050" Type="http://schemas.openxmlformats.org/officeDocument/2006/relationships/hyperlink" Target="https://warthunder.com/en/news/3937--en" TargetMode="External"/><Relationship Id="rId297" Type="http://schemas.openxmlformats.org/officeDocument/2006/relationships/hyperlink" Target="https://warthunder.com/en/news/6911-development-new-visual-effects-for-aviation-en" TargetMode="External"/><Relationship Id="rId518" Type="http://schemas.openxmlformats.org/officeDocument/2006/relationships/hyperlink" Target="https://warthunder.com/en/news/5530-development-magach-3-new-defensive-abilities-en" TargetMode="External"/><Relationship Id="rId725" Type="http://schemas.openxmlformats.org/officeDocument/2006/relationships/hyperlink" Target="https://warthunder.com/en/news/3965--en" TargetMode="External"/><Relationship Id="rId932" Type="http://schemas.openxmlformats.org/officeDocument/2006/relationships/hyperlink" Target="https://warthunder.com/en/news/8952-development-mpk-pr11451-shallow-water-domination-en" TargetMode="External"/><Relationship Id="rId157" Type="http://schemas.openxmlformats.org/officeDocument/2006/relationships/hyperlink" Target="https://warthunder.com/en/news/4017--en" TargetMode="External"/><Relationship Id="rId364" Type="http://schemas.openxmlformats.org/officeDocument/2006/relationships/hyperlink" Target="https://warthunder.com/en/news/5051-development-the-mb-157-fighter-and-a-new-pilot-model-for-the-french-air-force-en" TargetMode="External"/><Relationship Id="rId1008" Type="http://schemas.openxmlformats.org/officeDocument/2006/relationships/hyperlink" Target="https://warthunder.com/en/news/6946-development-dagor-engine-6-0-visual-improvements-effects-and-dlss-en" TargetMode="External"/><Relationship Id="rId61" Type="http://schemas.openxmlformats.org/officeDocument/2006/relationships/hyperlink" Target="https://warthunder.com/en/news/8615-shop-development-pre-order-tornado-ids-wtd-61-en" TargetMode="External"/><Relationship Id="rId571" Type="http://schemas.openxmlformats.org/officeDocument/2006/relationships/hyperlink" Target="https://warthunder.com/en/news/5340-development-new-sounds-in-update-1-77-en" TargetMode="External"/><Relationship Id="rId669" Type="http://schemas.openxmlformats.org/officeDocument/2006/relationships/hyperlink" Target="https://warthunder.com/en/news/5205-development-arl-44-a-battleship-in-disguise-en" TargetMode="External"/><Relationship Id="rId876" Type="http://schemas.openxmlformats.org/officeDocument/2006/relationships/hyperlink" Target="https://warthunder.com/en/news/3865--en" TargetMode="External"/><Relationship Id="rId19" Type="http://schemas.openxmlformats.org/officeDocument/2006/relationships/hyperlink" Target="https://warthunder.com/en/news/7283-development-pbv-301-trading-in-those-bicycles-en" TargetMode="External"/><Relationship Id="rId224" Type="http://schemas.openxmlformats.org/officeDocument/2006/relationships/hyperlink" Target="https://warthunder.com/en/news/8903-development-su-27sm-ferocious-flanker-en" TargetMode="External"/><Relationship Id="rId431" Type="http://schemas.openxmlformats.org/officeDocument/2006/relationships/hyperlink" Target="https://warthunder.com/en/news/3855--en" TargetMode="External"/><Relationship Id="rId529" Type="http://schemas.openxmlformats.org/officeDocument/2006/relationships/hyperlink" Target="https://warthunder.com/en/news/4089--en" TargetMode="External"/><Relationship Id="rId736" Type="http://schemas.openxmlformats.org/officeDocument/2006/relationships/hyperlink" Target="https://warthunder.com/en/news/8128-development-yak-141-freestyle-on-the-deck-en" TargetMode="External"/><Relationship Id="rId1061" Type="http://schemas.openxmlformats.org/officeDocument/2006/relationships/hyperlink" Target="https://warthunder.com/en/news/3892--en" TargetMode="External"/><Relationship Id="rId168" Type="http://schemas.openxmlformats.org/officeDocument/2006/relationships/hyperlink" Target="https://warthunder.com/en/news/9039-development-kv-1-m1942-klimi-the-reclaimed-giant-en" TargetMode="External"/><Relationship Id="rId943" Type="http://schemas.openxmlformats.org/officeDocument/2006/relationships/hyperlink" Target="https://warthunder.com/en/news/5763-development-me-163b-0-model-update-en" TargetMode="External"/><Relationship Id="rId1019" Type="http://schemas.openxmlformats.org/officeDocument/2006/relationships/hyperlink" Target="https://warthunder.com/en/news/3873--en" TargetMode="External"/><Relationship Id="rId72" Type="http://schemas.openxmlformats.org/officeDocument/2006/relationships/hyperlink" Target="https://warthunder.com/en/news/7366-development-zlt-11-rolling-punishment-en" TargetMode="External"/><Relationship Id="rId375" Type="http://schemas.openxmlformats.org/officeDocument/2006/relationships/hyperlink" Target="https://warthunder.com/en/news/4003--en" TargetMode="External"/><Relationship Id="rId582" Type="http://schemas.openxmlformats.org/officeDocument/2006/relationships/hyperlink" Target="https://warthunder.com/en/news/4025--en" TargetMode="External"/><Relationship Id="rId803" Type="http://schemas.openxmlformats.org/officeDocument/2006/relationships/hyperlink" Target="https://warthunder.com/en/news/4084--en" TargetMode="External"/><Relationship Id="rId3" Type="http://schemas.openxmlformats.org/officeDocument/2006/relationships/hyperlink" Target="https://warthunder.com/en/news/9127-development-t77e1-the-last-cowboy-skink-ram-ii-news-en" TargetMode="External"/><Relationship Id="rId235" Type="http://schemas.openxmlformats.org/officeDocument/2006/relationships/hyperlink" Target="https://warthunder.com/en/news/7583-development-dagor-engine-6-5-zoom-in-enhance-it-en" TargetMode="External"/><Relationship Id="rId442" Type="http://schemas.openxmlformats.org/officeDocument/2006/relationships/hyperlink" Target="https://warthunder.com/en/news/8248-development-new-locations-franz-josef-land-with-new-fortification-mechanics-en" TargetMode="External"/><Relationship Id="rId887" Type="http://schemas.openxmlformats.org/officeDocument/2006/relationships/hyperlink" Target="https://warthunder.com/en/news/7090-development-improvements-in-the-high-explosive-action-of-ammunition-en" TargetMode="External"/><Relationship Id="rId302" Type="http://schemas.openxmlformats.org/officeDocument/2006/relationships/hyperlink" Target="https://warthunder.com/en/news/6438-development-vickers-mk-7-the-steel-centaur-en" TargetMode="External"/><Relationship Id="rId747" Type="http://schemas.openxmlformats.org/officeDocument/2006/relationships/hyperlink" Target="https://warthunder.com/en/news/6617-development-cv-90105-tml-with-pre-order-bonuses-en" TargetMode="External"/><Relationship Id="rId954" Type="http://schemas.openxmlformats.org/officeDocument/2006/relationships/hyperlink" Target="https://warthunder.com/en/news/9199-development-ray-tracing-in-war-thunder-en" TargetMode="External"/><Relationship Id="rId83" Type="http://schemas.openxmlformats.org/officeDocument/2006/relationships/hyperlink" Target="https://warthunder.com/en/news/6320-development-britain-s-top-lynx-ah-mk-1-and-premium-g-lynx-en" TargetMode="External"/><Relationship Id="rId179" Type="http://schemas.openxmlformats.org/officeDocument/2006/relationships/hyperlink" Target="https://warthunder.com/en/news/7694-development-g6-rhino-the-longhorn-en" TargetMode="External"/><Relationship Id="rId386" Type="http://schemas.openxmlformats.org/officeDocument/2006/relationships/hyperlink" Target="https://warthunder.com/en/news/8776-development-zbd-04a-the-unstoppable-scout-en" TargetMode="External"/><Relationship Id="rId593" Type="http://schemas.openxmlformats.org/officeDocument/2006/relationships/hyperlink" Target="https://warthunder.com/en/news/8911-development-pre-order-t-80u-e1-en" TargetMode="External"/><Relationship Id="rId607" Type="http://schemas.openxmlformats.org/officeDocument/2006/relationships/hyperlink" Target="https://warthunder.com/en/news/7071-development-squadron-vehicles-leopard-2pl-polish-cavalry-en/1000?page=8" TargetMode="External"/><Relationship Id="rId814" Type="http://schemas.openxmlformats.org/officeDocument/2006/relationships/hyperlink" Target="https://warthunder.com/en/news/8452-development-oh-58d-headwatch-en" TargetMode="External"/><Relationship Id="rId246" Type="http://schemas.openxmlformats.org/officeDocument/2006/relationships/hyperlink" Target="https://warthunder.com/en/news/6495-development-b17a-saab-s-first-en" TargetMode="External"/><Relationship Id="rId453" Type="http://schemas.openxmlformats.org/officeDocument/2006/relationships/hyperlink" Target="https://warthunder.com/en/news/6990-development-f-84f-thunderstreak-en" TargetMode="External"/><Relationship Id="rId660" Type="http://schemas.openxmlformats.org/officeDocument/2006/relationships/hyperlink" Target="https://warthunder.com/en/news/6453-development-new-location-south-africa-en" TargetMode="External"/><Relationship Id="rId898" Type="http://schemas.openxmlformats.org/officeDocument/2006/relationships/hyperlink" Target="https://warthunder.com/en/news/4960-development-f4u-corsair-sky-pirates-are-back-en" TargetMode="External"/><Relationship Id="rId106" Type="http://schemas.openxmlformats.org/officeDocument/2006/relationships/hyperlink" Target="https://warthunder.com/en/news/3904--en" TargetMode="External"/><Relationship Id="rId313" Type="http://schemas.openxmlformats.org/officeDocument/2006/relationships/hyperlink" Target="https://warthunder.com/en/news/4924-development-the-fulda-gap-where-ww3-could-have-started-en" TargetMode="External"/><Relationship Id="rId758" Type="http://schemas.openxmlformats.org/officeDocument/2006/relationships/hyperlink" Target="https://warthunder.com/en/news/4731-development-war-thunder-on-mac-supported-by-metal-en" TargetMode="External"/><Relationship Id="rId965" Type="http://schemas.openxmlformats.org/officeDocument/2006/relationships/hyperlink" Target="https://warthunder.com/en/news/4968-development-d4y-suisei-light-em-up-en" TargetMode="External"/><Relationship Id="rId10" Type="http://schemas.openxmlformats.org/officeDocument/2006/relationships/hyperlink" Target="https://warthunder.com/en/news/8204-development-pre-order-m1-kvt-en" TargetMode="External"/><Relationship Id="rId94" Type="http://schemas.openxmlformats.org/officeDocument/2006/relationships/hyperlink" Target="https://warthunder.com/en/news/4681-development-fiat-g-55-centauro-a-dual-personality-en" TargetMode="External"/><Relationship Id="rId397" Type="http://schemas.openxmlformats.org/officeDocument/2006/relationships/hyperlink" Target="https://warthunder.com/en/news/7299-development-mig-27m-and-guided-bombs-in-war-thunder-en" TargetMode="External"/><Relationship Id="rId520" Type="http://schemas.openxmlformats.org/officeDocument/2006/relationships/hyperlink" Target="https://warthunder.com/en/news/5193-development-new-opportunities-for-light-vehicles-en" TargetMode="External"/><Relationship Id="rId618" Type="http://schemas.openxmlformats.org/officeDocument/2006/relationships/hyperlink" Target="https://warthunder.com/en/news/5838-fleet-development-hms-grafton-h89-the-spirit-of-self-sacrifice-en" TargetMode="External"/><Relationship Id="rId825" Type="http://schemas.openxmlformats.org/officeDocument/2006/relationships/hyperlink" Target="https://warthunder.com/en/news/6624-development-l-62-anti-ii-finnish-choice-en" TargetMode="External"/><Relationship Id="rId257" Type="http://schemas.openxmlformats.org/officeDocument/2006/relationships/hyperlink" Target="https://warthunder.com/en/news/5043-development-french-aircraft-cockpits-en" TargetMode="External"/><Relationship Id="rId464" Type="http://schemas.openxmlformats.org/officeDocument/2006/relationships/hyperlink" Target="https://warthunder.com/en/news/5835-fleet-development-hms-armada-d14-keeping-the-birds-at-bay-en" TargetMode="External"/><Relationship Id="rId1010" Type="http://schemas.openxmlformats.org/officeDocument/2006/relationships/hyperlink" Target="https://warthunder.com/en/news/6374-development-new-tone-mapping-system-en" TargetMode="External"/><Relationship Id="rId117" Type="http://schemas.openxmlformats.org/officeDocument/2006/relationships/hyperlink" Target="https://warthunder.com/en/news/8529-development-tan-sam-1c-vital-air-defense-en" TargetMode="External"/><Relationship Id="rId671" Type="http://schemas.openxmlformats.org/officeDocument/2006/relationships/hyperlink" Target="https://warthunder.com/en/news/4904-development-beriev-be-6-the-arctic-seagull-en" TargetMode="External"/><Relationship Id="rId769" Type="http://schemas.openxmlformats.org/officeDocument/2006/relationships/hyperlink" Target="https://warthunder.com/en/devblog/current/633" TargetMode="External"/><Relationship Id="rId976" Type="http://schemas.openxmlformats.org/officeDocument/2006/relationships/hyperlink" Target="https://warthunder.com/en/news/6635-development-radkampfwagen-90-a-leopard-on-wheels-en" TargetMode="External"/><Relationship Id="rId324" Type="http://schemas.openxmlformats.org/officeDocument/2006/relationships/hyperlink" Target="https://warthunder.com/en/news/3981--en" TargetMode="External"/><Relationship Id="rId531" Type="http://schemas.openxmlformats.org/officeDocument/2006/relationships/hyperlink" Target="https://warthunder.com/en/news/4023--en" TargetMode="External"/><Relationship Id="rId629" Type="http://schemas.openxmlformats.org/officeDocument/2006/relationships/hyperlink" Target="https://warthunder.com/en/news/3737-development-raketenjagdpanzer-2-the-low-profile-slinger-en" TargetMode="External"/><Relationship Id="rId836" Type="http://schemas.openxmlformats.org/officeDocument/2006/relationships/hyperlink" Target="https://warthunder.com/en/news/4383-development-zis-43-when-you-need-a-bigger-bang-en" TargetMode="External"/><Relationship Id="rId1021" Type="http://schemas.openxmlformats.org/officeDocument/2006/relationships/hyperlink" Target="https://warthunder.com/en/news/4432-development-location-ice-fields-and-new-naval-mission-convoy-en" TargetMode="External"/><Relationship Id="rId903" Type="http://schemas.openxmlformats.org/officeDocument/2006/relationships/hyperlink" Target="https://warthunder.com/en/devblog/current/828" TargetMode="External"/><Relationship Id="rId32" Type="http://schemas.openxmlformats.org/officeDocument/2006/relationships/hyperlink" Target="https://warthunder.com/en/news/5890-development-italian-ground-vehicles-in-the-update-1-85-en" TargetMode="External"/><Relationship Id="rId181" Type="http://schemas.openxmlformats.org/officeDocument/2006/relationships/hyperlink" Target="https://warthunder.com/en/news/7445-development-improving-the-flight-physics-of-the-saclos-mclos-missiles-en" TargetMode="External"/><Relationship Id="rId279" Type="http://schemas.openxmlformats.org/officeDocument/2006/relationships/hyperlink" Target="https://warthunder.com/en/news/8902-development-kondor-ii-birdcatcher-en" TargetMode="External"/><Relationship Id="rId486" Type="http://schemas.openxmlformats.org/officeDocument/2006/relationships/hyperlink" Target="https://old-forum.warthunder.com/index.php?/topic/79356-developers%E2%80%99-diaries-new-progression-system/" TargetMode="External"/><Relationship Id="rId693" Type="http://schemas.openxmlformats.org/officeDocument/2006/relationships/hyperlink" Target="https://warthunder.com/en/news/8127-development-french-navy-light-cruiser-duguay-trouin-en" TargetMode="External"/><Relationship Id="rId139" Type="http://schemas.openxmlformats.org/officeDocument/2006/relationships/hyperlink" Target="https://warthunder.com/en/news/6171-development-kuma-the-fighting-bear-en" TargetMode="External"/><Relationship Id="rId346" Type="http://schemas.openxmlformats.org/officeDocument/2006/relationships/hyperlink" Target="https://warthunder.com/en/news/7175-development-commander-sights-for-ground-vehicles-en" TargetMode="External"/><Relationship Id="rId553" Type="http://schemas.openxmlformats.org/officeDocument/2006/relationships/hyperlink" Target="https://warthunder.com/en/news/7390-development-ystervark-the-little-truck-that-could-en" TargetMode="External"/><Relationship Id="rId760" Type="http://schemas.openxmlformats.org/officeDocument/2006/relationships/hyperlink" Target="https://warthunder.com/en/news/4380-development-hydropneumatic-suspension-in-war-thunder-en" TargetMode="External"/><Relationship Id="rId998" Type="http://schemas.openxmlformats.org/officeDocument/2006/relationships/hyperlink" Target="https://warthunder.com/en/news/5404-development-new-music-en" TargetMode="External"/><Relationship Id="rId206" Type="http://schemas.openxmlformats.org/officeDocument/2006/relationships/hyperlink" Target="https://warthunder.com/en/news/4334-development-st-a1-stepping-into-a-new-era-en" TargetMode="External"/><Relationship Id="rId413" Type="http://schemas.openxmlformats.org/officeDocument/2006/relationships/hyperlink" Target="https://warthunder.com/en/news/5525-development-i-a-r-81-c-supporting-the-axis-en" TargetMode="External"/><Relationship Id="rId858" Type="http://schemas.openxmlformats.org/officeDocument/2006/relationships/hyperlink" Target="https://warthunder.com/en/news/6738-development-su-7b-new-doctrine-en" TargetMode="External"/><Relationship Id="rId1043" Type="http://schemas.openxmlformats.org/officeDocument/2006/relationships/hyperlink" Target="https://warthunder.com/en/news/3876--en" TargetMode="External"/><Relationship Id="rId620" Type="http://schemas.openxmlformats.org/officeDocument/2006/relationships/hyperlink" Target="https://warthunder.com/en/news/5534-development-messerschmitt-bf-109z-the-teutonic-twin-boom-terror-en" TargetMode="External"/><Relationship Id="rId718" Type="http://schemas.openxmlformats.org/officeDocument/2006/relationships/hyperlink" Target="https://warthunder.com/en/news/4248-development-brigand-b-1-a-bandit-without-a-mask-en" TargetMode="External"/><Relationship Id="rId925" Type="http://schemas.openxmlformats.org/officeDocument/2006/relationships/hyperlink" Target="https://warthunder.com/en/news/4394-development-chi-ha-short-gun-naval-caliber-en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arthunder.com/en/news/8202-development-battle-pass-vehicles-j26-david-en" TargetMode="External"/><Relationship Id="rId21" Type="http://schemas.openxmlformats.org/officeDocument/2006/relationships/hyperlink" Target="https://warthunder.com/en/news/8992-development-battle-pass-vehicles-sholef-v1-en" TargetMode="External"/><Relationship Id="rId42" Type="http://schemas.openxmlformats.org/officeDocument/2006/relationships/hyperlink" Target="https://warthunder.com/en/news/8368-development-battle-pass-vehicles-b7a2-homare-23-ryusei-en" TargetMode="External"/><Relationship Id="rId47" Type="http://schemas.openxmlformats.org/officeDocument/2006/relationships/hyperlink" Target="https://warthunder.com/en/news/7660-battle-pass-season-armored-elephant-en" TargetMode="External"/><Relationship Id="rId63" Type="http://schemas.openxmlformats.org/officeDocument/2006/relationships/hyperlink" Target="https://warthunder.com/en/news/7788-battle-pass-battle-pass-season-field-testing-en" TargetMode="External"/><Relationship Id="rId68" Type="http://schemas.openxmlformats.org/officeDocument/2006/relationships/hyperlink" Target="https://warthunder.com/en/news/7147-development-battle-pass-vehicles-38-m-toldi-iia-en" TargetMode="External"/><Relationship Id="rId84" Type="http://schemas.openxmlformats.org/officeDocument/2006/relationships/hyperlink" Target="https://warthunder.com/en/news/7531-warbonds-firepower-warbonds-en" TargetMode="External"/><Relationship Id="rId16" Type="http://schemas.openxmlformats.org/officeDocument/2006/relationships/hyperlink" Target="https://warthunder.com/en/news/7139-development-battle-pass-vehicles-p-39q-25-en" TargetMode="External"/><Relationship Id="rId11" Type="http://schemas.openxmlformats.org/officeDocument/2006/relationships/hyperlink" Target="https://warthunder.com/en/news/7780-development-battle-pass-vehicles-type-t-51a-torpedo-boat-en" TargetMode="External"/><Relationship Id="rId32" Type="http://schemas.openxmlformats.org/officeDocument/2006/relationships/hyperlink" Target="https://warthunder.com/en/news/7384-development-battle-pass-vehicles-lvt-4-40-en" TargetMode="External"/><Relationship Id="rId37" Type="http://schemas.openxmlformats.org/officeDocument/2006/relationships/hyperlink" Target="https://warthunder.com/en/news/9142-event-battlepass-meet-guided-fury-the-17th-season-of-the-battle-pass-en" TargetMode="External"/><Relationship Id="rId53" Type="http://schemas.openxmlformats.org/officeDocument/2006/relationships/hyperlink" Target="https://warthunder.com/en/news/9336-warbonds-warbonds-for-the-last-legionnaire-battle-pass-en" TargetMode="External"/><Relationship Id="rId58" Type="http://schemas.openxmlformats.org/officeDocument/2006/relationships/hyperlink" Target="https://warthunder.com/en/news/8536-battle-pass-meet-tropical-storm-the-13th-season-of-the-battle-pass-en" TargetMode="External"/><Relationship Id="rId74" Type="http://schemas.openxmlformats.org/officeDocument/2006/relationships/hyperlink" Target="https://warthunder.com/en/news/8212-warbonds-her-majesty-s-hussar-warbonds-en" TargetMode="External"/><Relationship Id="rId79" Type="http://schemas.openxmlformats.org/officeDocument/2006/relationships/hyperlink" Target="https://warthunder.com/en/news/7530-battle-pass-season-firepower-en" TargetMode="External"/><Relationship Id="rId5" Type="http://schemas.openxmlformats.org/officeDocument/2006/relationships/hyperlink" Target="https://warthunder.com/en/news/8696-development-battle-pass-vehicles-le-triomphant-en" TargetMode="External"/><Relationship Id="rId19" Type="http://schemas.openxmlformats.org/officeDocument/2006/relationships/hyperlink" Target="https://warthunder.com/en/news/9329-development-battle-pass-vehicles-m46-patton-france-en" TargetMode="External"/><Relationship Id="rId14" Type="http://schemas.openxmlformats.org/officeDocument/2006/relationships/hyperlink" Target="https://warthunder.com/en/news/7381-development-battle-pass-vehicles-pt-658-torpedo-boat-en" TargetMode="External"/><Relationship Id="rId22" Type="http://schemas.openxmlformats.org/officeDocument/2006/relationships/hyperlink" Target="https://warthunder.com/en/news/8855-development-battle-pass-vehicles-p-51c-11-nt-mustang-china-en" TargetMode="External"/><Relationship Id="rId27" Type="http://schemas.openxmlformats.org/officeDocument/2006/relationships/hyperlink" Target="https://warthunder.com/en/news/8062-development-battle-pass-vehicles-bf-109-f-4-italy-en" TargetMode="External"/><Relationship Id="rId30" Type="http://schemas.openxmlformats.org/officeDocument/2006/relationships/hyperlink" Target="https://warthunder.com/en/news/7655-development-battle-pass-vehicles-f-6c-10-nt-en" TargetMode="External"/><Relationship Id="rId35" Type="http://schemas.openxmlformats.org/officeDocument/2006/relationships/hyperlink" Target="https://warthunder.com/en/news/7051-special-battle-pass-new-season-steel-centurion-en" TargetMode="External"/><Relationship Id="rId43" Type="http://schemas.openxmlformats.org/officeDocument/2006/relationships/hyperlink" Target="https://warthunder.com/en/news/8203-development-battle-pass-vehicles-centurion-mk-2-en" TargetMode="External"/><Relationship Id="rId48" Type="http://schemas.openxmlformats.org/officeDocument/2006/relationships/hyperlink" Target="https://warthunder.com/en/news/7524-development-battle-pass-vehicles-41-m-tur%C3%A1n-ii-en" TargetMode="External"/><Relationship Id="rId56" Type="http://schemas.openxmlformats.org/officeDocument/2006/relationships/hyperlink" Target="https://warthunder.com/en/news/8859-event-meet-northern-king-the-15th-season-of-the-battle-pass-en" TargetMode="External"/><Relationship Id="rId64" Type="http://schemas.openxmlformats.org/officeDocument/2006/relationships/hyperlink" Target="https://warthunder.com/en/news/7660-battle-pass-season-armored-elephant-en" TargetMode="External"/><Relationship Id="rId69" Type="http://schemas.openxmlformats.org/officeDocument/2006/relationships/hyperlink" Target="https://warthunder.com/en/news/7063-warbonds-steel-centurion-warbonds-en" TargetMode="External"/><Relationship Id="rId77" Type="http://schemas.openxmlformats.org/officeDocument/2006/relationships/hyperlink" Target="https://warthunder.com/en/news/7787-warbonds-field-testing-warbonds-en" TargetMode="External"/><Relationship Id="rId8" Type="http://schemas.openxmlformats.org/officeDocument/2006/relationships/hyperlink" Target="https://warthunder.com/en/news/8200-development-battle-pass-vehicles-s-701-en" TargetMode="External"/><Relationship Id="rId51" Type="http://schemas.openxmlformats.org/officeDocument/2006/relationships/hyperlink" Target="https://warthunder.com/en/news/7146-development-battle-pass-vehicles-voroshilov-light-cruiser-en" TargetMode="External"/><Relationship Id="rId72" Type="http://schemas.openxmlformats.org/officeDocument/2006/relationships/hyperlink" Target="https://warthunder.com/en/news/8541-warbonds-warbonds-for-the-tropical-storm-battle-pass-en" TargetMode="External"/><Relationship Id="rId80" Type="http://schemas.openxmlformats.org/officeDocument/2006/relationships/hyperlink" Target="https://warthunder.com/en/news/7396-battle-pass-season-river-hunter-en" TargetMode="External"/><Relationship Id="rId85" Type="http://schemas.openxmlformats.org/officeDocument/2006/relationships/hyperlink" Target="https://warthunder.com/en/news/7401-warbonds-river-hunter-warbonds-en" TargetMode="External"/><Relationship Id="rId3" Type="http://schemas.openxmlformats.org/officeDocument/2006/relationships/hyperlink" Target="https://warthunder.com/en/news/8990-development-battle-pass-vehicles-pbm-5a-mariner-en" TargetMode="External"/><Relationship Id="rId12" Type="http://schemas.openxmlformats.org/officeDocument/2006/relationships/hyperlink" Target="https://warthunder.com/en/news/7653-development-battle-pass-vehicles-destroyer-hms-cadiz-d79-en" TargetMode="External"/><Relationship Id="rId17" Type="http://schemas.openxmlformats.org/officeDocument/2006/relationships/hyperlink" Target="https://warthunder.com/en/news/7057-development-battle-pass-vehicles-t55e1-wheeled-tank-destroyer-en" TargetMode="External"/><Relationship Id="rId25" Type="http://schemas.openxmlformats.org/officeDocument/2006/relationships/hyperlink" Target="https://warthunder.com/en/news/8363-development-battle-pass-vehicles-spz-12-3-en" TargetMode="External"/><Relationship Id="rId33" Type="http://schemas.openxmlformats.org/officeDocument/2006/relationships/hyperlink" Target="https://warthunder.com/en/news/7248-development-battle-pass-vehicles-e-b-r-1963-en" TargetMode="External"/><Relationship Id="rId38" Type="http://schemas.openxmlformats.org/officeDocument/2006/relationships/hyperlink" Target="https://warthunder.com/en/news/8996-event-battlepass-meet-skilled-marksman-the-16th-season-of-the-battle-pass-en" TargetMode="External"/><Relationship Id="rId46" Type="http://schemas.openxmlformats.org/officeDocument/2006/relationships/hyperlink" Target="https://warthunder.com/en/news/7784-development-battle-pass-vehicles-object-248-heavy-tank-en" TargetMode="External"/><Relationship Id="rId59" Type="http://schemas.openxmlformats.org/officeDocument/2006/relationships/hyperlink" Target="https://warthunder.com/en/news/8370-battle-pass-meet-armour-breaking-ambusher-the-12th-season-of-battle-pass-en" TargetMode="External"/><Relationship Id="rId67" Type="http://schemas.openxmlformats.org/officeDocument/2006/relationships/hyperlink" Target="https://warthunder.com/en/news/7250-development-battle-pass-vehicles-uss-detroit-cl-8-en" TargetMode="External"/><Relationship Id="rId20" Type="http://schemas.openxmlformats.org/officeDocument/2006/relationships/hyperlink" Target="https://warthunder.com/en/news/9134-development-battle-pass-vehicles-he-177-a-3r3-greif-en" TargetMode="External"/><Relationship Id="rId41" Type="http://schemas.openxmlformats.org/officeDocument/2006/relationships/hyperlink" Target="https://warthunder.com/en/news/8533-development-battle-pass-vehicles-strikemaster-mk88-en" TargetMode="External"/><Relationship Id="rId54" Type="http://schemas.openxmlformats.org/officeDocument/2006/relationships/hyperlink" Target="https://warthunder.com/en/news/9150-warbonds-warbonds-for-the-guided-fury-battle-pass-en" TargetMode="External"/><Relationship Id="rId62" Type="http://schemas.openxmlformats.org/officeDocument/2006/relationships/hyperlink" Target="https://warthunder.com/en/news/7928-battle-pass-battle-pass-season-smell-of-victory-en" TargetMode="External"/><Relationship Id="rId70" Type="http://schemas.openxmlformats.org/officeDocument/2006/relationships/hyperlink" Target="https://warthunder.com/en/news/8865-warbonds-warbonds-for-the-northern-king-battle-pass-en" TargetMode="External"/><Relationship Id="rId75" Type="http://schemas.openxmlformats.org/officeDocument/2006/relationships/hyperlink" Target="https://warthunder.com/en/news/8068-warbonds-royal-guard-warbonds-en" TargetMode="External"/><Relationship Id="rId83" Type="http://schemas.openxmlformats.org/officeDocument/2006/relationships/hyperlink" Target="https://warthunder.com/en/news/7066-development-battle-pass-vehicles-destroyer-type-1936a-z25-en" TargetMode="External"/><Relationship Id="rId88" Type="http://schemas.openxmlformats.org/officeDocument/2006/relationships/hyperlink" Target="https://warthunder.com/en/news/7070-development-battle-pass-vehicles-centurion-mk-5-1-raac-en" TargetMode="External"/><Relationship Id="rId1" Type="http://schemas.openxmlformats.org/officeDocument/2006/relationships/hyperlink" Target="https://warthunder.com/en/news/9328-development-battle-pass-vehicles-sb2c-5-thailand-en" TargetMode="External"/><Relationship Id="rId6" Type="http://schemas.openxmlformats.org/officeDocument/2006/relationships/hyperlink" Target="https://warthunder.com/en/news/8522-development-battle-pass-vehicles-hms-gay-archer-en" TargetMode="External"/><Relationship Id="rId15" Type="http://schemas.openxmlformats.org/officeDocument/2006/relationships/hyperlink" Target="https://warthunder.com/en/news/7246-development-battle-pass-vehicles-sd-kfz-251-22-en" TargetMode="External"/><Relationship Id="rId23" Type="http://schemas.openxmlformats.org/officeDocument/2006/relationships/hyperlink" Target="https://warthunder.com/en/news/8698-developmentbattle-pass-vehicles-il-8-en" TargetMode="External"/><Relationship Id="rId28" Type="http://schemas.openxmlformats.org/officeDocument/2006/relationships/hyperlink" Target="https://warthunder.com/en/news/7915-development-battle-pass-vehicles-a-1h-skyraider-en" TargetMode="External"/><Relationship Id="rId36" Type="http://schemas.openxmlformats.org/officeDocument/2006/relationships/hyperlink" Target="https://warthunder.com/en/news/9334-event-meet-the-last-legionnaire-the-18th-season-of-the-battle-pass-en" TargetMode="External"/><Relationship Id="rId49" Type="http://schemas.openxmlformats.org/officeDocument/2006/relationships/hyperlink" Target="https://warthunder.com/en/news/7389-development-battle-pass-vehicles-pt-76-57-en" TargetMode="External"/><Relationship Id="rId57" Type="http://schemas.openxmlformats.org/officeDocument/2006/relationships/hyperlink" Target="https://warthunder.com/en/news/8703-battle-pass-meet-airborne-general-the-14th-season-of-the-battle-pass-en" TargetMode="External"/><Relationship Id="rId10" Type="http://schemas.openxmlformats.org/officeDocument/2006/relationships/hyperlink" Target="https://warthunder.com/en/news/7913-development-battle-pass-vehicles-churchill-crocodile-en" TargetMode="External"/><Relationship Id="rId31" Type="http://schemas.openxmlformats.org/officeDocument/2006/relationships/hyperlink" Target="https://warthunder.com/en/news/7521-development-battle-pass-vehicles-m64-en" TargetMode="External"/><Relationship Id="rId44" Type="http://schemas.openxmlformats.org/officeDocument/2006/relationships/hyperlink" Target="https://warthunder.com/en/news/8063-development-battle-pass-vehicles-amx-50-to90-930-en" TargetMode="External"/><Relationship Id="rId52" Type="http://schemas.openxmlformats.org/officeDocument/2006/relationships/hyperlink" Target="https://warthunder.com/en/news/7061-development-battle-pass-vehicles-itp-m-1-en" TargetMode="External"/><Relationship Id="rId60" Type="http://schemas.openxmlformats.org/officeDocument/2006/relationships/hyperlink" Target="https://warthunder.com/en/news/8209-battle-pass-meet-her-majesty-s-hussar-the-11th-season-of-battle-pass-en" TargetMode="External"/><Relationship Id="rId65" Type="http://schemas.openxmlformats.org/officeDocument/2006/relationships/hyperlink" Target="https://warthunder.com/en/news/7526-development-battle-pass-vehicles-su-8-en" TargetMode="External"/><Relationship Id="rId73" Type="http://schemas.openxmlformats.org/officeDocument/2006/relationships/hyperlink" Target="https://warthunder.com/en/news/8373-warbonds-armour-breaking-ambusher-warbonds-en" TargetMode="External"/><Relationship Id="rId78" Type="http://schemas.openxmlformats.org/officeDocument/2006/relationships/hyperlink" Target="https://warthunder.com/en/news/7656-warbonds-armored-elephant-warbonds-en" TargetMode="External"/><Relationship Id="rId81" Type="http://schemas.openxmlformats.org/officeDocument/2006/relationships/hyperlink" Target="https://warthunder.com/en/news/7253-battle-pass-season-fearless-voltigeur-en" TargetMode="External"/><Relationship Id="rId86" Type="http://schemas.openxmlformats.org/officeDocument/2006/relationships/hyperlink" Target="https://warthunder.com/en/news/7259-warbonds-fearless-voltigeur-warbonds-en" TargetMode="External"/><Relationship Id="rId4" Type="http://schemas.openxmlformats.org/officeDocument/2006/relationships/hyperlink" Target="https://warthunder.com/en/news/8852-development-battle-pass-vehicles-uss-flagstaff-en" TargetMode="External"/><Relationship Id="rId9" Type="http://schemas.openxmlformats.org/officeDocument/2006/relationships/hyperlink" Target="https://warthunder.com/en/news/8061-development-battle-pass-vehicles-project-183-bm-21-en" TargetMode="External"/><Relationship Id="rId13" Type="http://schemas.openxmlformats.org/officeDocument/2006/relationships/hyperlink" Target="https://warthunder.com/en/news/7520-development-battle-pass-vehicles-mtb-422-en" TargetMode="External"/><Relationship Id="rId18" Type="http://schemas.openxmlformats.org/officeDocument/2006/relationships/hyperlink" Target="https://warthunder.com/en/news/6945-development-battle-pass-in-war-thunder-en" TargetMode="External"/><Relationship Id="rId39" Type="http://schemas.openxmlformats.org/officeDocument/2006/relationships/hyperlink" Target="https://warthunder.com/en/news/8856-development-battle-pass-vehicles-kungstiger-en" TargetMode="External"/><Relationship Id="rId34" Type="http://schemas.openxmlformats.org/officeDocument/2006/relationships/hyperlink" Target="https://warthunder.com/en/news/7143-development-battle-pass-vehicles-m6a2e1-en" TargetMode="External"/><Relationship Id="rId50" Type="http://schemas.openxmlformats.org/officeDocument/2006/relationships/hyperlink" Target="https://warthunder.com/en/news/7247-development-battle-pass-vehicles-a6m6c-en" TargetMode="External"/><Relationship Id="rId55" Type="http://schemas.openxmlformats.org/officeDocument/2006/relationships/hyperlink" Target="https://warthunder.com/en/news/8998-warbonds-war-bonds-skilled-marksman-en" TargetMode="External"/><Relationship Id="rId76" Type="http://schemas.openxmlformats.org/officeDocument/2006/relationships/hyperlink" Target="https://warthunder.com/en/news/7934-warbonds-smell-of-victory-warbonds-en" TargetMode="External"/><Relationship Id="rId7" Type="http://schemas.openxmlformats.org/officeDocument/2006/relationships/hyperlink" Target="https://warthunder.com/en/news/8360-development-battle-pass-vehicles-mc-485-en" TargetMode="External"/><Relationship Id="rId71" Type="http://schemas.openxmlformats.org/officeDocument/2006/relationships/hyperlink" Target="https://warthunder.com/en/news/8705-warbonds-warbonds-for-the-airborne-general-battle-pass-en" TargetMode="External"/><Relationship Id="rId2" Type="http://schemas.openxmlformats.org/officeDocument/2006/relationships/hyperlink" Target="https://warthunder.com/en/news/9130-development-battle-pass-vehicles-murmansk-en" TargetMode="External"/><Relationship Id="rId29" Type="http://schemas.openxmlformats.org/officeDocument/2006/relationships/hyperlink" Target="https://warthunder.com/en/news/7783-development-battle-pass-vehicles-high-altitude-interceptor-bv-155-en" TargetMode="External"/><Relationship Id="rId24" Type="http://schemas.openxmlformats.org/officeDocument/2006/relationships/hyperlink" Target="https://warthunder.com/en/news/8526-development-battle-pass-vehicles-breda-9053-en" TargetMode="External"/><Relationship Id="rId40" Type="http://schemas.openxmlformats.org/officeDocument/2006/relationships/hyperlink" Target="https://warthunder.com/en/news/8700-development-battle-pass-vehicles-m55176-en" TargetMode="External"/><Relationship Id="rId45" Type="http://schemas.openxmlformats.org/officeDocument/2006/relationships/hyperlink" Target="https://warthunder.com/en/news/7923-development-battle-pass-vehicles-lcm-6-f-zippo-en" TargetMode="External"/><Relationship Id="rId66" Type="http://schemas.openxmlformats.org/officeDocument/2006/relationships/hyperlink" Target="https://warthunder.com/en/news/7391-development-battle-pass-vehicles-beaufighter-mk-i-40-mm-en" TargetMode="External"/><Relationship Id="rId87" Type="http://schemas.openxmlformats.org/officeDocument/2006/relationships/hyperlink" Target="https://warthunder.com/en/news/7161-warbonds-strength-athletics-warbonds-en" TargetMode="External"/><Relationship Id="rId61" Type="http://schemas.openxmlformats.org/officeDocument/2006/relationships/hyperlink" Target="https://warthunder.com/en/news/8067-battle-pass-meet-royal-guard-the-10th-season-of-battle-pass-en" TargetMode="External"/><Relationship Id="rId82" Type="http://schemas.openxmlformats.org/officeDocument/2006/relationships/hyperlink" Target="https://warthunder.com/en/news/7150-battle-pass-strength-athletics-season-en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warthunder.com/en/news/206/current" TargetMode="External"/><Relationship Id="rId170" Type="http://schemas.openxmlformats.org/officeDocument/2006/relationships/hyperlink" Target="https://warthunder.com/en/news/914/current" TargetMode="External"/><Relationship Id="rId268" Type="http://schemas.openxmlformats.org/officeDocument/2006/relationships/hyperlink" Target="https://warthunder.com/en/news/2779/current" TargetMode="External"/><Relationship Id="rId475" Type="http://schemas.openxmlformats.org/officeDocument/2006/relationships/hyperlink" Target="https://warthunder.com/en/news/6406-people-s-republic-of-china-70th-anniversary-en" TargetMode="External"/><Relationship Id="rId682" Type="http://schemas.openxmlformats.org/officeDocument/2006/relationships/hyperlink" Target="https://warthunder.com/en/news/7888-event-pages-of-history-october-en" TargetMode="External"/><Relationship Id="rId128" Type="http://schemas.openxmlformats.org/officeDocument/2006/relationships/hyperlink" Target="https://warthunder.com/en/news/641/current" TargetMode="External"/><Relationship Id="rId335" Type="http://schemas.openxmlformats.org/officeDocument/2006/relationships/hyperlink" Target="https://warthunder.com/en/news/4286-event-large-calibres-and-rocket-science-en" TargetMode="External"/><Relationship Id="rId542" Type="http://schemas.openxmlformats.org/officeDocument/2006/relationships/hyperlink" Target="https://warthunder.com/en/news/7242-special-happy-bastille-day-en" TargetMode="External"/><Relationship Id="rId987" Type="http://schemas.openxmlformats.org/officeDocument/2006/relationships/hyperlink" Target="https://warthunder.com/ru/news/16857-akcia-den-rossii-ru" TargetMode="External"/><Relationship Id="rId402" Type="http://schemas.openxmlformats.org/officeDocument/2006/relationships/hyperlink" Target="https://warthunder.com/en/news/5242-happy-new-year-en" TargetMode="External"/><Relationship Id="rId847" Type="http://schemas.openxmlformats.org/officeDocument/2006/relationships/hyperlink" Target="https://warthunder.com/en/news/8467-special-the-yp-38-is-back-for-the-anniversary-of-its-first-flight-en" TargetMode="External"/><Relationship Id="rId1032" Type="http://schemas.openxmlformats.org/officeDocument/2006/relationships/hyperlink" Target="https://warthunder.com/en/news/9032-shop-prinz-eugen-temporarily-returns-to-celebrate-the-anniversary-of-its-launch-en" TargetMode="External"/><Relationship Id="rId707" Type="http://schemas.openxmlformats.org/officeDocument/2006/relationships/hyperlink" Target="https://warthunder.com/en/news/8035-special-new-year-with-war-thunder-en" TargetMode="External"/><Relationship Id="rId914" Type="http://schemas.openxmlformats.org/officeDocument/2006/relationships/hyperlink" Target="https://warthunder.com/en/news/8680-event-pages-of-history-january-ace-in-a-day-en" TargetMode="External"/><Relationship Id="rId43" Type="http://schemas.openxmlformats.org/officeDocument/2006/relationships/hyperlink" Target="https://warthunder.com/en/news/305/current" TargetMode="External"/><Relationship Id="rId192" Type="http://schemas.openxmlformats.org/officeDocument/2006/relationships/hyperlink" Target="https://warthunder.com/en/news/2723/current" TargetMode="External"/><Relationship Id="rId497" Type="http://schemas.openxmlformats.org/officeDocument/2006/relationships/hyperlink" Target="https://warthunder.com/en/news/6680-happy-cosmonautic-day-en" TargetMode="External"/><Relationship Id="rId357" Type="http://schemas.openxmlformats.org/officeDocument/2006/relationships/hyperlink" Target="https://warthunder.com/en/news/4618-news-modern-tanks-and-helicopters-arrive-on-war-thunder-s-frontlines-en" TargetMode="External"/><Relationship Id="rId217" Type="http://schemas.openxmlformats.org/officeDocument/2006/relationships/hyperlink" Target="https://warthunder.com/en/news/2944/current" TargetMode="External"/><Relationship Id="rId564" Type="http://schemas.openxmlformats.org/officeDocument/2006/relationships/hyperlink" Target="https://warthunder.com/en/news/7459-special-attack-on-pearl-harbor-en" TargetMode="External"/><Relationship Id="rId771" Type="http://schemas.openxmlformats.org/officeDocument/2006/relationships/hyperlink" Target="https://warthunder.com/en/news/8214-special-koi-and-golden-week-in-japan-en" TargetMode="External"/><Relationship Id="rId869" Type="http://schemas.openxmlformats.org/officeDocument/2006/relationships/hyperlink" Target="https://warthunder.com/en/news/8551-special-republic-of-turkey-100th-anniversary-a-decal-and-the-t129-atak-is-back-en" TargetMode="External"/><Relationship Id="rId424" Type="http://schemas.openxmlformats.org/officeDocument/2006/relationships/hyperlink" Target="https://warthunder.com/en/news/5624-event-a-fiery-ball-football-competition-for-tanks-update-en" TargetMode="External"/><Relationship Id="rId631" Type="http://schemas.openxmlformats.org/officeDocument/2006/relationships/hyperlink" Target="https://warthunder.com/en/news/7751-special-bundeswehr-day-en" TargetMode="External"/><Relationship Id="rId729" Type="http://schemas.openxmlformats.org/officeDocument/2006/relationships/hyperlink" Target="https://warthunder.com/en/news/8059-shop-special-happy-lunar-new-year-en" TargetMode="External"/><Relationship Id="rId1054" Type="http://schemas.openxmlformats.org/officeDocument/2006/relationships/hyperlink" Target="https://warthunder.com/en/news/9111-event-pages-of-history-october-pacific-ace-en" TargetMode="External"/><Relationship Id="rId936" Type="http://schemas.openxmlformats.org/officeDocument/2006/relationships/hyperlink" Target="https://warthunder.com/en/news/8763-special-st-davids-day-the-flag-of-wales-temporarily-returns-en" TargetMode="External"/><Relationship Id="rId1121" Type="http://schemas.openxmlformats.org/officeDocument/2006/relationships/hyperlink" Target="https://warthunder.com/en/news/9302-event-pages-of-history-january-defender-of-leningrad-en" TargetMode="External"/><Relationship Id="rId65" Type="http://schemas.openxmlformats.org/officeDocument/2006/relationships/hyperlink" Target="https://warthunder.com/en/news/395/current" TargetMode="External"/><Relationship Id="rId281" Type="http://schemas.openxmlformats.org/officeDocument/2006/relationships/hyperlink" Target="https://warthunder.com/en/news/3502/current" TargetMode="External"/><Relationship Id="rId141" Type="http://schemas.openxmlformats.org/officeDocument/2006/relationships/hyperlink" Target="https://warthunder.com/en/news/739/current" TargetMode="External"/><Relationship Id="rId379" Type="http://schemas.openxmlformats.org/officeDocument/2006/relationships/hyperlink" Target="https://warthunder.com/en/news/4464-event-airfield-assault-and-defense-stalingrad-enduring-confrontation-english-channel-en" TargetMode="External"/><Relationship Id="rId586" Type="http://schemas.openxmlformats.org/officeDocument/2006/relationships/hyperlink" Target="https://warthunder.com/en/news/7552-special-channel-dash-en" TargetMode="External"/><Relationship Id="rId793" Type="http://schemas.openxmlformats.org/officeDocument/2006/relationships/hyperlink" Target="https://warthunder.com/en/news/8281-event-pages-of-history-june-en" TargetMode="External"/><Relationship Id="rId7" Type="http://schemas.openxmlformats.org/officeDocument/2006/relationships/hyperlink" Target="https://warthunder.com/en/news/104/current" TargetMode="External"/><Relationship Id="rId239" Type="http://schemas.openxmlformats.org/officeDocument/2006/relationships/hyperlink" Target="https://warthunder.com/en/news/3240/current" TargetMode="External"/><Relationship Id="rId446" Type="http://schemas.openxmlformats.org/officeDocument/2006/relationships/hyperlink" Target="https://warthunder.com/en/news/5426-event-hats-off-to-you-en" TargetMode="External"/><Relationship Id="rId653" Type="http://schemas.openxmlformats.org/officeDocument/2006/relationships/hyperlink" Target="https://warthunder.com/en/news/7789-event-pages-of-history-august-en" TargetMode="External"/><Relationship Id="rId1076" Type="http://schemas.openxmlformats.org/officeDocument/2006/relationships/hyperlink" Target="https://warthunder.com/en/news/9189-shop-the-he-219-a-7-is-temporarily-available-on-the-anniversary-of-its-first-flight-en" TargetMode="External"/><Relationship Id="rId306" Type="http://schemas.openxmlformats.org/officeDocument/2006/relationships/hyperlink" Target="https://warthunder.com/en/news/3809-event-boulogne-sur-mer-en" TargetMode="External"/><Relationship Id="rId860" Type="http://schemas.openxmlformats.org/officeDocument/2006/relationships/hyperlink" Target="https://warthunder.com/en/news/8495-event-pages-of-history-october-en" TargetMode="External"/><Relationship Id="rId958" Type="http://schemas.openxmlformats.org/officeDocument/2006/relationships/hyperlink" Target="https://warthunder.com/en/news/8832-event-pages-of-history-april-for-zoya-en" TargetMode="External"/><Relationship Id="rId87" Type="http://schemas.openxmlformats.org/officeDocument/2006/relationships/hyperlink" Target="https://warthunder.com/en/news/467/current" TargetMode="External"/><Relationship Id="rId513" Type="http://schemas.openxmlformats.org/officeDocument/2006/relationships/hyperlink" Target="https://warthunder.com/en/news/6885-special-german-unity-day-en" TargetMode="External"/><Relationship Id="rId720" Type="http://schemas.openxmlformats.org/officeDocument/2006/relationships/hyperlink" Target="https://warthunder.com/en/news/8056-special-swedish-armed-forces-day-en" TargetMode="External"/><Relationship Id="rId818" Type="http://schemas.openxmlformats.org/officeDocument/2006/relationships/hyperlink" Target="https://warthunder.com/en/news/8356-special-a-decal-and-two-aircraft-for-bastille-day-en" TargetMode="External"/><Relationship Id="rId1003" Type="http://schemas.openxmlformats.org/officeDocument/2006/relationships/hyperlink" Target="https://warthunder.com/en/news/8968-shop-founding-of-the-south-african-national-defence-force-rooikat-105-returns-for-golden-eagles-en" TargetMode="External"/><Relationship Id="rId14" Type="http://schemas.openxmlformats.org/officeDocument/2006/relationships/hyperlink" Target="https://warthunder.com/en/news/157/current" TargetMode="External"/><Relationship Id="rId163" Type="http://schemas.openxmlformats.org/officeDocument/2006/relationships/hyperlink" Target="https://warthunder.com/en/news/876/current" TargetMode="External"/><Relationship Id="rId370" Type="http://schemas.openxmlformats.org/officeDocument/2006/relationships/hyperlink" Target="https://warthunder.com/en/news/4826-event-total-domination-en" TargetMode="External"/><Relationship Id="rId230" Type="http://schemas.openxmlformats.org/officeDocument/2006/relationships/hyperlink" Target="https://warthunder.com/en/news/2981/current" TargetMode="External"/><Relationship Id="rId468" Type="http://schemas.openxmlformats.org/officeDocument/2006/relationships/hyperlink" Target="https://warthunder.com/en/news/6277-news-bastille-day-special-vive-la-france-en" TargetMode="External"/><Relationship Id="rId675" Type="http://schemas.openxmlformats.org/officeDocument/2006/relationships/hyperlink" Target="https://warthunder.com/en/news/7888-event-pages-of-history-october-en" TargetMode="External"/><Relationship Id="rId882" Type="http://schemas.openxmlformats.org/officeDocument/2006/relationships/hyperlink" Target="https://warthunder.com/en/news/8599-shop-black-friday-bundle-en" TargetMode="External"/><Relationship Id="rId1098" Type="http://schemas.openxmlformats.org/officeDocument/2006/relationships/hyperlink" Target="https://warthunder.com/en/news/9240-event-pages-of-history-december-world-champion-en" TargetMode="External"/><Relationship Id="rId328" Type="http://schemas.openxmlformats.org/officeDocument/2006/relationships/hyperlink" Target="https://warthunder.com/en/news/4286-event-large-calibres-and-rocket-science-en" TargetMode="External"/><Relationship Id="rId535" Type="http://schemas.openxmlformats.org/officeDocument/2006/relationships/hyperlink" Target="https://old-forum.warthunder.com/index.php?/topic/520932-happy-easter/" TargetMode="External"/><Relationship Id="rId742" Type="http://schemas.openxmlformats.org/officeDocument/2006/relationships/hyperlink" Target="https://warthunder.com/en/news/8124-event-pages-of-history-march-en" TargetMode="External"/><Relationship Id="rId602" Type="http://schemas.openxmlformats.org/officeDocument/2006/relationships/hyperlink" Target="https://warthunder.com/en/news/7629-event-pages-of-history-april-en" TargetMode="External"/><Relationship Id="rId1025" Type="http://schemas.openxmlformats.org/officeDocument/2006/relationships/hyperlink" Target="https://warthunder.com/ru/news/16933-akcia-polucite-ceremonialnyj-sevron-na-den-vks-rossii-ru" TargetMode="External"/><Relationship Id="rId241" Type="http://schemas.openxmlformats.org/officeDocument/2006/relationships/hyperlink" Target="https://warthunder.com/en/news/3206/current" TargetMode="External"/><Relationship Id="rId479" Type="http://schemas.openxmlformats.org/officeDocument/2006/relationships/hyperlink" Target="https://warthunder.com/en/news/6475-news-101st-anniversary-of-poland-regaining-independence-en" TargetMode="External"/><Relationship Id="rId686" Type="http://schemas.openxmlformats.org/officeDocument/2006/relationships/hyperlink" Target="https://warthunder.com/en/news/7955-special-italian-national-unity-and-armed-forces-day-en" TargetMode="External"/><Relationship Id="rId893" Type="http://schemas.openxmlformats.org/officeDocument/2006/relationships/hyperlink" Target="https://warthunder.com/en/news/8602-event-pages-of-history-december-the-heroic-nurse-en" TargetMode="External"/><Relationship Id="rId907" Type="http://schemas.openxmlformats.org/officeDocument/2006/relationships/hyperlink" Target="https://warthunder.com/en/news/8680-event-pages-of-history-january-ace-in-a-day-en" TargetMode="External"/><Relationship Id="rId36" Type="http://schemas.openxmlformats.org/officeDocument/2006/relationships/hyperlink" Target="https://warthunder.com/en/news/278/current" TargetMode="External"/><Relationship Id="rId339" Type="http://schemas.openxmlformats.org/officeDocument/2006/relationships/hyperlink" Target="http://web.archive.org/web/20161031014851/https:/warthunder.com/en/news/4308-shop-clearance-sale-in-the-store-50-discount-en/" TargetMode="External"/><Relationship Id="rId546" Type="http://schemas.openxmlformats.org/officeDocument/2006/relationships/hyperlink" Target="https://warthunder.com/en/news/7279-special-day-of-the-russian-aerospace-forces-en" TargetMode="External"/><Relationship Id="rId753" Type="http://schemas.openxmlformats.org/officeDocument/2006/relationships/hyperlink" Target="https://warthunder.com/en/news/8124-event-pages-of-history-march-en" TargetMode="External"/><Relationship Id="rId101" Type="http://schemas.openxmlformats.org/officeDocument/2006/relationships/hyperlink" Target="https://warthunder.com/en/news/511/current" TargetMode="External"/><Relationship Id="rId185" Type="http://schemas.openxmlformats.org/officeDocument/2006/relationships/hyperlink" Target="https://warthunder.com/en/news/2649/current" TargetMode="External"/><Relationship Id="rId406" Type="http://schemas.openxmlformats.org/officeDocument/2006/relationships/hyperlink" Target="https://warthunder.com/en/news/5295-event-battle-for-stalingrad-en" TargetMode="External"/><Relationship Id="rId960" Type="http://schemas.openxmlformats.org/officeDocument/2006/relationships/hyperlink" Target="https://warthunder.com/en/news/8862-special-st-georges-day-englands-flag-temporarily-returns-en" TargetMode="External"/><Relationship Id="rId1036" Type="http://schemas.openxmlformats.org/officeDocument/2006/relationships/hyperlink" Target="https://warthunder.com/en/news/9038-event-pages-of-history-september-attacker-ace-en" TargetMode="External"/><Relationship Id="rId392" Type="http://schemas.openxmlformats.org/officeDocument/2006/relationships/hyperlink" Target="https://warthunder.com/en/news/5226-special-festivities-in-war-thunder-en" TargetMode="External"/><Relationship Id="rId613" Type="http://schemas.openxmlformats.org/officeDocument/2006/relationships/hyperlink" Target="https://warthunder.com/en/news/7664-event-pages-of-history-may-en" TargetMode="External"/><Relationship Id="rId697" Type="http://schemas.openxmlformats.org/officeDocument/2006/relationships/hyperlink" Target="https://warthunder.com/en/news/7926-event-pages-of-history-november-en" TargetMode="External"/><Relationship Id="rId820" Type="http://schemas.openxmlformats.org/officeDocument/2006/relationships/hyperlink" Target="https://warthunder.com/en/news/8364-special-hunter-fga-9-celebrates-the-anniversary-of-its-first-flight-en" TargetMode="External"/><Relationship Id="rId918" Type="http://schemas.openxmlformats.org/officeDocument/2006/relationships/hyperlink" Target="https://warthunder.com/en/news/8680-event-pages-of-history-january-ace-in-a-day-en" TargetMode="External"/><Relationship Id="rId252" Type="http://schemas.openxmlformats.org/officeDocument/2006/relationships/hyperlink" Target="https://warthunder.com/en/news/3309/current" TargetMode="External"/><Relationship Id="rId1103" Type="http://schemas.openxmlformats.org/officeDocument/2006/relationships/hyperlink" Target="https://warthunder.com/en/news/8932-event-shop-celebrate-the-80th-anniversary-of-d-day-in-war-thunder-en" TargetMode="External"/><Relationship Id="rId47" Type="http://schemas.openxmlformats.org/officeDocument/2006/relationships/hyperlink" Target="https://warthunder.com/en/news/318/current" TargetMode="External"/><Relationship Id="rId112" Type="http://schemas.openxmlformats.org/officeDocument/2006/relationships/hyperlink" Target="https://warthunder.com/en/news/560/current" TargetMode="External"/><Relationship Id="rId557" Type="http://schemas.openxmlformats.org/officeDocument/2006/relationships/hyperlink" Target="https://warthunder.com/en/news/7419-special-103-year-anniversary-of-poland-regaining-independence-en" TargetMode="External"/><Relationship Id="rId764" Type="http://schemas.openxmlformats.org/officeDocument/2006/relationships/hyperlink" Target="https://warthunder.com/en/news/8194-special-vasily-matsievich-s-birthday-en" TargetMode="External"/><Relationship Id="rId971" Type="http://schemas.openxmlformats.org/officeDocument/2006/relationships/hyperlink" Target="https://warthunder.com/en/news/8871-event-pages-of-history-may-for-victory-en" TargetMode="External"/><Relationship Id="rId196" Type="http://schemas.openxmlformats.org/officeDocument/2006/relationships/hyperlink" Target="https://warthunder.com/en/news/659--en" TargetMode="External"/><Relationship Id="rId417" Type="http://schemas.openxmlformats.org/officeDocument/2006/relationships/hyperlink" Target="https://warthunder.com/en/news/5494-victory-day-with-war-thunder-en" TargetMode="External"/><Relationship Id="rId624" Type="http://schemas.openxmlformats.org/officeDocument/2006/relationships/hyperlink" Target="https://warthunder.com/en/news/7733-special-italian-navy-day-en" TargetMode="External"/><Relationship Id="rId831" Type="http://schemas.openxmlformats.org/officeDocument/2006/relationships/hyperlink" Target="https://warthunder.com/en/news/8396-special-the-cuban-mig-17as-is-back-for-ge-and-a-russian-air-force-decal-en" TargetMode="External"/><Relationship Id="rId1047" Type="http://schemas.openxmlformats.org/officeDocument/2006/relationships/hyperlink" Target="https://warthunder.com/en/news/9096-shop-special-a-new-decal-two-fighters-a-discount-to-celebrate-the-us-air-forces-birthday-en" TargetMode="External"/><Relationship Id="rId263" Type="http://schemas.openxmlformats.org/officeDocument/2006/relationships/hyperlink" Target="https://warthunder.com/en/news/3455/current" TargetMode="External"/><Relationship Id="rId470" Type="http://schemas.openxmlformats.org/officeDocument/2006/relationships/hyperlink" Target="https://warthunder.com/en/news/6315-event-russian-air-force-day-en" TargetMode="External"/><Relationship Id="rId929" Type="http://schemas.openxmlformats.org/officeDocument/2006/relationships/hyperlink" Target="https://warthunder.com/en/news/8745-shop-the-bo-105-cb-2-temporarily-returns-on-the-anniversary-of-its-first-flight-en" TargetMode="External"/><Relationship Id="rId1114" Type="http://schemas.openxmlformats.org/officeDocument/2006/relationships/hyperlink" Target="https://warthunder.com/en/news/9302-event-pages-of-history-january-defender-of-leningrad-en" TargetMode="External"/><Relationship Id="rId58" Type="http://schemas.openxmlformats.org/officeDocument/2006/relationships/hyperlink" Target="https://warthunder.com/en/news/360/current" TargetMode="External"/><Relationship Id="rId123" Type="http://schemas.openxmlformats.org/officeDocument/2006/relationships/hyperlink" Target="https://warthunder.com/en/news/604/current" TargetMode="External"/><Relationship Id="rId330" Type="http://schemas.openxmlformats.org/officeDocument/2006/relationships/hyperlink" Target="https://warthunder.com/en/news/4414/current/direct/https:/warthunder.com/en/news/4414/current/direct/" TargetMode="External"/><Relationship Id="rId568" Type="http://schemas.openxmlformats.org/officeDocument/2006/relationships/hyperlink" Target="https://warthunder.com/en/news/7493-special-the-first-combat-mission-of-the-flying-tigers-en" TargetMode="External"/><Relationship Id="rId775" Type="http://schemas.openxmlformats.org/officeDocument/2006/relationships/hyperlink" Target="https://warthunder.com/en/news/8208-event-pages-of-history-may-en" TargetMode="External"/><Relationship Id="rId982" Type="http://schemas.openxmlformats.org/officeDocument/2006/relationships/hyperlink" Target="https://warthunder.com/en/news/8915-special-canadian-armed-forces-day-get-yourself-a-decal-en" TargetMode="External"/><Relationship Id="rId428" Type="http://schemas.openxmlformats.org/officeDocument/2006/relationships/hyperlink" Target="https://warthunder.com/en/news/5771-event-participate-in-the-battle-of-britain-en" TargetMode="External"/><Relationship Id="rId635" Type="http://schemas.openxmlformats.org/officeDocument/2006/relationships/hyperlink" Target="https://warthunder.com/en/news/7760-special-canada-day-en" TargetMode="External"/><Relationship Id="rId842" Type="http://schemas.openxmlformats.org/officeDocument/2006/relationships/hyperlink" Target="https://warthunder.com/en/news/8426-event-pages-of-history-september-en" TargetMode="External"/><Relationship Id="rId1058" Type="http://schemas.openxmlformats.org/officeDocument/2006/relationships/hyperlink" Target="https://warthunder.com/en/news/9123-shop-hms-iron-duke-is-back-on-the-anniversary-of-its-launch-en" TargetMode="External"/><Relationship Id="rId274" Type="http://schemas.openxmlformats.org/officeDocument/2006/relationships/hyperlink" Target="https://warthunder.com/en/news/2911/current" TargetMode="External"/><Relationship Id="rId481" Type="http://schemas.openxmlformats.org/officeDocument/2006/relationships/hyperlink" Target="https://warthunder.com/en/news/6541-christmas-wishes-en" TargetMode="External"/><Relationship Id="rId702" Type="http://schemas.openxmlformats.org/officeDocument/2006/relationships/hyperlink" Target="https://warthunder.com/en/news/7981-event-pages-of-history-december-en" TargetMode="External"/><Relationship Id="rId1125" Type="http://schemas.openxmlformats.org/officeDocument/2006/relationships/hyperlink" Target="https://warthunder.com/en/news/9349-event-pages-of-history-february-the-big-chief-en" TargetMode="External"/><Relationship Id="rId69" Type="http://schemas.openxmlformats.org/officeDocument/2006/relationships/hyperlink" Target="https://warthunder.com/en/news/409/current" TargetMode="External"/><Relationship Id="rId134" Type="http://schemas.openxmlformats.org/officeDocument/2006/relationships/hyperlink" Target="https://warthunder.com/en/news/695/current" TargetMode="External"/><Relationship Id="rId579" Type="http://schemas.openxmlformats.org/officeDocument/2006/relationships/hyperlink" Target="https://warthunder.com/en/news/7516-special-birthday-of-the-mig-17-en" TargetMode="External"/><Relationship Id="rId786" Type="http://schemas.openxmlformats.org/officeDocument/2006/relationships/hyperlink" Target="https://warthunder.com/en/news/8274-special-legendary-spg-for-the-swedish-home-guard-day-en" TargetMode="External"/><Relationship Id="rId993" Type="http://schemas.openxmlformats.org/officeDocument/2006/relationships/hyperlink" Target="https://warthunder.com/en/news/8913-event-pages-of-history-june-the-military-engineer-en" TargetMode="External"/><Relationship Id="rId341" Type="http://schemas.openxmlformats.org/officeDocument/2006/relationships/hyperlink" Target="https://warthunder.com/en/news/4370-event-battle-for-moscow-en" TargetMode="External"/><Relationship Id="rId439" Type="http://schemas.openxmlformats.org/officeDocument/2006/relationships/hyperlink" Target="https://warthunder.com/en/news/5967-news-festivities-in-war-thunder-en" TargetMode="External"/><Relationship Id="rId646" Type="http://schemas.openxmlformats.org/officeDocument/2006/relationships/hyperlink" Target="https://warthunder.com/en/news/7755-event-pages-of-history-july-en" TargetMode="External"/><Relationship Id="rId1069" Type="http://schemas.openxmlformats.org/officeDocument/2006/relationships/hyperlink" Target="https://warthunder.com/en/news/9160-shop-the-j35a-draken-temporarily-returns-at-a-discount-for-the-anniversary-of-its-first-flight-en" TargetMode="External"/><Relationship Id="rId201" Type="http://schemas.openxmlformats.org/officeDocument/2006/relationships/hyperlink" Target="https://warthunder.com/en/news/577/current" TargetMode="External"/><Relationship Id="rId285" Type="http://schemas.openxmlformats.org/officeDocument/2006/relationships/hyperlink" Target="https://warthunder.com/en/news/3562-special-valentine-s-day-in-war-thunder-en" TargetMode="External"/><Relationship Id="rId506" Type="http://schemas.openxmlformats.org/officeDocument/2006/relationships/hyperlink" Target="https://warthunder.com/en/news/6796-special-happy-bastille-day-en" TargetMode="External"/><Relationship Id="rId853" Type="http://schemas.openxmlformats.org/officeDocument/2006/relationships/hyperlink" Target="https://warthunder.com/en/news/8426-event-pages-of-history-september-en" TargetMode="External"/><Relationship Id="rId492" Type="http://schemas.openxmlformats.org/officeDocument/2006/relationships/hyperlink" Target="https://warthunder.com/en/news/6588-event-defender-of-the-fatherland-en" TargetMode="External"/><Relationship Id="rId713" Type="http://schemas.openxmlformats.org/officeDocument/2006/relationships/hyperlink" Target="https://warthunder.com/en/news/7978-special-80th-anniversary-of-the-normandie-niemen-regiment-en" TargetMode="External"/><Relationship Id="rId797" Type="http://schemas.openxmlformats.org/officeDocument/2006/relationships/hyperlink" Target="https://warthunder.com/en/news/8323-special-two-ships-and-a-decal-for-german-navy-day-en" TargetMode="External"/><Relationship Id="rId920" Type="http://schemas.openxmlformats.org/officeDocument/2006/relationships/hyperlink" Target="https://warthunder.com/en/news/8713-event-pages-of-history-february-through-a-storm-en" TargetMode="External"/><Relationship Id="rId145" Type="http://schemas.openxmlformats.org/officeDocument/2006/relationships/hyperlink" Target="https://warthunder.com/en/news/775/current" TargetMode="External"/><Relationship Id="rId352" Type="http://schemas.openxmlformats.org/officeDocument/2006/relationships/hyperlink" Target="https://warthunder.com/en/news/4554-event-spitfire-day-in-honor-of-the-first-flight-en" TargetMode="External"/><Relationship Id="rId212" Type="http://schemas.openxmlformats.org/officeDocument/2006/relationships/hyperlink" Target="https://warthunder.com/en/news/2875/current" TargetMode="External"/><Relationship Id="rId657" Type="http://schemas.openxmlformats.org/officeDocument/2006/relationships/hyperlink" Target="https://warthunder.com/en/news/7789-event-pages-of-history-august-en" TargetMode="External"/><Relationship Id="rId864" Type="http://schemas.openxmlformats.org/officeDocument/2006/relationships/hyperlink" Target="https://warthunder.com/en/news/8519-special-vautour-iin-returns-for-the-anniversary-of-its-maiden-flight-en" TargetMode="External"/><Relationship Id="rId296" Type="http://schemas.openxmlformats.org/officeDocument/2006/relationships/hyperlink" Target="https://warthunder.com/en/news/3712-special-victory-day-specials-in-war-thunder-en" TargetMode="External"/><Relationship Id="rId517" Type="http://schemas.openxmlformats.org/officeDocument/2006/relationships/hyperlink" Target="https://warthunder.com/en/news/6938-event-102-year-anniversary-of-poland-regaining-independence-en" TargetMode="External"/><Relationship Id="rId724" Type="http://schemas.openxmlformats.org/officeDocument/2006/relationships/hyperlink" Target="https://warthunder.com/en/news/8069-special-australia-day-en" TargetMode="External"/><Relationship Id="rId931" Type="http://schemas.openxmlformats.org/officeDocument/2006/relationships/hyperlink" Target="https://warthunder.com/en/news/8713-event-pages-of-history-february-through-a-storm-en" TargetMode="External"/><Relationship Id="rId60" Type="http://schemas.openxmlformats.org/officeDocument/2006/relationships/hyperlink" Target="https://warthunder.com/en/news/365/current" TargetMode="External"/><Relationship Id="rId156" Type="http://schemas.openxmlformats.org/officeDocument/2006/relationships/hyperlink" Target="https://warthunder.com/en/news/849/current" TargetMode="External"/><Relationship Id="rId363" Type="http://schemas.openxmlformats.org/officeDocument/2006/relationships/hyperlink" Target="https://warthunder.com/en/news/4754-event-invasion-of-normandy-en" TargetMode="External"/><Relationship Id="rId570" Type="http://schemas.openxmlformats.org/officeDocument/2006/relationships/hyperlink" Target="https://warthunder.com/en/news/7503-special-battle-of-the-kerch-peninsula-en" TargetMode="External"/><Relationship Id="rId1007" Type="http://schemas.openxmlformats.org/officeDocument/2006/relationships/hyperlink" Target="https://warthunder.com/en/news/8964-event-pages-of-history-july-the-jumping-general-en" TargetMode="External"/><Relationship Id="rId223" Type="http://schemas.openxmlformats.org/officeDocument/2006/relationships/hyperlink" Target="https://warthunder.com/en/news/3072/current" TargetMode="External"/><Relationship Id="rId430" Type="http://schemas.openxmlformats.org/officeDocument/2006/relationships/hyperlink" Target="https://warthunder.com/en/news/5856-event-halloween-in-war-thunder-en" TargetMode="External"/><Relationship Id="rId668" Type="http://schemas.openxmlformats.org/officeDocument/2006/relationships/hyperlink" Target="https://warthunder.com/en/news/7837-event-pages-of-history-september-en" TargetMode="External"/><Relationship Id="rId875" Type="http://schemas.openxmlformats.org/officeDocument/2006/relationships/hyperlink" Target="https://warthunder.com/en/news/8549-event-pages-of-history-november-en" TargetMode="External"/><Relationship Id="rId1060" Type="http://schemas.openxmlformats.org/officeDocument/2006/relationships/hyperlink" Target="https://warthunder.com/en/news/9111-event-pages-of-history-october-pacific-ace-en" TargetMode="External"/><Relationship Id="rId18" Type="http://schemas.openxmlformats.org/officeDocument/2006/relationships/hyperlink" Target="https://warthunder.com/en/news/170/current" TargetMode="External"/><Relationship Id="rId528" Type="http://schemas.openxmlformats.org/officeDocument/2006/relationships/hyperlink" Target="https://warthunder.com/en/news/7054-event-defender-of-the-fatherland-en" TargetMode="External"/><Relationship Id="rId735" Type="http://schemas.openxmlformats.org/officeDocument/2006/relationships/hyperlink" Target="https://warthunder.com/en/news/8098-special-first-flight-of-the-bo-105-en" TargetMode="External"/><Relationship Id="rId942" Type="http://schemas.openxmlformats.org/officeDocument/2006/relationships/hyperlink" Target="https://warthunder.com/en/news/8761-event-pages-of-history-march-on-wings-of-war-en" TargetMode="External"/><Relationship Id="rId167" Type="http://schemas.openxmlformats.org/officeDocument/2006/relationships/hyperlink" Target="https://warthunder.com/en/news/903/current" TargetMode="External"/><Relationship Id="rId374" Type="http://schemas.openxmlformats.org/officeDocument/2006/relationships/hyperlink" Target="https://warthunder.com/en/news/4941-event-wingball-en" TargetMode="External"/><Relationship Id="rId581" Type="http://schemas.openxmlformats.org/officeDocument/2006/relationships/hyperlink" Target="https://warthunder.com/en/news/7532-special-australia-day-en" TargetMode="External"/><Relationship Id="rId1018" Type="http://schemas.openxmlformats.org/officeDocument/2006/relationships/hyperlink" Target="https://warthunder.com/en/news/8964-event-pages-of-history-july-the-jumping-general-en" TargetMode="External"/><Relationship Id="rId71" Type="http://schemas.openxmlformats.org/officeDocument/2006/relationships/hyperlink" Target="https://warthunder.com/en/news/421/current" TargetMode="External"/><Relationship Id="rId234" Type="http://schemas.openxmlformats.org/officeDocument/2006/relationships/hyperlink" Target="https://warthunder.com/en/news/3156/current" TargetMode="External"/><Relationship Id="rId679" Type="http://schemas.openxmlformats.org/officeDocument/2006/relationships/hyperlink" Target="https://warthunder.com/en/news/7888-event-pages-of-history-october-en" TargetMode="External"/><Relationship Id="rId802" Type="http://schemas.openxmlformats.org/officeDocument/2006/relationships/hyperlink" Target="https://warthunder.com/en/news/8281-event-pages-of-history-june-en" TargetMode="External"/><Relationship Id="rId886" Type="http://schemas.openxmlformats.org/officeDocument/2006/relationships/hyperlink" Target="https://warthunder.com/en/news/8549-event-pages-of-history-november-en" TargetMode="External"/><Relationship Id="rId2" Type="http://schemas.openxmlformats.org/officeDocument/2006/relationships/hyperlink" Target="https://warthunder.com/en/news/63/current" TargetMode="External"/><Relationship Id="rId29" Type="http://schemas.openxmlformats.org/officeDocument/2006/relationships/hyperlink" Target="https://warthunder.com/en/news/253/current" TargetMode="External"/><Relationship Id="rId441" Type="http://schemas.openxmlformats.org/officeDocument/2006/relationships/hyperlink" Target="https://warthunder.com/en/news/5985-news-year-2018-in-war-thunder-en" TargetMode="External"/><Relationship Id="rId539" Type="http://schemas.openxmlformats.org/officeDocument/2006/relationships/hyperlink" Target="https://warthunder.com/en/news/7222-shop-summer-sale-in-the-gaijin-store-en" TargetMode="External"/><Relationship Id="rId746" Type="http://schemas.openxmlformats.org/officeDocument/2006/relationships/hyperlink" Target="https://warthunder.com/en/news/8124-event-pages-of-history-march-en" TargetMode="External"/><Relationship Id="rId1071" Type="http://schemas.openxmlformats.org/officeDocument/2006/relationships/hyperlink" Target="https://warthunder.com/en/news/9155-special-halloween-in-war-thunder-en" TargetMode="External"/><Relationship Id="rId178" Type="http://schemas.openxmlformats.org/officeDocument/2006/relationships/hyperlink" Target="https://warthunder.com/en/news/2623/current" TargetMode="External"/><Relationship Id="rId301" Type="http://schemas.openxmlformats.org/officeDocument/2006/relationships/hyperlink" Target="https://warthunder.com/en/news/3784-event-beginning-of-the-korean-war-en" TargetMode="External"/><Relationship Id="rId953" Type="http://schemas.openxmlformats.org/officeDocument/2006/relationships/hyperlink" Target="https://warthunder.com/en/news/8832-event-pages-of-history-april-for-zoya-en" TargetMode="External"/><Relationship Id="rId1029" Type="http://schemas.openxmlformats.org/officeDocument/2006/relationships/hyperlink" Target="https://warthunder.com/en/news/9024-shop-special-us-airborne-day-get-yourself-a-new-decal-the-uh-1c-xm-30-en" TargetMode="External"/><Relationship Id="rId82" Type="http://schemas.openxmlformats.org/officeDocument/2006/relationships/hyperlink" Target="https://warthunder.com/en/news/458/current" TargetMode="External"/><Relationship Id="rId385" Type="http://schemas.openxmlformats.org/officeDocument/2006/relationships/hyperlink" Target="https://warthunder.com/en/news/5139-special-75th-anniversary-of-the-normandie-niemen-en" TargetMode="External"/><Relationship Id="rId592" Type="http://schemas.openxmlformats.org/officeDocument/2006/relationships/hyperlink" Target="https://warthunder.com/en/news/7575-special-spitfire-mk-ix-first-flight-en" TargetMode="External"/><Relationship Id="rId606" Type="http://schemas.openxmlformats.org/officeDocument/2006/relationships/hyperlink" Target="https://warthunder.com/en/news/7667-special-polish-constitution-day-en" TargetMode="External"/><Relationship Id="rId813" Type="http://schemas.openxmlformats.org/officeDocument/2006/relationships/hyperlink" Target="https://warthunder.com/en/news/8349-special-a-decal-and-a-3d-decoration-commemorating-80-years-from-operation-husky-en" TargetMode="External"/><Relationship Id="rId245" Type="http://schemas.openxmlformats.org/officeDocument/2006/relationships/hyperlink" Target="https://warthunder.com/en/news/3222/current" TargetMode="External"/><Relationship Id="rId452" Type="http://schemas.openxmlformats.org/officeDocument/2006/relationships/hyperlink" Target="https://warthunder.com/en/news/6090-news-international-women-s-day-en" TargetMode="External"/><Relationship Id="rId897" Type="http://schemas.openxmlformats.org/officeDocument/2006/relationships/hyperlink" Target="https://warthunder.com/en/news/8175-event-mobile-infantry-event-en" TargetMode="External"/><Relationship Id="rId1082" Type="http://schemas.openxmlformats.org/officeDocument/2006/relationships/hyperlink" Target="https://warthunder.com/en/news/9173-event-pages-of-history-november-medicane-en" TargetMode="External"/><Relationship Id="rId105" Type="http://schemas.openxmlformats.org/officeDocument/2006/relationships/hyperlink" Target="https://warthunder.com/en/news/522/current" TargetMode="External"/><Relationship Id="rId312" Type="http://schemas.openxmlformats.org/officeDocument/2006/relationships/hyperlink" Target="https://warthunder.com/en/news/4246-special-battle-of-britain-en" TargetMode="External"/><Relationship Id="rId757" Type="http://schemas.openxmlformats.org/officeDocument/2006/relationships/hyperlink" Target="https://warthunder.com/en/news/8174-war-thunder-infantry-en" TargetMode="External"/><Relationship Id="rId964" Type="http://schemas.openxmlformats.org/officeDocument/2006/relationships/hyperlink" Target="https://warthunder.com/en/news/8874-special-get-a-decal-during-golden-week-in-japan-en" TargetMode="External"/><Relationship Id="rId93" Type="http://schemas.openxmlformats.org/officeDocument/2006/relationships/hyperlink" Target="https://warthunder.com/en/news/489/current" TargetMode="External"/><Relationship Id="rId189" Type="http://schemas.openxmlformats.org/officeDocument/2006/relationships/hyperlink" Target="https://warthunder.com/en/news/2684/current" TargetMode="External"/><Relationship Id="rId396" Type="http://schemas.openxmlformats.org/officeDocument/2006/relationships/hyperlink" Target="https://warthunder.com/en/news/4842-event-ctf-classic-mode-survey-is-over-en" TargetMode="External"/><Relationship Id="rId617" Type="http://schemas.openxmlformats.org/officeDocument/2006/relationships/hyperlink" Target="https://warthunder.com/en/news/7664-event-pages-of-history-may-en" TargetMode="External"/><Relationship Id="rId824" Type="http://schemas.openxmlformats.org/officeDocument/2006/relationships/hyperlink" Target="https://warthunder.com/en/news/8331-event-pages-of-history-july-en" TargetMode="External"/><Relationship Id="rId256" Type="http://schemas.openxmlformats.org/officeDocument/2006/relationships/hyperlink" Target="https://warthunder.com/en/news/3336/current" TargetMode="External"/><Relationship Id="rId463" Type="http://schemas.openxmlformats.org/officeDocument/2006/relationships/hyperlink" Target="https://warthunder.com/en/news/6267-news-independence-day-usa-en" TargetMode="External"/><Relationship Id="rId670" Type="http://schemas.openxmlformats.org/officeDocument/2006/relationships/hyperlink" Target="https://warthunder.com/en/news/7837-event-pages-of-history-september-en" TargetMode="External"/><Relationship Id="rId1093" Type="http://schemas.openxmlformats.org/officeDocument/2006/relationships/hyperlink" Target="https://warthunder.com/en/news/9262-shop-the-hudson-mk-v-is-temporarily-available-on-the-anniversary-of-its-first-flight-en" TargetMode="External"/><Relationship Id="rId1107" Type="http://schemas.openxmlformats.org/officeDocument/2006/relationships/hyperlink" Target="https://warthunder.com/en/news/8882-special-victory-day-in-war-thunder-en" TargetMode="External"/><Relationship Id="rId116" Type="http://schemas.openxmlformats.org/officeDocument/2006/relationships/hyperlink" Target="https://warthunder.com/en/news/573/current" TargetMode="External"/><Relationship Id="rId323" Type="http://schemas.openxmlformats.org/officeDocument/2006/relationships/hyperlink" Target="https://warthunder.com/en/news/4355-shop-black-friday-thanksgiving-discounts-have-ended-en" TargetMode="External"/><Relationship Id="rId530" Type="http://schemas.openxmlformats.org/officeDocument/2006/relationships/hyperlink" Target="https://warthunder.com/en/news/7094-event-st-patrick-s-day-en" TargetMode="External"/><Relationship Id="rId768" Type="http://schemas.openxmlformats.org/officeDocument/2006/relationships/hyperlink" Target="https://warthunder.com/en/news/8167-event-pages-of-history-april-en" TargetMode="External"/><Relationship Id="rId975" Type="http://schemas.openxmlformats.org/officeDocument/2006/relationships/hyperlink" Target="https://warthunder.com/en/news/8871-event-pages-of-history-may-for-victory-en" TargetMode="External"/><Relationship Id="rId20" Type="http://schemas.openxmlformats.org/officeDocument/2006/relationships/hyperlink" Target="https://warthunder.com/en/news/196/current" TargetMode="External"/><Relationship Id="rId628" Type="http://schemas.openxmlformats.org/officeDocument/2006/relationships/hyperlink" Target="https://warthunder.com/en/news/7748-sale-summer-sale-en" TargetMode="External"/><Relationship Id="rId835" Type="http://schemas.openxmlformats.org/officeDocument/2006/relationships/hyperlink" Target="https://warthunder.com/en/news/8401-special-sky-dragons-decal-and-a-uh-1c-xm-30-for-us-airborne-day-en" TargetMode="External"/><Relationship Id="rId267" Type="http://schemas.openxmlformats.org/officeDocument/2006/relationships/hyperlink" Target="https://warthunder.com/en/news/3467/current" TargetMode="External"/><Relationship Id="rId474" Type="http://schemas.openxmlformats.org/officeDocument/2006/relationships/hyperlink" Target="https://warthunder.com/en/news/page/39" TargetMode="External"/><Relationship Id="rId1020" Type="http://schemas.openxmlformats.org/officeDocument/2006/relationships/hyperlink" Target="https://warthunder.com/en/news/9004-event-pages-of-history-august-the-first-in-paris-en" TargetMode="External"/><Relationship Id="rId1118" Type="http://schemas.openxmlformats.org/officeDocument/2006/relationships/hyperlink" Target="https://warthunder.com/en/news/9302-event-pages-of-history-january-defender-of-leningrad-en" TargetMode="External"/><Relationship Id="rId127" Type="http://schemas.openxmlformats.org/officeDocument/2006/relationships/hyperlink" Target="https://warthunder.com/en/news/636/current" TargetMode="External"/><Relationship Id="rId681" Type="http://schemas.openxmlformats.org/officeDocument/2006/relationships/hyperlink" Target="https://warthunder.com/en/news/7888-event-pages-of-history-october-en" TargetMode="External"/><Relationship Id="rId779" Type="http://schemas.openxmlformats.org/officeDocument/2006/relationships/hyperlink" Target="https://warthunder.com/en/news/8208-event-pages-of-history-may-en" TargetMode="External"/><Relationship Id="rId902" Type="http://schemas.openxmlformats.org/officeDocument/2006/relationships/hyperlink" Target="https://warthunder.com/en/news/8568-event-battle-of-the-atlantic-ships-against-submarines-en" TargetMode="External"/><Relationship Id="rId986" Type="http://schemas.openxmlformats.org/officeDocument/2006/relationships/hyperlink" Target="https://warthunder.com/en/news/8939-special-italian-navy-day-a-decal-and-rn-geniere-for-golden-eagles-en" TargetMode="External"/><Relationship Id="rId31" Type="http://schemas.openxmlformats.org/officeDocument/2006/relationships/hyperlink" Target="https://warthunder.com/en/news/255/current" TargetMode="External"/><Relationship Id="rId334" Type="http://schemas.openxmlformats.org/officeDocument/2006/relationships/hyperlink" Target="https://warthunder.com/en/news/4166-event-rapid-fire-and-floats-en" TargetMode="External"/><Relationship Id="rId541" Type="http://schemas.openxmlformats.org/officeDocument/2006/relationships/hyperlink" Target="https://warthunder.com/en/news/7231-special-independence-day-usa-en" TargetMode="External"/><Relationship Id="rId639" Type="http://schemas.openxmlformats.org/officeDocument/2006/relationships/hyperlink" Target="https://warthunder.com/en/news/7765-special-us-independence-day-en" TargetMode="External"/><Relationship Id="rId180" Type="http://schemas.openxmlformats.org/officeDocument/2006/relationships/hyperlink" Target="https://warthunder.com/en/news/2633/current" TargetMode="External"/><Relationship Id="rId278" Type="http://schemas.openxmlformats.org/officeDocument/2006/relationships/hyperlink" Target="https://warthunder.com/en/news/3396--en" TargetMode="External"/><Relationship Id="rId401" Type="http://schemas.openxmlformats.org/officeDocument/2006/relationships/hyperlink" Target="https://warthunder.com/en/news/5232-shop-winter-sales-special-bundle-and-gift-certificates-en" TargetMode="External"/><Relationship Id="rId846" Type="http://schemas.openxmlformats.org/officeDocument/2006/relationships/hyperlink" Target="https://warthunder.com/en/news/8465-special-raf-spitfires-and-a-decal-available-for-battle-of-britain-day-en" TargetMode="External"/><Relationship Id="rId1031" Type="http://schemas.openxmlformats.org/officeDocument/2006/relationships/hyperlink" Target="https://warthunder.com/en/news/9004-event-pages-of-history-august-the-first-in-paris-en" TargetMode="External"/><Relationship Id="rId1129" Type="http://schemas.openxmlformats.org/officeDocument/2006/relationships/hyperlink" Target="https://warthunder.com/en/news/9349-event-pages-of-history-february-the-big-chief-en" TargetMode="External"/><Relationship Id="rId485" Type="http://schemas.openxmlformats.org/officeDocument/2006/relationships/hyperlink" Target="https://warthunder.com/en/news/6130-development-alien-combat-vehicles-from-green-hills-en" TargetMode="External"/><Relationship Id="rId692" Type="http://schemas.openxmlformats.org/officeDocument/2006/relationships/hyperlink" Target="https://warthunder.com/en/news/7926-event-pages-of-history-november-en" TargetMode="External"/><Relationship Id="rId706" Type="http://schemas.openxmlformats.org/officeDocument/2006/relationships/hyperlink" Target="https://warthunder.com/en/news/7981-event-pages-of-history-december-en" TargetMode="External"/><Relationship Id="rId913" Type="http://schemas.openxmlformats.org/officeDocument/2006/relationships/hyperlink" Target="https://warthunder.com/en/news/9001-event-floats-en" TargetMode="External"/><Relationship Id="rId42" Type="http://schemas.openxmlformats.org/officeDocument/2006/relationships/hyperlink" Target="https://warthunder.com/en/news/302/current" TargetMode="External"/><Relationship Id="rId138" Type="http://schemas.openxmlformats.org/officeDocument/2006/relationships/hyperlink" Target="https://warthunder.com/en/news/712/current" TargetMode="External"/><Relationship Id="rId345" Type="http://schemas.openxmlformats.org/officeDocument/2006/relationships/hyperlink" Target="https://warthunder.com/en/news/4702-event-floats-en" TargetMode="External"/><Relationship Id="rId552" Type="http://schemas.openxmlformats.org/officeDocument/2006/relationships/hyperlink" Target="https://warthunder.com/en/news/7372-special-us-navy-day-en" TargetMode="External"/><Relationship Id="rId997" Type="http://schemas.openxmlformats.org/officeDocument/2006/relationships/hyperlink" Target="https://warthunder.com/en/news/8965-special-celebrating-british-armed-forces-day-with-a-decal-en" TargetMode="External"/><Relationship Id="rId191" Type="http://schemas.openxmlformats.org/officeDocument/2006/relationships/hyperlink" Target="https://warthunder.com/en/news/2716/current" TargetMode="External"/><Relationship Id="rId205" Type="http://schemas.openxmlformats.org/officeDocument/2006/relationships/hyperlink" Target="https://warthunder.com/en/news/3225/current" TargetMode="External"/><Relationship Id="rId412" Type="http://schemas.openxmlformats.org/officeDocument/2006/relationships/hyperlink" Target="https://warthunder.com/en/news/5391-event-st-patrick-s-day-en" TargetMode="External"/><Relationship Id="rId857" Type="http://schemas.openxmlformats.org/officeDocument/2006/relationships/hyperlink" Target="https://warthunder.com/en/news/8495-event-pages-of-history-october-en" TargetMode="External"/><Relationship Id="rId1042" Type="http://schemas.openxmlformats.org/officeDocument/2006/relationships/hyperlink" Target="https://warthunder.com/en/news/9038-event-pages-of-history-september-attacker-ace-en" TargetMode="External"/><Relationship Id="rId289" Type="http://schemas.openxmlformats.org/officeDocument/2006/relationships/hyperlink" Target="https://warthunder.com/en/news/3619-special-500k-facebook-mastermind-quiz-en" TargetMode="External"/><Relationship Id="rId496" Type="http://schemas.openxmlformats.org/officeDocument/2006/relationships/hyperlink" Target="https://warthunder.com/en/news/6668-special-space-thunder-en" TargetMode="External"/><Relationship Id="rId717" Type="http://schemas.openxmlformats.org/officeDocument/2006/relationships/hyperlink" Target="https://warthunder.com/en/news/8037-event-pages-of-history-january-en" TargetMode="External"/><Relationship Id="rId924" Type="http://schemas.openxmlformats.org/officeDocument/2006/relationships/hyperlink" Target="https://warthunder.com/en/news/8730-special-the-rooivalk-is-back-on-the-anniversary-of-its-first-flight-en" TargetMode="External"/><Relationship Id="rId53" Type="http://schemas.openxmlformats.org/officeDocument/2006/relationships/hyperlink" Target="https://warthunder.com/en/news/344/current" TargetMode="External"/><Relationship Id="rId149" Type="http://schemas.openxmlformats.org/officeDocument/2006/relationships/hyperlink" Target="https://warthunder.com/en/news/810/current" TargetMode="External"/><Relationship Id="rId356" Type="http://schemas.openxmlformats.org/officeDocument/2006/relationships/hyperlink" Target="https://warthunder.com/en/news/4601-event-rhine-operation-plunder-en" TargetMode="External"/><Relationship Id="rId563" Type="http://schemas.openxmlformats.org/officeDocument/2006/relationships/hyperlink" Target="https://warthunder.com/en/news/7447-special-80th-anniversary-of-the-battle-of-moscow-en" TargetMode="External"/><Relationship Id="rId770" Type="http://schemas.openxmlformats.org/officeDocument/2006/relationships/hyperlink" Target="https://warthunder.com/en/news/8167-event-pages-of-history-april-en" TargetMode="External"/><Relationship Id="rId216" Type="http://schemas.openxmlformats.org/officeDocument/2006/relationships/hyperlink" Target="https://warthunder.com/en/news/2937/current" TargetMode="External"/><Relationship Id="rId423" Type="http://schemas.openxmlformats.org/officeDocument/2006/relationships/hyperlink" Target="https://warthunder.com/en/news/5716-event-the-75th-anniversary-of-the-end-of-the-battle-of-kursk-en" TargetMode="External"/><Relationship Id="rId868" Type="http://schemas.openxmlformats.org/officeDocument/2006/relationships/hyperlink" Target="https://warthunder.com/en/news/8540-special-j35a-draken-returns-for-the-anniversary-of-its-maiden-flight-en" TargetMode="External"/><Relationship Id="rId1053" Type="http://schemas.openxmlformats.org/officeDocument/2006/relationships/hyperlink" Target="https://warthunder.com/en/news/9113-special-shop-discounts-rare-tanks-and-a-decal-for-the-national-day-of-the-prc-en" TargetMode="External"/><Relationship Id="rId630" Type="http://schemas.openxmlformats.org/officeDocument/2006/relationships/hyperlink" Target="https://warthunder.com/en/news/7689-event-pages-of-history-june-en" TargetMode="External"/><Relationship Id="rId728" Type="http://schemas.openxmlformats.org/officeDocument/2006/relationships/hyperlink" Target="https://warthunder.com/en/news/8073-event-pages-of-history-february-en" TargetMode="External"/><Relationship Id="rId935" Type="http://schemas.openxmlformats.org/officeDocument/2006/relationships/hyperlink" Target="https://warthunder.com/en/news/8713-event-pages-of-history-february-through-a-storm-en" TargetMode="External"/><Relationship Id="rId64" Type="http://schemas.openxmlformats.org/officeDocument/2006/relationships/hyperlink" Target="https://warthunder.com/en/news/568/current" TargetMode="External"/><Relationship Id="rId367" Type="http://schemas.openxmlformats.org/officeDocument/2006/relationships/hyperlink" Target="https://warthunder.com/en/news/4639-event-the-road-for-the-brave-and-airfield-assault-en" TargetMode="External"/><Relationship Id="rId574" Type="http://schemas.openxmlformats.org/officeDocument/2006/relationships/hyperlink" Target="https://warthunder.com/en/news/7417-shop-war-thunder-birthday-sale-in-gaijin-net-store-en" TargetMode="External"/><Relationship Id="rId1120" Type="http://schemas.openxmlformats.org/officeDocument/2006/relationships/hyperlink" Target="https://warthunder.com/en/news/9344-video-shop-special-moments-of-valor-australia-en" TargetMode="External"/><Relationship Id="rId227" Type="http://schemas.openxmlformats.org/officeDocument/2006/relationships/hyperlink" Target="https://warthunder.com/en/news/3119/current" TargetMode="External"/><Relationship Id="rId781" Type="http://schemas.openxmlformats.org/officeDocument/2006/relationships/hyperlink" Target="https://warthunder.com/en/news/8208-event-pages-of-history-may-en" TargetMode="External"/><Relationship Id="rId879" Type="http://schemas.openxmlformats.org/officeDocument/2006/relationships/hyperlink" Target="https://warthunder.com/en/news/8549-event-pages-of-history-november-en" TargetMode="External"/><Relationship Id="rId434" Type="http://schemas.openxmlformats.org/officeDocument/2006/relationships/hyperlink" Target="https://warthunder.com/en/news/5880-special-fleet-minefield-ahead-try-out-the-vs-8-en" TargetMode="External"/><Relationship Id="rId641" Type="http://schemas.openxmlformats.org/officeDocument/2006/relationships/hyperlink" Target="https://warthunder.com/en/news/7755-event-pages-of-history-july-en" TargetMode="External"/><Relationship Id="rId739" Type="http://schemas.openxmlformats.org/officeDocument/2006/relationships/hyperlink" Target="https://warthunder.com/en/news/8073-event-pages-of-history-february-en" TargetMode="External"/><Relationship Id="rId1064" Type="http://schemas.openxmlformats.org/officeDocument/2006/relationships/hyperlink" Target="https://warthunder.com/en/news/9140-shop-special-trafalgar-day-horatio-nelson-decal-and-the-fairmile-d-5001-at-a-30-discount-en" TargetMode="External"/><Relationship Id="rId280" Type="http://schemas.openxmlformats.org/officeDocument/2006/relationships/hyperlink" Target="https://warthunder.com/en/news/3504/current" TargetMode="External"/><Relationship Id="rId501" Type="http://schemas.openxmlformats.org/officeDocument/2006/relationships/hyperlink" Target="https://warthunder.com/en/news/6759-special-d-day-en" TargetMode="External"/><Relationship Id="rId946" Type="http://schemas.openxmlformats.org/officeDocument/2006/relationships/hyperlink" Target="https://warthunder.com/en/news/8827-special-anniversary-of-the-la-5s-first-flight-en" TargetMode="External"/><Relationship Id="rId1131" Type="http://schemas.openxmlformats.org/officeDocument/2006/relationships/hyperlink" Target="https://warthunder.com/en/news/9349-event-pages-of-history-february-the-big-chief-en" TargetMode="External"/><Relationship Id="rId75" Type="http://schemas.openxmlformats.org/officeDocument/2006/relationships/hyperlink" Target="https://warthunder.com/en/news/436/current" TargetMode="External"/><Relationship Id="rId140" Type="http://schemas.openxmlformats.org/officeDocument/2006/relationships/hyperlink" Target="https://warthunder.com/en/news/721/current" TargetMode="External"/><Relationship Id="rId378" Type="http://schemas.openxmlformats.org/officeDocument/2006/relationships/hyperlink" Target="https://warthunder.com/en/news/4973-news-happy-birthday-us-air-force-en" TargetMode="External"/><Relationship Id="rId585" Type="http://schemas.openxmlformats.org/officeDocument/2006/relationships/hyperlink" Target="https://warthunder.com/en/news/7549-special-national-foundation-day-in-japan-en" TargetMode="External"/><Relationship Id="rId792" Type="http://schemas.openxmlformats.org/officeDocument/2006/relationships/hyperlink" Target="https://warthunder.com/en/news/8298-special-d-day-event-and-decal-en" TargetMode="External"/><Relationship Id="rId806" Type="http://schemas.openxmlformats.org/officeDocument/2006/relationships/hyperlink" Target="https://warthunder.com/en/news/8341-special-decal-for-canada-day-en" TargetMode="External"/><Relationship Id="rId6" Type="http://schemas.openxmlformats.org/officeDocument/2006/relationships/hyperlink" Target="https://warthunder.com/en/news/90/current" TargetMode="External"/><Relationship Id="rId238" Type="http://schemas.openxmlformats.org/officeDocument/2006/relationships/hyperlink" Target="https://warthunder.com/en/news/3175/current" TargetMode="External"/><Relationship Id="rId445" Type="http://schemas.openxmlformats.org/officeDocument/2006/relationships/hyperlink" Target="https://warthunder.com/en/news/5976-special-shop-war-thunder-winter-sale-en" TargetMode="External"/><Relationship Id="rId652" Type="http://schemas.openxmlformats.org/officeDocument/2006/relationships/hyperlink" Target="https://warthunder.com/en/news/7789-event-pages-of-history-august-en" TargetMode="External"/><Relationship Id="rId1075" Type="http://schemas.openxmlformats.org/officeDocument/2006/relationships/hyperlink" Target="https://warthunder.com/en/news/9173-event-pages-of-history-november-medicane-en" TargetMode="External"/><Relationship Id="rId291" Type="http://schemas.openxmlformats.org/officeDocument/2006/relationships/hyperlink" Target="https://warthunder.com/en/news/3641-special-v-for-victory-en" TargetMode="External"/><Relationship Id="rId305" Type="http://schemas.openxmlformats.org/officeDocument/2006/relationships/hyperlink" Target="https://warthunder.com/en/news/3805-event-the-battle-of-kursk-en" TargetMode="External"/><Relationship Id="rId512" Type="http://schemas.openxmlformats.org/officeDocument/2006/relationships/hyperlink" Target="https://warthunder.com/en/news/6866-special-80-year-anniversary-of-battle-of-britain-en" TargetMode="External"/><Relationship Id="rId957" Type="http://schemas.openxmlformats.org/officeDocument/2006/relationships/hyperlink" Target="https://warthunder.com/en/news/8832-event-pages-of-history-april-for-zoya-en" TargetMode="External"/><Relationship Id="rId86" Type="http://schemas.openxmlformats.org/officeDocument/2006/relationships/hyperlink" Target="https://warthunder.com/en/news/465/current" TargetMode="External"/><Relationship Id="rId151" Type="http://schemas.openxmlformats.org/officeDocument/2006/relationships/hyperlink" Target="https://warthunder.com/en/news/820/current" TargetMode="External"/><Relationship Id="rId389" Type="http://schemas.openxmlformats.org/officeDocument/2006/relationships/hyperlink" Target="https://warthunder.com/en/news/4648-special-war-thunder-chronicles-en" TargetMode="External"/><Relationship Id="rId596" Type="http://schemas.openxmlformats.org/officeDocument/2006/relationships/hyperlink" Target="https://warthunder.com/en/news/7629-event-pages-of-history-april-en" TargetMode="External"/><Relationship Id="rId817" Type="http://schemas.openxmlformats.org/officeDocument/2006/relationships/hyperlink" Target="https://warthunder.com/en/news/8331-event-pages-of-history-july-en" TargetMode="External"/><Relationship Id="rId1002" Type="http://schemas.openxmlformats.org/officeDocument/2006/relationships/hyperlink" Target="https://warthunder.com/en/news/8964-event-pages-of-history-july-the-jumping-general-en" TargetMode="External"/><Relationship Id="rId249" Type="http://schemas.openxmlformats.org/officeDocument/2006/relationships/hyperlink" Target="https://warthunder.com/en/news/3273/current" TargetMode="External"/><Relationship Id="rId456" Type="http://schemas.openxmlformats.org/officeDocument/2006/relationships/hyperlink" Target="https://warthunder.com/en/news/6179-video-world-war-has-begun-soldiers-mobilization-en" TargetMode="External"/><Relationship Id="rId663" Type="http://schemas.openxmlformats.org/officeDocument/2006/relationships/hyperlink" Target="https://warthunder.com/en/news/7837-event-pages-of-history-september-en" TargetMode="External"/><Relationship Id="rId870" Type="http://schemas.openxmlformats.org/officeDocument/2006/relationships/hyperlink" Target="https://warthunder.com/en/news/8495-event-pages-of-history-october-en" TargetMode="External"/><Relationship Id="rId1086" Type="http://schemas.openxmlformats.org/officeDocument/2006/relationships/hyperlink" Target="https://warthunder.com/en/news/9173-event-pages-of-history-november-medicane-en" TargetMode="External"/><Relationship Id="rId13" Type="http://schemas.openxmlformats.org/officeDocument/2006/relationships/hyperlink" Target="https://warthunder.com/en/news/156/current" TargetMode="External"/><Relationship Id="rId109" Type="http://schemas.openxmlformats.org/officeDocument/2006/relationships/hyperlink" Target="https://warthunder.com/en/news/534/current" TargetMode="External"/><Relationship Id="rId316" Type="http://schemas.openxmlformats.org/officeDocument/2006/relationships/hyperlink" Target="https://warthunder.com/en/news/4278-event-night-events-rb-guardian-angel-and-operation-chastise-en" TargetMode="External"/><Relationship Id="rId523" Type="http://schemas.openxmlformats.org/officeDocument/2006/relationships/hyperlink" Target="https://warthunder.com/en/news/6782-event-world-war-season-road-to-the-west-en" TargetMode="External"/><Relationship Id="rId968" Type="http://schemas.openxmlformats.org/officeDocument/2006/relationships/hyperlink" Target="https://warthunder.com/en/news/8871-event-pages-of-history-may-for-victory-en" TargetMode="External"/><Relationship Id="rId97" Type="http://schemas.openxmlformats.org/officeDocument/2006/relationships/hyperlink" Target="https://warthunder.com/en/news/497/current" TargetMode="External"/><Relationship Id="rId730" Type="http://schemas.openxmlformats.org/officeDocument/2006/relationships/hyperlink" Target="https://warthunder.com/en/news/8073-event-pages-of-history-february-en" TargetMode="External"/><Relationship Id="rId828" Type="http://schemas.openxmlformats.org/officeDocument/2006/relationships/hyperlink" Target="https://warthunder.com/en/news/8389-special-incredibly-fast-lightning-jet-fighter-temporarily-available-for-ge-en" TargetMode="External"/><Relationship Id="rId1013" Type="http://schemas.openxmlformats.org/officeDocument/2006/relationships/hyperlink" Target="https://warthunder.com/en/news/8964-event-pages-of-history-july-the-jumping-general-en" TargetMode="External"/><Relationship Id="rId162" Type="http://schemas.openxmlformats.org/officeDocument/2006/relationships/hyperlink" Target="https://warthunder.com/en/news/877/current" TargetMode="External"/><Relationship Id="rId467" Type="http://schemas.openxmlformats.org/officeDocument/2006/relationships/hyperlink" Target="https://warthunder.com/en/news/6313-event-battle-for-stalingrad-en" TargetMode="External"/><Relationship Id="rId1097" Type="http://schemas.openxmlformats.org/officeDocument/2006/relationships/hyperlink" Target="https://warthunder.com/en/news/9240-event-pages-of-history-december-world-champion-en" TargetMode="External"/><Relationship Id="rId674" Type="http://schemas.openxmlformats.org/officeDocument/2006/relationships/hyperlink" Target="https://warthunder.com/en/news/7894-special-german-unity-day-en" TargetMode="External"/><Relationship Id="rId881" Type="http://schemas.openxmlformats.org/officeDocument/2006/relationships/hyperlink" Target="https://warthunder.com/en/news/8549-event-pages-of-history-november-en" TargetMode="External"/><Relationship Id="rId979" Type="http://schemas.openxmlformats.org/officeDocument/2006/relationships/hyperlink" Target="https://warthunder.com/en/news/8904-special-uss-des-moines-temporarily-returns-on-its-anniversary-en" TargetMode="External"/><Relationship Id="rId24" Type="http://schemas.openxmlformats.org/officeDocument/2006/relationships/hyperlink" Target="https://warthunder.com/en/news/212/current" TargetMode="External"/><Relationship Id="rId327" Type="http://schemas.openxmlformats.org/officeDocument/2006/relationships/hyperlink" Target="https://warthunder.com/en/news/4382-event-still-waters-en" TargetMode="External"/><Relationship Id="rId534" Type="http://schemas.openxmlformats.org/officeDocument/2006/relationships/hyperlink" Target="https://warthunder.com/en/news/7121-event-60-year-anniversary-of-the-first-manned-flight-into-space-en" TargetMode="External"/><Relationship Id="rId741" Type="http://schemas.openxmlformats.org/officeDocument/2006/relationships/hyperlink" Target="https://warthunder.com/en/news/8124-event-pages-of-history-march-en" TargetMode="External"/><Relationship Id="rId839" Type="http://schemas.openxmlformats.org/officeDocument/2006/relationships/hyperlink" Target="https://warthunder.com/en/news/8413-special-mig-15bis-ish-returns-for-official-service-anniversary-en" TargetMode="External"/><Relationship Id="rId173" Type="http://schemas.openxmlformats.org/officeDocument/2006/relationships/hyperlink" Target="https://warthunder.com/en/news/2597/current" TargetMode="External"/><Relationship Id="rId380" Type="http://schemas.openxmlformats.org/officeDocument/2006/relationships/hyperlink" Target="https://warthunder.com/en/news/4994-special-german-unity-day-en" TargetMode="External"/><Relationship Id="rId601" Type="http://schemas.openxmlformats.org/officeDocument/2006/relationships/hyperlink" Target="https://warthunder.com/en/news/7629-event-pages-of-history-april-en" TargetMode="External"/><Relationship Id="rId1024" Type="http://schemas.openxmlformats.org/officeDocument/2006/relationships/hyperlink" Target="https://warthunder.com/en/news/9004-event-pages-of-history-august-the-first-in-paris-en" TargetMode="External"/><Relationship Id="rId240" Type="http://schemas.openxmlformats.org/officeDocument/2006/relationships/hyperlink" Target="https://warthunder.com/en/news/3188/current" TargetMode="External"/><Relationship Id="rId478" Type="http://schemas.openxmlformats.org/officeDocument/2006/relationships/hyperlink" Target="https://warthunder.com/en/news/6442-special-war-thunder-reaches-its-7th-year-en" TargetMode="External"/><Relationship Id="rId685" Type="http://schemas.openxmlformats.org/officeDocument/2006/relationships/hyperlink" Target="https://warthunder.com/en/news/7926-event-pages-of-history-november-en" TargetMode="External"/><Relationship Id="rId892" Type="http://schemas.openxmlformats.org/officeDocument/2006/relationships/hyperlink" Target="https://warthunder.com/en/news/8602-event-pages-of-history-december-the-heroic-nurse-en" TargetMode="External"/><Relationship Id="rId906" Type="http://schemas.openxmlformats.org/officeDocument/2006/relationships/hyperlink" Target="https://warthunder.com/en/news/8580-shop-war-thunders-birthday-sale-in-the-gaijinnet-store-en" TargetMode="External"/><Relationship Id="rId35" Type="http://schemas.openxmlformats.org/officeDocument/2006/relationships/hyperlink" Target="https://warthunder.com/en/news/273/current" TargetMode="External"/><Relationship Id="rId100" Type="http://schemas.openxmlformats.org/officeDocument/2006/relationships/hyperlink" Target="https://warthunder.com/en/news/510/current" TargetMode="External"/><Relationship Id="rId338" Type="http://schemas.openxmlformats.org/officeDocument/2006/relationships/hyperlink" Target="https://warthunder.com/en/news/3722-event-rapid-fire-and-floats-en" TargetMode="External"/><Relationship Id="rId545" Type="http://schemas.openxmlformats.org/officeDocument/2006/relationships/hyperlink" Target="https://warthunder.com/en/news/7271-event-russian-airborne-forces-day-en" TargetMode="External"/><Relationship Id="rId752" Type="http://schemas.openxmlformats.org/officeDocument/2006/relationships/hyperlink" Target="https://warthunder.com/en/news/8124-event-pages-of-history-march-en" TargetMode="External"/><Relationship Id="rId184" Type="http://schemas.openxmlformats.org/officeDocument/2006/relationships/hyperlink" Target="https://warthunder.com/en/news/2660/current" TargetMode="External"/><Relationship Id="rId391" Type="http://schemas.openxmlformats.org/officeDocument/2006/relationships/hyperlink" Target="https://warthunder.com/en/news/5226-special-festivities-in-war-thunder-en" TargetMode="External"/><Relationship Id="rId405" Type="http://schemas.openxmlformats.org/officeDocument/2006/relationships/hyperlink" Target="https://warthunder.com/en/news/5332-event-enduring-confrontation-in-rb-floats-ctf-en" TargetMode="External"/><Relationship Id="rId612" Type="http://schemas.openxmlformats.org/officeDocument/2006/relationships/hyperlink" Target="https://warthunder.com/en/news/7674-shop-may-sale-en" TargetMode="External"/><Relationship Id="rId1035" Type="http://schemas.openxmlformats.org/officeDocument/2006/relationships/hyperlink" Target="https://warthunder.com/en/news/9004-event-pages-of-history-august-the-first-in-paris-en" TargetMode="External"/><Relationship Id="rId251" Type="http://schemas.openxmlformats.org/officeDocument/2006/relationships/hyperlink" Target="https://warthunder.com/en/news/3290/current" TargetMode="External"/><Relationship Id="rId489" Type="http://schemas.openxmlformats.org/officeDocument/2006/relationships/hyperlink" Target="https://warthunder.com/en/news/6542-shop-the-new-year-sale-en" TargetMode="External"/><Relationship Id="rId696" Type="http://schemas.openxmlformats.org/officeDocument/2006/relationships/hyperlink" Target="https://warthunder.com/en/news/7981-event-pages-of-history-december-en" TargetMode="External"/><Relationship Id="rId917" Type="http://schemas.openxmlformats.org/officeDocument/2006/relationships/hyperlink" Target="https://warthunder.com/en/news/8712-special-australia-day-the-boomerang-mkii-returns-discounts-and-earn-a-koala-decal-en" TargetMode="External"/><Relationship Id="rId1102" Type="http://schemas.openxmlformats.org/officeDocument/2006/relationships/hyperlink" Target="https://warthunder.com/en/news/8880-shop-may-sale-in-the-gaijin-store-en" TargetMode="External"/><Relationship Id="rId46" Type="http://schemas.openxmlformats.org/officeDocument/2006/relationships/hyperlink" Target="https://warthunder.com/en/news/316/current" TargetMode="External"/><Relationship Id="rId349" Type="http://schemas.openxmlformats.org/officeDocument/2006/relationships/hyperlink" Target="https://warthunder.com/en/news/4521-event-rescue-operation-en" TargetMode="External"/><Relationship Id="rId556" Type="http://schemas.openxmlformats.org/officeDocument/2006/relationships/hyperlink" Target="https://old-forum.warthunder.com/index.php?/topic/540483-remembrance-sunday/" TargetMode="External"/><Relationship Id="rId763" Type="http://schemas.openxmlformats.org/officeDocument/2006/relationships/hyperlink" Target="https://warthunder.com/en/news/8167-event-pages-of-history-april-en" TargetMode="External"/><Relationship Id="rId111" Type="http://schemas.openxmlformats.org/officeDocument/2006/relationships/hyperlink" Target="https://warthunder.com/en/news/552/current" TargetMode="External"/><Relationship Id="rId195" Type="http://schemas.openxmlformats.org/officeDocument/2006/relationships/hyperlink" Target="https://warthunder.com/en/news/2750/current" TargetMode="External"/><Relationship Id="rId209" Type="http://schemas.openxmlformats.org/officeDocument/2006/relationships/hyperlink" Target="https://warthunder.com/en/news/2835/current" TargetMode="External"/><Relationship Id="rId416" Type="http://schemas.openxmlformats.org/officeDocument/2006/relationships/hyperlink" Target="https://warthunder.com/en/news/5449-special-cosmonautics-day-en" TargetMode="External"/><Relationship Id="rId970" Type="http://schemas.openxmlformats.org/officeDocument/2006/relationships/hyperlink" Target="https://warthunder.com/en/news/8871-event-pages-of-history-may-for-victory-en" TargetMode="External"/><Relationship Id="rId1046" Type="http://schemas.openxmlformats.org/officeDocument/2006/relationships/hyperlink" Target="https://warthunder.com/en/news/9038-event-pages-of-history-september-attacker-ace-en" TargetMode="External"/><Relationship Id="rId623" Type="http://schemas.openxmlformats.org/officeDocument/2006/relationships/hyperlink" Target="https://warthunder.com/en/news/7689-event-pages-of-history-june-en" TargetMode="External"/><Relationship Id="rId830" Type="http://schemas.openxmlformats.org/officeDocument/2006/relationships/hyperlink" Target="https://warthunder.com/en/news/8366-event-pages-of-history-august-en" TargetMode="External"/><Relationship Id="rId928" Type="http://schemas.openxmlformats.org/officeDocument/2006/relationships/hyperlink" Target="https://warthunder.com/en/news/8713-event-pages-of-history-february-through-a-storm-en" TargetMode="External"/><Relationship Id="rId57" Type="http://schemas.openxmlformats.org/officeDocument/2006/relationships/hyperlink" Target="https://warthunder.com/en/news/359/current" TargetMode="External"/><Relationship Id="rId262" Type="http://schemas.openxmlformats.org/officeDocument/2006/relationships/hyperlink" Target="https://warthunder.com/en/news/3434/current" TargetMode="External"/><Relationship Id="rId567" Type="http://schemas.openxmlformats.org/officeDocument/2006/relationships/hyperlink" Target="https://warthunder.com/en/news/7478-giveaway-end-of-the-year-giveaway-week-1-en" TargetMode="External"/><Relationship Id="rId1113" Type="http://schemas.openxmlformats.org/officeDocument/2006/relationships/hyperlink" Target="https://warthunder.com/en/news/9320-special-a-themed-decal-for-german-air-force-day-en" TargetMode="External"/><Relationship Id="rId122" Type="http://schemas.openxmlformats.org/officeDocument/2006/relationships/hyperlink" Target="https://warthunder.com/en/news/596/current" TargetMode="External"/><Relationship Id="rId774" Type="http://schemas.openxmlformats.org/officeDocument/2006/relationships/hyperlink" Target="https://warthunder.com/en/news/8211-special-israel-independence-day-en" TargetMode="External"/><Relationship Id="rId981" Type="http://schemas.openxmlformats.org/officeDocument/2006/relationships/hyperlink" Target="https://warthunder.com/en/news/8918-special-turkish-air-force-day-get-yourself-a-decal-en" TargetMode="External"/><Relationship Id="rId1057" Type="http://schemas.openxmlformats.org/officeDocument/2006/relationships/hyperlink" Target="https://warthunder.com/en/news/9111-event-pages-of-history-october-pacific-ace-en" TargetMode="External"/><Relationship Id="rId427" Type="http://schemas.openxmlformats.org/officeDocument/2006/relationships/hyperlink" Target="https://warthunder.com/en/news/5757-event-tanker-day-of-russia-en" TargetMode="External"/><Relationship Id="rId634" Type="http://schemas.openxmlformats.org/officeDocument/2006/relationships/hyperlink" Target="https://warthunder.com/en/news/7759-special-japan-self-defense-forces-day-en" TargetMode="External"/><Relationship Id="rId841" Type="http://schemas.openxmlformats.org/officeDocument/2006/relationships/hyperlink" Target="https://warthunder.com/en/news/8438-special-victory-in-wwii-anniversary-decal-en" TargetMode="External"/><Relationship Id="rId273" Type="http://schemas.openxmlformats.org/officeDocument/2006/relationships/hyperlink" Target="https://warthunder.com/en/news/3412/current" TargetMode="External"/><Relationship Id="rId480" Type="http://schemas.openxmlformats.org/officeDocument/2006/relationships/hyperlink" Target="https://warthunder.com/en/news/6488-shop-black-friday-sale-en" TargetMode="External"/><Relationship Id="rId701" Type="http://schemas.openxmlformats.org/officeDocument/2006/relationships/hyperlink" Target="https://warthunder.com/en/news/8018-event-pandora-s-box-en" TargetMode="External"/><Relationship Id="rId939" Type="http://schemas.openxmlformats.org/officeDocument/2006/relationships/hyperlink" Target="https://warthunder.com/en/news/8783-special-finnish-air-force-day-a-decal-to-celebrate-en" TargetMode="External"/><Relationship Id="rId1124" Type="http://schemas.openxmlformats.org/officeDocument/2006/relationships/hyperlink" Target="https://warthunder.com/en/news/9348-shop-special-welcome-to-the-year-of-the-snake-en" TargetMode="External"/><Relationship Id="rId68" Type="http://schemas.openxmlformats.org/officeDocument/2006/relationships/hyperlink" Target="https://warthunder.com/en/news/407/current" TargetMode="External"/><Relationship Id="rId133" Type="http://schemas.openxmlformats.org/officeDocument/2006/relationships/hyperlink" Target="https://warthunder.com/en/news/678/current" TargetMode="External"/><Relationship Id="rId340" Type="http://schemas.openxmlformats.org/officeDocument/2006/relationships/hyperlink" Target="https://warthunder.com/en/news/4404-event-team-deathmatch-and-enduring-confrontation-en" TargetMode="External"/><Relationship Id="rId578" Type="http://schemas.openxmlformats.org/officeDocument/2006/relationships/hyperlink" Target="https://warthunder.com/en/news/7512-special-vistula-oder-offensive-en" TargetMode="External"/><Relationship Id="rId785" Type="http://schemas.openxmlformats.org/officeDocument/2006/relationships/hyperlink" Target="https://warthunder.com/en/news/8208-event-pages-of-history-may-en" TargetMode="External"/><Relationship Id="rId992" Type="http://schemas.openxmlformats.org/officeDocument/2006/relationships/hyperlink" Target="https://warthunder.com/en/news/8962-shop-shades-on-its-time-for-the-sizzling-summer-sale-en" TargetMode="External"/><Relationship Id="rId200" Type="http://schemas.openxmlformats.org/officeDocument/2006/relationships/hyperlink" Target="https://warthunder.com/en/news/856/current" TargetMode="External"/><Relationship Id="rId438" Type="http://schemas.openxmlformats.org/officeDocument/2006/relationships/hyperlink" Target="https://warthunder.com/en/news/5437-event-new-and-improved-racing-en" TargetMode="External"/><Relationship Id="rId645" Type="http://schemas.openxmlformats.org/officeDocument/2006/relationships/hyperlink" Target="https://warthunder.com/en/news/7775-special-bastille-day-en" TargetMode="External"/><Relationship Id="rId852" Type="http://schemas.openxmlformats.org/officeDocument/2006/relationships/hyperlink" Target="https://warthunder.com/en/news/8490-special-the-yak-38-is-back-for-its-maiden-flight-anniversary-and-is-here-to-stay-en" TargetMode="External"/><Relationship Id="rId1068" Type="http://schemas.openxmlformats.org/officeDocument/2006/relationships/hyperlink" Target="https://warthunder.com/en/news/9143-shop-the-uh-1c-xm-30-is-temporarily-available-on-the-anniversary-of-the-uh-1s-first-flight-en" TargetMode="External"/><Relationship Id="rId284" Type="http://schemas.openxmlformats.org/officeDocument/2006/relationships/hyperlink" Target="https://warthunder.com/en/news/3509/current" TargetMode="External"/><Relationship Id="rId491" Type="http://schemas.openxmlformats.org/officeDocument/2006/relationships/hyperlink" Target="https://warthunder.com/en/news/6583-special-valentine-s-day-en" TargetMode="External"/><Relationship Id="rId505" Type="http://schemas.openxmlformats.org/officeDocument/2006/relationships/hyperlink" Target="https://warthunder.com/en/news/7014-esport-winter-football-friendly-matches-and-new-year-tournaments-en" TargetMode="External"/><Relationship Id="rId712" Type="http://schemas.openxmlformats.org/officeDocument/2006/relationships/hyperlink" Target="https://warthunder.com/en/news/7959-shop-war-thunder-birthday-sale-in-gaijin-net-store-en" TargetMode="External"/><Relationship Id="rId79" Type="http://schemas.openxmlformats.org/officeDocument/2006/relationships/hyperlink" Target="https://warthunder.com/en/news/450/current" TargetMode="External"/><Relationship Id="rId144" Type="http://schemas.openxmlformats.org/officeDocument/2006/relationships/hyperlink" Target="https://warthunder.com/en/news/762/current" TargetMode="External"/><Relationship Id="rId589" Type="http://schemas.openxmlformats.org/officeDocument/2006/relationships/hyperlink" Target="https://warthunder.com/en/news/7562-special-battle-of-iwo-jima-en" TargetMode="External"/><Relationship Id="rId796" Type="http://schemas.openxmlformats.org/officeDocument/2006/relationships/hyperlink" Target="https://warthunder.com/en/news/8281-event-pages-of-history-june-en" TargetMode="External"/><Relationship Id="rId351" Type="http://schemas.openxmlformats.org/officeDocument/2006/relationships/hyperlink" Target="https://warthunder.com/en/news/4534-test-pacific-war-events-en" TargetMode="External"/><Relationship Id="rId449" Type="http://schemas.openxmlformats.org/officeDocument/2006/relationships/hyperlink" Target="https://warthunder.com/en/news/6032-special-valentine-s-day-with-war-thunder-en" TargetMode="External"/><Relationship Id="rId656" Type="http://schemas.openxmlformats.org/officeDocument/2006/relationships/hyperlink" Target="https://warthunder.com/en/news/7813-special-us-airborne-day-en" TargetMode="External"/><Relationship Id="rId863" Type="http://schemas.openxmlformats.org/officeDocument/2006/relationships/hyperlink" Target="https://warthunder.com/en/news/8495-event-pages-of-history-october-en" TargetMode="External"/><Relationship Id="rId1079" Type="http://schemas.openxmlformats.org/officeDocument/2006/relationships/hyperlink" Target="https://forum.warthunder.com/t/armistice-day-remembering-those-who-fell/184265" TargetMode="External"/><Relationship Id="rId211" Type="http://schemas.openxmlformats.org/officeDocument/2006/relationships/hyperlink" Target="https://warthunder.com/en/news/2859/current" TargetMode="External"/><Relationship Id="rId295" Type="http://schemas.openxmlformats.org/officeDocument/2006/relationships/hyperlink" Target="https://warthunder.com/en/news/3709-event-victory-hour-capture-of-berlin-pve-event-en" TargetMode="External"/><Relationship Id="rId309" Type="http://schemas.openxmlformats.org/officeDocument/2006/relationships/hyperlink" Target="https://warthunder.com/en/news/4197-gamescom2016-tactical-landing-updated-with-winners-list-en" TargetMode="External"/><Relationship Id="rId516" Type="http://schemas.openxmlformats.org/officeDocument/2006/relationships/hyperlink" Target="https://warthunder.com/en/news/6907-special-8th-anniversary-of-war-thunder-en" TargetMode="External"/><Relationship Id="rId723" Type="http://schemas.openxmlformats.org/officeDocument/2006/relationships/hyperlink" Target="https://warthunder.com/en/news/8037-event-pages-of-history-january-en" TargetMode="External"/><Relationship Id="rId930" Type="http://schemas.openxmlformats.org/officeDocument/2006/relationships/hyperlink" Target="https://warthunder.com/en/news/8750-shop-special-a-bundle-and-decal-for-south-african-armed-forces-day-en" TargetMode="External"/><Relationship Id="rId1006" Type="http://schemas.openxmlformats.org/officeDocument/2006/relationships/hyperlink" Target="https://warthunder.com/en/news/8812-event-tank-football-2024-en" TargetMode="External"/><Relationship Id="rId155" Type="http://schemas.openxmlformats.org/officeDocument/2006/relationships/hyperlink" Target="https://warthunder.com/en/news/846/current" TargetMode="External"/><Relationship Id="rId362" Type="http://schemas.openxmlformats.org/officeDocument/2006/relationships/hyperlink" Target="https://warthunder.com/en/news/5002-tournament-corsair-battle-en" TargetMode="External"/><Relationship Id="rId222" Type="http://schemas.openxmlformats.org/officeDocument/2006/relationships/hyperlink" Target="https://warthunder.com/en/news/3040/current" TargetMode="External"/><Relationship Id="rId667" Type="http://schemas.openxmlformats.org/officeDocument/2006/relationships/hyperlink" Target="https://warthunder.com/en/news/7871-special-battle-of-britain-day-en" TargetMode="External"/><Relationship Id="rId874" Type="http://schemas.openxmlformats.org/officeDocument/2006/relationships/hyperlink" Target="https://warthunder.com/en/news/8559-special-war-thunders-11th-birthday-lets-celebrate-together-en" TargetMode="External"/><Relationship Id="rId17" Type="http://schemas.openxmlformats.org/officeDocument/2006/relationships/hyperlink" Target="https://warthunder.com/en/news/167/current" TargetMode="External"/><Relationship Id="rId527" Type="http://schemas.openxmlformats.org/officeDocument/2006/relationships/hyperlink" Target="https://warthunder.com/en/news/7042-special-lunar-new-year-and-valentine-s-day-en" TargetMode="External"/><Relationship Id="rId734" Type="http://schemas.openxmlformats.org/officeDocument/2006/relationships/hyperlink" Target="https://warthunder.com/en/news/8073-event-pages-of-history-february-en" TargetMode="External"/><Relationship Id="rId941" Type="http://schemas.openxmlformats.org/officeDocument/2006/relationships/hyperlink" Target="https://warthunder.com/en/news/8761-event-pages-of-history-march-on-wings-of-war-en" TargetMode="External"/><Relationship Id="rId70" Type="http://schemas.openxmlformats.org/officeDocument/2006/relationships/hyperlink" Target="https://warthunder.com/en/news/418/current" TargetMode="External"/><Relationship Id="rId166" Type="http://schemas.openxmlformats.org/officeDocument/2006/relationships/hyperlink" Target="https://warthunder.com/en/news/892/current" TargetMode="External"/><Relationship Id="rId373" Type="http://schemas.openxmlformats.org/officeDocument/2006/relationships/hyperlink" Target="https://warthunder.com/en/news/4920-gamescom-war-thunder-quiz-en" TargetMode="External"/><Relationship Id="rId580" Type="http://schemas.openxmlformats.org/officeDocument/2006/relationships/hyperlink" Target="https://warthunder.com/en/news/7525-special-battle-of-anzio-en" TargetMode="External"/><Relationship Id="rId801" Type="http://schemas.openxmlformats.org/officeDocument/2006/relationships/hyperlink" Target="https://warthunder.com/en/news/8281-event-pages-of-history-june-en" TargetMode="External"/><Relationship Id="rId1017" Type="http://schemas.openxmlformats.org/officeDocument/2006/relationships/hyperlink" Target="https://warthunder.com/ru/news/16914-akcia-den-vmf-rossii-dekal-strojnyj-i-neustrasimyj-za-zo-ru" TargetMode="External"/><Relationship Id="rId1" Type="http://schemas.openxmlformats.org/officeDocument/2006/relationships/hyperlink" Target="https://warthunder.com/en/news/30/current" TargetMode="External"/><Relationship Id="rId233" Type="http://schemas.openxmlformats.org/officeDocument/2006/relationships/hyperlink" Target="https://warthunder.com/en/news/3157/current" TargetMode="External"/><Relationship Id="rId440" Type="http://schemas.openxmlformats.org/officeDocument/2006/relationships/hyperlink" Target="https://warthunder.com/en/news/5967-news-festivities-in-war-thunder-en" TargetMode="External"/><Relationship Id="rId678" Type="http://schemas.openxmlformats.org/officeDocument/2006/relationships/hyperlink" Target="https://warthunder.com/en/news/7903-special-us-navy-birthday-en" TargetMode="External"/><Relationship Id="rId885" Type="http://schemas.openxmlformats.org/officeDocument/2006/relationships/hyperlink" Target="https://warthunder.com/en/news/8602-event-pages-of-history-december-the-heroic-nurse-en" TargetMode="External"/><Relationship Id="rId1070" Type="http://schemas.openxmlformats.org/officeDocument/2006/relationships/hyperlink" Target="https://warthunder.com/en/news/9111-event-pages-of-history-october-pacific-ace-en" TargetMode="External"/><Relationship Id="rId28" Type="http://schemas.openxmlformats.org/officeDocument/2006/relationships/hyperlink" Target="https://warthunder.com/en/news/250/current" TargetMode="External"/><Relationship Id="rId300" Type="http://schemas.openxmlformats.org/officeDocument/2006/relationships/hyperlink" Target="https://old-forum.warthunder.com/index.php?/topic/317378-shop-russia-day-bundle-at-30-off/" TargetMode="External"/><Relationship Id="rId538" Type="http://schemas.openxmlformats.org/officeDocument/2006/relationships/hyperlink" Target="https://warthunder.com/en/news/7212-special-russia-day-en" TargetMode="External"/><Relationship Id="rId745" Type="http://schemas.openxmlformats.org/officeDocument/2006/relationships/hyperlink" Target="https://warthunder.com/en/news/8124-event-pages-of-history-march-en" TargetMode="External"/><Relationship Id="rId952" Type="http://schemas.openxmlformats.org/officeDocument/2006/relationships/hyperlink" Target="https://warthunder.com/en/news/8834-special-get-a-decal-for-the-anniversary-of-the-royal-air-force-en" TargetMode="External"/><Relationship Id="rId81" Type="http://schemas.openxmlformats.org/officeDocument/2006/relationships/hyperlink" Target="https://warthunder.com/en/news/454/current" TargetMode="External"/><Relationship Id="rId177" Type="http://schemas.openxmlformats.org/officeDocument/2006/relationships/hyperlink" Target="https://warthunder.com/en/news/2616/current" TargetMode="External"/><Relationship Id="rId384" Type="http://schemas.openxmlformats.org/officeDocument/2006/relationships/hyperlink" Target="https://warthunder.com/en/news/5132-shop-take-advantage-of-special-black-friday-en" TargetMode="External"/><Relationship Id="rId591" Type="http://schemas.openxmlformats.org/officeDocument/2006/relationships/hyperlink" Target="https://warthunder.com/en/news/7926-event-pages-of-history-november-en" TargetMode="External"/><Relationship Id="rId605" Type="http://schemas.openxmlformats.org/officeDocument/2006/relationships/hyperlink" Target="https://warthunder.com/en/news/7664-event-pages-of-history-may-en" TargetMode="External"/><Relationship Id="rId812" Type="http://schemas.openxmlformats.org/officeDocument/2006/relationships/hyperlink" Target="https://warthunder.com/en/news/8149-event-tank-football-2023-en" TargetMode="External"/><Relationship Id="rId1028" Type="http://schemas.openxmlformats.org/officeDocument/2006/relationships/hyperlink" Target="https://warthunder.com/en/news/9022-shop-special-polish-armed-forces-day-lanovskis-p-47m-1-re-and-a-new-decal-en" TargetMode="External"/><Relationship Id="rId244" Type="http://schemas.openxmlformats.org/officeDocument/2006/relationships/hyperlink" Target="https://warthunder.com/en/news/3226/current" TargetMode="External"/><Relationship Id="rId689" Type="http://schemas.openxmlformats.org/officeDocument/2006/relationships/hyperlink" Target="https://warthunder.com/en/news/7926-event-pages-of-history-november-en" TargetMode="External"/><Relationship Id="rId896" Type="http://schemas.openxmlformats.org/officeDocument/2006/relationships/hyperlink" Target="https://warthunder.com/en/news/8683-happy-new-year-2024-en" TargetMode="External"/><Relationship Id="rId1081" Type="http://schemas.openxmlformats.org/officeDocument/2006/relationships/hyperlink" Target="https://warthunder.com/en/news/9208-shop-special-a-flag-decal-and-a-discount-on-the-j-7d-for-the-75th-anniversary-of-the-chinese-air-force-en" TargetMode="External"/><Relationship Id="rId39" Type="http://schemas.openxmlformats.org/officeDocument/2006/relationships/hyperlink" Target="https://warthunder.com/en/news/286/current" TargetMode="External"/><Relationship Id="rId451" Type="http://schemas.openxmlformats.org/officeDocument/2006/relationships/hyperlink" Target="https://warthunder.com/en/news/6048-event-defender-of-the-fatherland-en" TargetMode="External"/><Relationship Id="rId549" Type="http://schemas.openxmlformats.org/officeDocument/2006/relationships/hyperlink" Target="https://warthunder.com/en/news/7344-special-us-air-force-day-en" TargetMode="External"/><Relationship Id="rId756" Type="http://schemas.openxmlformats.org/officeDocument/2006/relationships/hyperlink" Target="https://warthunder.com/en/news/8160-special-lucky-pi%C3%B1ata-en" TargetMode="External"/><Relationship Id="rId104" Type="http://schemas.openxmlformats.org/officeDocument/2006/relationships/hyperlink" Target="https://warthunder.com/en/news/520/current" TargetMode="External"/><Relationship Id="rId188" Type="http://schemas.openxmlformats.org/officeDocument/2006/relationships/hyperlink" Target="https://warthunder.com/en/news/2681/current" TargetMode="External"/><Relationship Id="rId311" Type="http://schemas.openxmlformats.org/officeDocument/2006/relationships/hyperlink" Target="https://warthunder.com/en/news/4232-special-tanker-s-day-specials-en" TargetMode="External"/><Relationship Id="rId395" Type="http://schemas.openxmlformats.org/officeDocument/2006/relationships/hyperlink" Target="https://warthunder.com/en/news/4639-event-the-road-for-the-brave-and-airfield-assault-en" TargetMode="External"/><Relationship Id="rId409" Type="http://schemas.openxmlformats.org/officeDocument/2006/relationships/hyperlink" Target="https://warthunder.com/en/news/5317-special-valentine-s-day-with-war-thunder-en" TargetMode="External"/><Relationship Id="rId963" Type="http://schemas.openxmlformats.org/officeDocument/2006/relationships/hyperlink" Target="https://warthunder.com/en/news/8832-event-pages-of-history-april-for-zoya-en" TargetMode="External"/><Relationship Id="rId1039" Type="http://schemas.openxmlformats.org/officeDocument/2006/relationships/hyperlink" Target="https://warthunder.com/en/news/9069-shop-special-discounts-on-soviet-tanks-and-a-decoration-for-tankers-day-en" TargetMode="External"/><Relationship Id="rId92" Type="http://schemas.openxmlformats.org/officeDocument/2006/relationships/hyperlink" Target="https://warthunder.com/en/news/487/current" TargetMode="External"/><Relationship Id="rId616" Type="http://schemas.openxmlformats.org/officeDocument/2006/relationships/hyperlink" Target="https://warthunder.com/en/news/7664-event-pages-of-history-may-en" TargetMode="External"/><Relationship Id="rId823" Type="http://schemas.openxmlformats.org/officeDocument/2006/relationships/hyperlink" Target="https://warthunder.com/en/news/8377-special-stroyny-and-neustrashimy-for-golden-eagles-en" TargetMode="External"/><Relationship Id="rId255" Type="http://schemas.openxmlformats.org/officeDocument/2006/relationships/hyperlink" Target="https://warthunder.com/en/news/3323/current" TargetMode="External"/><Relationship Id="rId462" Type="http://schemas.openxmlformats.org/officeDocument/2006/relationships/hyperlink" Target="https://warthunder.com/en/news/6284-event-korean-war-en" TargetMode="External"/><Relationship Id="rId1092" Type="http://schemas.openxmlformats.org/officeDocument/2006/relationships/hyperlink" Target="https://warthunder.com/en/news/9240-event-pages-of-history-december-world-champion-en" TargetMode="External"/><Relationship Id="rId1106" Type="http://schemas.openxmlformats.org/officeDocument/2006/relationships/hyperlink" Target="https://warthunder.com/en/news/9297-event-celebrate-the-holidays-and-new-year-in-war-thunder-en" TargetMode="External"/><Relationship Id="rId115" Type="http://schemas.openxmlformats.org/officeDocument/2006/relationships/hyperlink" Target="https://warthunder.com/en/news/569/current" TargetMode="External"/><Relationship Id="rId322" Type="http://schemas.openxmlformats.org/officeDocument/2006/relationships/hyperlink" Target="https://warthunder.com/en/news/4355-shop-black-friday-thanksgiving-discounts-have-ended-en" TargetMode="External"/><Relationship Id="rId767" Type="http://schemas.openxmlformats.org/officeDocument/2006/relationships/hyperlink" Target="https://warthunder.com/en/news/8167-event-pages-of-history-april-en" TargetMode="External"/><Relationship Id="rId974" Type="http://schemas.openxmlformats.org/officeDocument/2006/relationships/hyperlink" Target="https://warthunder.com/en/news/8893-special-national-sailors-day-in-france-a-decal-and-the-duguay-trouin-returns-en" TargetMode="External"/><Relationship Id="rId199" Type="http://schemas.openxmlformats.org/officeDocument/2006/relationships/hyperlink" Target="https://warthunder.com/en/news/505/current" TargetMode="External"/><Relationship Id="rId627" Type="http://schemas.openxmlformats.org/officeDocument/2006/relationships/hyperlink" Target="https://warthunder.com/en/news/7689-event-pages-of-history-june-en" TargetMode="External"/><Relationship Id="rId834" Type="http://schemas.openxmlformats.org/officeDocument/2006/relationships/hyperlink" Target="https://warthunder.com/en/news/8401-special-sky-dragons-decal-and-a-uh-1c-xm-30-for-us-airborne-day-en" TargetMode="External"/><Relationship Id="rId266" Type="http://schemas.openxmlformats.org/officeDocument/2006/relationships/hyperlink" Target="https://warthunder.com/en/news/3441/current" TargetMode="External"/><Relationship Id="rId473" Type="http://schemas.openxmlformats.org/officeDocument/2006/relationships/hyperlink" Target="https://warthunder.com/en/news/6383-event-battle-of-britain-en" TargetMode="External"/><Relationship Id="rId680" Type="http://schemas.openxmlformats.org/officeDocument/2006/relationships/hyperlink" Target="https://warthunder.com/en/news/7888-event-pages-of-history-october-en" TargetMode="External"/><Relationship Id="rId901" Type="http://schemas.openxmlformats.org/officeDocument/2006/relationships/hyperlink" Target="https://warthunder.com/en/news/8331-event-pages-of-history-july-en" TargetMode="External"/><Relationship Id="rId1117" Type="http://schemas.openxmlformats.org/officeDocument/2006/relationships/hyperlink" Target="https://warthunder.com/en/news/9302-event-pages-of-history-january-defender-of-leningrad-en" TargetMode="External"/><Relationship Id="rId30" Type="http://schemas.openxmlformats.org/officeDocument/2006/relationships/hyperlink" Target="https://warthunder.com/en/news/251/current" TargetMode="External"/><Relationship Id="rId126" Type="http://schemas.openxmlformats.org/officeDocument/2006/relationships/hyperlink" Target="https://warthunder.com/en/news/618/current" TargetMode="External"/><Relationship Id="rId333" Type="http://schemas.openxmlformats.org/officeDocument/2006/relationships/hyperlink" Target="https://warthunder.com/en/news/4417-special-seasonal-discounts-en" TargetMode="External"/><Relationship Id="rId540" Type="http://schemas.openxmlformats.org/officeDocument/2006/relationships/hyperlink" Target="https://warthunder.com/en/news/7230-special-canada-day-en" TargetMode="External"/><Relationship Id="rId778" Type="http://schemas.openxmlformats.org/officeDocument/2006/relationships/hyperlink" Target="https://warthunder.com/en/news/8208-event-pages-of-history-may-en" TargetMode="External"/><Relationship Id="rId985" Type="http://schemas.openxmlformats.org/officeDocument/2006/relationships/hyperlink" Target="https://warthunder.com/en/news/8913-event-pages-of-history-june-the-military-engineer-en" TargetMode="External"/><Relationship Id="rId638" Type="http://schemas.openxmlformats.org/officeDocument/2006/relationships/hyperlink" Target="https://warthunder.com/en/news/7755-event-pages-of-history-july-en" TargetMode="External"/><Relationship Id="rId845" Type="http://schemas.openxmlformats.org/officeDocument/2006/relationships/hyperlink" Target="https://warthunder.com/en/news/8426-event-pages-of-history-september-en" TargetMode="External"/><Relationship Id="rId1030" Type="http://schemas.openxmlformats.org/officeDocument/2006/relationships/hyperlink" Target="https://warthunder.com/en/news/9004-event-pages-of-history-august-the-first-in-paris-en" TargetMode="External"/><Relationship Id="rId277" Type="http://schemas.openxmlformats.org/officeDocument/2006/relationships/hyperlink" Target="https://warthunder.com/en/news/3295/current" TargetMode="External"/><Relationship Id="rId400" Type="http://schemas.openxmlformats.org/officeDocument/2006/relationships/hyperlink" Target="https://warthunder.com/en/news/5109-event-team-deathmatch-100-en" TargetMode="External"/><Relationship Id="rId484" Type="http://schemas.openxmlformats.org/officeDocument/2006/relationships/hyperlink" Target="https://old-forum.warthunder.com/index.php?/topic/473653-happy-new-year/" TargetMode="External"/><Relationship Id="rId705" Type="http://schemas.openxmlformats.org/officeDocument/2006/relationships/hyperlink" Target="https://warthunder.com/en/news/8040-merry-christmas-and-happy-new-year-2023-en" TargetMode="External"/><Relationship Id="rId1128" Type="http://schemas.openxmlformats.org/officeDocument/2006/relationships/hyperlink" Target="https://warthunder.com/en/news/9368-shop-special-themed-decorations-a-decal-and-tank-for-valentines-day-en" TargetMode="External"/><Relationship Id="rId137" Type="http://schemas.openxmlformats.org/officeDocument/2006/relationships/hyperlink" Target="https://warthunder.com/en/news/708/current" TargetMode="External"/><Relationship Id="rId344" Type="http://schemas.openxmlformats.org/officeDocument/2006/relationships/hyperlink" Target="https://warthunder.com/en/news/4166-event-rapid-fire-and-floats-en" TargetMode="External"/><Relationship Id="rId691" Type="http://schemas.openxmlformats.org/officeDocument/2006/relationships/hyperlink" Target="https://warthunder.com/en/news/7962-special-people-s-liberation-army-air-force-day-en" TargetMode="External"/><Relationship Id="rId789" Type="http://schemas.openxmlformats.org/officeDocument/2006/relationships/hyperlink" Target="https://warthunder.com/en/news/8296-special-decal-and-destroyer-for-canadian-armed-forces-day-en" TargetMode="External"/><Relationship Id="rId912" Type="http://schemas.openxmlformats.org/officeDocument/2006/relationships/hyperlink" Target="https://warthunder.com/en/news/8680-event-pages-of-history-january-ace-in-a-day-en" TargetMode="External"/><Relationship Id="rId996" Type="http://schemas.openxmlformats.org/officeDocument/2006/relationships/hyperlink" Target="https://warthunder.com/en/news/9213-shop-special-a-decal-and-the-return-of-the-pzsflic-and-panzer-iv70a-for-bundeswehr-day-en" TargetMode="External"/><Relationship Id="rId41" Type="http://schemas.openxmlformats.org/officeDocument/2006/relationships/hyperlink" Target="https://warthunder.com/en/news/299/current" TargetMode="External"/><Relationship Id="rId551" Type="http://schemas.openxmlformats.org/officeDocument/2006/relationships/hyperlink" Target="https://warthunder.com/en/news/7358-special-german-unity-day-en" TargetMode="External"/><Relationship Id="rId649" Type="http://schemas.openxmlformats.org/officeDocument/2006/relationships/hyperlink" Target="https://warthunder.com/en/news/7755-event-pages-of-history-july-en" TargetMode="External"/><Relationship Id="rId856" Type="http://schemas.openxmlformats.org/officeDocument/2006/relationships/hyperlink" Target="https://warthunder.com/en/news/8501-special-shop-discounts-type-69-iia-back-for-ge-a-decal-for-the-national-day-of-the-prc-en" TargetMode="External"/><Relationship Id="rId190" Type="http://schemas.openxmlformats.org/officeDocument/2006/relationships/hyperlink" Target="https://warthunder.com/en/news/428/current" TargetMode="External"/><Relationship Id="rId204" Type="http://schemas.openxmlformats.org/officeDocument/2006/relationships/hyperlink" Target="https://warthunder.com/en/news/2764/current" TargetMode="External"/><Relationship Id="rId288" Type="http://schemas.openxmlformats.org/officeDocument/2006/relationships/hyperlink" Target="https://warthunder.com/en/news/3610-special-team-deathmatch-win-rare-vehicles-en" TargetMode="External"/><Relationship Id="rId411" Type="http://schemas.openxmlformats.org/officeDocument/2006/relationships/hyperlink" Target="https://warthunder.com/en/news/5372-special-winter-is-over-welcome-to-spring-en" TargetMode="External"/><Relationship Id="rId509" Type="http://schemas.openxmlformats.org/officeDocument/2006/relationships/hyperlink" Target="https://warthunder.com/en/news/6823-event-russian-aerospace-forces-day-en" TargetMode="External"/><Relationship Id="rId1041" Type="http://schemas.openxmlformats.org/officeDocument/2006/relationships/hyperlink" Target="https://warthunder.com/en/news/9038-event-pages-of-history-september-attacker-ace-en" TargetMode="External"/><Relationship Id="rId495" Type="http://schemas.openxmlformats.org/officeDocument/2006/relationships/hyperlink" Target="https://warthunder.com/en/news/6648-news-alexander-pokryshkin-s-birthday-en" TargetMode="External"/><Relationship Id="rId716" Type="http://schemas.openxmlformats.org/officeDocument/2006/relationships/hyperlink" Target="https://warthunder.com/en/news/8037-event-pages-of-history-january-en" TargetMode="External"/><Relationship Id="rId923" Type="http://schemas.openxmlformats.org/officeDocument/2006/relationships/hyperlink" Target="https://warthunder.com/en/news/8713-event-pages-of-history-february-through-a-storm-en" TargetMode="External"/><Relationship Id="rId52" Type="http://schemas.openxmlformats.org/officeDocument/2006/relationships/hyperlink" Target="https://warthunder.com/en/news/340/current" TargetMode="External"/><Relationship Id="rId148" Type="http://schemas.openxmlformats.org/officeDocument/2006/relationships/hyperlink" Target="https://warthunder.com/en/news/792/current" TargetMode="External"/><Relationship Id="rId355" Type="http://schemas.openxmlformats.org/officeDocument/2006/relationships/hyperlink" Target="https://warthunder.com/en/news/4464-event-airfield-assault-and-defense-stalingrad-enduring-confrontation-english-channel-en" TargetMode="External"/><Relationship Id="rId562" Type="http://schemas.openxmlformats.org/officeDocument/2006/relationships/hyperlink" Target="https://warthunder.com/en/news/7435-special-naval-infantry-day-en" TargetMode="External"/><Relationship Id="rId215" Type="http://schemas.openxmlformats.org/officeDocument/2006/relationships/hyperlink" Target="https://warthunder.com/en/news/2914/current" TargetMode="External"/><Relationship Id="rId422" Type="http://schemas.openxmlformats.org/officeDocument/2006/relationships/hyperlink" Target="https://warthunder.com/en/news/5620-news-independence-day-en" TargetMode="External"/><Relationship Id="rId867" Type="http://schemas.openxmlformats.org/officeDocument/2006/relationships/hyperlink" Target="https://warthunder.com/en/news/8495-event-pages-of-history-october-en" TargetMode="External"/><Relationship Id="rId1052" Type="http://schemas.openxmlformats.org/officeDocument/2006/relationships/hyperlink" Target="https://warthunder.com/en/news/9038-event-pages-of-history-september-attacker-ace-en" TargetMode="External"/><Relationship Id="rId299" Type="http://schemas.openxmlformats.org/officeDocument/2006/relationships/hyperlink" Target="https://old-forum.warthunder.com/index.php?/topic/316493-shop-d-day-bundle-at-30-off33/" TargetMode="External"/><Relationship Id="rId727" Type="http://schemas.openxmlformats.org/officeDocument/2006/relationships/hyperlink" Target="https://warthunder.com/en/news/8073-event-pages-of-history-february-en" TargetMode="External"/><Relationship Id="rId934" Type="http://schemas.openxmlformats.org/officeDocument/2006/relationships/hyperlink" Target="https://warthunder.com/en/news/8713-event-pages-of-history-february-through-a-storm-en" TargetMode="External"/><Relationship Id="rId63" Type="http://schemas.openxmlformats.org/officeDocument/2006/relationships/hyperlink" Target="https://warthunder.com/en/news/383/current" TargetMode="External"/><Relationship Id="rId159" Type="http://schemas.openxmlformats.org/officeDocument/2006/relationships/hyperlink" Target="https://warthunder.com/en/news/861/current" TargetMode="External"/><Relationship Id="rId366" Type="http://schemas.openxmlformats.org/officeDocument/2006/relationships/hyperlink" Target="https://warthunder.com/en/news/4799-event-battleroyal-en" TargetMode="External"/><Relationship Id="rId573" Type="http://schemas.openxmlformats.org/officeDocument/2006/relationships/hyperlink" Target="https://warthunder.com/en/news/7153-special-happy-victory-day-en" TargetMode="External"/><Relationship Id="rId780" Type="http://schemas.openxmlformats.org/officeDocument/2006/relationships/hyperlink" Target="https://warthunder.com/en/news/8080-event-world-war-mode-news-en" TargetMode="External"/><Relationship Id="rId226" Type="http://schemas.openxmlformats.org/officeDocument/2006/relationships/hyperlink" Target="https://warthunder.com/en/news/3103/current" TargetMode="External"/><Relationship Id="rId433" Type="http://schemas.openxmlformats.org/officeDocument/2006/relationships/hyperlink" Target="https://warthunder.com/en/news/5872-special-a-centenary-of-poland-regaining-independence-en" TargetMode="External"/><Relationship Id="rId878" Type="http://schemas.openxmlformats.org/officeDocument/2006/relationships/hyperlink" Target="https://warthunder.com/en/news/8589-special-chinese-air-force-day-a-decal-and-the-z-19e-is-here-to-stay-en" TargetMode="External"/><Relationship Id="rId1063" Type="http://schemas.openxmlformats.org/officeDocument/2006/relationships/hyperlink" Target="https://warthunder.com/en/news/9111-event-pages-of-history-october-pacific-ace-en" TargetMode="External"/><Relationship Id="rId640" Type="http://schemas.openxmlformats.org/officeDocument/2006/relationships/hyperlink" Target="https://warthunder.com/en/news/7584-event-a-fiery-ball-is-back-en" TargetMode="External"/><Relationship Id="rId738" Type="http://schemas.openxmlformats.org/officeDocument/2006/relationships/hyperlink" Target="https://warthunder.com/en/news/8111-esport-defender-tournament-series-en" TargetMode="External"/><Relationship Id="rId945" Type="http://schemas.openxmlformats.org/officeDocument/2006/relationships/hyperlink" Target="https://warthunder.com/en/news/8784-shop-special-alexander-pokyrshkins-p-39n-0-temporarily-returns-for-his-birthday-en" TargetMode="External"/><Relationship Id="rId74" Type="http://schemas.openxmlformats.org/officeDocument/2006/relationships/hyperlink" Target="https://warthunder.com/en/news/429/current" TargetMode="External"/><Relationship Id="rId377" Type="http://schemas.openxmlformats.org/officeDocument/2006/relationships/hyperlink" Target="https://warthunder.com/en/news/4970-event-battle-of-britain-en" TargetMode="External"/><Relationship Id="rId500" Type="http://schemas.openxmlformats.org/officeDocument/2006/relationships/hyperlink" Target="https://warthunder.com/en/news/6565-event-world-war-season-attack-from-the-sea-en" TargetMode="External"/><Relationship Id="rId584" Type="http://schemas.openxmlformats.org/officeDocument/2006/relationships/hyperlink" Target="https://warthunder.com/en/news/7546-special-operation-veritable-en" TargetMode="External"/><Relationship Id="rId805" Type="http://schemas.openxmlformats.org/officeDocument/2006/relationships/hyperlink" Target="https://warthunder.com/en/news/8340-special-three-different-vehicles-and-a-decal-for-the-jsdf-day-en" TargetMode="External"/><Relationship Id="rId1130" Type="http://schemas.openxmlformats.org/officeDocument/2006/relationships/hyperlink" Target="https://warthunder.com/en/news/9367-shop-the-bo-105-cb-2-is-temporarily-available-at-a-discount-for-the-bo-105s-first-flight-en" TargetMode="External"/><Relationship Id="rId5" Type="http://schemas.openxmlformats.org/officeDocument/2006/relationships/hyperlink" Target="https://warthunder.com/en/news/86/current" TargetMode="External"/><Relationship Id="rId237" Type="http://schemas.openxmlformats.org/officeDocument/2006/relationships/hyperlink" Target="https://warthunder.com/en/news/3172/current" TargetMode="External"/><Relationship Id="rId791" Type="http://schemas.openxmlformats.org/officeDocument/2006/relationships/hyperlink" Target="https://warthunder.com/en/news/8304-special-celebrating-500-years-of-swedish-independence-en" TargetMode="External"/><Relationship Id="rId889" Type="http://schemas.openxmlformats.org/officeDocument/2006/relationships/hyperlink" Target="https://warthunder.com/en/news/8602-event-pages-of-history-december-the-heroic-nurse-en" TargetMode="External"/><Relationship Id="rId1074" Type="http://schemas.openxmlformats.org/officeDocument/2006/relationships/hyperlink" Target="https://warthunder.com/en/news/9149-shop-in-game-discounts-for-war-thunders-12th-anniversary-en" TargetMode="External"/><Relationship Id="rId444" Type="http://schemas.openxmlformats.org/officeDocument/2006/relationships/hyperlink" Target="https://warthunder.com/en/news/5638-event-friday-july-13th-bad-turn-en" TargetMode="External"/><Relationship Id="rId651" Type="http://schemas.openxmlformats.org/officeDocument/2006/relationships/hyperlink" Target="https://warthunder.com/en/news/7789-event-pages-of-history-august-en" TargetMode="External"/><Relationship Id="rId749" Type="http://schemas.openxmlformats.org/officeDocument/2006/relationships/hyperlink" Target="https://warthunder.com/en/news/8124-event-pages-of-history-march-en" TargetMode="External"/><Relationship Id="rId290" Type="http://schemas.openxmlformats.org/officeDocument/2006/relationships/hyperlink" Target="https://warthunder.com/en/news/3639-special-st-patricks-day-en" TargetMode="External"/><Relationship Id="rId304" Type="http://schemas.openxmlformats.org/officeDocument/2006/relationships/hyperlink" Target="https://warthunder.com/en/news/3802-event-independence-day-air-battles-over-the-ardennes-en" TargetMode="External"/><Relationship Id="rId388" Type="http://schemas.openxmlformats.org/officeDocument/2006/relationships/hyperlink" Target="https://warthunder.com/en/news/5158-giveaway-advent-in-war-thunder-en" TargetMode="External"/><Relationship Id="rId511" Type="http://schemas.openxmlformats.org/officeDocument/2006/relationships/hyperlink" Target="https://warthunder.com/en/news/6862-special-happy-tankers-day-en" TargetMode="External"/><Relationship Id="rId609" Type="http://schemas.openxmlformats.org/officeDocument/2006/relationships/hyperlink" Target="https://warthunder.com/en/news/7671-special-italian-army-day-en" TargetMode="External"/><Relationship Id="rId956" Type="http://schemas.openxmlformats.org/officeDocument/2006/relationships/hyperlink" Target="https://warthunder.com/en/news/8847-special-celebrate-the-day-of-aviation-and-cosmonautics-by-earning-a-themed-decal-en" TargetMode="External"/><Relationship Id="rId85" Type="http://schemas.openxmlformats.org/officeDocument/2006/relationships/hyperlink" Target="https://warthunder.com/en/news/464/current" TargetMode="External"/><Relationship Id="rId150" Type="http://schemas.openxmlformats.org/officeDocument/2006/relationships/hyperlink" Target="https://warthunder.com/en/news/814/current" TargetMode="External"/><Relationship Id="rId595" Type="http://schemas.openxmlformats.org/officeDocument/2006/relationships/hyperlink" Target="https://warthunder.com/en/news/7582-event-the-tailspin-is-back-en" TargetMode="External"/><Relationship Id="rId816" Type="http://schemas.openxmlformats.org/officeDocument/2006/relationships/hyperlink" Target="https://warthunder.com/en/news/8331-event-pages-of-history-july-en" TargetMode="External"/><Relationship Id="rId1001" Type="http://schemas.openxmlformats.org/officeDocument/2006/relationships/hyperlink" Target="https://warthunder.com/en/news/8969-shop-special-celebrating-swedish-air-force-day-with-aircraft-and-a-unique-decal-en" TargetMode="External"/><Relationship Id="rId248" Type="http://schemas.openxmlformats.org/officeDocument/2006/relationships/hyperlink" Target="https://warthunder.com/en/news/3266/current" TargetMode="External"/><Relationship Id="rId455" Type="http://schemas.openxmlformats.org/officeDocument/2006/relationships/hyperlink" Target="https://warthunder.com/en/news/6170-special-victory-day-en" TargetMode="External"/><Relationship Id="rId662" Type="http://schemas.openxmlformats.org/officeDocument/2006/relationships/hyperlink" Target="https://warthunder.com/en/news/7845-special-victory-in-asia-day-en" TargetMode="External"/><Relationship Id="rId1085" Type="http://schemas.openxmlformats.org/officeDocument/2006/relationships/hyperlink" Target="https://warthunder.com/en/news/9234-shop-black-friday-in-war-thunder-en" TargetMode="External"/><Relationship Id="rId12" Type="http://schemas.openxmlformats.org/officeDocument/2006/relationships/hyperlink" Target="https://warthunder.com/en/news/3079/current" TargetMode="External"/><Relationship Id="rId108" Type="http://schemas.openxmlformats.org/officeDocument/2006/relationships/hyperlink" Target="https://warthunder.com/en/news/533/current" TargetMode="External"/><Relationship Id="rId315" Type="http://schemas.openxmlformats.org/officeDocument/2006/relationships/hyperlink" Target="https://warthunder.com/en/news/3552-event-rapid-fire-en" TargetMode="External"/><Relationship Id="rId522" Type="http://schemas.openxmlformats.org/officeDocument/2006/relationships/hyperlink" Target="https://warthunder.com/en/news/6703-event-winner-vehicles-for-the-victory-anniversary-en" TargetMode="External"/><Relationship Id="rId967" Type="http://schemas.openxmlformats.org/officeDocument/2006/relationships/hyperlink" Target="https://warthunder.com/en/news/8871-event-pages-of-history-may-for-victory-en" TargetMode="External"/><Relationship Id="rId96" Type="http://schemas.openxmlformats.org/officeDocument/2006/relationships/hyperlink" Target="https://warthunder.com/en/news/492/current" TargetMode="External"/><Relationship Id="rId161" Type="http://schemas.openxmlformats.org/officeDocument/2006/relationships/hyperlink" Target="https://warthunder.com/en/news/875/current" TargetMode="External"/><Relationship Id="rId399" Type="http://schemas.openxmlformats.org/officeDocument/2006/relationships/hyperlink" Target="https://warthunder.com/en/news/5079-special-hurry-up-and-get-rare-packs-en" TargetMode="External"/><Relationship Id="rId827" Type="http://schemas.openxmlformats.org/officeDocument/2006/relationships/hyperlink" Target="https://warthunder.ru/ru/news/16370-dekal-na-den-vdv-ru" TargetMode="External"/><Relationship Id="rId1012" Type="http://schemas.openxmlformats.org/officeDocument/2006/relationships/hyperlink" Target="https://warthunder.com/en/news/8982-shop-special-bastille-day-a-festive-decal-discounts-and-vehicles-for-golden-eagles-en" TargetMode="External"/><Relationship Id="rId259" Type="http://schemas.openxmlformats.org/officeDocument/2006/relationships/hyperlink" Target="https://warthunder.com/en/news/3229/current" TargetMode="External"/><Relationship Id="rId466" Type="http://schemas.openxmlformats.org/officeDocument/2006/relationships/hyperlink" Target="https://warthunder.com/en/news/6269-event-sicilian-campaign-en" TargetMode="External"/><Relationship Id="rId673" Type="http://schemas.openxmlformats.org/officeDocument/2006/relationships/hyperlink" Target="https://warthunder.com/en/news/7891-special-national-day-of-the-people-s-republic-of-china-en" TargetMode="External"/><Relationship Id="rId880" Type="http://schemas.openxmlformats.org/officeDocument/2006/relationships/hyperlink" Target="https://warthunder.com/en/news/8549-event-pages-of-history-november-en" TargetMode="External"/><Relationship Id="rId1096" Type="http://schemas.openxmlformats.org/officeDocument/2006/relationships/hyperlink" Target="https://warthunder.com/en/news/9240-event-pages-of-history-december-world-champion-en" TargetMode="External"/><Relationship Id="rId23" Type="http://schemas.openxmlformats.org/officeDocument/2006/relationships/hyperlink" Target="https://warthunder.com/en/news/211/current" TargetMode="External"/><Relationship Id="rId119" Type="http://schemas.openxmlformats.org/officeDocument/2006/relationships/hyperlink" Target="https://warthunder.com/en/news/582/current" TargetMode="External"/><Relationship Id="rId326" Type="http://schemas.openxmlformats.org/officeDocument/2006/relationships/hyperlink" Target="https://old-forum.warthunder.com/index.php?/topic/341232-attack-on-the-pearl-harbor/" TargetMode="External"/><Relationship Id="rId533" Type="http://schemas.openxmlformats.org/officeDocument/2006/relationships/hyperlink" Target="https://warthunder.com/en/news/7112-event-tailspin-a-new-milestone-in-the-development-of-the-game-en" TargetMode="External"/><Relationship Id="rId978" Type="http://schemas.openxmlformats.org/officeDocument/2006/relationships/hyperlink" Target="https://warthunder.com/en/news/8871-event-pages-of-history-may-for-victory-en" TargetMode="External"/><Relationship Id="rId740" Type="http://schemas.openxmlformats.org/officeDocument/2006/relationships/hyperlink" Target="https://warthunder.com/en/news/8073-event-pages-of-history-february-en" TargetMode="External"/><Relationship Id="rId838" Type="http://schemas.openxmlformats.org/officeDocument/2006/relationships/hyperlink" Target="https://warthunder.com/en/news/8413-special-mig-15bis-ish-returns-for-official-service-anniversary-en" TargetMode="External"/><Relationship Id="rId1023" Type="http://schemas.openxmlformats.org/officeDocument/2006/relationships/hyperlink" Target="https://warthunder.com/en/news/9004-event-pages-of-history-august-the-first-in-paris-en" TargetMode="External"/><Relationship Id="rId172" Type="http://schemas.openxmlformats.org/officeDocument/2006/relationships/hyperlink" Target="https://warthunder.com/en/news/2595--en" TargetMode="External"/><Relationship Id="rId477" Type="http://schemas.openxmlformats.org/officeDocument/2006/relationships/hyperlink" Target="https://warthunder.com/en/news/6460-event-halloween-in-war-thunder-en" TargetMode="External"/><Relationship Id="rId600" Type="http://schemas.openxmlformats.org/officeDocument/2006/relationships/hyperlink" Target="https://warthunder.com/en/news/7629-event-pages-of-history-april-en" TargetMode="External"/><Relationship Id="rId684" Type="http://schemas.openxmlformats.org/officeDocument/2006/relationships/hyperlink" Target="https://warthunder.com/en/news/7939-event-halloween-in-war-thunder-en" TargetMode="External"/><Relationship Id="rId337" Type="http://schemas.openxmlformats.org/officeDocument/2006/relationships/hyperlink" Target="https://warthunder.com/en/news/4298-event-the-road-for-the-brave-en" TargetMode="External"/><Relationship Id="rId891" Type="http://schemas.openxmlformats.org/officeDocument/2006/relationships/hyperlink" Target="https://warthunder.com/en/news/8602-event-pages-of-history-december-the-heroic-nurse-en" TargetMode="External"/><Relationship Id="rId905" Type="http://schemas.openxmlformats.org/officeDocument/2006/relationships/hyperlink" Target="https://warthunder.com/en/news/8306-special-vehicles-of-d-day-for-golden-eagles-en" TargetMode="External"/><Relationship Id="rId989" Type="http://schemas.openxmlformats.org/officeDocument/2006/relationships/hyperlink" Target="https://warthunder.com/en/news/8948-shop-special-german-navy-day-two-ships-and-a-decal-en" TargetMode="External"/><Relationship Id="rId34" Type="http://schemas.openxmlformats.org/officeDocument/2006/relationships/hyperlink" Target="https://warthunder.com/en/news/268/current" TargetMode="External"/><Relationship Id="rId544" Type="http://schemas.openxmlformats.org/officeDocument/2006/relationships/hyperlink" Target="https://warthunder.com/en/news/7269-special-day-of-chinese-people-s-liberation-army-en" TargetMode="External"/><Relationship Id="rId751" Type="http://schemas.openxmlformats.org/officeDocument/2006/relationships/hyperlink" Target="https://warthunder.com/en/news/8161-special-first-flight-of-the-la-5-en" TargetMode="External"/><Relationship Id="rId849" Type="http://schemas.openxmlformats.org/officeDocument/2006/relationships/hyperlink" Target="https://warthunder.com/en/news/8478-special-a-decal-and-two-fighters-to-celebrate-the-us-air-forces-birthday-en" TargetMode="External"/><Relationship Id="rId183" Type="http://schemas.openxmlformats.org/officeDocument/2006/relationships/hyperlink" Target="https://warthunder.com/en/news/2646/current" TargetMode="External"/><Relationship Id="rId390" Type="http://schemas.openxmlformats.org/officeDocument/2006/relationships/hyperlink" Target="https://warthunder.com/en/news/5226-special-festivities-in-war-thunder-en" TargetMode="External"/><Relationship Id="rId404" Type="http://schemas.openxmlformats.org/officeDocument/2006/relationships/hyperlink" Target="https://warthunder.com/en/news/4993-event-battle-royale-and-enduring-confrontation-en" TargetMode="External"/><Relationship Id="rId611" Type="http://schemas.openxmlformats.org/officeDocument/2006/relationships/hyperlink" Target="https://warthunder.com/en/news/7664-event-pages-of-history-may-en" TargetMode="External"/><Relationship Id="rId1034" Type="http://schemas.openxmlformats.org/officeDocument/2006/relationships/hyperlink" Target="https://warthunder.com/en/news/9025-special-a-new-decal-and-decoration-for-the-80th-anniversary-of-the-liberation-of-paris-en" TargetMode="External"/><Relationship Id="rId250" Type="http://schemas.openxmlformats.org/officeDocument/2006/relationships/hyperlink" Target="https://warthunder.com/en/news/3281/current" TargetMode="External"/><Relationship Id="rId488" Type="http://schemas.openxmlformats.org/officeDocument/2006/relationships/hyperlink" Target="https://warthunder.com/en/news/6464-shop-war-thunder-birthday-sale-en" TargetMode="External"/><Relationship Id="rId695" Type="http://schemas.openxmlformats.org/officeDocument/2006/relationships/hyperlink" Target="https://warthunder.com/en/news/7926-event-pages-of-history-november-en" TargetMode="External"/><Relationship Id="rId709" Type="http://schemas.openxmlformats.org/officeDocument/2006/relationships/hyperlink" Target="https://warthunder.com/en/news/7677-event-victory-day-in-war-thunder-en" TargetMode="External"/><Relationship Id="rId916" Type="http://schemas.openxmlformats.org/officeDocument/2006/relationships/hyperlink" Target="https://warthunder.com/en/news/8692-special-su-7bmk-returns-for-the-anniversary-of-its-maiden-flight-en" TargetMode="External"/><Relationship Id="rId1101" Type="http://schemas.openxmlformats.org/officeDocument/2006/relationships/hyperlink" Target="https://warthunder.com/en/news/8710-special-anniversary-of-lifting-the-siege-of-leningrad-get-the-kv-2-zis-6-and-earn-a-decal-decoration-en" TargetMode="External"/><Relationship Id="rId45" Type="http://schemas.openxmlformats.org/officeDocument/2006/relationships/hyperlink" Target="https://warthunder.com/en/news/307/current" TargetMode="External"/><Relationship Id="rId110" Type="http://schemas.openxmlformats.org/officeDocument/2006/relationships/hyperlink" Target="https://warthunder.com/en/news/546/current" TargetMode="External"/><Relationship Id="rId348" Type="http://schemas.openxmlformats.org/officeDocument/2006/relationships/hyperlink" Target="https://warthunder.com/en/news/4508-special-valentine-s-day-en" TargetMode="External"/><Relationship Id="rId555" Type="http://schemas.openxmlformats.org/officeDocument/2006/relationships/hyperlink" Target="https://warthunder.com/en/news/7408-news-happy-birthday-war-thunder-en" TargetMode="External"/><Relationship Id="rId762" Type="http://schemas.openxmlformats.org/officeDocument/2006/relationships/hyperlink" Target="https://warthunder.com/en/news/8192-special-day-of-aviation-and-cosmonautics-en" TargetMode="External"/><Relationship Id="rId194" Type="http://schemas.openxmlformats.org/officeDocument/2006/relationships/hyperlink" Target="https://warthunder.com/en/news/2749--en" TargetMode="External"/><Relationship Id="rId208" Type="http://schemas.openxmlformats.org/officeDocument/2006/relationships/hyperlink" Target="https://warthunder.com/en/news/3354/current" TargetMode="External"/><Relationship Id="rId415" Type="http://schemas.openxmlformats.org/officeDocument/2006/relationships/hyperlink" Target="https://warthunder.com/en/news/5438-raf-100-royal-air-force-centenary-en" TargetMode="External"/><Relationship Id="rId622" Type="http://schemas.openxmlformats.org/officeDocument/2006/relationships/hyperlink" Target="https://warthunder.com/en/news/7725-shop-d-day-2022-bundle-50-en" TargetMode="External"/><Relationship Id="rId1045" Type="http://schemas.openxmlformats.org/officeDocument/2006/relationships/hyperlink" Target="https://warthunder.com/en/news/9095-shop-the-yp-38-makes-a-temporary-return-for-the-anniversary-of-its-first-flight-en" TargetMode="External"/><Relationship Id="rId261" Type="http://schemas.openxmlformats.org/officeDocument/2006/relationships/hyperlink" Target="https://warthunder.com/en/news/3397/current" TargetMode="External"/><Relationship Id="rId499" Type="http://schemas.openxmlformats.org/officeDocument/2006/relationships/hyperlink" Target="https://warthunder.com/en/news/6694-shop-may-sale-in-war-thunder-en" TargetMode="External"/><Relationship Id="rId927" Type="http://schemas.openxmlformats.org/officeDocument/2006/relationships/hyperlink" Target="https://warthunder.com/en/news/8737-special-happy-valentines-day-get-themed-decorations-and-a-rare-tank-en" TargetMode="External"/><Relationship Id="rId1112" Type="http://schemas.openxmlformats.org/officeDocument/2006/relationships/hyperlink" Target="https://warthunder.com/en/news/9302-event-pages-of-history-january-defender-of-leningrad-en" TargetMode="External"/><Relationship Id="rId56" Type="http://schemas.openxmlformats.org/officeDocument/2006/relationships/hyperlink" Target="https://warthunder.com/en/news/358/current" TargetMode="External"/><Relationship Id="rId359" Type="http://schemas.openxmlformats.org/officeDocument/2006/relationships/hyperlink" Target="https://warthunder.com/en/news/4693-vday-happy-victory-day-en" TargetMode="External"/><Relationship Id="rId566" Type="http://schemas.openxmlformats.org/officeDocument/2006/relationships/hyperlink" Target="https://warthunder.com/en/news/7488-special-the-ardennes-offensive-en" TargetMode="External"/><Relationship Id="rId773" Type="http://schemas.openxmlformats.org/officeDocument/2006/relationships/hyperlink" Target="https://warthunder.com/en/news/8220-special-wt-poland-happy-constitution-day-en" TargetMode="External"/><Relationship Id="rId121" Type="http://schemas.openxmlformats.org/officeDocument/2006/relationships/hyperlink" Target="https://warthunder.com/en/news/591/current" TargetMode="External"/><Relationship Id="rId219" Type="http://schemas.openxmlformats.org/officeDocument/2006/relationships/hyperlink" Target="https://warthunder.com/en/news/2966/current" TargetMode="External"/><Relationship Id="rId426" Type="http://schemas.openxmlformats.org/officeDocument/2006/relationships/hyperlink" Target="https://warthunder.com/en/news/5673-event-russia-airborne-forces-day-en" TargetMode="External"/><Relationship Id="rId633" Type="http://schemas.openxmlformats.org/officeDocument/2006/relationships/hyperlink" Target="https://warthunder.com/en/news/7689-event-pages-of-history-june-en" TargetMode="External"/><Relationship Id="rId980" Type="http://schemas.openxmlformats.org/officeDocument/2006/relationships/hyperlink" Target="https://warthunder.com/en/news/8908-special-the-milan-temporarily-returns-on-the-anniversary-of-its-first-flight-en" TargetMode="External"/><Relationship Id="rId1056" Type="http://schemas.openxmlformats.org/officeDocument/2006/relationships/hyperlink" Target="https://warthunder.com/en/news/9111-event-pages-of-history-october-pacific-ace-en" TargetMode="External"/><Relationship Id="rId840" Type="http://schemas.openxmlformats.org/officeDocument/2006/relationships/hyperlink" Target="https://warthunder.com/en/news/8426-event-pages-of-history-september-en" TargetMode="External"/><Relationship Id="rId938" Type="http://schemas.openxmlformats.org/officeDocument/2006/relationships/hyperlink" Target="https://warthunder.com/en/news/8761-event-pages-of-history-march-on-wings-of-war-en" TargetMode="External"/><Relationship Id="rId67" Type="http://schemas.openxmlformats.org/officeDocument/2006/relationships/hyperlink" Target="https://warthunder.com/en/news/403/current" TargetMode="External"/><Relationship Id="rId272" Type="http://schemas.openxmlformats.org/officeDocument/2006/relationships/hyperlink" Target="https://warthunder.com/en/news/3496/current" TargetMode="External"/><Relationship Id="rId577" Type="http://schemas.openxmlformats.org/officeDocument/2006/relationships/hyperlink" Target="https://warthunder.com/en/news/7504-special-operation-bolo-en" TargetMode="External"/><Relationship Id="rId700" Type="http://schemas.openxmlformats.org/officeDocument/2006/relationships/hyperlink" Target="https://warthunder.com/en/news/7981-event-pages-of-history-december-en" TargetMode="External"/><Relationship Id="rId1123" Type="http://schemas.openxmlformats.org/officeDocument/2006/relationships/hyperlink" Target="https://warthunder.com/en/news/9349-event-pages-of-history-february-the-big-chief-en" TargetMode="External"/><Relationship Id="rId132" Type="http://schemas.openxmlformats.org/officeDocument/2006/relationships/hyperlink" Target="https://warthunder.com/en/news/681/current" TargetMode="External"/><Relationship Id="rId784" Type="http://schemas.openxmlformats.org/officeDocument/2006/relationships/hyperlink" Target="https://warthunder.com/en/news/8208-event-pages-of-history-may-en" TargetMode="External"/><Relationship Id="rId991" Type="http://schemas.openxmlformats.org/officeDocument/2006/relationships/hyperlink" Target="https://warthunder.com/en/news/8947-shop-special-the-mig-21-sps-k-returns-for-the-anniversary-of-the-mig-21s-first-flight-en" TargetMode="External"/><Relationship Id="rId1067" Type="http://schemas.openxmlformats.org/officeDocument/2006/relationships/hyperlink" Target="https://warthunder.com/en/news/9111-event-pages-of-history-october-pacific-ace-en" TargetMode="External"/><Relationship Id="rId437" Type="http://schemas.openxmlformats.org/officeDocument/2006/relationships/hyperlink" Target="https://warthunder.com/en/news/5972-merry-christmas-en" TargetMode="External"/><Relationship Id="rId644" Type="http://schemas.openxmlformats.org/officeDocument/2006/relationships/hyperlink" Target="https://warthunder.com/en/news/7755-event-pages-of-history-july-en" TargetMode="External"/><Relationship Id="rId851" Type="http://schemas.openxmlformats.org/officeDocument/2006/relationships/hyperlink" Target="https://warthunder.com/en/news/8426-event-pages-of-history-september-en" TargetMode="External"/><Relationship Id="rId283" Type="http://schemas.openxmlformats.org/officeDocument/2006/relationships/hyperlink" Target="https://warthunder.com/en/news/3676-event-large-calibres-event-en" TargetMode="External"/><Relationship Id="rId490" Type="http://schemas.openxmlformats.org/officeDocument/2006/relationships/hyperlink" Target="https://warthunder.com/en/news/6562-shop-the-lunar-new-year-2020-en" TargetMode="External"/><Relationship Id="rId504" Type="http://schemas.openxmlformats.org/officeDocument/2006/relationships/hyperlink" Target="https://warthunder.com/en/news/6787-news-independence-day-en" TargetMode="External"/><Relationship Id="rId711" Type="http://schemas.openxmlformats.org/officeDocument/2006/relationships/hyperlink" Target="https://warthunder.com/en/news/7689-event-pages-of-history-june-en" TargetMode="External"/><Relationship Id="rId949" Type="http://schemas.openxmlformats.org/officeDocument/2006/relationships/hyperlink" Target="https://warthunder.com/en/news/8761-event-pages-of-history-march-on-wings-of-war-en" TargetMode="External"/><Relationship Id="rId78" Type="http://schemas.openxmlformats.org/officeDocument/2006/relationships/hyperlink" Target="https://warthunder.com/en/news/446/current" TargetMode="External"/><Relationship Id="rId143" Type="http://schemas.openxmlformats.org/officeDocument/2006/relationships/hyperlink" Target="https://warthunder.com/en/news/757/current" TargetMode="External"/><Relationship Id="rId350" Type="http://schemas.openxmlformats.org/officeDocument/2006/relationships/hyperlink" Target="https://warthunder.com/en/news/4527-shop-special-discounts-en" TargetMode="External"/><Relationship Id="rId588" Type="http://schemas.openxmlformats.org/officeDocument/2006/relationships/hyperlink" Target="https://warthunder.com/en/news/7564-shop-day-of-the-south-african-armed-forces-en" TargetMode="External"/><Relationship Id="rId795" Type="http://schemas.openxmlformats.org/officeDocument/2006/relationships/hyperlink" Target="https://warthunder.ru/ru/news/16301-akciya-den-rossii-ru" TargetMode="External"/><Relationship Id="rId809" Type="http://schemas.openxmlformats.org/officeDocument/2006/relationships/hyperlink" Target="https://warthunder.com/en/news/8331-event-pages-of-history-july-en" TargetMode="External"/><Relationship Id="rId9" Type="http://schemas.openxmlformats.org/officeDocument/2006/relationships/hyperlink" Target="https://warthunder.com/en/news/109/current" TargetMode="External"/><Relationship Id="rId210" Type="http://schemas.openxmlformats.org/officeDocument/2006/relationships/hyperlink" Target="https://warthunder.com/en/news/2853/current" TargetMode="External"/><Relationship Id="rId448" Type="http://schemas.openxmlformats.org/officeDocument/2006/relationships/hyperlink" Target="https://warthunder.com/en/news/6019-news-the-lunar-new-year-in-war-thunder-en" TargetMode="External"/><Relationship Id="rId655" Type="http://schemas.openxmlformats.org/officeDocument/2006/relationships/hyperlink" Target="https://warthunder.com/en/news/7789-event-pages-of-history-august-en" TargetMode="External"/><Relationship Id="rId862" Type="http://schemas.openxmlformats.org/officeDocument/2006/relationships/hyperlink" Target="https://warthunder.com/en/news/8495-event-pages-of-history-october-en" TargetMode="External"/><Relationship Id="rId1078" Type="http://schemas.openxmlformats.org/officeDocument/2006/relationships/hyperlink" Target="https://warthunder.com/en/news/9173-event-pages-of-history-november-medicane-en" TargetMode="External"/><Relationship Id="rId294" Type="http://schemas.openxmlformats.org/officeDocument/2006/relationships/hyperlink" Target="https://warthunder.com/en/news/3680-special-day-of-cosmonautics-en" TargetMode="External"/><Relationship Id="rId308" Type="http://schemas.openxmlformats.org/officeDocument/2006/relationships/hyperlink" Target="https://warthunder.com/en/news/4188-special-day-of-the-russian-air-force-en" TargetMode="External"/><Relationship Id="rId515" Type="http://schemas.openxmlformats.org/officeDocument/2006/relationships/hyperlink" Target="https://warthunder.com/en/news/6920-event-halloween-in-war-thunder-en" TargetMode="External"/><Relationship Id="rId722" Type="http://schemas.openxmlformats.org/officeDocument/2006/relationships/hyperlink" Target="https://warthunder.com/en/news/8037-event-pages-of-history-january-en" TargetMode="External"/><Relationship Id="rId89" Type="http://schemas.openxmlformats.org/officeDocument/2006/relationships/hyperlink" Target="https://warthunder.com/en/news/479/current" TargetMode="External"/><Relationship Id="rId154" Type="http://schemas.openxmlformats.org/officeDocument/2006/relationships/hyperlink" Target="https://warthunder.com/en/news/838/current" TargetMode="External"/><Relationship Id="rId361" Type="http://schemas.openxmlformats.org/officeDocument/2006/relationships/hyperlink" Target="https://warthunder.com/en/news/4853-event-war-in-mid-air-en" TargetMode="External"/><Relationship Id="rId599" Type="http://schemas.openxmlformats.org/officeDocument/2006/relationships/hyperlink" Target="https://warthunder.com/en/news/7643-special-happy-cosmonautics-day-en" TargetMode="External"/><Relationship Id="rId1005" Type="http://schemas.openxmlformats.org/officeDocument/2006/relationships/hyperlink" Target="https://warthunder.com/en/news/8964-event-pages-of-history-july-the-jumping-general-en" TargetMode="External"/><Relationship Id="rId459" Type="http://schemas.openxmlformats.org/officeDocument/2006/relationships/hyperlink" Target="https://warthunder.com/en/news/6256-special-meltdown-discounts-en" TargetMode="External"/><Relationship Id="rId666" Type="http://schemas.openxmlformats.org/officeDocument/2006/relationships/hyperlink" Target="https://warthunder.com/en/news/7837-event-pages-of-history-september-en" TargetMode="External"/><Relationship Id="rId873" Type="http://schemas.openxmlformats.org/officeDocument/2006/relationships/hyperlink" Target="https://warthunder.com/en/news/8567-special-italian-national-unity-armed-forces-day-the-p40-and-a-decal-to-celebrate-en" TargetMode="External"/><Relationship Id="rId1089" Type="http://schemas.openxmlformats.org/officeDocument/2006/relationships/hyperlink" Target="https://warthunder.com/en/news/9173-event-pages-of-history-november-medicane-en" TargetMode="External"/><Relationship Id="rId16" Type="http://schemas.openxmlformats.org/officeDocument/2006/relationships/hyperlink" Target="https://warthunder.com/en/news/165/current" TargetMode="External"/><Relationship Id="rId221" Type="http://schemas.openxmlformats.org/officeDocument/2006/relationships/hyperlink" Target="https://warthunder.com/en/news/2984/current" TargetMode="External"/><Relationship Id="rId319" Type="http://schemas.openxmlformats.org/officeDocument/2006/relationships/hyperlink" Target="https://warthunder.com/en/news/4332-armistice-day-en" TargetMode="External"/><Relationship Id="rId526" Type="http://schemas.openxmlformats.org/officeDocument/2006/relationships/hyperlink" Target="https://warthunder.com/en/news/7042-special-lunar-new-year-and-valentine-s-day-en" TargetMode="External"/><Relationship Id="rId733" Type="http://schemas.openxmlformats.org/officeDocument/2006/relationships/hyperlink" Target="https://warthunder.com/en/news/8093-special-happy-valentine-s-day-en" TargetMode="External"/><Relationship Id="rId940" Type="http://schemas.openxmlformats.org/officeDocument/2006/relationships/hyperlink" Target="https://warthunder.com/en/news/8791-special-happy-international-womens-day-en" TargetMode="External"/><Relationship Id="rId1016" Type="http://schemas.openxmlformats.org/officeDocument/2006/relationships/hyperlink" Target="https://warthunder.com/en/news/8964-event-pages-of-history-july-the-jumping-general-en" TargetMode="External"/><Relationship Id="rId165" Type="http://schemas.openxmlformats.org/officeDocument/2006/relationships/hyperlink" Target="https://warthunder.com/en/news/890/current" TargetMode="External"/><Relationship Id="rId372" Type="http://schemas.openxmlformats.org/officeDocument/2006/relationships/hyperlink" Target="https://warthunder.com/en/news/4892-special-russian-air-force-105th-anniversary-en" TargetMode="External"/><Relationship Id="rId677" Type="http://schemas.openxmlformats.org/officeDocument/2006/relationships/hyperlink" Target="https://warthunder.com/en/news/7888-event-pages-of-history-october-en" TargetMode="External"/><Relationship Id="rId800" Type="http://schemas.openxmlformats.org/officeDocument/2006/relationships/hyperlink" Target="https://warthunder.com/en/news/8336-shop-summer-sale-in-the-gaijin-store-en" TargetMode="External"/><Relationship Id="rId232" Type="http://schemas.openxmlformats.org/officeDocument/2006/relationships/hyperlink" Target="https://warthunder.com/en/news/3145/current" TargetMode="External"/><Relationship Id="rId884" Type="http://schemas.openxmlformats.org/officeDocument/2006/relationships/hyperlink" Target="https://warthunder.com/en/news/8606-special-st-andrews-day-the-scottish-saltire-decal-to-celebrate-en" TargetMode="External"/><Relationship Id="rId27" Type="http://schemas.openxmlformats.org/officeDocument/2006/relationships/hyperlink" Target="https://warthunder.com/en/news/232/current" TargetMode="External"/><Relationship Id="rId537" Type="http://schemas.openxmlformats.org/officeDocument/2006/relationships/hyperlink" Target="https://warthunder.com/en/news/7205-shop-d-day-bundles-en" TargetMode="External"/><Relationship Id="rId744" Type="http://schemas.openxmlformats.org/officeDocument/2006/relationships/hyperlink" Target="https://warthunder.com/en/news/8144-special-happy-international-women-s-day-en" TargetMode="External"/><Relationship Id="rId951" Type="http://schemas.openxmlformats.org/officeDocument/2006/relationships/hyperlink" Target="https://warthunder.com/en/news/8839-event-mad-thunder-rage-and-loot-en" TargetMode="External"/><Relationship Id="rId80" Type="http://schemas.openxmlformats.org/officeDocument/2006/relationships/hyperlink" Target="https://warthunder.com/en/news/452/current" TargetMode="External"/><Relationship Id="rId176" Type="http://schemas.openxmlformats.org/officeDocument/2006/relationships/hyperlink" Target="https://warthunder.com/en/news/2618/current" TargetMode="External"/><Relationship Id="rId383" Type="http://schemas.openxmlformats.org/officeDocument/2006/relationships/hyperlink" Target="https://warthunder.com/en/news/4768-event-100-en" TargetMode="External"/><Relationship Id="rId590" Type="http://schemas.openxmlformats.org/officeDocument/2006/relationships/hyperlink" Target="https://warthunder.com/en/news/7568-special-esport-defender-tournament-and-gaijin-store-sale-en" TargetMode="External"/><Relationship Id="rId604" Type="http://schemas.openxmlformats.org/officeDocument/2006/relationships/hyperlink" Target="https://warthunder.com/en/news/7629-event-pages-of-history-april-en" TargetMode="External"/><Relationship Id="rId811" Type="http://schemas.openxmlformats.org/officeDocument/2006/relationships/hyperlink" Target="https://warthunder.com/en/news/8331-event-pages-of-history-july-en" TargetMode="External"/><Relationship Id="rId1027" Type="http://schemas.openxmlformats.org/officeDocument/2006/relationships/hyperlink" Target="https://warthunder.com/en/news/9021-shop-special-50th-anniversary-of-the-tornados-first-flight-a-special-decal-and-a-discount-en" TargetMode="External"/><Relationship Id="rId243" Type="http://schemas.openxmlformats.org/officeDocument/2006/relationships/hyperlink" Target="https://warthunder.com/en/news/3215/current" TargetMode="External"/><Relationship Id="rId450" Type="http://schemas.openxmlformats.org/officeDocument/2006/relationships/hyperlink" Target="https://warthunder.com/en/news/6037-event-sea-voyage-en" TargetMode="External"/><Relationship Id="rId688" Type="http://schemas.openxmlformats.org/officeDocument/2006/relationships/hyperlink" Target="https://warthunder.com/en/news/7926-event-pages-of-history-november-en" TargetMode="External"/><Relationship Id="rId895" Type="http://schemas.openxmlformats.org/officeDocument/2006/relationships/hyperlink" Target="https://warthunder.com/en/news/8667-event-celebrate-christmas-and-the-new-year-in-war-thunder-en" TargetMode="External"/><Relationship Id="rId909" Type="http://schemas.openxmlformats.org/officeDocument/2006/relationships/hyperlink" Target="https://warthunder.com/en/news/8680-event-pages-of-history-january-ace-in-a-day-en" TargetMode="External"/><Relationship Id="rId1080" Type="http://schemas.openxmlformats.org/officeDocument/2006/relationships/hyperlink" Target="https://warthunder.com/en/news/9207-shop-special-a-decal-helicopter-camouflage-and-lanovskis-p-47-for-poland-independence-day-en" TargetMode="External"/><Relationship Id="rId38" Type="http://schemas.openxmlformats.org/officeDocument/2006/relationships/hyperlink" Target="https://warthunder.com/en/news/284/current" TargetMode="External"/><Relationship Id="rId103" Type="http://schemas.openxmlformats.org/officeDocument/2006/relationships/hyperlink" Target="https://warthunder.com/en/news/515/current" TargetMode="External"/><Relationship Id="rId310" Type="http://schemas.openxmlformats.org/officeDocument/2006/relationships/hyperlink" Target="https://warthunder.com/en/news/4217-special-under-the-black-flag-en" TargetMode="External"/><Relationship Id="rId548" Type="http://schemas.openxmlformats.org/officeDocument/2006/relationships/hyperlink" Target="https://warthunder.com/en/news/7338-special-battle-of-britain-day-en" TargetMode="External"/><Relationship Id="rId755" Type="http://schemas.openxmlformats.org/officeDocument/2006/relationships/hyperlink" Target="https://warthunder.com/en/news/8168-special-100th-anniversary-of-the-italian-air-force-en" TargetMode="External"/><Relationship Id="rId962" Type="http://schemas.openxmlformats.org/officeDocument/2006/relationships/hyperlink" Target="https://warthunder.com/en/news/8869-special-a-decal-for-italian-liberation-day-en" TargetMode="External"/><Relationship Id="rId91" Type="http://schemas.openxmlformats.org/officeDocument/2006/relationships/hyperlink" Target="https://warthunder.com/en/news/482/current" TargetMode="External"/><Relationship Id="rId187" Type="http://schemas.openxmlformats.org/officeDocument/2006/relationships/hyperlink" Target="https://warthunder.com/en/news/2680/current" TargetMode="External"/><Relationship Id="rId394" Type="http://schemas.openxmlformats.org/officeDocument/2006/relationships/hyperlink" Target="https://warthunder.com/en/news/5183-event-floats-en" TargetMode="External"/><Relationship Id="rId408" Type="http://schemas.openxmlformats.org/officeDocument/2006/relationships/hyperlink" Target="https://warthunder.com/en/news/5315-event-winter-games-en" TargetMode="External"/><Relationship Id="rId615" Type="http://schemas.openxmlformats.org/officeDocument/2006/relationships/hyperlink" Target="https://warthunder.com/en/news/7969-world-war-news-en" TargetMode="External"/><Relationship Id="rId822" Type="http://schemas.openxmlformats.org/officeDocument/2006/relationships/hyperlink" Target="https://warthunder.com/en/news/8331-event-pages-of-history-july-en" TargetMode="External"/><Relationship Id="rId1038" Type="http://schemas.openxmlformats.org/officeDocument/2006/relationships/hyperlink" Target="https://warthunder.com/en/news/9038-event-pages-of-history-september-attacker-ace-en" TargetMode="External"/><Relationship Id="rId254" Type="http://schemas.openxmlformats.org/officeDocument/2006/relationships/hyperlink" Target="https://warthunder.com/en/news/3317/current" TargetMode="External"/><Relationship Id="rId699" Type="http://schemas.openxmlformats.org/officeDocument/2006/relationships/hyperlink" Target="https://warthunder.com/en/news/7981-event-pages-of-history-december-en" TargetMode="External"/><Relationship Id="rId1091" Type="http://schemas.openxmlformats.org/officeDocument/2006/relationships/hyperlink" Target="https://warthunder.com/en/news/9251-shop-discounts-on-the-vijayanta-and-mig-21-bison-to-celebrate-indian-armed-forces-flag-day-en" TargetMode="External"/><Relationship Id="rId1105" Type="http://schemas.openxmlformats.org/officeDocument/2006/relationships/hyperlink" Target="https://warthunder.com/en/news/9169-shop-war-thunders-12th-birthday-sale-in-the-gaijinnet-store-en" TargetMode="External"/><Relationship Id="rId49" Type="http://schemas.openxmlformats.org/officeDocument/2006/relationships/hyperlink" Target="https://warthunder.com/en/news/323/current" TargetMode="External"/><Relationship Id="rId114" Type="http://schemas.openxmlformats.org/officeDocument/2006/relationships/hyperlink" Target="https://warthunder.com/en/news/565/current" TargetMode="External"/><Relationship Id="rId461" Type="http://schemas.openxmlformats.org/officeDocument/2006/relationships/hyperlink" Target="https://warthunder.com/en/news/6245-event-battle-royale-the-training-en" TargetMode="External"/><Relationship Id="rId559" Type="http://schemas.openxmlformats.org/officeDocument/2006/relationships/hyperlink" Target="https://warthunder.com/en/news/7428-special-soviet-offensive-at-stalingrad-en" TargetMode="External"/><Relationship Id="rId766" Type="http://schemas.openxmlformats.org/officeDocument/2006/relationships/hyperlink" Target="https://warthunder.com/en/news/8197-special-zimbabwe-independence-day-en" TargetMode="External"/><Relationship Id="rId198" Type="http://schemas.openxmlformats.org/officeDocument/2006/relationships/hyperlink" Target="https://warthunder.com/en/news/843/current" TargetMode="External"/><Relationship Id="rId321" Type="http://schemas.openxmlformats.org/officeDocument/2006/relationships/hyperlink" Target="https://warthunder.com/en/news/4183-event-team-deathmatch-and-historical-enduring-confrontation-en" TargetMode="External"/><Relationship Id="rId419" Type="http://schemas.openxmlformats.org/officeDocument/2006/relationships/hyperlink" Target="https://warthunder.com/en/news/5608-shop-summer-sale-independence-day-en" TargetMode="External"/><Relationship Id="rId626" Type="http://schemas.openxmlformats.org/officeDocument/2006/relationships/hyperlink" Target="https://warthunder.com/en/news/7689-event-pages-of-history-june-en" TargetMode="External"/><Relationship Id="rId973" Type="http://schemas.openxmlformats.org/officeDocument/2006/relationships/hyperlink" Target="https://warthunder.com/en/news/8887-special-us-armed-forces-day-celebrating-with-a-new-decal-en" TargetMode="External"/><Relationship Id="rId1049" Type="http://schemas.openxmlformats.org/officeDocument/2006/relationships/hyperlink" Target="https://warthunder.com/en/news/9100-shop-three-variants-of-the-mi-24-are-available-at-a-discount-to-mark-the-anniversary-of-its-first-flight-en" TargetMode="External"/><Relationship Id="rId833" Type="http://schemas.openxmlformats.org/officeDocument/2006/relationships/hyperlink" Target="https://warthunder.com/en/news/8400-special-a-decal-and-lanovski-s-p-47m-1-re-for-polish-armed-forces-day-en" TargetMode="External"/><Relationship Id="rId1116" Type="http://schemas.openxmlformats.org/officeDocument/2006/relationships/hyperlink" Target="https://warthunder.com/en/news/9302-event-pages-of-history-january-defender-of-leningrad-en" TargetMode="External"/><Relationship Id="rId265" Type="http://schemas.openxmlformats.org/officeDocument/2006/relationships/hyperlink" Target="https://warthunder.com/en/news/3459/current" TargetMode="External"/><Relationship Id="rId472" Type="http://schemas.openxmlformats.org/officeDocument/2006/relationships/hyperlink" Target="https://old-forum.warthunder.com/index.php?/topic/463012-event-%E2%80%9Cnight-battles%E2%80%9D/" TargetMode="External"/><Relationship Id="rId900" Type="http://schemas.openxmlformats.org/officeDocument/2006/relationships/hyperlink" Target="https://warthunder.com/en/news/8410-special-80th-anniversary-of-the-victory-in-the-battle-of-kursk-en" TargetMode="External"/><Relationship Id="rId125" Type="http://schemas.openxmlformats.org/officeDocument/2006/relationships/hyperlink" Target="https://warthunder.com/en/news/614/current" TargetMode="External"/><Relationship Id="rId332" Type="http://schemas.openxmlformats.org/officeDocument/2006/relationships/hyperlink" Target="https://warthunder.com/en/news/4418-special-collect-a-premium-type-95-ha-go-commander-for-christmas-en" TargetMode="External"/><Relationship Id="rId777" Type="http://schemas.openxmlformats.org/officeDocument/2006/relationships/hyperlink" Target="https://warthunder.com/en/news/8216-shop-huge-may-sale-in-war-thunder-en" TargetMode="External"/><Relationship Id="rId984" Type="http://schemas.openxmlformats.org/officeDocument/2006/relationships/hyperlink" Target="https://warthunder.com/en/news/8913-event-pages-of-history-june-the-military-engineer-en" TargetMode="External"/><Relationship Id="rId637" Type="http://schemas.openxmlformats.org/officeDocument/2006/relationships/hyperlink" Target="https://warthunder.com/en/news/7762-special-swedish-air-forces-day-en" TargetMode="External"/><Relationship Id="rId844" Type="http://schemas.openxmlformats.org/officeDocument/2006/relationships/hyperlink" Target="https://warthunder.com/en/news/8426-event-pages-of-history-september-en" TargetMode="External"/><Relationship Id="rId276" Type="http://schemas.openxmlformats.org/officeDocument/2006/relationships/hyperlink" Target="https://warthunder.com/en/news/3466/current" TargetMode="External"/><Relationship Id="rId483" Type="http://schemas.openxmlformats.org/officeDocument/2006/relationships/hyperlink" Target="https://warthunder.com/en/news/6536-new-year-in-war-thunder-en" TargetMode="External"/><Relationship Id="rId690" Type="http://schemas.openxmlformats.org/officeDocument/2006/relationships/hyperlink" Target="https://warthunder.com/en/news/7961-special-polish-independence-day-en" TargetMode="External"/><Relationship Id="rId704" Type="http://schemas.openxmlformats.org/officeDocument/2006/relationships/hyperlink" Target="https://warthunder.com/en/news/7981-event-pages-of-history-december-en" TargetMode="External"/><Relationship Id="rId911" Type="http://schemas.openxmlformats.org/officeDocument/2006/relationships/hyperlink" Target="https://warthunder.com/en/news/8691-special-swedish-armed-forces-day-the-sav-201248-and-a-decal-en" TargetMode="External"/><Relationship Id="rId1127" Type="http://schemas.openxmlformats.org/officeDocument/2006/relationships/hyperlink" Target="https://warthunder.com/en/news/9349-event-pages-of-history-february-the-big-chief-en" TargetMode="External"/><Relationship Id="rId40" Type="http://schemas.openxmlformats.org/officeDocument/2006/relationships/hyperlink" Target="https://warthunder.com/en/news/297/current" TargetMode="External"/><Relationship Id="rId136" Type="http://schemas.openxmlformats.org/officeDocument/2006/relationships/hyperlink" Target="https://warthunder.com/en/news/707/current" TargetMode="External"/><Relationship Id="rId343" Type="http://schemas.openxmlformats.org/officeDocument/2006/relationships/hyperlink" Target="https://warthunder.com/en/news/4269-event-floats-en" TargetMode="External"/><Relationship Id="rId550" Type="http://schemas.openxmlformats.org/officeDocument/2006/relationships/hyperlink" Target="https://warthunder.com/en/news/7359-special-national-day-of-the-people-s-republic-of-china-en" TargetMode="External"/><Relationship Id="rId788" Type="http://schemas.openxmlformats.org/officeDocument/2006/relationships/hyperlink" Target="https://warthunder.com/en/news/8292-special-t129-is-back-for-the-turkish-air-force-day-en" TargetMode="External"/><Relationship Id="rId995" Type="http://schemas.openxmlformats.org/officeDocument/2006/relationships/hyperlink" Target="https://warthunder.com/en/news/8913-event-pages-of-history-june-the-military-engineer-en" TargetMode="External"/><Relationship Id="rId203" Type="http://schemas.openxmlformats.org/officeDocument/2006/relationships/hyperlink" Target="https://warthunder.com/en/news/2756/current" TargetMode="External"/><Relationship Id="rId648" Type="http://schemas.openxmlformats.org/officeDocument/2006/relationships/hyperlink" Target="https://warthunder.ru/ru/news/15831-akciya-den-vmf-rossii-ru" TargetMode="External"/><Relationship Id="rId855" Type="http://schemas.openxmlformats.org/officeDocument/2006/relationships/hyperlink" Target="https://warthunder.com/en/news/8426-event-pages-of-history-september-en" TargetMode="External"/><Relationship Id="rId1040" Type="http://schemas.openxmlformats.org/officeDocument/2006/relationships/hyperlink" Target="https://warthunder.com/en/news/9074-video-shop-special-moments-of-valor-brazil-en" TargetMode="External"/><Relationship Id="rId287" Type="http://schemas.openxmlformats.org/officeDocument/2006/relationships/hyperlink" Target="https://warthunder.com/en/news/3579-tournament-defender-combined-battles-en" TargetMode="External"/><Relationship Id="rId410" Type="http://schemas.openxmlformats.org/officeDocument/2006/relationships/hyperlink" Target="https://warthunder.com/en/news/5345-special-defender-of-the-fatherland-en" TargetMode="External"/><Relationship Id="rId494" Type="http://schemas.openxmlformats.org/officeDocument/2006/relationships/hyperlink" Target="https://warthunder.com/en/news/6650-shop-stay-home-and-stay-safe-offer-en" TargetMode="External"/><Relationship Id="rId508" Type="http://schemas.openxmlformats.org/officeDocument/2006/relationships/hyperlink" Target="https://warthunder.com/en/news/6816-event-russian-airborne-forces-day-en" TargetMode="External"/><Relationship Id="rId715" Type="http://schemas.openxmlformats.org/officeDocument/2006/relationships/hyperlink" Target="https://warthunder.com/en/news/7676-event-legend-of-victory-is-2-321-en" TargetMode="External"/><Relationship Id="rId922" Type="http://schemas.openxmlformats.org/officeDocument/2006/relationships/hyperlink" Target="https://warthunder.com/en/news/8729-special-celebrate-the-lunar-new-year-with-activities-and-sales-en" TargetMode="External"/><Relationship Id="rId147" Type="http://schemas.openxmlformats.org/officeDocument/2006/relationships/hyperlink" Target="https://warthunder.com/en/news/790/current" TargetMode="External"/><Relationship Id="rId354" Type="http://schemas.openxmlformats.org/officeDocument/2006/relationships/hyperlink" Target="https://warthunder.com/en/news/4588-event-st-patrick-s-day-en" TargetMode="External"/><Relationship Id="rId799" Type="http://schemas.openxmlformats.org/officeDocument/2006/relationships/hyperlink" Target="https://warthunder.com/en/news/8324-special-the-mig-21-sps-k-returns-to-celebrate-the-mig-21-s-first-flight-en" TargetMode="External"/><Relationship Id="rId51" Type="http://schemas.openxmlformats.org/officeDocument/2006/relationships/hyperlink" Target="https://warthunder.com/en/news/335/current" TargetMode="External"/><Relationship Id="rId561" Type="http://schemas.openxmlformats.org/officeDocument/2006/relationships/hyperlink" Target="https://warthunder.com/en/news/7433-special-mosquito-first-flight-en" TargetMode="External"/><Relationship Id="rId659" Type="http://schemas.openxmlformats.org/officeDocument/2006/relationships/hyperlink" Target="https://warthunder.com/en/news/7789-event-pages-of-history-august-en" TargetMode="External"/><Relationship Id="rId866" Type="http://schemas.openxmlformats.org/officeDocument/2006/relationships/hyperlink" Target="https://warthunder.com/en/news/8524-special-trafalgar-day-a-decal-and-hmcs-haida-to-celebrate-en" TargetMode="External"/><Relationship Id="rId214" Type="http://schemas.openxmlformats.org/officeDocument/2006/relationships/hyperlink" Target="https://warthunder.com/en/news/3418/current" TargetMode="External"/><Relationship Id="rId298" Type="http://schemas.openxmlformats.org/officeDocument/2006/relationships/hyperlink" Target="https://warthunder.com/en/news/3503/current" TargetMode="External"/><Relationship Id="rId421" Type="http://schemas.openxmlformats.org/officeDocument/2006/relationships/hyperlink" Target="https://warthunder.com/en/news/5600-special-spot-the-ball-updated-en" TargetMode="External"/><Relationship Id="rId519" Type="http://schemas.openxmlformats.org/officeDocument/2006/relationships/hyperlink" Target="https://warthunder.com/en/news/6965-giveaway-get-roccat-horde-aimo-keyboards-and-somua-sm-packs-en" TargetMode="External"/><Relationship Id="rId1051" Type="http://schemas.openxmlformats.org/officeDocument/2006/relationships/hyperlink" Target="https://warthunder.com/en/news/9038-event-pages-of-history-september-attacker-ace-en" TargetMode="External"/><Relationship Id="rId158" Type="http://schemas.openxmlformats.org/officeDocument/2006/relationships/hyperlink" Target="https://warthunder.com/en/news/855/current" TargetMode="External"/><Relationship Id="rId726" Type="http://schemas.openxmlformats.org/officeDocument/2006/relationships/hyperlink" Target="https://warthunder.com/en/news/8075-special-victory-in-stalingrad-day-en" TargetMode="External"/><Relationship Id="rId933" Type="http://schemas.openxmlformats.org/officeDocument/2006/relationships/hyperlink" Target="https://warthunder.com/en/news/8754-esport-special-defender-of-the-fatherland-tournaments-a-decal-decoration-and-vehicles-for-golden-eagles-en" TargetMode="External"/><Relationship Id="rId1009" Type="http://schemas.openxmlformats.org/officeDocument/2006/relationships/hyperlink" Target="https://warthunder.com/en/news/8983-shop-the-israeli-a-4e-returns-for-the-anniversary-of-its-first-flight-en" TargetMode="External"/><Relationship Id="rId62" Type="http://schemas.openxmlformats.org/officeDocument/2006/relationships/hyperlink" Target="https://warthunder.com/en/news/367/current" TargetMode="External"/><Relationship Id="rId365" Type="http://schemas.openxmlformats.org/officeDocument/2006/relationships/hyperlink" Target="https://warthunder.com/en/news/4798-shop-summer-sale-ended-en" TargetMode="External"/><Relationship Id="rId572" Type="http://schemas.openxmlformats.org/officeDocument/2006/relationships/hyperlink" Target="https://warthunder.com/en/news/7112-event-tailspin-a-new-milestone-in-the-development-of-the-game-en" TargetMode="External"/><Relationship Id="rId225" Type="http://schemas.openxmlformats.org/officeDocument/2006/relationships/hyperlink" Target="https://warthunder.com/en/news/3092/current" TargetMode="External"/><Relationship Id="rId432" Type="http://schemas.openxmlformats.org/officeDocument/2006/relationships/hyperlink" Target="https://old-forum.warthunder.com/index.php?/topic/432543-remembrance-sunday-lest-we-forget-1111/" TargetMode="External"/><Relationship Id="rId877" Type="http://schemas.openxmlformats.org/officeDocument/2006/relationships/hyperlink" Target="https://warthunder.com/en/news/8587-special-polish-independence-day-a-decal-camouflage-and-lanovskis-p-47-to-celebrate-en" TargetMode="External"/><Relationship Id="rId1062" Type="http://schemas.openxmlformats.org/officeDocument/2006/relationships/hyperlink" Target="https://warthunder.com/en/news/8731-event-take-part-in-the-guardian-angel-event-for-air-realistic-battles-en" TargetMode="External"/><Relationship Id="rId737" Type="http://schemas.openxmlformats.org/officeDocument/2006/relationships/hyperlink" Target="https://warthunder.com/en/news/8073-event-pages-of-history-february-en" TargetMode="External"/><Relationship Id="rId944" Type="http://schemas.openxmlformats.org/officeDocument/2006/relationships/hyperlink" Target="https://warthunder.com/en/news/8821-special-happy-st-patricks-day-en" TargetMode="External"/><Relationship Id="rId73" Type="http://schemas.openxmlformats.org/officeDocument/2006/relationships/hyperlink" Target="https://warthunder.com/en/news/426/current" TargetMode="External"/><Relationship Id="rId169" Type="http://schemas.openxmlformats.org/officeDocument/2006/relationships/hyperlink" Target="https://warthunder.com/en/news/913/current" TargetMode="External"/><Relationship Id="rId376" Type="http://schemas.openxmlformats.org/officeDocument/2006/relationships/hyperlink" Target="https://warthunder.com/en/news/4961-special-the-la-174-is-back-en" TargetMode="External"/><Relationship Id="rId583" Type="http://schemas.openxmlformats.org/officeDocument/2006/relationships/hyperlink" Target="https://warthunder.com/en/news/7534-special-lunar-new-year-en" TargetMode="External"/><Relationship Id="rId790" Type="http://schemas.openxmlformats.org/officeDocument/2006/relationships/hyperlink" Target="https://warthunder.com/en/news/8281-event-pages-of-history-june-en" TargetMode="External"/><Relationship Id="rId804" Type="http://schemas.openxmlformats.org/officeDocument/2006/relationships/hyperlink" Target="https://warthunder.com/en/news/8333-special-decal-for-the-british-armed-forces-day-en" TargetMode="External"/><Relationship Id="rId4" Type="http://schemas.openxmlformats.org/officeDocument/2006/relationships/hyperlink" Target="https://warthunder.com/en/news/82/current" TargetMode="External"/><Relationship Id="rId236" Type="http://schemas.openxmlformats.org/officeDocument/2006/relationships/hyperlink" Target="https://warthunder.com/en/news/3171/current" TargetMode="External"/><Relationship Id="rId443" Type="http://schemas.openxmlformats.org/officeDocument/2006/relationships/hyperlink" Target="https://web.archive.org/web/20181106230133/https:/warthunder.com/en/news/5861-special-big-war-thunder-birthday-sale-en" TargetMode="External"/><Relationship Id="rId650" Type="http://schemas.openxmlformats.org/officeDocument/2006/relationships/hyperlink" Target="https://warthunder.com/en/news/7795-special-people-s-liberation-army-day-en" TargetMode="External"/><Relationship Id="rId888" Type="http://schemas.openxmlformats.org/officeDocument/2006/relationships/hyperlink" Target="https://warthunder.com/en/news/8602-event-pages-of-history-december-the-heroic-nurse-en" TargetMode="External"/><Relationship Id="rId1073" Type="http://schemas.openxmlformats.org/officeDocument/2006/relationships/hyperlink" Target="https://warthunder.com/en/news/9185-shop-special-p40-and-a-decal-for-national-unity-and-armed-forces-day-of-italy-en" TargetMode="External"/><Relationship Id="rId303" Type="http://schemas.openxmlformats.org/officeDocument/2006/relationships/hyperlink" Target="https://warthunder.com/en/news/3793-event-the-road-for-the-brave-en" TargetMode="External"/><Relationship Id="rId748" Type="http://schemas.openxmlformats.org/officeDocument/2006/relationships/hyperlink" Target="https://warthunder.com/en/news/8155-special-st-patrick-s-day-en" TargetMode="External"/><Relationship Id="rId955" Type="http://schemas.openxmlformats.org/officeDocument/2006/relationships/hyperlink" Target="https://warthunder.com/en/news/8832-event-pages-of-history-april-for-zoya-en" TargetMode="External"/><Relationship Id="rId84" Type="http://schemas.openxmlformats.org/officeDocument/2006/relationships/hyperlink" Target="https://warthunder.com/en/news/462/current" TargetMode="External"/><Relationship Id="rId387" Type="http://schemas.openxmlformats.org/officeDocument/2006/relationships/hyperlink" Target="https://warthunder.com/en/news/5020-special-friday-the-13th-true-slasher-en" TargetMode="External"/><Relationship Id="rId510" Type="http://schemas.openxmlformats.org/officeDocument/2006/relationships/hyperlink" Target="https://web.archive.org/web/20211101000000*/https:/warthunder.com/en/news/6838-event-tank-biathlon-and-sea-biathlon-en" TargetMode="External"/><Relationship Id="rId594" Type="http://schemas.openxmlformats.org/officeDocument/2006/relationships/hyperlink" Target="https://warthunder.com/en/news/7632-event-children-of-arachis-desert-cinnamon-and-giant-worms-en" TargetMode="External"/><Relationship Id="rId608" Type="http://schemas.openxmlformats.org/officeDocument/2006/relationships/hyperlink" Target="https://warthunder.com/en/news/7664-event-pages-of-history-may-en" TargetMode="External"/><Relationship Id="rId815" Type="http://schemas.openxmlformats.org/officeDocument/2006/relationships/hyperlink" Target="https://warthunder.com/en/news/8354-special-the-israeli-a-4e-is-back-for-the-anniversary-of-its-maiden-flight-en" TargetMode="External"/><Relationship Id="rId247" Type="http://schemas.openxmlformats.org/officeDocument/2006/relationships/hyperlink" Target="https://warthunder.com/en/news/3258/current" TargetMode="External"/><Relationship Id="rId899" Type="http://schemas.openxmlformats.org/officeDocument/2006/relationships/hyperlink" Target="https://warthunder.com/en/news/8281-event-pages-of-history-june-en" TargetMode="External"/><Relationship Id="rId1000" Type="http://schemas.openxmlformats.org/officeDocument/2006/relationships/hyperlink" Target="https://warthunder.com/en/news/8971-special-celebrating-the-anniversary-of-the-french-air-force-with-a-decal-en" TargetMode="External"/><Relationship Id="rId1084" Type="http://schemas.openxmlformats.org/officeDocument/2006/relationships/hyperlink" Target="https://warthunder.com/en/news/9173-event-pages-of-history-november-medicane-en" TargetMode="External"/><Relationship Id="rId107" Type="http://schemas.openxmlformats.org/officeDocument/2006/relationships/hyperlink" Target="https://warthunder.com/en/news/525/current" TargetMode="External"/><Relationship Id="rId454" Type="http://schemas.openxmlformats.org/officeDocument/2006/relationships/hyperlink" Target="https://warthunder.com/en/news/6128-special-earth-thunder-we-are-not-their-playthings-en" TargetMode="External"/><Relationship Id="rId661" Type="http://schemas.openxmlformats.org/officeDocument/2006/relationships/hyperlink" Target="https://warthunder.com/en/news/7837-event-pages-of-history-september-en" TargetMode="External"/><Relationship Id="rId759" Type="http://schemas.openxmlformats.org/officeDocument/2006/relationships/hyperlink" Target="https://warthunder.com/en/news/8167-event-pages-of-history-april-en" TargetMode="External"/><Relationship Id="rId966" Type="http://schemas.openxmlformats.org/officeDocument/2006/relationships/hyperlink" Target="https://warthunder.com/en/news/8875-special-dupleix-returns-to-sale-on-its-anniversary-en" TargetMode="External"/><Relationship Id="rId11" Type="http://schemas.openxmlformats.org/officeDocument/2006/relationships/hyperlink" Target="https://warthunder.com/en/news/135/current" TargetMode="External"/><Relationship Id="rId314" Type="http://schemas.openxmlformats.org/officeDocument/2006/relationships/hyperlink" Target="https://warthunder.com/en/news/3681-special-event-series-chronicles-of-world-war-ii-day-28-faq-added-en" TargetMode="External"/><Relationship Id="rId398" Type="http://schemas.openxmlformats.org/officeDocument/2006/relationships/hyperlink" Target="https://warthunder.com/en/news/4978-special-us-air-force-day-get-the-xf5f-skyrocket-en" TargetMode="External"/><Relationship Id="rId521" Type="http://schemas.openxmlformats.org/officeDocument/2006/relationships/hyperlink" Target="https://warthunder.com/en/news/7008-special-new-year-in-war-thunder-en" TargetMode="External"/><Relationship Id="rId619" Type="http://schemas.openxmlformats.org/officeDocument/2006/relationships/hyperlink" Target="https://warthunder.com/en/news/7706-special-home-guard-swedish-national-security-forces-day-en" TargetMode="External"/><Relationship Id="rId95" Type="http://schemas.openxmlformats.org/officeDocument/2006/relationships/hyperlink" Target="https://warthunder.com/en/news/495/current" TargetMode="External"/><Relationship Id="rId160" Type="http://schemas.openxmlformats.org/officeDocument/2006/relationships/hyperlink" Target="https://warthunder.com/en/news/863/current" TargetMode="External"/><Relationship Id="rId826" Type="http://schemas.openxmlformats.org/officeDocument/2006/relationships/hyperlink" Target="https://warthunder.com/en/news/8384-event-summer-extreme-en" TargetMode="External"/><Relationship Id="rId1011" Type="http://schemas.openxmlformats.org/officeDocument/2006/relationships/hyperlink" Target="https://warthunder.com/en/news/8964-event-pages-of-history-july-the-jumping-general-en" TargetMode="External"/><Relationship Id="rId1109" Type="http://schemas.openxmlformats.org/officeDocument/2006/relationships/hyperlink" Target="https://warthunder.com/en/news/9305-shop-holiday-sale-in-the-store-en" TargetMode="External"/><Relationship Id="rId258" Type="http://schemas.openxmlformats.org/officeDocument/2006/relationships/hyperlink" Target="https://warthunder.com/en/news/3360/current" TargetMode="External"/><Relationship Id="rId465" Type="http://schemas.openxmlformats.org/officeDocument/2006/relationships/hyperlink" Target="https://warthunder.com/en/news/6114-event-tank-football-friendly-matches-en" TargetMode="External"/><Relationship Id="rId672" Type="http://schemas.openxmlformats.org/officeDocument/2006/relationships/hyperlink" Target="https://warthunder.com/en/news/7837-event-pages-of-history-september-en" TargetMode="External"/><Relationship Id="rId1095" Type="http://schemas.openxmlformats.org/officeDocument/2006/relationships/hyperlink" Target="https://warthunder.com/en/news/9285-shop-the-mi-24d-is-temporarily-available-at-a-discount-for-helicopter-pilots-day-en" TargetMode="External"/><Relationship Id="rId22" Type="http://schemas.openxmlformats.org/officeDocument/2006/relationships/hyperlink" Target="https://warthunder.com/en/news/207/current" TargetMode="External"/><Relationship Id="rId118" Type="http://schemas.openxmlformats.org/officeDocument/2006/relationships/hyperlink" Target="https://warthunder.com/en/news/578/current" TargetMode="External"/><Relationship Id="rId325" Type="http://schemas.openxmlformats.org/officeDocument/2006/relationships/hyperlink" Target="https://warthunder.com/en/news/4354-event-battle-of-moscow-en" TargetMode="External"/><Relationship Id="rId532" Type="http://schemas.openxmlformats.org/officeDocument/2006/relationships/hyperlink" Target="https://warthunder.com/en/news/7113-event-warfare-2077-in-war-thunder-en" TargetMode="External"/><Relationship Id="rId977" Type="http://schemas.openxmlformats.org/officeDocument/2006/relationships/hyperlink" Target="https://warthunder.com/en/news/8909-special-the-sav-201248-and-a-decal-are-available-for-swedish-national-security-forces-day-en" TargetMode="External"/><Relationship Id="rId171" Type="http://schemas.openxmlformats.org/officeDocument/2006/relationships/hyperlink" Target="https://warthunder.com/en/news/473/current" TargetMode="External"/><Relationship Id="rId837" Type="http://schemas.openxmlformats.org/officeDocument/2006/relationships/hyperlink" Target="https://warthunder.com/en/news/8413-special-mig-15bis-ish-returns-for-official-service-anniversary-en" TargetMode="External"/><Relationship Id="rId1022" Type="http://schemas.openxmlformats.org/officeDocument/2006/relationships/hyperlink" Target="https://warthunder.com/en/news/9008-shop-the-lightning-f53-temporarily-returns-for-golden-eagles-en" TargetMode="External"/><Relationship Id="rId269" Type="http://schemas.openxmlformats.org/officeDocument/2006/relationships/hyperlink" Target="https://warthunder.com/en/news/3492/current" TargetMode="External"/><Relationship Id="rId476" Type="http://schemas.openxmlformats.org/officeDocument/2006/relationships/hyperlink" Target="https://warthunder.com/en/news/6412-special-german-unity-day-en" TargetMode="External"/><Relationship Id="rId683" Type="http://schemas.openxmlformats.org/officeDocument/2006/relationships/hyperlink" Target="https://warthunder.com/en/news/7888-event-pages-of-history-october-en" TargetMode="External"/><Relationship Id="rId890" Type="http://schemas.openxmlformats.org/officeDocument/2006/relationships/hyperlink" Target="https://warthunder.com/en/news/8602-event-pages-of-history-december-the-heroic-nurse-en" TargetMode="External"/><Relationship Id="rId904" Type="http://schemas.openxmlformats.org/officeDocument/2006/relationships/hyperlink" Target="https://warthunder.com/en/news/8225-shop-may-sale-in-the-gaijin-store-en" TargetMode="External"/><Relationship Id="rId33" Type="http://schemas.openxmlformats.org/officeDocument/2006/relationships/hyperlink" Target="https://warthunder.com/en/news/263/current" TargetMode="External"/><Relationship Id="rId129" Type="http://schemas.openxmlformats.org/officeDocument/2006/relationships/hyperlink" Target="https://warthunder.com/en/news/648/current" TargetMode="External"/><Relationship Id="rId336" Type="http://schemas.openxmlformats.org/officeDocument/2006/relationships/hyperlink" Target="https://warthunder.com/en/news/4315-event-war-in-mid-air-en" TargetMode="External"/><Relationship Id="rId543" Type="http://schemas.openxmlformats.org/officeDocument/2006/relationships/hyperlink" Target="https://warthunder.com/en/news/7251-special-russian-navy-325th-anniversary-en" TargetMode="External"/><Relationship Id="rId988" Type="http://schemas.openxmlformats.org/officeDocument/2006/relationships/hyperlink" Target="https://warthunder.com/en/news/8913-event-pages-of-history-june-the-military-engineer-en" TargetMode="External"/><Relationship Id="rId182" Type="http://schemas.openxmlformats.org/officeDocument/2006/relationships/hyperlink" Target="https://warthunder.com/en/news/2655/current" TargetMode="External"/><Relationship Id="rId403" Type="http://schemas.openxmlformats.org/officeDocument/2006/relationships/hyperlink" Target="https://warthunder.com/en/news/5148-event-ctf-classic-mode-en" TargetMode="External"/><Relationship Id="rId750" Type="http://schemas.openxmlformats.org/officeDocument/2006/relationships/hyperlink" Target="https://warthunder.ru/ru/news/16153-akciya-den-rozhdeniya-pokryshkina-ru" TargetMode="External"/><Relationship Id="rId848" Type="http://schemas.openxmlformats.org/officeDocument/2006/relationships/hyperlink" Target="https://warthunder.com/en/news/8426-event-pages-of-history-september-en" TargetMode="External"/><Relationship Id="rId1033" Type="http://schemas.openxmlformats.org/officeDocument/2006/relationships/hyperlink" Target="https://warthunder.com/en/news/9034-shop-anniversary-of-the-mig-15s-adoption-into-service-discount-on-the-mig-15bis-ish-en" TargetMode="External"/><Relationship Id="rId487" Type="http://schemas.openxmlformats.org/officeDocument/2006/relationships/hyperlink" Target="https://warthunder.com/en/news/6278-event-tournament-king-of-the-hill-en" TargetMode="External"/><Relationship Id="rId610" Type="http://schemas.openxmlformats.org/officeDocument/2006/relationships/hyperlink" Target="https://warthunder.com/en/news/7670-special-israel-independence-day-en" TargetMode="External"/><Relationship Id="rId694" Type="http://schemas.openxmlformats.org/officeDocument/2006/relationships/hyperlink" Target="https://warthunder.com/en/news/7975-shop-black-friday-bundle-en" TargetMode="External"/><Relationship Id="rId708" Type="http://schemas.openxmlformats.org/officeDocument/2006/relationships/hyperlink" Target="https://warthunder.com/en/news/8048-happy-new-year-2023-en" TargetMode="External"/><Relationship Id="rId915" Type="http://schemas.openxmlformats.org/officeDocument/2006/relationships/hyperlink" Target="https://warthunder.com/en/news/8680-event-pages-of-history-january-ace-in-a-day-en" TargetMode="External"/><Relationship Id="rId347" Type="http://schemas.openxmlformats.org/officeDocument/2006/relationships/hyperlink" Target="https://warthunder.com/en/news/4475-event-winter-games-biathlon-curling-and-races-en" TargetMode="External"/><Relationship Id="rId999" Type="http://schemas.openxmlformats.org/officeDocument/2006/relationships/hyperlink" Target="https://warthunder.com/en/news/8970-shop-special-a-plane-ship-and-decal-for-the-anniversary-of-the-japanese-self-defense-forces-en" TargetMode="External"/><Relationship Id="rId1100" Type="http://schemas.openxmlformats.org/officeDocument/2006/relationships/hyperlink" Target="https://warthunder.com/en/news/9293-shop-seasonal-discounts-in-war-thunder-en" TargetMode="External"/><Relationship Id="rId44" Type="http://schemas.openxmlformats.org/officeDocument/2006/relationships/hyperlink" Target="https://warthunder.com/en/news/306/current" TargetMode="External"/><Relationship Id="rId554" Type="http://schemas.openxmlformats.org/officeDocument/2006/relationships/hyperlink" Target="https://warthunder.com/en/news/7413-special-italian-national-unity-and-armed-forces-day-en" TargetMode="External"/><Relationship Id="rId761" Type="http://schemas.openxmlformats.org/officeDocument/2006/relationships/hyperlink" Target="https://warthunder.com/en/news/8167-event-pages-of-history-april-en" TargetMode="External"/><Relationship Id="rId859" Type="http://schemas.openxmlformats.org/officeDocument/2006/relationships/hyperlink" Target="https://warthunder.com/en/news/8495-event-pages-of-history-october-en" TargetMode="External"/><Relationship Id="rId193" Type="http://schemas.openxmlformats.org/officeDocument/2006/relationships/hyperlink" Target="https://warthunder.com/en/news/2749--en" TargetMode="External"/><Relationship Id="rId207" Type="http://schemas.openxmlformats.org/officeDocument/2006/relationships/hyperlink" Target="https://warthunder.com/en/news/2821/current" TargetMode="External"/><Relationship Id="rId414" Type="http://schemas.openxmlformats.org/officeDocument/2006/relationships/hyperlink" Target="https://warthunder.com/en/news/5419-silent-thunder-the-first-test-of-the-new-game-en" TargetMode="External"/><Relationship Id="rId498" Type="http://schemas.openxmlformats.org/officeDocument/2006/relationships/hyperlink" Target="https://warthunder.com/en/news/6698-event-quarantine-maneuvers-in-war-thunder-en" TargetMode="External"/><Relationship Id="rId621" Type="http://schemas.openxmlformats.org/officeDocument/2006/relationships/hyperlink" Target="https://warthunder.com/en/news/7689-event-pages-of-history-june-en" TargetMode="External"/><Relationship Id="rId1044" Type="http://schemas.openxmlformats.org/officeDocument/2006/relationships/hyperlink" Target="https://warthunder.com/en/news/9087-shop-special-the-few-decal-two-fighters-and-discounts-for-battle-of-britain-day-en" TargetMode="External"/><Relationship Id="rId260" Type="http://schemas.openxmlformats.org/officeDocument/2006/relationships/hyperlink" Target="https://warthunder.com/en/news/3393/current" TargetMode="External"/><Relationship Id="rId719" Type="http://schemas.openxmlformats.org/officeDocument/2006/relationships/hyperlink" Target="https://warthunder.com/en/news/8037-event-pages-of-history-january-en" TargetMode="External"/><Relationship Id="rId926" Type="http://schemas.openxmlformats.org/officeDocument/2006/relationships/hyperlink" Target="https://warthunder.com/en/news/8713-event-pages-of-history-february-through-a-storm-en" TargetMode="External"/><Relationship Id="rId1111" Type="http://schemas.openxmlformats.org/officeDocument/2006/relationships/hyperlink" Target="https://warthunder.com/en/news/9302-event-pages-of-history-january-defender-of-leningrad-en" TargetMode="External"/><Relationship Id="rId55" Type="http://schemas.openxmlformats.org/officeDocument/2006/relationships/hyperlink" Target="https://warthunder.com/en/news/357/current" TargetMode="External"/><Relationship Id="rId120" Type="http://schemas.openxmlformats.org/officeDocument/2006/relationships/hyperlink" Target="https://warthunder.com/en/news/585/current" TargetMode="External"/><Relationship Id="rId358" Type="http://schemas.openxmlformats.org/officeDocument/2006/relationships/hyperlink" Target="https://warthunder.com/en/news/4643-event-cosmonautics-day-en" TargetMode="External"/><Relationship Id="rId565" Type="http://schemas.openxmlformats.org/officeDocument/2006/relationships/hyperlink" Target="https://warthunder.com/en/news/7465-special-attack-on-nibeiwa-en" TargetMode="External"/><Relationship Id="rId772" Type="http://schemas.openxmlformats.org/officeDocument/2006/relationships/hyperlink" Target="https://warthunder.com/en/news/8208-event-pages-of-history-may-en" TargetMode="External"/><Relationship Id="rId218" Type="http://schemas.openxmlformats.org/officeDocument/2006/relationships/hyperlink" Target="https://warthunder.com/en/news/2912/current" TargetMode="External"/><Relationship Id="rId425" Type="http://schemas.openxmlformats.org/officeDocument/2006/relationships/hyperlink" Target="https://warthunder.com/en/news/5363-event-total-domination-and-enduring-confrontation-en" TargetMode="External"/><Relationship Id="rId632" Type="http://schemas.openxmlformats.org/officeDocument/2006/relationships/hyperlink" Target="https://warthunder.com/en/news/7752-special-british-armed-forces-day-en" TargetMode="External"/><Relationship Id="rId1055" Type="http://schemas.openxmlformats.org/officeDocument/2006/relationships/hyperlink" Target="https://warthunder.com/en/news/9117-special-shop-german-unity-day-a-tank-and-plane-for-golden-eagles-plus-a-festive-decal-en" TargetMode="External"/><Relationship Id="rId271" Type="http://schemas.openxmlformats.org/officeDocument/2006/relationships/hyperlink" Target="https://warthunder.com/en/news/3485--en" TargetMode="External"/><Relationship Id="rId937" Type="http://schemas.openxmlformats.org/officeDocument/2006/relationships/hyperlink" Target="https://warthunder.com/en/news/8761-event-pages-of-history-march-on-wings-of-war-en" TargetMode="External"/><Relationship Id="rId1122" Type="http://schemas.openxmlformats.org/officeDocument/2006/relationships/hyperlink" Target="https://warthunder.com/en/news/9349-event-pages-of-history-february-the-big-chief-en" TargetMode="External"/><Relationship Id="rId66" Type="http://schemas.openxmlformats.org/officeDocument/2006/relationships/hyperlink" Target="https://warthunder.com/en/news/399/current" TargetMode="External"/><Relationship Id="rId131" Type="http://schemas.openxmlformats.org/officeDocument/2006/relationships/hyperlink" Target="https://warthunder.com/en/news/662/current" TargetMode="External"/><Relationship Id="rId369" Type="http://schemas.openxmlformats.org/officeDocument/2006/relationships/hyperlink" Target="https://warthunder.com/en/news/4822-event-the-battle-of-kursk-en" TargetMode="External"/><Relationship Id="rId576" Type="http://schemas.openxmlformats.org/officeDocument/2006/relationships/hyperlink" Target="https://warthunder.com/en/news/7154-shop-may-sale-in-the-gaijin-store-en" TargetMode="External"/><Relationship Id="rId783" Type="http://schemas.openxmlformats.org/officeDocument/2006/relationships/hyperlink" Target="https://warthunder.com/en/news/8256-special-french-national-sailor-day-decal-and-discounts-en" TargetMode="External"/><Relationship Id="rId990" Type="http://schemas.openxmlformats.org/officeDocument/2006/relationships/hyperlink" Target="https://warthunder.com/en/news/8913-event-pages-of-history-june-the-military-engineer-en" TargetMode="External"/><Relationship Id="rId229" Type="http://schemas.openxmlformats.org/officeDocument/2006/relationships/hyperlink" Target="https://warthunder.com/en/news/3129/current" TargetMode="External"/><Relationship Id="rId436" Type="http://schemas.openxmlformats.org/officeDocument/2006/relationships/hyperlink" Target="https://warthunder.com/en/news/5453-special-chronicles-of-world-war-ii-in-war-thunder-en" TargetMode="External"/><Relationship Id="rId643" Type="http://schemas.openxmlformats.org/officeDocument/2006/relationships/hyperlink" Target="https://warthunder.com/en/news/7755-event-pages-of-history-july-en" TargetMode="External"/><Relationship Id="rId1066" Type="http://schemas.openxmlformats.org/officeDocument/2006/relationships/hyperlink" Target="https://warthunder.com/en/news/9111-event-pages-of-history-october-pacific-ace-en" TargetMode="External"/><Relationship Id="rId850" Type="http://schemas.openxmlformats.org/officeDocument/2006/relationships/hyperlink" Target="https://warthunder.com/en/news/8483-special-the-mi-24d-returns-to-celebrate-the-anniversary-of-its-first-flight-en" TargetMode="External"/><Relationship Id="rId948" Type="http://schemas.openxmlformats.org/officeDocument/2006/relationships/hyperlink" Target="https://warthunder.com/en/news/8761-event-pages-of-history-march-on-wings-of-war-en" TargetMode="External"/><Relationship Id="rId1133" Type="http://schemas.openxmlformats.org/officeDocument/2006/relationships/hyperlink" Target="https://warthunder.com/en/news/9349-event-pages-of-history-february-the-big-chief-en" TargetMode="External"/><Relationship Id="rId77" Type="http://schemas.openxmlformats.org/officeDocument/2006/relationships/hyperlink" Target="https://warthunder.com/en/news/439/current" TargetMode="External"/><Relationship Id="rId282" Type="http://schemas.openxmlformats.org/officeDocument/2006/relationships/hyperlink" Target="https://warthunder.com/en/news/3722-event-rapid-fire-and-floats-en" TargetMode="External"/><Relationship Id="rId503" Type="http://schemas.openxmlformats.org/officeDocument/2006/relationships/hyperlink" Target="https://warthunder.com/en/news/6772-shop-summer-sale-en" TargetMode="External"/><Relationship Id="rId587" Type="http://schemas.openxmlformats.org/officeDocument/2006/relationships/hyperlink" Target="https://warthunder.com/en/news/7555-special-happy-valentine-s-day-en" TargetMode="External"/><Relationship Id="rId710" Type="http://schemas.openxmlformats.org/officeDocument/2006/relationships/hyperlink" Target="https://warthunder.com/en/news/7721-special-80th-anniversary-of-the-battle-of-midway-en" TargetMode="External"/><Relationship Id="rId808" Type="http://schemas.openxmlformats.org/officeDocument/2006/relationships/hyperlink" Target="https://warthunder.com/en/news/8339-special-two-fighters-and-a-decal-for-swedish-air-force-day-en" TargetMode="External"/><Relationship Id="rId8" Type="http://schemas.openxmlformats.org/officeDocument/2006/relationships/hyperlink" Target="https://warthunder.com/en/news/105/current" TargetMode="External"/><Relationship Id="rId142" Type="http://schemas.openxmlformats.org/officeDocument/2006/relationships/hyperlink" Target="https://warthunder.com/en/news/744/current" TargetMode="External"/><Relationship Id="rId447" Type="http://schemas.openxmlformats.org/officeDocument/2006/relationships/hyperlink" Target="https://warthunder.com/en/news/6003-event-the-liberation-of-leningrad-75th-anniversary-en" TargetMode="External"/><Relationship Id="rId794" Type="http://schemas.openxmlformats.org/officeDocument/2006/relationships/hyperlink" Target="https://warthunder.com/en/news/8310-special-rn-geniere-is-back-for-italian-navy-day-en" TargetMode="External"/><Relationship Id="rId1077" Type="http://schemas.openxmlformats.org/officeDocument/2006/relationships/hyperlink" Target="https://warthunder.com/en/news/9201-shop-discount-on-the-tu-1-in-honor-of-an-tupolevs-birthday-en" TargetMode="External"/><Relationship Id="rId654" Type="http://schemas.openxmlformats.org/officeDocument/2006/relationships/hyperlink" Target="https://warthunder.ru/ru/news/15850-akciya-den-vvs-rossii-ru" TargetMode="External"/><Relationship Id="rId861" Type="http://schemas.openxmlformats.org/officeDocument/2006/relationships/hyperlink" Target="https://warthunder.com/en/news/8514-special-us-navy-birthday-a-decal-and-the-uss-cowell-to-celebrate-en" TargetMode="External"/><Relationship Id="rId959" Type="http://schemas.openxmlformats.org/officeDocument/2006/relationships/hyperlink" Target="https://warthunder.com/en/news/8832-event-pages-of-history-april-for-zoya-en" TargetMode="External"/><Relationship Id="rId293" Type="http://schemas.openxmlformats.org/officeDocument/2006/relationships/hyperlink" Target="https://warthunder.com/en/news/3666-development-the-april-fools-event-is-over-en" TargetMode="External"/><Relationship Id="rId307" Type="http://schemas.openxmlformats.org/officeDocument/2006/relationships/hyperlink" Target="https://warthunder.com/en/news/4174-event-new-missions-en" TargetMode="External"/><Relationship Id="rId514" Type="http://schemas.openxmlformats.org/officeDocument/2006/relationships/hyperlink" Target="https://warthunder.com/en/news/6894-birthday-of-the-united-states-navy-en" TargetMode="External"/><Relationship Id="rId721" Type="http://schemas.openxmlformats.org/officeDocument/2006/relationships/hyperlink" Target="https://warthunder.com/en/news/8037-event-pages-of-history-january-en" TargetMode="External"/><Relationship Id="rId88" Type="http://schemas.openxmlformats.org/officeDocument/2006/relationships/hyperlink" Target="https://warthunder.com/en/news/469/current" TargetMode="External"/><Relationship Id="rId153" Type="http://schemas.openxmlformats.org/officeDocument/2006/relationships/hyperlink" Target="https://warthunder.com/en/news/833/current" TargetMode="External"/><Relationship Id="rId360" Type="http://schemas.openxmlformats.org/officeDocument/2006/relationships/hyperlink" Target="https://warthunder.com/en/news/4741-special-air-race-in-the-guiana-highlands-en" TargetMode="External"/><Relationship Id="rId598" Type="http://schemas.openxmlformats.org/officeDocument/2006/relationships/hyperlink" Target="https://warthunder.com/en/news/7629-event-pages-of-history-april-en" TargetMode="External"/><Relationship Id="rId819" Type="http://schemas.openxmlformats.org/officeDocument/2006/relationships/hyperlink" Target="https://warthunder.com/en/news/8331-event-pages-of-history-july-en" TargetMode="External"/><Relationship Id="rId1004" Type="http://schemas.openxmlformats.org/officeDocument/2006/relationships/hyperlink" Target="https://warthunder.com/en/news/8974-shop-special-happy-july-4th-a-tank-fighter-and-a-decal-for-us-independence-day-en" TargetMode="External"/><Relationship Id="rId220" Type="http://schemas.openxmlformats.org/officeDocument/2006/relationships/hyperlink" Target="https://warthunder.com/en/news/2974/current" TargetMode="External"/><Relationship Id="rId458" Type="http://schemas.openxmlformats.org/officeDocument/2006/relationships/hyperlink" Target="https://warthunder.com/en/news/6241-event-russia-day-en" TargetMode="External"/><Relationship Id="rId665" Type="http://schemas.openxmlformats.org/officeDocument/2006/relationships/hyperlink" Target="https://warthunder.com/en/news/7837-event-pages-of-history-september-en" TargetMode="External"/><Relationship Id="rId872" Type="http://schemas.openxmlformats.org/officeDocument/2006/relationships/hyperlink" Target="https://warthunder.com/en/news/8549-event-pages-of-history-november-en" TargetMode="External"/><Relationship Id="rId1088" Type="http://schemas.openxmlformats.org/officeDocument/2006/relationships/hyperlink" Target="https://warthunder.com/en/news/9240-event-pages-of-history-december-world-champion-en" TargetMode="External"/><Relationship Id="rId15" Type="http://schemas.openxmlformats.org/officeDocument/2006/relationships/hyperlink" Target="https://warthunder.com/en/news/164/current" TargetMode="External"/><Relationship Id="rId318" Type="http://schemas.openxmlformats.org/officeDocument/2006/relationships/hyperlink" Target="https://warthunder.com/en/news/4304-war-thunder-four-years-and-still-going-strong-en" TargetMode="External"/><Relationship Id="rId525" Type="http://schemas.openxmlformats.org/officeDocument/2006/relationships/hyperlink" Target="https://warthunder.com/en/news/7013-shop-new-year-sale-en" TargetMode="External"/><Relationship Id="rId732" Type="http://schemas.openxmlformats.org/officeDocument/2006/relationships/hyperlink" Target="https://warthunder.com/en/news/8073-event-pages-of-history-february-en" TargetMode="External"/><Relationship Id="rId99" Type="http://schemas.openxmlformats.org/officeDocument/2006/relationships/hyperlink" Target="https://warthunder.com/en/news/503/current" TargetMode="External"/><Relationship Id="rId164" Type="http://schemas.openxmlformats.org/officeDocument/2006/relationships/hyperlink" Target="https://warthunder.com/en/news/878/current" TargetMode="External"/><Relationship Id="rId371" Type="http://schemas.openxmlformats.org/officeDocument/2006/relationships/hyperlink" Target="https://warthunder.com/en/news/4883-race-fast-lions-challenge-en" TargetMode="External"/><Relationship Id="rId1015" Type="http://schemas.openxmlformats.org/officeDocument/2006/relationships/hyperlink" Target="https://warthunder.com/en/news/8993-shop-the-t-2-early-is-available-on-the-anniversary-of-its-first-flight-en" TargetMode="External"/><Relationship Id="rId469" Type="http://schemas.openxmlformats.org/officeDocument/2006/relationships/hyperlink" Target="https://warthunder.com/en/news/6291-event-russian-navy-day-en" TargetMode="External"/><Relationship Id="rId676" Type="http://schemas.openxmlformats.org/officeDocument/2006/relationships/hyperlink" Target="https://warthunder.com/en/news/7888-event-pages-of-history-october-en" TargetMode="External"/><Relationship Id="rId883" Type="http://schemas.openxmlformats.org/officeDocument/2006/relationships/hyperlink" Target="https://warthunder.com/en/news/8549-event-pages-of-history-november-en" TargetMode="External"/><Relationship Id="rId1099" Type="http://schemas.openxmlformats.org/officeDocument/2006/relationships/hyperlink" Target="https://warthunder.com/en/news/9240-event-pages-of-history-december-world-champion-en" TargetMode="External"/><Relationship Id="rId26" Type="http://schemas.openxmlformats.org/officeDocument/2006/relationships/hyperlink" Target="https://warthunder.com/en/news/231/current" TargetMode="External"/><Relationship Id="rId231" Type="http://schemas.openxmlformats.org/officeDocument/2006/relationships/hyperlink" Target="https://warthunder.com/en/news/3137/current" TargetMode="External"/><Relationship Id="rId329" Type="http://schemas.openxmlformats.org/officeDocument/2006/relationships/hyperlink" Target="https://warthunder.com/en/news/4389-event-battles-in-ardennes-en" TargetMode="External"/><Relationship Id="rId536" Type="http://schemas.openxmlformats.org/officeDocument/2006/relationships/hyperlink" Target="https://warthunder.com/en/news/7142-shop-may-sale-in-war-thunder-en" TargetMode="External"/><Relationship Id="rId175" Type="http://schemas.openxmlformats.org/officeDocument/2006/relationships/hyperlink" Target="https://warthunder.com/en/news/2615/current" TargetMode="External"/><Relationship Id="rId743" Type="http://schemas.openxmlformats.org/officeDocument/2006/relationships/hyperlink" Target="https://warthunder.com/en/news/8139-special-finnish-air-force-day-en" TargetMode="External"/><Relationship Id="rId950" Type="http://schemas.openxmlformats.org/officeDocument/2006/relationships/hyperlink" Target="https://warthunder.com/en/news/8833-special-get-a-decal-for-the-anniversary-of-the-italian-air-force-en" TargetMode="External"/><Relationship Id="rId1026" Type="http://schemas.openxmlformats.org/officeDocument/2006/relationships/hyperlink" Target="https://warthunder.com/en/news/9004-event-pages-of-history-august-the-first-in-paris-en" TargetMode="External"/><Relationship Id="rId382" Type="http://schemas.openxmlformats.org/officeDocument/2006/relationships/hyperlink" Target="https://warthunder.com/en/news/5066-special-war-thunder-5-years-en" TargetMode="External"/><Relationship Id="rId603" Type="http://schemas.openxmlformats.org/officeDocument/2006/relationships/hyperlink" Target="https://warthunder.com/en/news/7629-event-pages-of-history-april-en" TargetMode="External"/><Relationship Id="rId687" Type="http://schemas.openxmlformats.org/officeDocument/2006/relationships/hyperlink" Target="https://warthunder.com/en/news/7945-special-happy-anniversary-war-thunder-en" TargetMode="External"/><Relationship Id="rId810" Type="http://schemas.openxmlformats.org/officeDocument/2006/relationships/hyperlink" Target="https://warthunder.com/en/news/8346-special-a-tank-a-fighter-and-a-decal-for-us-independence-day-en" TargetMode="External"/><Relationship Id="rId908" Type="http://schemas.openxmlformats.org/officeDocument/2006/relationships/hyperlink" Target="https://warthunder.com/en/news/8680-event-pages-of-history-january-ace-in-a-day-en" TargetMode="External"/><Relationship Id="rId242" Type="http://schemas.openxmlformats.org/officeDocument/2006/relationships/hyperlink" Target="https://warthunder.com/en/news/3204/current" TargetMode="External"/><Relationship Id="rId894" Type="http://schemas.openxmlformats.org/officeDocument/2006/relationships/hyperlink" Target="https://warthunder.com/en/news/8679-special-the-mig-15bis-ish-is-back-for-its-maiden-flight-anniversary-and-is-here-to-stay-en" TargetMode="External"/><Relationship Id="rId37" Type="http://schemas.openxmlformats.org/officeDocument/2006/relationships/hyperlink" Target="https://warthunder.com/en/news/280/current" TargetMode="External"/><Relationship Id="rId102" Type="http://schemas.openxmlformats.org/officeDocument/2006/relationships/hyperlink" Target="https://warthunder.com/en/news/514/current" TargetMode="External"/><Relationship Id="rId547" Type="http://schemas.openxmlformats.org/officeDocument/2006/relationships/hyperlink" Target="https://warthunder.com/en/news/7333-special-happy-tankers-day-en" TargetMode="External"/><Relationship Id="rId754" Type="http://schemas.openxmlformats.org/officeDocument/2006/relationships/hyperlink" Target="https://warthunder.com/en/news/8169-shop-moments-of-valour-the-turkish-armed-forces-en" TargetMode="External"/><Relationship Id="rId961" Type="http://schemas.openxmlformats.org/officeDocument/2006/relationships/hyperlink" Target="https://warthunder.com/en/news/8832-event-pages-of-history-april-for-zoya-en" TargetMode="External"/><Relationship Id="rId90" Type="http://schemas.openxmlformats.org/officeDocument/2006/relationships/hyperlink" Target="https://warthunder.com/en/news/481/current" TargetMode="External"/><Relationship Id="rId186" Type="http://schemas.openxmlformats.org/officeDocument/2006/relationships/hyperlink" Target="https://warthunder.com/en/news/2650/current" TargetMode="External"/><Relationship Id="rId393" Type="http://schemas.openxmlformats.org/officeDocument/2006/relationships/hyperlink" Target="https://warthunder.com/en/news/5239-special-festive-events-en" TargetMode="External"/><Relationship Id="rId407" Type="http://schemas.openxmlformats.org/officeDocument/2006/relationships/hyperlink" Target="https://warthunder.com/en/news/5410-event-large-calibres-and-enduring-confrontation-en" TargetMode="External"/><Relationship Id="rId614" Type="http://schemas.openxmlformats.org/officeDocument/2006/relationships/hyperlink" Target="https://warthunder.com/en/news/7664-event-pages-of-history-may-en" TargetMode="External"/><Relationship Id="rId821" Type="http://schemas.openxmlformats.org/officeDocument/2006/relationships/hyperlink" Target="https://warthunder.com/en/news/8365-special-t-2-early-available-again-for-the-anniversary-of-its-first-flight-en" TargetMode="External"/><Relationship Id="rId1037" Type="http://schemas.openxmlformats.org/officeDocument/2006/relationships/hyperlink" Target="https://warthunder.com/en/news/9053-special-a-decal-for-the-anniversary-of-the-victory-over-japan-en" TargetMode="External"/><Relationship Id="rId253" Type="http://schemas.openxmlformats.org/officeDocument/2006/relationships/hyperlink" Target="https://warthunder.com/en/news/3303/current" TargetMode="External"/><Relationship Id="rId460" Type="http://schemas.openxmlformats.org/officeDocument/2006/relationships/hyperlink" Target="https://warthunder.com/en/news/6253-event-maginot-line-en" TargetMode="External"/><Relationship Id="rId698" Type="http://schemas.openxmlformats.org/officeDocument/2006/relationships/hyperlink" Target="https://warthunder.com/en/news/7981-event-pages-of-history-december-en" TargetMode="External"/><Relationship Id="rId919" Type="http://schemas.openxmlformats.org/officeDocument/2006/relationships/hyperlink" Target="https://warthunder.com/en/news/8715-special-the-amx-30-super-is-returning-and-is-here-to-stay-en" TargetMode="External"/><Relationship Id="rId1090" Type="http://schemas.openxmlformats.org/officeDocument/2006/relationships/hyperlink" Target="https://warthunder.com/en/news/9240-event-pages-of-history-december-world-champion-en" TargetMode="External"/><Relationship Id="rId1104" Type="http://schemas.openxmlformats.org/officeDocument/2006/relationships/hyperlink" Target="https://warthunder.com/en/news/9004-event-pages-of-history-august-the-first-in-paris-en" TargetMode="External"/><Relationship Id="rId48" Type="http://schemas.openxmlformats.org/officeDocument/2006/relationships/hyperlink" Target="https://warthunder.com/en/news/321/current" TargetMode="External"/><Relationship Id="rId113" Type="http://schemas.openxmlformats.org/officeDocument/2006/relationships/hyperlink" Target="https://warthunder.com/en/news/562/current" TargetMode="External"/><Relationship Id="rId320" Type="http://schemas.openxmlformats.org/officeDocument/2006/relationships/hyperlink" Target="https://warthunder.com/en/news/4337-event-celebrate-panfilov-s-28-movie-premiere-en" TargetMode="External"/><Relationship Id="rId558" Type="http://schemas.openxmlformats.org/officeDocument/2006/relationships/hyperlink" Target="https://warthunder.com/en/news/7421-special-founding-of-the-people-s-liberation-army-air-force-en" TargetMode="External"/><Relationship Id="rId765" Type="http://schemas.openxmlformats.org/officeDocument/2006/relationships/hyperlink" Target="https://warthunder.com/en/news/8167-event-pages-of-history-april-en" TargetMode="External"/><Relationship Id="rId972" Type="http://schemas.openxmlformats.org/officeDocument/2006/relationships/hyperlink" Target="https://warthunder.com/en/news/8871-event-pages-of-history-may-for-victory-en" TargetMode="External"/><Relationship Id="rId197" Type="http://schemas.openxmlformats.org/officeDocument/2006/relationships/hyperlink" Target="https://warthunder.com/en/news/870/current" TargetMode="External"/><Relationship Id="rId418" Type="http://schemas.openxmlformats.org/officeDocument/2006/relationships/hyperlink" Target="https://warthunder.com/en/news/5332-event-enduring-confrontation-in-rb-floats-ctf-en" TargetMode="External"/><Relationship Id="rId625" Type="http://schemas.openxmlformats.org/officeDocument/2006/relationships/hyperlink" Target="https://warthunder.ru/ru/news/15774-akciya-den-rossii-ru" TargetMode="External"/><Relationship Id="rId832" Type="http://schemas.openxmlformats.org/officeDocument/2006/relationships/hyperlink" Target="https://warthunder.com/en/news/8366-event-pages-of-history-august-en" TargetMode="External"/><Relationship Id="rId1048" Type="http://schemas.openxmlformats.org/officeDocument/2006/relationships/hyperlink" Target="https://warthunder.com/en/news/9038-event-pages-of-history-september-attacker-ace-en" TargetMode="External"/><Relationship Id="rId264" Type="http://schemas.openxmlformats.org/officeDocument/2006/relationships/hyperlink" Target="https://warthunder.com/en/news/2752/current" TargetMode="External"/><Relationship Id="rId471" Type="http://schemas.openxmlformats.org/officeDocument/2006/relationships/hyperlink" Target="https://warthunder.com/en/news/6368-special-tankers-day-celebrate-with-us-en" TargetMode="External"/><Relationship Id="rId1115" Type="http://schemas.openxmlformats.org/officeDocument/2006/relationships/hyperlink" Target="https://warthunder.com/en/news/9326-shop-the-sav-201248-for-swedish-armed-forces-day-en" TargetMode="External"/><Relationship Id="rId59" Type="http://schemas.openxmlformats.org/officeDocument/2006/relationships/hyperlink" Target="https://warthunder.com/en/news/362/current" TargetMode="External"/><Relationship Id="rId124" Type="http://schemas.openxmlformats.org/officeDocument/2006/relationships/hyperlink" Target="https://warthunder.com/en/news/608/current" TargetMode="External"/><Relationship Id="rId569" Type="http://schemas.openxmlformats.org/officeDocument/2006/relationships/hyperlink" Target="https://warthunder.com/en/news/7499-video-christmas-video-en" TargetMode="External"/><Relationship Id="rId776" Type="http://schemas.openxmlformats.org/officeDocument/2006/relationships/hyperlink" Target="https://warthunder.com/en/news/8208-event-pages-of-history-may-en" TargetMode="External"/><Relationship Id="rId983" Type="http://schemas.openxmlformats.org/officeDocument/2006/relationships/hyperlink" Target="https://warthunder.com/en/news/8913-event-pages-of-history-june-the-military-engineer-en" TargetMode="External"/><Relationship Id="rId331" Type="http://schemas.openxmlformats.org/officeDocument/2006/relationships/hyperlink" Target="https://warthunder.com/en/news/4412-war-thunder-is-now-released-en" TargetMode="External"/><Relationship Id="rId429" Type="http://schemas.openxmlformats.org/officeDocument/2006/relationships/hyperlink" Target="https://warthunder.com/en/news/5797-shop-german-unity-day-bundles-en" TargetMode="External"/><Relationship Id="rId636" Type="http://schemas.openxmlformats.org/officeDocument/2006/relationships/hyperlink" Target="https://warthunder.com/en/news/7761-special-french-air-forces-day-en" TargetMode="External"/><Relationship Id="rId1059" Type="http://schemas.openxmlformats.org/officeDocument/2006/relationships/hyperlink" Target="https://warthunder.com/en/news/9124-shop-special-a-decal-uss-cowell-and-uss-des-moines-for-the-us-navys-birthday-en" TargetMode="External"/><Relationship Id="rId843" Type="http://schemas.openxmlformats.org/officeDocument/2006/relationships/hyperlink" Target="https://warthunder.com/en/news/8456-special-the-kv-2-zis-6-and-a-decoration-for-tanker-s-day-en" TargetMode="External"/><Relationship Id="rId1126" Type="http://schemas.openxmlformats.org/officeDocument/2006/relationships/hyperlink" Target="https://warthunder.com/en/news/9363-shop-special-discounts-a-decal-and-rare-vehicles-for-national-foundation-day-in-japan-en" TargetMode="External"/><Relationship Id="rId275" Type="http://schemas.openxmlformats.org/officeDocument/2006/relationships/hyperlink" Target="https://warthunder.com/en/news/2975/current" TargetMode="External"/><Relationship Id="rId482" Type="http://schemas.openxmlformats.org/officeDocument/2006/relationships/hyperlink" Target="https://warthunder.com/en/news/6536-new-year-in-war-thunder-en" TargetMode="External"/><Relationship Id="rId703" Type="http://schemas.openxmlformats.org/officeDocument/2006/relationships/hyperlink" Target="https://warthunder.com/en/news/7981-event-pages-of-history-december-en" TargetMode="External"/><Relationship Id="rId910" Type="http://schemas.openxmlformats.org/officeDocument/2006/relationships/hyperlink" Target="https://warthunder.com/en/news/8680-event-pages-of-history-january-ace-in-a-day-en" TargetMode="External"/><Relationship Id="rId135" Type="http://schemas.openxmlformats.org/officeDocument/2006/relationships/hyperlink" Target="https://warthunder.com/en/news/700/current" TargetMode="External"/><Relationship Id="rId342" Type="http://schemas.openxmlformats.org/officeDocument/2006/relationships/hyperlink" Target="https://warthunder.com/en/news/4422-special-mega-bundles-at-70-off-en" TargetMode="External"/><Relationship Id="rId787" Type="http://schemas.openxmlformats.org/officeDocument/2006/relationships/hyperlink" Target="https://warthunder.com/en/news/8208-event-pages-of-history-may-en" TargetMode="External"/><Relationship Id="rId994" Type="http://schemas.openxmlformats.org/officeDocument/2006/relationships/hyperlink" Target="https://warthunder.com/en/news/9043-shop-special-a-discount-decal-decoration-for-operation-bagrations-anniversary-en" TargetMode="External"/><Relationship Id="rId202" Type="http://schemas.openxmlformats.org/officeDocument/2006/relationships/hyperlink" Target="https://warthunder.com/en/news/2598/current" TargetMode="External"/><Relationship Id="rId647" Type="http://schemas.openxmlformats.org/officeDocument/2006/relationships/hyperlink" Target="https://warthunder.com/en/news/7755-event-pages-of-history-july-en" TargetMode="External"/><Relationship Id="rId854" Type="http://schemas.openxmlformats.org/officeDocument/2006/relationships/hyperlink" Target="https://warthunder.com/en/news/8511-event-battle-of-the-caucasus-a-decal-and-decoration-for-the-80th-anniversary-en" TargetMode="External"/><Relationship Id="rId286" Type="http://schemas.openxmlformats.org/officeDocument/2006/relationships/hyperlink" Target="https://warthunder.com/en/news/4329-event-battle-of-iwo-jima-en" TargetMode="External"/><Relationship Id="rId493" Type="http://schemas.openxmlformats.org/officeDocument/2006/relationships/hyperlink" Target="https://warthunder.com/en/news/6628-event-happy-international-women-s-day-en" TargetMode="External"/><Relationship Id="rId507" Type="http://schemas.openxmlformats.org/officeDocument/2006/relationships/hyperlink" Target="https://warthunder.com/en/news/6800-event-russian-navy-day-with-war-thunder-en" TargetMode="External"/><Relationship Id="rId714" Type="http://schemas.openxmlformats.org/officeDocument/2006/relationships/hyperlink" Target="https://warthunder.com/en/news/8046-shop-war-thunder-winter-sale-en" TargetMode="External"/><Relationship Id="rId921" Type="http://schemas.openxmlformats.org/officeDocument/2006/relationships/hyperlink" Target="https://warthunder.com/en/news/8713-event-pages-of-history-february-through-a-storm-en" TargetMode="External"/><Relationship Id="rId50" Type="http://schemas.openxmlformats.org/officeDocument/2006/relationships/hyperlink" Target="https://warthunder.com/en/news/330/current" TargetMode="External"/><Relationship Id="rId146" Type="http://schemas.openxmlformats.org/officeDocument/2006/relationships/hyperlink" Target="https://warthunder.com/en/news/789/current" TargetMode="External"/><Relationship Id="rId353" Type="http://schemas.openxmlformats.org/officeDocument/2006/relationships/hyperlink" Target="https://warthunder.com/en/news/4561-event-day-of-the-kindest-cute-beautiful-responsive-smiling-en" TargetMode="External"/><Relationship Id="rId560" Type="http://schemas.openxmlformats.org/officeDocument/2006/relationships/hyperlink" Target="https://warthunder.com/en/news/7431-shop-black-friday-bundle-en" TargetMode="External"/><Relationship Id="rId798" Type="http://schemas.openxmlformats.org/officeDocument/2006/relationships/hyperlink" Target="https://warthunder.com/en/news/8281-event-pages-of-history-june-en" TargetMode="External"/><Relationship Id="rId213" Type="http://schemas.openxmlformats.org/officeDocument/2006/relationships/hyperlink" Target="https://warthunder.com/en/news/2870/current" TargetMode="External"/><Relationship Id="rId420" Type="http://schemas.openxmlformats.org/officeDocument/2006/relationships/hyperlink" Target="https://warthunder.com/en/news/5283-event-battle-royale-en" TargetMode="External"/><Relationship Id="rId658" Type="http://schemas.openxmlformats.org/officeDocument/2006/relationships/hyperlink" Target="https://warthunder.com/en/news/7789-event-pages-of-history-august-en" TargetMode="External"/><Relationship Id="rId865" Type="http://schemas.openxmlformats.org/officeDocument/2006/relationships/hyperlink" Target="https://warthunder.com/en/news/8495-event-pages-of-history-october-en" TargetMode="External"/><Relationship Id="rId1050" Type="http://schemas.openxmlformats.org/officeDocument/2006/relationships/hyperlink" Target="https://warthunder.com/en/news/9102-shop-discount-on-the-yak-38-for-the-anniversary-of-its-first-flight-en" TargetMode="External"/><Relationship Id="rId297" Type="http://schemas.openxmlformats.org/officeDocument/2006/relationships/hyperlink" Target="https://warthunder.com/en/news/4278-event-night-events-rb-guardian-angel-and-operation-chastise-en" TargetMode="External"/><Relationship Id="rId518" Type="http://schemas.openxmlformats.org/officeDocument/2006/relationships/hyperlink" Target="https://warthunder.com/en/news/6957-shop-black-friday-bundle-en" TargetMode="External"/><Relationship Id="rId725" Type="http://schemas.openxmlformats.org/officeDocument/2006/relationships/hyperlink" Target="https://warthunder.com/en/news/8037-event-pages-of-history-january-en" TargetMode="External"/><Relationship Id="rId932" Type="http://schemas.openxmlformats.org/officeDocument/2006/relationships/hyperlink" Target="https://warthunder.com/en/news/8748-shop-aigle-is-back-on-the-anniversary-of-its-launch-en" TargetMode="External"/><Relationship Id="rId157" Type="http://schemas.openxmlformats.org/officeDocument/2006/relationships/hyperlink" Target="https://warthunder.com/en/news/852/current" TargetMode="External"/><Relationship Id="rId364" Type="http://schemas.openxmlformats.org/officeDocument/2006/relationships/hyperlink" Target="https://warthunder.com/en/news/4794-event-ctf-flag-raiser-en" TargetMode="External"/><Relationship Id="rId1008" Type="http://schemas.openxmlformats.org/officeDocument/2006/relationships/hyperlink" Target="https://warthunder.com/en/news/8977-shop-special-video-moments-of-valor-argentina-en" TargetMode="External"/><Relationship Id="rId61" Type="http://schemas.openxmlformats.org/officeDocument/2006/relationships/hyperlink" Target="https://warthunder.com/en/news/366/current" TargetMode="External"/><Relationship Id="rId571" Type="http://schemas.openxmlformats.org/officeDocument/2006/relationships/hyperlink" Target="https://warthunder.com/en/news/7497-christmas-in-war-thunder-en" TargetMode="External"/><Relationship Id="rId669" Type="http://schemas.openxmlformats.org/officeDocument/2006/relationships/hyperlink" Target="https://warthunder.com/en/news/7875-special-us-air-force-birthday-en" TargetMode="External"/><Relationship Id="rId876" Type="http://schemas.openxmlformats.org/officeDocument/2006/relationships/hyperlink" Target="https://warthunder.com/en/news/8549-event-pages-of-history-november-en" TargetMode="External"/><Relationship Id="rId19" Type="http://schemas.openxmlformats.org/officeDocument/2006/relationships/hyperlink" Target="https://warthunder.com/en/news/183/current" TargetMode="External"/><Relationship Id="rId224" Type="http://schemas.openxmlformats.org/officeDocument/2006/relationships/hyperlink" Target="https://warthunder.com/en/news/3091/current" TargetMode="External"/><Relationship Id="rId431" Type="http://schemas.openxmlformats.org/officeDocument/2006/relationships/hyperlink" Target="https://warthunder.com/en/news/5852-special-news-war-thunder-s-birthday-discounts-and-gifts-en" TargetMode="External"/><Relationship Id="rId529" Type="http://schemas.openxmlformats.org/officeDocument/2006/relationships/hyperlink" Target="https://warthunder.com/en/news/7076-event-happy-international-women-s-day-en" TargetMode="External"/><Relationship Id="rId736" Type="http://schemas.openxmlformats.org/officeDocument/2006/relationships/hyperlink" Target="https://warthunder.com/en/news/8105-special-south-african-armed-forces-day-en" TargetMode="External"/><Relationship Id="rId1061" Type="http://schemas.openxmlformats.org/officeDocument/2006/relationships/hyperlink" Target="https://warthunder.com/en/news/9132-shop-the-vautour-iin-is-temporarily-available-at-a-discount-for-the-anniversary-of-its-first-flight-en" TargetMode="External"/><Relationship Id="rId168" Type="http://schemas.openxmlformats.org/officeDocument/2006/relationships/hyperlink" Target="https://warthunder.com/en/news/909/current" TargetMode="External"/><Relationship Id="rId943" Type="http://schemas.openxmlformats.org/officeDocument/2006/relationships/hyperlink" Target="https://warthunder.com/en/news/8761-event-pages-of-history-march-on-wings-of-war-en" TargetMode="External"/><Relationship Id="rId1019" Type="http://schemas.openxmlformats.org/officeDocument/2006/relationships/hyperlink" Target="https://warthunder.com/en/news/9007-shop-special-the-type-69-iia-and-a-decal-to-commemorate-pla-day-en" TargetMode="External"/><Relationship Id="rId72" Type="http://schemas.openxmlformats.org/officeDocument/2006/relationships/hyperlink" Target="https://warthunder.com/en/news/424/current" TargetMode="External"/><Relationship Id="rId375" Type="http://schemas.openxmlformats.org/officeDocument/2006/relationships/hyperlink" Target="https://warthunder.com/en/news/4954-event-happy-tanker-s-day-en" TargetMode="External"/><Relationship Id="rId582" Type="http://schemas.openxmlformats.org/officeDocument/2006/relationships/hyperlink" Target="https://warthunder.com/en/news/7541-special-end-of-the-battle-of-stalingrad-en" TargetMode="External"/><Relationship Id="rId803" Type="http://schemas.openxmlformats.org/officeDocument/2006/relationships/hyperlink" Target="https://warthunder.com/en/news/8588-special-bundeswehr-day-a-decal-and-two-tanks-to-celebrate-en" TargetMode="External"/><Relationship Id="rId3" Type="http://schemas.openxmlformats.org/officeDocument/2006/relationships/hyperlink" Target="https://warthunder.com/en/news/78/current" TargetMode="External"/><Relationship Id="rId235" Type="http://schemas.openxmlformats.org/officeDocument/2006/relationships/hyperlink" Target="https://warthunder.com/en/news/3170/current" TargetMode="External"/><Relationship Id="rId442" Type="http://schemas.openxmlformats.org/officeDocument/2006/relationships/hyperlink" Target="https://warthunder.com/en/news/5424-event-flying-serpent-crouching-tiger-en" TargetMode="External"/><Relationship Id="rId887" Type="http://schemas.openxmlformats.org/officeDocument/2006/relationships/hyperlink" Target="https://warthunder.com/en/news/8602-event-pages-of-history-december-the-heroic-nurse-en" TargetMode="External"/><Relationship Id="rId1072" Type="http://schemas.openxmlformats.org/officeDocument/2006/relationships/hyperlink" Target="https://warthunder.com/en/news/9173-event-pages-of-history-november-medicane-en" TargetMode="External"/><Relationship Id="rId302" Type="http://schemas.openxmlformats.org/officeDocument/2006/relationships/hyperlink" Target="https://warthunder.com/en/news/3790-news-petlyakov-chronicle-of-a-dive-bomber-en" TargetMode="External"/><Relationship Id="rId747" Type="http://schemas.openxmlformats.org/officeDocument/2006/relationships/hyperlink" Target="https://warthunder.com/en/news/8124-event-pages-of-history-march-en" TargetMode="External"/><Relationship Id="rId954" Type="http://schemas.openxmlformats.org/officeDocument/2006/relationships/hyperlink" Target="https://warthunder.com/en/news/8832-event-pages-of-history-april-for-zoya-en" TargetMode="External"/><Relationship Id="rId83" Type="http://schemas.openxmlformats.org/officeDocument/2006/relationships/hyperlink" Target="https://warthunder.com/en/news/461/current" TargetMode="External"/><Relationship Id="rId179" Type="http://schemas.openxmlformats.org/officeDocument/2006/relationships/hyperlink" Target="https://warthunder.com/en/news/2603/current" TargetMode="External"/><Relationship Id="rId386" Type="http://schemas.openxmlformats.org/officeDocument/2006/relationships/hyperlink" Target="https://warthunder.com/en/news/5037-event-still-waters-en" TargetMode="External"/><Relationship Id="rId593" Type="http://schemas.openxmlformats.org/officeDocument/2006/relationships/hyperlink" Target="https://warthunder.com/en/news/7581-special-happy-international-women-s-day-en" TargetMode="External"/><Relationship Id="rId607" Type="http://schemas.openxmlformats.org/officeDocument/2006/relationships/hyperlink" Target="https://warthunder.com/en/news/7668-special-japanese-constitution-day-en" TargetMode="External"/><Relationship Id="rId814" Type="http://schemas.openxmlformats.org/officeDocument/2006/relationships/hyperlink" Target="https://warthunder.com/en/news/8352-event-combat-robots-of-atomic-heart-come-to-war-thunder-en" TargetMode="External"/><Relationship Id="rId246" Type="http://schemas.openxmlformats.org/officeDocument/2006/relationships/hyperlink" Target="https://warthunder.com/en/news/3231/current" TargetMode="External"/><Relationship Id="rId453" Type="http://schemas.openxmlformats.org/officeDocument/2006/relationships/hyperlink" Target="https://warthunder.com/en/news/6108-news-birthday-of-alexander-pokryshkin-en" TargetMode="External"/><Relationship Id="rId660" Type="http://schemas.openxmlformats.org/officeDocument/2006/relationships/hyperlink" Target="https://warthunder.com/en/news/7789-event-pages-of-history-august-en" TargetMode="External"/><Relationship Id="rId898" Type="http://schemas.openxmlformats.org/officeDocument/2006/relationships/hyperlink" Target="https://warthunder.com/en/news/8226-event-victory-day-in-war-thunder-en" TargetMode="External"/><Relationship Id="rId1083" Type="http://schemas.openxmlformats.org/officeDocument/2006/relationships/hyperlink" Target="https://warthunder.com/en/news/9173-event-pages-of-history-november-medicane-en" TargetMode="External"/><Relationship Id="rId106" Type="http://schemas.openxmlformats.org/officeDocument/2006/relationships/hyperlink" Target="https://warthunder.com/en/news/524/current" TargetMode="External"/><Relationship Id="rId313" Type="http://schemas.openxmlformats.org/officeDocument/2006/relationships/hyperlink" Target="https://warthunder.com/en/news/4262-event-airfield-assault-and-defense-stalingrad-en" TargetMode="External"/><Relationship Id="rId758" Type="http://schemas.openxmlformats.org/officeDocument/2006/relationships/hyperlink" Target="https://warthunder.com/en/news/8171-special-royal-air-force-day-en" TargetMode="External"/><Relationship Id="rId965" Type="http://schemas.openxmlformats.org/officeDocument/2006/relationships/hyperlink" Target="https://warthunder.com/en/news/8871-event-pages-of-history-may-for-victory-en" TargetMode="External"/><Relationship Id="rId10" Type="http://schemas.openxmlformats.org/officeDocument/2006/relationships/hyperlink" Target="https://warthunder.com/en/news/130/current" TargetMode="External"/><Relationship Id="rId94" Type="http://schemas.openxmlformats.org/officeDocument/2006/relationships/hyperlink" Target="https://warthunder.com/en/news/491/current" TargetMode="External"/><Relationship Id="rId397" Type="http://schemas.openxmlformats.org/officeDocument/2006/relationships/hyperlink" Target="https://warthunder.com/en/news/4890-event-battle-royale-en" TargetMode="External"/><Relationship Id="rId520" Type="http://schemas.openxmlformats.org/officeDocument/2006/relationships/hyperlink" Target="https://warthunder.com/en/news/7009-christmas-wishes-en" TargetMode="External"/><Relationship Id="rId618" Type="http://schemas.openxmlformats.org/officeDocument/2006/relationships/hyperlink" Target="https://warthunder.com/en/news/7702-event-the-advance-event-en" TargetMode="External"/><Relationship Id="rId825" Type="http://schemas.openxmlformats.org/officeDocument/2006/relationships/hyperlink" Target="https://warthunder.com/en/news/8380-special-t-69-ii-g-and-a-decal-to-commemorate-pla-day-en" TargetMode="External"/><Relationship Id="rId257" Type="http://schemas.openxmlformats.org/officeDocument/2006/relationships/hyperlink" Target="https://warthunder.com/en/news/3348/current" TargetMode="External"/><Relationship Id="rId464" Type="http://schemas.openxmlformats.org/officeDocument/2006/relationships/hyperlink" Target="https://warthunder.com/en/news/6337-event-the-battle-of-kursk-en" TargetMode="External"/><Relationship Id="rId1010" Type="http://schemas.openxmlformats.org/officeDocument/2006/relationships/hyperlink" Target="https://warthunder.com/en/news/8964-event-pages-of-history-july-the-jumping-general-en" TargetMode="External"/><Relationship Id="rId1094" Type="http://schemas.openxmlformats.org/officeDocument/2006/relationships/hyperlink" Target="https://warthunder.com/en/news/9240-event-pages-of-history-december-world-champion-en" TargetMode="External"/><Relationship Id="rId1108" Type="http://schemas.openxmlformats.org/officeDocument/2006/relationships/hyperlink" Target="https://warthunder.com/en/news/9178-special-its-war-thunders-12th-birthday-join-the-celebrations-en" TargetMode="External"/><Relationship Id="rId117" Type="http://schemas.openxmlformats.org/officeDocument/2006/relationships/hyperlink" Target="https://warthunder.com/en/news/574/current" TargetMode="External"/><Relationship Id="rId671" Type="http://schemas.openxmlformats.org/officeDocument/2006/relationships/hyperlink" Target="https://warthunder.com/en/news/7837-event-pages-of-history-september-en" TargetMode="External"/><Relationship Id="rId769" Type="http://schemas.openxmlformats.org/officeDocument/2006/relationships/hyperlink" Target="https://warthunder.com/en/news/8210-special-italy-liberation-day-en" TargetMode="External"/><Relationship Id="rId976" Type="http://schemas.openxmlformats.org/officeDocument/2006/relationships/hyperlink" Target="https://warthunder.com/en/news/8896-special-anniversary-of-the-founding-of-the-corps-of-royal-engineers-the-centurion-avre-returns-en" TargetMode="External"/><Relationship Id="rId324" Type="http://schemas.openxmlformats.org/officeDocument/2006/relationships/hyperlink" Target="https://warthunder.com/en/news/4362-news-st-andrew-s-day-en" TargetMode="External"/><Relationship Id="rId531" Type="http://schemas.openxmlformats.org/officeDocument/2006/relationships/hyperlink" Target="https://warthunder.com/en/news/7097-p39n-0-for-alexander-pokryshkin-s-birthday-en" TargetMode="External"/><Relationship Id="rId629" Type="http://schemas.openxmlformats.org/officeDocument/2006/relationships/hyperlink" Target="https://warthunder.com/en/news/7689-event-pages-of-history-june-en" TargetMode="External"/><Relationship Id="rId836" Type="http://schemas.openxmlformats.org/officeDocument/2006/relationships/hyperlink" Target="https://warthunder.com/en/news/8401-special-sky-dragons-decal-and-a-uh-1c-xm-30-for-us-airborne-day-en" TargetMode="External"/><Relationship Id="rId1021" Type="http://schemas.openxmlformats.org/officeDocument/2006/relationships/hyperlink" Target="https://warthunder.com/ru/news/16923-akcia-den-vdv-rossii-polucite-novuu-dekal-ru" TargetMode="External"/><Relationship Id="rId1119" Type="http://schemas.openxmlformats.org/officeDocument/2006/relationships/hyperlink" Target="https://warthunder.com/en/news/9339-shop-the-su-7bmk-temporarily-returns-at-a-discount-for-the-anniversary-of-the-su-7b-entering-service-en" TargetMode="External"/><Relationship Id="rId903" Type="http://schemas.openxmlformats.org/officeDocument/2006/relationships/hyperlink" Target="https://warthunder.com/en/news/8677-shop-the-new-year-sale-in-the-gaijinnet-store-en" TargetMode="External"/><Relationship Id="rId32" Type="http://schemas.openxmlformats.org/officeDocument/2006/relationships/hyperlink" Target="https://warthunder.com/en/news/262/current" TargetMode="External"/><Relationship Id="rId181" Type="http://schemas.openxmlformats.org/officeDocument/2006/relationships/hyperlink" Target="https://warthunder.com/en/news/2642/current" TargetMode="External"/><Relationship Id="rId279" Type="http://schemas.openxmlformats.org/officeDocument/2006/relationships/hyperlink" Target="https://warthunder.com/en/news/2987/current" TargetMode="External"/><Relationship Id="rId486" Type="http://schemas.openxmlformats.org/officeDocument/2006/relationships/hyperlink" Target="https://warthunder.com/en/news/6263-shop-war-thunder-summer-sale-en" TargetMode="External"/><Relationship Id="rId693" Type="http://schemas.openxmlformats.org/officeDocument/2006/relationships/hyperlink" Target="https://warthunder.com/en/news/7926-event-pages-of-history-november-en" TargetMode="External"/><Relationship Id="rId139" Type="http://schemas.openxmlformats.org/officeDocument/2006/relationships/hyperlink" Target="https://warthunder.com/en/news/718/current" TargetMode="External"/><Relationship Id="rId346" Type="http://schemas.openxmlformats.org/officeDocument/2006/relationships/hyperlink" Target="https://warthunder.com/en/news/4529-event-battle-of-stalingrad-en" TargetMode="External"/><Relationship Id="rId553" Type="http://schemas.openxmlformats.org/officeDocument/2006/relationships/hyperlink" Target="https://warthunder.com/en/news/7397-event-halloween-in-war-thunder-en" TargetMode="External"/><Relationship Id="rId760" Type="http://schemas.openxmlformats.org/officeDocument/2006/relationships/hyperlink" Target="https://warthunder.com/en/news/8167-event-pages-of-history-april-en" TargetMode="External"/><Relationship Id="rId998" Type="http://schemas.openxmlformats.org/officeDocument/2006/relationships/hyperlink" Target="https://warthunder.com/en/news/8913-event-pages-of-history-june-the-military-engineer-en" TargetMode="External"/><Relationship Id="rId206" Type="http://schemas.openxmlformats.org/officeDocument/2006/relationships/hyperlink" Target="https://warthunder.com/en/news/2812/current" TargetMode="External"/><Relationship Id="rId413" Type="http://schemas.openxmlformats.org/officeDocument/2006/relationships/hyperlink" Target="https://warthunder.com/en/news/5405-news-birthday-of-alexander-pokryshkin-en" TargetMode="External"/><Relationship Id="rId858" Type="http://schemas.openxmlformats.org/officeDocument/2006/relationships/hyperlink" Target="https://warthunder.com/en/news/8506-special-german-unity-day-vehicles-for-ge-and-a-decal-to-celebrate-en" TargetMode="External"/><Relationship Id="rId1043" Type="http://schemas.openxmlformats.org/officeDocument/2006/relationships/hyperlink" Target="https://warthunder.com/en/news/9089-shop-discount-on-the-ka-50-for-nikolai-kamovs-birthday-en" TargetMode="External"/><Relationship Id="rId620" Type="http://schemas.openxmlformats.org/officeDocument/2006/relationships/hyperlink" Target="https://warthunder.com/en/news/7710-special-maiden-flight-of-the-bf-109-en" TargetMode="External"/><Relationship Id="rId718" Type="http://schemas.openxmlformats.org/officeDocument/2006/relationships/hyperlink" Target="https://warthunder.com/en/news/8037-event-pages-of-history-january-en" TargetMode="External"/><Relationship Id="rId925" Type="http://schemas.openxmlformats.org/officeDocument/2006/relationships/hyperlink" Target="https://warthunder.com/en/news/8727-special-national-foundation-day-in-japan-rare-vehicles-temporarily-on-sale-en" TargetMode="External"/><Relationship Id="rId1110" Type="http://schemas.openxmlformats.org/officeDocument/2006/relationships/hyperlink" Target="https://warthunder.com/en/news/9302-event-pages-of-history-january-defender-of-leningrad-en" TargetMode="External"/><Relationship Id="rId54" Type="http://schemas.openxmlformats.org/officeDocument/2006/relationships/hyperlink" Target="https://warthunder.com/en/news/351/current" TargetMode="External"/><Relationship Id="rId270" Type="http://schemas.openxmlformats.org/officeDocument/2006/relationships/hyperlink" Target="https://warthunder.com/en/news/3477/current" TargetMode="External"/><Relationship Id="rId130" Type="http://schemas.openxmlformats.org/officeDocument/2006/relationships/hyperlink" Target="https://warthunder.com/en/news/648/current" TargetMode="External"/><Relationship Id="rId368" Type="http://schemas.openxmlformats.org/officeDocument/2006/relationships/hyperlink" Target="https://warthunder.com/en/news/4819-news-independence-day-en" TargetMode="External"/><Relationship Id="rId575" Type="http://schemas.openxmlformats.org/officeDocument/2006/relationships/hyperlink" Target="https://warthunder.com/en/news/7502-shop-the-new-year-sale-en" TargetMode="External"/><Relationship Id="rId782" Type="http://schemas.openxmlformats.org/officeDocument/2006/relationships/hyperlink" Target="https://warthunder.com/en/news/8254-special-us-armed-forces-day-en" TargetMode="External"/><Relationship Id="rId228" Type="http://schemas.openxmlformats.org/officeDocument/2006/relationships/hyperlink" Target="https://warthunder.com/en/news/3125/current" TargetMode="External"/><Relationship Id="rId435" Type="http://schemas.openxmlformats.org/officeDocument/2006/relationships/hyperlink" Target="https://warthunder.com/en/news/5452-weekend-special-friday-the-13th-chainsaw-massacre-en" TargetMode="External"/><Relationship Id="rId642" Type="http://schemas.openxmlformats.org/officeDocument/2006/relationships/hyperlink" Target="https://warthunder.com/en/news/7755-event-pages-of-history-july-en" TargetMode="External"/><Relationship Id="rId1065" Type="http://schemas.openxmlformats.org/officeDocument/2006/relationships/hyperlink" Target="https://warthunder.com/en/news/9141-shop-hmcs-haida-temporarily-returns-with-a-discount-for-niobe-day-en" TargetMode="External"/><Relationship Id="rId502" Type="http://schemas.openxmlformats.org/officeDocument/2006/relationships/hyperlink" Target="https://warthunder.com/en/news/6764-special-russia-day-en" TargetMode="External"/><Relationship Id="rId947" Type="http://schemas.openxmlformats.org/officeDocument/2006/relationships/hyperlink" Target="https://warthunder.com/en/news/8761-event-pages-of-history-march-on-wings-of-war-en" TargetMode="External"/><Relationship Id="rId1132" Type="http://schemas.openxmlformats.org/officeDocument/2006/relationships/hyperlink" Target="https://warthunder.com/en/news/9349-event-pages-of-history-february-the-big-chief-en" TargetMode="External"/><Relationship Id="rId76" Type="http://schemas.openxmlformats.org/officeDocument/2006/relationships/hyperlink" Target="https://warthunder.com/en/news/437/current" TargetMode="External"/><Relationship Id="rId807" Type="http://schemas.openxmlformats.org/officeDocument/2006/relationships/hyperlink" Target="https://warthunder.com/en/news/8345-special-decal-for-french-air-force-day-en" TargetMode="External"/><Relationship Id="rId292" Type="http://schemas.openxmlformats.org/officeDocument/2006/relationships/hyperlink" Target="https://warthunder.com/en/news/4262-event-airfield-assault-and-defense-stalingrad-en" TargetMode="External"/><Relationship Id="rId597" Type="http://schemas.openxmlformats.org/officeDocument/2006/relationships/hyperlink" Target="https://warthunder.com/en/news/7629-event-pages-of-history-april-en" TargetMode="External"/><Relationship Id="rId152" Type="http://schemas.openxmlformats.org/officeDocument/2006/relationships/hyperlink" Target="https://warthunder.com/en/news/822/current" TargetMode="External"/><Relationship Id="rId457" Type="http://schemas.openxmlformats.org/officeDocument/2006/relationships/hyperlink" Target="https://warthunder.com/en/news/6232-event-d-day-75th-anniversary-normandy-landings-en" TargetMode="External"/><Relationship Id="rId1087" Type="http://schemas.openxmlformats.org/officeDocument/2006/relationships/hyperlink" Target="https://warthunder.com/en/news/9245-special-the-scottish-saltire-for-st-andrews-day-en" TargetMode="External"/><Relationship Id="rId664" Type="http://schemas.openxmlformats.org/officeDocument/2006/relationships/hyperlink" Target="https://warthunder.ru/ru/news/15896-akciya-s-dnyom-tankista-ru" TargetMode="External"/><Relationship Id="rId871" Type="http://schemas.openxmlformats.org/officeDocument/2006/relationships/hyperlink" Target="https://warthunder.com/en/news/8550-event-halloween-in-war-thunder-en" TargetMode="External"/><Relationship Id="rId969" Type="http://schemas.openxmlformats.org/officeDocument/2006/relationships/hyperlink" Target="https://warthunder.com/en/news/8680-event-pages-of-history-january-ace-in-a-day-en" TargetMode="External"/><Relationship Id="rId317" Type="http://schemas.openxmlformats.org/officeDocument/2006/relationships/hyperlink" Target="https://warthunder.com/en/news/4305-event-halloween-mischief-updated-01-11-2016-en" TargetMode="External"/><Relationship Id="rId524" Type="http://schemas.openxmlformats.org/officeDocument/2006/relationships/hyperlink" Target="https://warthunder.com/en/news/6924-shop-war-thunder-birthday-sale-in-gaijin-net-store-en" TargetMode="External"/><Relationship Id="rId731" Type="http://schemas.openxmlformats.org/officeDocument/2006/relationships/hyperlink" Target="https://warthunder.com/en/news/8082-special-national-foundation-day-in-japan-en" TargetMode="External"/><Relationship Id="rId98" Type="http://schemas.openxmlformats.org/officeDocument/2006/relationships/hyperlink" Target="https://warthunder.com/en/news/501/current" TargetMode="External"/><Relationship Id="rId829" Type="http://schemas.openxmlformats.org/officeDocument/2006/relationships/hyperlink" Target="https://warthunder.com/en/news/8366-event-pages-of-history-august-en" TargetMode="External"/><Relationship Id="rId1014" Type="http://schemas.openxmlformats.org/officeDocument/2006/relationships/hyperlink" Target="https://warthunder.com/en/news/8994-shop-the-hunter-fga9-is-available-on-the-anniversary-of-its-first-flight-en" TargetMode="External"/><Relationship Id="rId25" Type="http://schemas.openxmlformats.org/officeDocument/2006/relationships/hyperlink" Target="https://warthunder.com/en/news/223/current" TargetMode="External"/><Relationship Id="rId174" Type="http://schemas.openxmlformats.org/officeDocument/2006/relationships/hyperlink" Target="https://warthunder.com/en/news/2611/current" TargetMode="External"/><Relationship Id="rId381" Type="http://schemas.openxmlformats.org/officeDocument/2006/relationships/hyperlink" Target="https://warthunder.com/en/news/5062-special-halloween-update-winners-list-en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warthunder.com/en/news/196/current" TargetMode="External"/><Relationship Id="rId170" Type="http://schemas.openxmlformats.org/officeDocument/2006/relationships/hyperlink" Target="https://warthunder.com/en/news/2611/current" TargetMode="External"/><Relationship Id="rId268" Type="http://schemas.openxmlformats.org/officeDocument/2006/relationships/hyperlink" Target="https://warthunder.com/en/news/3477/current" TargetMode="External"/><Relationship Id="rId475" Type="http://schemas.openxmlformats.org/officeDocument/2006/relationships/hyperlink" Target="https://warthunder.com/en/news/page/39" TargetMode="External"/><Relationship Id="rId682" Type="http://schemas.openxmlformats.org/officeDocument/2006/relationships/hyperlink" Target="https://warthunder.com/en/news/7926-event-pages-of-history-november-en" TargetMode="External"/><Relationship Id="rId128" Type="http://schemas.openxmlformats.org/officeDocument/2006/relationships/hyperlink" Target="https://warthunder.com/en/news/648/current" TargetMode="External"/><Relationship Id="rId335" Type="http://schemas.openxmlformats.org/officeDocument/2006/relationships/hyperlink" Target="https://warthunder.com/en/news/3681-special-event-series-chronicles-of-world-war-ii-day-28-faq-added-en" TargetMode="External"/><Relationship Id="rId542" Type="http://schemas.openxmlformats.org/officeDocument/2006/relationships/hyperlink" Target="https://warthunder.com/en/news/7242-special-happy-bastille-day-en" TargetMode="External"/><Relationship Id="rId987" Type="http://schemas.openxmlformats.org/officeDocument/2006/relationships/hyperlink" Target="https://warthunder.com/en/news/8913-event-pages-of-history-june-the-military-engineer-en" TargetMode="External"/><Relationship Id="rId402" Type="http://schemas.openxmlformats.org/officeDocument/2006/relationships/hyperlink" Target="https://warthunder.com/en/news/4890-event-battle-royale-en" TargetMode="External"/><Relationship Id="rId847" Type="http://schemas.openxmlformats.org/officeDocument/2006/relationships/hyperlink" Target="https://warthunder.com/en/news/8549-event-pages-of-history-november-en" TargetMode="External"/><Relationship Id="rId1032" Type="http://schemas.openxmlformats.org/officeDocument/2006/relationships/hyperlink" Target="https://warthunder.com/en/news/9117-special-shop-german-unity-day-a-tank-and-plane-for-golden-eagles-plus-a-festive-decal-en" TargetMode="External"/><Relationship Id="rId707" Type="http://schemas.openxmlformats.org/officeDocument/2006/relationships/hyperlink" Target="https://warthunder.com/en/news/7752-special-british-armed-forces-day-en" TargetMode="External"/><Relationship Id="rId914" Type="http://schemas.openxmlformats.org/officeDocument/2006/relationships/hyperlink" Target="https://warthunder.com/en/news/8680-event-pages-of-history-january-ace-in-a-day-en" TargetMode="External"/><Relationship Id="rId43" Type="http://schemas.openxmlformats.org/officeDocument/2006/relationships/hyperlink" Target="https://warthunder.com/en/news/302/current" TargetMode="External"/><Relationship Id="rId192" Type="http://schemas.openxmlformats.org/officeDocument/2006/relationships/hyperlink" Target="https://warthunder.com/en/news/822/current" TargetMode="External"/><Relationship Id="rId497" Type="http://schemas.openxmlformats.org/officeDocument/2006/relationships/hyperlink" Target="https://warthunder.com/en/news/6668-special-space-thunder-en" TargetMode="External"/><Relationship Id="rId357" Type="http://schemas.openxmlformats.org/officeDocument/2006/relationships/hyperlink" Target="https://warthunder.com/en/news/4618-news-modern-tanks-and-helicopters-arrive-on-war-thunder-s-frontlines-en" TargetMode="External"/><Relationship Id="rId217" Type="http://schemas.openxmlformats.org/officeDocument/2006/relationships/hyperlink" Target="https://warthunder.com/en/news/2966/current" TargetMode="External"/><Relationship Id="rId564" Type="http://schemas.openxmlformats.org/officeDocument/2006/relationships/hyperlink" Target="https://warthunder.com/en/news/7465-special-attack-on-nibeiwa-en" TargetMode="External"/><Relationship Id="rId771" Type="http://schemas.openxmlformats.org/officeDocument/2006/relationships/hyperlink" Target="https://warthunder.com/en/news/8208-event-pages-of-history-may-en" TargetMode="External"/><Relationship Id="rId869" Type="http://schemas.openxmlformats.org/officeDocument/2006/relationships/hyperlink" Target="https://warthunder.ru/ru/news/16153-akciya-den-rozhdeniya-pokryshkina-ru" TargetMode="External"/><Relationship Id="rId424" Type="http://schemas.openxmlformats.org/officeDocument/2006/relationships/hyperlink" Target="https://warthunder.com/en/news/5608-shop-summer-sale-independence-day-en" TargetMode="External"/><Relationship Id="rId631" Type="http://schemas.openxmlformats.org/officeDocument/2006/relationships/hyperlink" Target="https://warthunder.com/en/news/7755-event-pages-of-history-july-en" TargetMode="External"/><Relationship Id="rId729" Type="http://schemas.openxmlformats.org/officeDocument/2006/relationships/hyperlink" Target="https://warthunder.com/en/news/8073-event-pages-of-history-february-en" TargetMode="External"/><Relationship Id="rId1054" Type="http://schemas.openxmlformats.org/officeDocument/2006/relationships/hyperlink" Target="https://warthunder.com/en/news/9173-event-pages-of-history-november-medicane-en" TargetMode="External"/><Relationship Id="rId936" Type="http://schemas.openxmlformats.org/officeDocument/2006/relationships/hyperlink" Target="https://warthunder.com/en/news/8761-event-pages-of-history-march-on-wings-of-war-en" TargetMode="External"/><Relationship Id="rId1121" Type="http://schemas.openxmlformats.org/officeDocument/2006/relationships/hyperlink" Target="https://warthunder.com/en/news/9302-event-pages-of-history-january-defender-of-leningrad-en" TargetMode="External"/><Relationship Id="rId65" Type="http://schemas.openxmlformats.org/officeDocument/2006/relationships/hyperlink" Target="https://warthunder.com/en/news/568/current" TargetMode="External"/><Relationship Id="rId281" Type="http://schemas.openxmlformats.org/officeDocument/2006/relationships/hyperlink" Target="https://warthunder.com/en/news/3467/current" TargetMode="External"/><Relationship Id="rId141" Type="http://schemas.openxmlformats.org/officeDocument/2006/relationships/hyperlink" Target="https://warthunder.com/en/news/757/current" TargetMode="External"/><Relationship Id="rId379" Type="http://schemas.openxmlformats.org/officeDocument/2006/relationships/hyperlink" Target="https://warthunder.com/en/news/4961-special-the-la-174-is-back-en" TargetMode="External"/><Relationship Id="rId586" Type="http://schemas.openxmlformats.org/officeDocument/2006/relationships/hyperlink" Target="https://warthunder.com/en/news/7552-special-channel-dash-en" TargetMode="External"/><Relationship Id="rId793" Type="http://schemas.openxmlformats.org/officeDocument/2006/relationships/hyperlink" Target="https://warthunder.com/en/news/8339-special-two-fighters-and-a-decal-for-swedish-air-force-day-en" TargetMode="External"/><Relationship Id="rId7" Type="http://schemas.openxmlformats.org/officeDocument/2006/relationships/hyperlink" Target="https://warthunder.com/en/news/90/current" TargetMode="External"/><Relationship Id="rId239" Type="http://schemas.openxmlformats.org/officeDocument/2006/relationships/hyperlink" Target="https://warthunder.com/en/news/3215/current" TargetMode="External"/><Relationship Id="rId446" Type="http://schemas.openxmlformats.org/officeDocument/2006/relationships/hyperlink" Target="https://warthunder.com/en/news/5453-special-chronicles-of-world-war-ii-in-war-thunder-en" TargetMode="External"/><Relationship Id="rId653" Type="http://schemas.openxmlformats.org/officeDocument/2006/relationships/hyperlink" Target="https://warthunder.com/en/news/7837-event-pages-of-history-september-en" TargetMode="External"/><Relationship Id="rId1076" Type="http://schemas.openxmlformats.org/officeDocument/2006/relationships/hyperlink" Target="https://warthunder.com/en/news/9207-shop-special-a-decal-helicopter-camouflage-and-lanovskis-p-47-for-poland-independence-day-en" TargetMode="External"/><Relationship Id="rId306" Type="http://schemas.openxmlformats.org/officeDocument/2006/relationships/hyperlink" Target="https://warthunder.com/en/news/3809-event-boulogne-sur-mer-en" TargetMode="External"/><Relationship Id="rId860" Type="http://schemas.openxmlformats.org/officeDocument/2006/relationships/hyperlink" Target="https://warthunder.com/en/news/8602-event-pages-of-history-december-the-heroic-nurse-en" TargetMode="External"/><Relationship Id="rId958" Type="http://schemas.openxmlformats.org/officeDocument/2006/relationships/hyperlink" Target="https://warthunder.com/en/news/8832-event-pages-of-history-april-for-zoya-en" TargetMode="External"/><Relationship Id="rId87" Type="http://schemas.openxmlformats.org/officeDocument/2006/relationships/hyperlink" Target="https://warthunder.com/en/news/467/current" TargetMode="External"/><Relationship Id="rId513" Type="http://schemas.openxmlformats.org/officeDocument/2006/relationships/hyperlink" Target="https://warthunder.com/en/news/6885-special-german-unity-day-en" TargetMode="External"/><Relationship Id="rId720" Type="http://schemas.openxmlformats.org/officeDocument/2006/relationships/hyperlink" Target="https://warthunder.com/en/news/8056-special-swedish-armed-forces-day-en" TargetMode="External"/><Relationship Id="rId818" Type="http://schemas.openxmlformats.org/officeDocument/2006/relationships/hyperlink" Target="https://warthunder.com/en/news/8366-event-pages-of-history-august-en" TargetMode="External"/><Relationship Id="rId1003" Type="http://schemas.openxmlformats.org/officeDocument/2006/relationships/hyperlink" Target="https://warthunder.com/en/news/9004-event-pages-of-history-august-the-first-in-paris-en" TargetMode="External"/><Relationship Id="rId14" Type="http://schemas.openxmlformats.org/officeDocument/2006/relationships/hyperlink" Target="https://warthunder.com/en/news/156/current" TargetMode="External"/><Relationship Id="rId163" Type="http://schemas.openxmlformats.org/officeDocument/2006/relationships/hyperlink" Target="https://warthunder.com/en/news/890/current" TargetMode="External"/><Relationship Id="rId370" Type="http://schemas.openxmlformats.org/officeDocument/2006/relationships/hyperlink" Target="https://warthunder.com/en/news/4822-event-the-battle-of-kursk-en" TargetMode="External"/><Relationship Id="rId230" Type="http://schemas.openxmlformats.org/officeDocument/2006/relationships/hyperlink" Target="https://warthunder.com/en/news/3137/current" TargetMode="External"/><Relationship Id="rId468" Type="http://schemas.openxmlformats.org/officeDocument/2006/relationships/hyperlink" Target="https://warthunder.com/en/news/6284-event-korean-war-en" TargetMode="External"/><Relationship Id="rId675" Type="http://schemas.openxmlformats.org/officeDocument/2006/relationships/hyperlink" Target="https://warthunder.com/en/news/7926-event-pages-of-history-november-en" TargetMode="External"/><Relationship Id="rId882" Type="http://schemas.openxmlformats.org/officeDocument/2006/relationships/hyperlink" Target="https://warthunder.com/en/news/8281-event-pages-of-history-june-en" TargetMode="External"/><Relationship Id="rId1098" Type="http://schemas.openxmlformats.org/officeDocument/2006/relationships/hyperlink" Target="https://warthunder.com/ru/news/16933-akcia-polucite-ceremonialnyj-sevron-na-den-vks-rossii-ru" TargetMode="External"/><Relationship Id="rId328" Type="http://schemas.openxmlformats.org/officeDocument/2006/relationships/hyperlink" Target="https://warthunder.com/en/news/4389-event-battles-in-ardennes-en" TargetMode="External"/><Relationship Id="rId535" Type="http://schemas.openxmlformats.org/officeDocument/2006/relationships/hyperlink" Target="https://warthunder.com/en/news/7142-shop-may-sale-in-war-thunder-en" TargetMode="External"/><Relationship Id="rId742" Type="http://schemas.openxmlformats.org/officeDocument/2006/relationships/hyperlink" Target="https://warthunder.com/en/news/8124-event-pages-of-history-march-en" TargetMode="External"/><Relationship Id="rId602" Type="http://schemas.openxmlformats.org/officeDocument/2006/relationships/hyperlink" Target="https://warthunder.com/en/news/7664-event-pages-of-history-may-en" TargetMode="External"/><Relationship Id="rId1025" Type="http://schemas.openxmlformats.org/officeDocument/2006/relationships/hyperlink" Target="https://warthunder.com/en/news/9095-shop-the-yp-38-makes-a-temporary-return-for-the-anniversary-of-its-first-flight-en" TargetMode="External"/><Relationship Id="rId241" Type="http://schemas.openxmlformats.org/officeDocument/2006/relationships/hyperlink" Target="https://warthunder.com/en/news/3225/current" TargetMode="External"/><Relationship Id="rId479" Type="http://schemas.openxmlformats.org/officeDocument/2006/relationships/hyperlink" Target="https://warthunder.com/en/news/6460-event-halloween-in-war-thunder-en" TargetMode="External"/><Relationship Id="rId686" Type="http://schemas.openxmlformats.org/officeDocument/2006/relationships/hyperlink" Target="https://warthunder.com/en/news/7926-event-pages-of-history-november-en" TargetMode="External"/><Relationship Id="rId893" Type="http://schemas.openxmlformats.org/officeDocument/2006/relationships/hyperlink" Target="https://warthunder.com/en/news/8426-event-pages-of-history-september-en" TargetMode="External"/><Relationship Id="rId907" Type="http://schemas.openxmlformats.org/officeDocument/2006/relationships/hyperlink" Target="https://warthunder.com/en/news/8550-event-halloween-in-war-thunder-en" TargetMode="External"/><Relationship Id="rId36" Type="http://schemas.openxmlformats.org/officeDocument/2006/relationships/hyperlink" Target="https://warthunder.com/en/news/273/current" TargetMode="External"/><Relationship Id="rId339" Type="http://schemas.openxmlformats.org/officeDocument/2006/relationships/hyperlink" Target="https://warthunder.com/en/news/4262-event-airfield-assault-and-defense-stalingrad-en" TargetMode="External"/><Relationship Id="rId546" Type="http://schemas.openxmlformats.org/officeDocument/2006/relationships/hyperlink" Target="https://warthunder.com/en/news/7279-special-day-of-the-russian-aerospace-forces-en" TargetMode="External"/><Relationship Id="rId753" Type="http://schemas.openxmlformats.org/officeDocument/2006/relationships/hyperlink" Target="https://warthunder.com/en/news/8168-special-100th-anniversary-of-the-italian-air-force-en" TargetMode="External"/><Relationship Id="rId101" Type="http://schemas.openxmlformats.org/officeDocument/2006/relationships/hyperlink" Target="https://warthunder.com/en/news/510/current" TargetMode="External"/><Relationship Id="rId185" Type="http://schemas.openxmlformats.org/officeDocument/2006/relationships/hyperlink" Target="https://warthunder.com/en/news/462/current" TargetMode="External"/><Relationship Id="rId406" Type="http://schemas.openxmlformats.org/officeDocument/2006/relationships/hyperlink" Target="https://warthunder.com/en/news/5283-event-battle-royale-en" TargetMode="External"/><Relationship Id="rId960" Type="http://schemas.openxmlformats.org/officeDocument/2006/relationships/hyperlink" Target="https://warthunder.com/en/news/8871-event-pages-of-history-may-for-victory-en" TargetMode="External"/><Relationship Id="rId1036" Type="http://schemas.openxmlformats.org/officeDocument/2006/relationships/hyperlink" Target="https://warthunder.com/en/news/9111-event-pages-of-history-october-pacific-ace-en" TargetMode="External"/><Relationship Id="rId392" Type="http://schemas.openxmlformats.org/officeDocument/2006/relationships/hyperlink" Target="https://warthunder.com/en/news/5183-event-floats-en" TargetMode="External"/><Relationship Id="rId613" Type="http://schemas.openxmlformats.org/officeDocument/2006/relationships/hyperlink" Target="https://warthunder.com/en/news/7702-event-the-advance-event-en" TargetMode="External"/><Relationship Id="rId697" Type="http://schemas.openxmlformats.org/officeDocument/2006/relationships/hyperlink" Target="https://warthunder.com/en/news/8046-shop-war-thunder-winter-sale-en" TargetMode="External"/><Relationship Id="rId820" Type="http://schemas.openxmlformats.org/officeDocument/2006/relationships/hyperlink" Target="https://warthunder.com/en/news/8426-event-pages-of-history-september-en" TargetMode="External"/><Relationship Id="rId918" Type="http://schemas.openxmlformats.org/officeDocument/2006/relationships/hyperlink" Target="https://warthunder.com/en/news/8715-special-the-amx-30-super-is-returning-and-is-here-to-stay-en" TargetMode="External"/><Relationship Id="rId252" Type="http://schemas.openxmlformats.org/officeDocument/2006/relationships/hyperlink" Target="https://warthunder.com/en/news/3303/current" TargetMode="External"/><Relationship Id="rId1103" Type="http://schemas.openxmlformats.org/officeDocument/2006/relationships/hyperlink" Target="https://warthunder.com/en/news/9141-shop-hmcs-haida-temporarily-returns-with-a-discount-for-niobe-day-en" TargetMode="External"/><Relationship Id="rId47" Type="http://schemas.openxmlformats.org/officeDocument/2006/relationships/hyperlink" Target="https://warthunder.com/en/news/316/current" TargetMode="External"/><Relationship Id="rId112" Type="http://schemas.openxmlformats.org/officeDocument/2006/relationships/hyperlink" Target="https://warthunder.com/en/news/562/current" TargetMode="External"/><Relationship Id="rId557" Type="http://schemas.openxmlformats.org/officeDocument/2006/relationships/hyperlink" Target="https://old-forum.warthunder.com/index.php?/topic/540483-remembrance-sunday/" TargetMode="External"/><Relationship Id="rId764" Type="http://schemas.openxmlformats.org/officeDocument/2006/relationships/hyperlink" Target="https://warthunder.com/en/news/8167-event-pages-of-history-april-en" TargetMode="External"/><Relationship Id="rId971" Type="http://schemas.openxmlformats.org/officeDocument/2006/relationships/hyperlink" Target="https://warthunder.com/en/news/8896-special-anniversary-of-the-founding-of-the-corps-of-royal-engineers-the-centurion-avre-returns-en" TargetMode="External"/><Relationship Id="rId196" Type="http://schemas.openxmlformats.org/officeDocument/2006/relationships/hyperlink" Target="https://warthunder.com/en/news/2616/current" TargetMode="External"/><Relationship Id="rId417" Type="http://schemas.openxmlformats.org/officeDocument/2006/relationships/hyperlink" Target="https://warthunder.com/en/news/5424-event-flying-serpent-crouching-tiger-en" TargetMode="External"/><Relationship Id="rId624" Type="http://schemas.openxmlformats.org/officeDocument/2006/relationships/hyperlink" Target="https://warthunder.com/en/news/7689-event-pages-of-history-june-en" TargetMode="External"/><Relationship Id="rId831" Type="http://schemas.openxmlformats.org/officeDocument/2006/relationships/hyperlink" Target="https://warthunder.com/en/news/8501-special-shop-discounts-type-69-iia-back-for-ge-a-decal-for-the-national-day-of-the-prc-en" TargetMode="External"/><Relationship Id="rId1047" Type="http://schemas.openxmlformats.org/officeDocument/2006/relationships/hyperlink" Target="https://warthunder.com/en/news/9185-shop-special-p40-and-a-decal-for-national-unity-and-armed-forces-day-of-italy-en" TargetMode="External"/><Relationship Id="rId263" Type="http://schemas.openxmlformats.org/officeDocument/2006/relationships/hyperlink" Target="https://warthunder.com/en/news/3434/current" TargetMode="External"/><Relationship Id="rId470" Type="http://schemas.openxmlformats.org/officeDocument/2006/relationships/hyperlink" Target="https://warthunder.com/en/news/6313-event-battle-for-stalingrad-en" TargetMode="External"/><Relationship Id="rId929" Type="http://schemas.openxmlformats.org/officeDocument/2006/relationships/hyperlink" Target="https://warthunder.com/en/news/8713-event-pages-of-history-february-through-a-storm-en" TargetMode="External"/><Relationship Id="rId1114" Type="http://schemas.openxmlformats.org/officeDocument/2006/relationships/hyperlink" Target="https://warthunder.com/en/news/9320-special-a-themed-decal-for-german-air-force-day-en" TargetMode="External"/><Relationship Id="rId58" Type="http://schemas.openxmlformats.org/officeDocument/2006/relationships/hyperlink" Target="https://warthunder.com/en/news/359/current" TargetMode="External"/><Relationship Id="rId123" Type="http://schemas.openxmlformats.org/officeDocument/2006/relationships/hyperlink" Target="https://warthunder.com/en/news/608/current" TargetMode="External"/><Relationship Id="rId330" Type="http://schemas.openxmlformats.org/officeDocument/2006/relationships/hyperlink" Target="https://warthunder.com/en/news/4412-war-thunder-is-now-released-en" TargetMode="External"/><Relationship Id="rId568" Type="http://schemas.openxmlformats.org/officeDocument/2006/relationships/hyperlink" Target="https://warthunder.com/en/news/7497-christmas-in-war-thunder-en" TargetMode="External"/><Relationship Id="rId775" Type="http://schemas.openxmlformats.org/officeDocument/2006/relationships/hyperlink" Target="https://warthunder.com/en/news/8208-event-pages-of-history-may-en" TargetMode="External"/><Relationship Id="rId982" Type="http://schemas.openxmlformats.org/officeDocument/2006/relationships/hyperlink" Target="https://warthunder.com/en/news/8947-shop-special-the-mig-21-sps-k-returns-for-the-anniversary-of-the-mig-21s-first-flight-en" TargetMode="External"/><Relationship Id="rId428" Type="http://schemas.openxmlformats.org/officeDocument/2006/relationships/hyperlink" Target="https://warthunder.com/en/news/5673-event-russia-airborne-forces-day-en" TargetMode="External"/><Relationship Id="rId635" Type="http://schemas.openxmlformats.org/officeDocument/2006/relationships/hyperlink" Target="https://warthunder.com/en/news/7755-event-pages-of-history-july-en" TargetMode="External"/><Relationship Id="rId842" Type="http://schemas.openxmlformats.org/officeDocument/2006/relationships/hyperlink" Target="https://warthunder.com/en/news/8559-special-war-thunders-11th-birthday-lets-celebrate-together-en" TargetMode="External"/><Relationship Id="rId1058" Type="http://schemas.openxmlformats.org/officeDocument/2006/relationships/hyperlink" Target="https://warthunder.com/en/news/9173-event-pages-of-history-november-medicane-en" TargetMode="External"/><Relationship Id="rId274" Type="http://schemas.openxmlformats.org/officeDocument/2006/relationships/hyperlink" Target="https://warthunder.com/en/news/2975/current" TargetMode="External"/><Relationship Id="rId481" Type="http://schemas.openxmlformats.org/officeDocument/2006/relationships/hyperlink" Target="https://warthunder.com/en/news/6475-news-101st-anniversary-of-poland-regaining-independence-en" TargetMode="External"/><Relationship Id="rId702" Type="http://schemas.openxmlformats.org/officeDocument/2006/relationships/hyperlink" Target="https://warthunder.com/en/news/7671-special-italian-army-day-en" TargetMode="External"/><Relationship Id="rId1125" Type="http://schemas.openxmlformats.org/officeDocument/2006/relationships/hyperlink" Target="https://warthunder.com/en/news/9349-event-pages-of-history-february-the-big-chief-en" TargetMode="External"/><Relationship Id="rId69" Type="http://schemas.openxmlformats.org/officeDocument/2006/relationships/hyperlink" Target="https://warthunder.com/en/news/407/current" TargetMode="External"/><Relationship Id="rId134" Type="http://schemas.openxmlformats.org/officeDocument/2006/relationships/hyperlink" Target="https://warthunder.com/en/news/700/current" TargetMode="External"/><Relationship Id="rId579" Type="http://schemas.openxmlformats.org/officeDocument/2006/relationships/hyperlink" Target="https://warthunder.com/en/news/7516-special-birthday-of-the-mig-17-en" TargetMode="External"/><Relationship Id="rId786" Type="http://schemas.openxmlformats.org/officeDocument/2006/relationships/hyperlink" Target="https://warthunder.ru/ru/news/16301-akciya-den-rossii-ru" TargetMode="External"/><Relationship Id="rId993" Type="http://schemas.openxmlformats.org/officeDocument/2006/relationships/hyperlink" Target="https://warthunder.com/en/news/8964-event-pages-of-history-july-the-jumping-general-en" TargetMode="External"/><Relationship Id="rId341" Type="http://schemas.openxmlformats.org/officeDocument/2006/relationships/hyperlink" Target="https://warthunder.com/en/news/4286-event-large-calibres-and-rocket-science-en" TargetMode="External"/><Relationship Id="rId439" Type="http://schemas.openxmlformats.org/officeDocument/2006/relationships/hyperlink" Target="https://warthunder.com/en/news/5967-news-festivities-in-war-thunder-en" TargetMode="External"/><Relationship Id="rId646" Type="http://schemas.openxmlformats.org/officeDocument/2006/relationships/hyperlink" Target="https://warthunder.com/en/news/7789-event-pages-of-history-august-en" TargetMode="External"/><Relationship Id="rId1069" Type="http://schemas.openxmlformats.org/officeDocument/2006/relationships/hyperlink" Target="https://warthunder.com/en/news/9297-event-celebrate-the-holidays-and-new-year-in-war-thunder-en" TargetMode="External"/><Relationship Id="rId201" Type="http://schemas.openxmlformats.org/officeDocument/2006/relationships/hyperlink" Target="https://warthunder.com/en/news/2649/current" TargetMode="External"/><Relationship Id="rId285" Type="http://schemas.openxmlformats.org/officeDocument/2006/relationships/hyperlink" Target="https://warthunder.com/en/news/3502/current" TargetMode="External"/><Relationship Id="rId506" Type="http://schemas.openxmlformats.org/officeDocument/2006/relationships/hyperlink" Target="https://warthunder.com/en/news/6796-special-happy-bastille-day-en" TargetMode="External"/><Relationship Id="rId853" Type="http://schemas.openxmlformats.org/officeDocument/2006/relationships/hyperlink" Target="https://warthunder.com/en/news/8549-event-pages-of-history-november-en" TargetMode="External"/><Relationship Id="rId492" Type="http://schemas.openxmlformats.org/officeDocument/2006/relationships/hyperlink" Target="https://warthunder.com/en/news/6565-event-world-war-season-attack-from-the-sea-en" TargetMode="External"/><Relationship Id="rId713" Type="http://schemas.openxmlformats.org/officeDocument/2006/relationships/hyperlink" Target="https://warthunder.com/en/news/7981-event-pages-of-history-december-en" TargetMode="External"/><Relationship Id="rId797" Type="http://schemas.openxmlformats.org/officeDocument/2006/relationships/hyperlink" Target="https://warthunder.com/en/news/8331-event-pages-of-history-july-en" TargetMode="External"/><Relationship Id="rId920" Type="http://schemas.openxmlformats.org/officeDocument/2006/relationships/hyperlink" Target="https://warthunder.com/en/news/8713-event-pages-of-history-february-through-a-storm-en" TargetMode="External"/><Relationship Id="rId145" Type="http://schemas.openxmlformats.org/officeDocument/2006/relationships/hyperlink" Target="https://warthunder.com/en/news/790/current" TargetMode="External"/><Relationship Id="rId352" Type="http://schemas.openxmlformats.org/officeDocument/2006/relationships/hyperlink" Target="https://warthunder.com/en/news/4534-test-pacific-war-events-en" TargetMode="External"/><Relationship Id="rId212" Type="http://schemas.openxmlformats.org/officeDocument/2006/relationships/hyperlink" Target="https://warthunder.com/en/news/2875/current" TargetMode="External"/><Relationship Id="rId657" Type="http://schemas.openxmlformats.org/officeDocument/2006/relationships/hyperlink" Target="https://warthunder.com/en/news/7837-event-pages-of-history-september-en" TargetMode="External"/><Relationship Id="rId864" Type="http://schemas.openxmlformats.org/officeDocument/2006/relationships/hyperlink" Target="https://warthunder.com/en/news/8677-shop-the-new-year-sale-in-the-gaijinnet-store-en" TargetMode="External"/><Relationship Id="rId296" Type="http://schemas.openxmlformats.org/officeDocument/2006/relationships/hyperlink" Target="https://warthunder.com/en/news/3712-special-victory-day-specials-in-war-thunder-en" TargetMode="External"/><Relationship Id="rId517" Type="http://schemas.openxmlformats.org/officeDocument/2006/relationships/hyperlink" Target="https://warthunder.com/en/news/6924-shop-war-thunder-birthday-sale-in-gaijin-net-store-en" TargetMode="External"/><Relationship Id="rId724" Type="http://schemas.openxmlformats.org/officeDocument/2006/relationships/hyperlink" Target="https://warthunder.com/en/news/8037-event-pages-of-history-january-en" TargetMode="External"/><Relationship Id="rId931" Type="http://schemas.openxmlformats.org/officeDocument/2006/relationships/hyperlink" Target="https://warthunder.com/en/news/8763-special-st-davids-day-the-flag-of-wales-temporarily-returns-en" TargetMode="External"/><Relationship Id="rId60" Type="http://schemas.openxmlformats.org/officeDocument/2006/relationships/hyperlink" Target="https://warthunder.com/en/news/362/current" TargetMode="External"/><Relationship Id="rId156" Type="http://schemas.openxmlformats.org/officeDocument/2006/relationships/hyperlink" Target="https://warthunder.com/en/news/856/current" TargetMode="External"/><Relationship Id="rId363" Type="http://schemas.openxmlformats.org/officeDocument/2006/relationships/hyperlink" Target="https://warthunder.com/en/news/4741-special-air-race-in-the-guiana-highlands-en" TargetMode="External"/><Relationship Id="rId570" Type="http://schemas.openxmlformats.org/officeDocument/2006/relationships/hyperlink" Target="https://warthunder.com/en/news/7502-shop-the-new-year-sale-en" TargetMode="External"/><Relationship Id="rId1007" Type="http://schemas.openxmlformats.org/officeDocument/2006/relationships/hyperlink" Target="https://warthunder.com/en/news/9022-shop-special-polish-armed-forces-day-lanovskis-p-47m-1-re-and-a-new-decal-en" TargetMode="External"/><Relationship Id="rId223" Type="http://schemas.openxmlformats.org/officeDocument/2006/relationships/hyperlink" Target="https://warthunder.com/en/news/3072/current" TargetMode="External"/><Relationship Id="rId430" Type="http://schemas.openxmlformats.org/officeDocument/2006/relationships/hyperlink" Target="https://warthunder.com/en/news/5757-event-tanker-day-of-russia-en" TargetMode="External"/><Relationship Id="rId668" Type="http://schemas.openxmlformats.org/officeDocument/2006/relationships/hyperlink" Target="https://warthunder.com/en/news/7888-event-pages-of-history-october-en" TargetMode="External"/><Relationship Id="rId875" Type="http://schemas.openxmlformats.org/officeDocument/2006/relationships/hyperlink" Target="https://warthunder.com/en/news/8225-shop-may-sale-in-the-gaijin-store-en" TargetMode="External"/><Relationship Id="rId1060" Type="http://schemas.openxmlformats.org/officeDocument/2006/relationships/hyperlink" Target="https://warthunder.com/en/news/9240-event-pages-of-history-december-world-champion-en" TargetMode="External"/><Relationship Id="rId18" Type="http://schemas.openxmlformats.org/officeDocument/2006/relationships/hyperlink" Target="https://warthunder.com/en/news/167/current" TargetMode="External"/><Relationship Id="rId528" Type="http://schemas.openxmlformats.org/officeDocument/2006/relationships/hyperlink" Target="https://warthunder.com/en/news/7054-event-defender-of-the-fatherland-en" TargetMode="External"/><Relationship Id="rId735" Type="http://schemas.openxmlformats.org/officeDocument/2006/relationships/hyperlink" Target="https://warthunder.com/en/news/8073-event-pages-of-history-february-en" TargetMode="External"/><Relationship Id="rId942" Type="http://schemas.openxmlformats.org/officeDocument/2006/relationships/hyperlink" Target="https://warthunder.com/en/news/8827-special-anniversary-of-the-la-5s-first-flight-en" TargetMode="External"/><Relationship Id="rId167" Type="http://schemas.openxmlformats.org/officeDocument/2006/relationships/hyperlink" Target="https://warthunder.com/en/news/913/current" TargetMode="External"/><Relationship Id="rId374" Type="http://schemas.openxmlformats.org/officeDocument/2006/relationships/hyperlink" Target="https://warthunder.com/en/news/4883-race-fast-lions-challenge-en" TargetMode="External"/><Relationship Id="rId581" Type="http://schemas.openxmlformats.org/officeDocument/2006/relationships/hyperlink" Target="https://warthunder.com/en/news/7532-special-australia-day-en" TargetMode="External"/><Relationship Id="rId1018" Type="http://schemas.openxmlformats.org/officeDocument/2006/relationships/hyperlink" Target="https://warthunder.com/en/news/9038-event-pages-of-history-september-attacker-ace-en" TargetMode="External"/><Relationship Id="rId71" Type="http://schemas.openxmlformats.org/officeDocument/2006/relationships/hyperlink" Target="https://warthunder.com/en/news/418/current" TargetMode="External"/><Relationship Id="rId234" Type="http://schemas.openxmlformats.org/officeDocument/2006/relationships/hyperlink" Target="https://warthunder.com/en/news/3172/current" TargetMode="External"/><Relationship Id="rId679" Type="http://schemas.openxmlformats.org/officeDocument/2006/relationships/hyperlink" Target="https://warthunder.com/en/news/7926-event-pages-of-history-november-en" TargetMode="External"/><Relationship Id="rId802" Type="http://schemas.openxmlformats.org/officeDocument/2006/relationships/hyperlink" Target="https://warthunder.com/en/news/8356-special-a-decal-and-two-aircraft-for-bastille-day-en" TargetMode="External"/><Relationship Id="rId886" Type="http://schemas.openxmlformats.org/officeDocument/2006/relationships/hyperlink" Target="https://warthunder.com/en/news/8354-special-the-israeli-a-4e-is-back-for-the-anniversary-of-its-maiden-flight-en" TargetMode="External"/><Relationship Id="rId2" Type="http://schemas.openxmlformats.org/officeDocument/2006/relationships/hyperlink" Target="https://warthunder.com/en/news/284/current" TargetMode="External"/><Relationship Id="rId29" Type="http://schemas.openxmlformats.org/officeDocument/2006/relationships/hyperlink" Target="https://warthunder.com/en/news/250/current" TargetMode="External"/><Relationship Id="rId441" Type="http://schemas.openxmlformats.org/officeDocument/2006/relationships/hyperlink" Target="https://warthunder.com/en/news/5976-special-shop-war-thunder-winter-sale-en" TargetMode="External"/><Relationship Id="rId539" Type="http://schemas.openxmlformats.org/officeDocument/2006/relationships/hyperlink" Target="https://warthunder.com/en/news/7222-shop-summer-sale-in-the-gaijin-store-en" TargetMode="External"/><Relationship Id="rId746" Type="http://schemas.openxmlformats.org/officeDocument/2006/relationships/hyperlink" Target="https://warthunder.com/en/news/8124-event-pages-of-history-march-en" TargetMode="External"/><Relationship Id="rId1071" Type="http://schemas.openxmlformats.org/officeDocument/2006/relationships/hyperlink" Target="https://warthunder.com/en/news/9305-shop-holiday-sale-in-the-store-en" TargetMode="External"/><Relationship Id="rId178" Type="http://schemas.openxmlformats.org/officeDocument/2006/relationships/hyperlink" Target="https://warthunder.com/en/news/2646/current" TargetMode="External"/><Relationship Id="rId301" Type="http://schemas.openxmlformats.org/officeDocument/2006/relationships/hyperlink" Target="https://warthunder.com/en/news/3784-event-beginning-of-the-korean-war-en" TargetMode="External"/><Relationship Id="rId953" Type="http://schemas.openxmlformats.org/officeDocument/2006/relationships/hyperlink" Target="https://warthunder.com/en/news/8832-event-pages-of-history-april-for-zoya-en" TargetMode="External"/><Relationship Id="rId1029" Type="http://schemas.openxmlformats.org/officeDocument/2006/relationships/hyperlink" Target="https://warthunder.com/en/news/9038-event-pages-of-history-september-attacker-ace-en" TargetMode="External"/><Relationship Id="rId82" Type="http://schemas.openxmlformats.org/officeDocument/2006/relationships/hyperlink" Target="https://warthunder.com/en/news/454/current" TargetMode="External"/><Relationship Id="rId385" Type="http://schemas.openxmlformats.org/officeDocument/2006/relationships/hyperlink" Target="https://warthunder.com/en/news/5002-tournament-corsair-battle-en" TargetMode="External"/><Relationship Id="rId592" Type="http://schemas.openxmlformats.org/officeDocument/2006/relationships/hyperlink" Target="https://warthunder.com/en/news/7584-event-a-fiery-ball-is-back-en" TargetMode="External"/><Relationship Id="rId606" Type="http://schemas.openxmlformats.org/officeDocument/2006/relationships/hyperlink" Target="https://warthunder.com/en/news/7674-shop-may-sale-en" TargetMode="External"/><Relationship Id="rId813" Type="http://schemas.openxmlformats.org/officeDocument/2006/relationships/hyperlink" Target="https://warthunder.com/en/news/8400-special-a-decal-and-lanovski-s-p-47m-1-re-for-polish-armed-forces-day-en" TargetMode="External"/><Relationship Id="rId245" Type="http://schemas.openxmlformats.org/officeDocument/2006/relationships/hyperlink" Target="https://warthunder.com/en/news/3240/current" TargetMode="External"/><Relationship Id="rId452" Type="http://schemas.openxmlformats.org/officeDocument/2006/relationships/hyperlink" Target="https://warthunder.com/en/news/6048-event-defender-of-the-fatherland-en" TargetMode="External"/><Relationship Id="rId897" Type="http://schemas.openxmlformats.org/officeDocument/2006/relationships/hyperlink" Target="https://warthunder.com/en/news/8495-event-pages-of-history-october-en" TargetMode="External"/><Relationship Id="rId1082" Type="http://schemas.openxmlformats.org/officeDocument/2006/relationships/hyperlink" Target="https://warthunder.com/en/news/8713-event-pages-of-history-february-through-a-storm-en" TargetMode="External"/><Relationship Id="rId105" Type="http://schemas.openxmlformats.org/officeDocument/2006/relationships/hyperlink" Target="https://warthunder.com/en/news/522/current" TargetMode="External"/><Relationship Id="rId312" Type="http://schemas.openxmlformats.org/officeDocument/2006/relationships/hyperlink" Target="https://warthunder.com/en/news/4232-special-tanker-s-day-specials-en" TargetMode="External"/><Relationship Id="rId757" Type="http://schemas.openxmlformats.org/officeDocument/2006/relationships/hyperlink" Target="https://warthunder.com/en/news/8167-event-pages-of-history-april-en" TargetMode="External"/><Relationship Id="rId964" Type="http://schemas.openxmlformats.org/officeDocument/2006/relationships/hyperlink" Target="https://warthunder.com/en/news/8882-special-victory-day-in-war-thunder-en" TargetMode="External"/><Relationship Id="rId93" Type="http://schemas.openxmlformats.org/officeDocument/2006/relationships/hyperlink" Target="https://warthunder.com/en/news/489/current" TargetMode="External"/><Relationship Id="rId189" Type="http://schemas.openxmlformats.org/officeDocument/2006/relationships/hyperlink" Target="https://warthunder.com/en/news/578/current" TargetMode="External"/><Relationship Id="rId396" Type="http://schemas.openxmlformats.org/officeDocument/2006/relationships/hyperlink" Target="https://warthunder.com/en/news/5239-special-festive-events-en" TargetMode="External"/><Relationship Id="rId617" Type="http://schemas.openxmlformats.org/officeDocument/2006/relationships/hyperlink" Target="https://warthunder.com/en/news/7689-event-pages-of-history-june-en" TargetMode="External"/><Relationship Id="rId824" Type="http://schemas.openxmlformats.org/officeDocument/2006/relationships/hyperlink" Target="https://warthunder.com/en/news/8465-special-raf-spitfires-and-a-decal-available-for-battle-of-britain-day-en" TargetMode="External"/><Relationship Id="rId256" Type="http://schemas.openxmlformats.org/officeDocument/2006/relationships/hyperlink" Target="https://warthunder.com/en/news/3354/current" TargetMode="External"/><Relationship Id="rId463" Type="http://schemas.openxmlformats.org/officeDocument/2006/relationships/hyperlink" Target="https://warthunder.com/en/news/6245-event-battle-royale-the-training-en" TargetMode="External"/><Relationship Id="rId670" Type="http://schemas.openxmlformats.org/officeDocument/2006/relationships/hyperlink" Target="https://warthunder.com/en/news/7888-event-pages-of-history-october-en" TargetMode="External"/><Relationship Id="rId1093" Type="http://schemas.openxmlformats.org/officeDocument/2006/relationships/hyperlink" Target="https://warthunder.com/en/news/8982-shop-special-bastille-day-a-festive-decal-discounts-and-vehicles-for-golden-eagles-en" TargetMode="External"/><Relationship Id="rId1107" Type="http://schemas.openxmlformats.org/officeDocument/2006/relationships/hyperlink" Target="https://warthunder.com/en/news/9208-shop-special-a-flag-decal-and-a-discount-on-the-j-7d-for-the-75th-anniversary-of-the-chinese-air-force-en" TargetMode="External"/><Relationship Id="rId116" Type="http://schemas.openxmlformats.org/officeDocument/2006/relationships/hyperlink" Target="https://warthunder.com/en/news/577/current" TargetMode="External"/><Relationship Id="rId323" Type="http://schemas.openxmlformats.org/officeDocument/2006/relationships/hyperlink" Target="https://warthunder.com/en/news/4337-event-celebrate-panfilov-s-28-movie-premiere-en" TargetMode="External"/><Relationship Id="rId530" Type="http://schemas.openxmlformats.org/officeDocument/2006/relationships/hyperlink" Target="https://warthunder.com/en/news/7094-event-st-patrick-s-day-en" TargetMode="External"/><Relationship Id="rId768" Type="http://schemas.openxmlformats.org/officeDocument/2006/relationships/hyperlink" Target="https://warthunder.com/en/news/8216-shop-huge-may-sale-in-war-thunder-en" TargetMode="External"/><Relationship Id="rId975" Type="http://schemas.openxmlformats.org/officeDocument/2006/relationships/hyperlink" Target="https://warthunder.com/en/news/8918-special-turkish-air-force-day-get-yourself-a-decal-en" TargetMode="External"/><Relationship Id="rId20" Type="http://schemas.openxmlformats.org/officeDocument/2006/relationships/hyperlink" Target="https://warthunder.com/en/news/183/current" TargetMode="External"/><Relationship Id="rId628" Type="http://schemas.openxmlformats.org/officeDocument/2006/relationships/hyperlink" Target="https://warthunder.com/en/news/7761-special-french-air-forces-day-en" TargetMode="External"/><Relationship Id="rId835" Type="http://schemas.openxmlformats.org/officeDocument/2006/relationships/hyperlink" Target="https://warthunder.com/en/news/8495-event-pages-of-history-october-en" TargetMode="External"/><Relationship Id="rId267" Type="http://schemas.openxmlformats.org/officeDocument/2006/relationships/hyperlink" Target="https://warthunder.com/en/news/3466/current" TargetMode="External"/><Relationship Id="rId474" Type="http://schemas.openxmlformats.org/officeDocument/2006/relationships/hyperlink" Target="https://warthunder.com/en/news/6383-event-battle-of-britain-en" TargetMode="External"/><Relationship Id="rId1020" Type="http://schemas.openxmlformats.org/officeDocument/2006/relationships/hyperlink" Target="https://warthunder.com/en/news/9074-video-shop-special-moments-of-valor-brazil-en" TargetMode="External"/><Relationship Id="rId1118" Type="http://schemas.openxmlformats.org/officeDocument/2006/relationships/hyperlink" Target="https://warthunder.com/en/news/9302-event-pages-of-history-january-defender-of-leningrad-en" TargetMode="External"/><Relationship Id="rId127" Type="http://schemas.openxmlformats.org/officeDocument/2006/relationships/hyperlink" Target="https://warthunder.com/en/news/641/current" TargetMode="External"/><Relationship Id="rId681" Type="http://schemas.openxmlformats.org/officeDocument/2006/relationships/hyperlink" Target="https://warthunder.com/en/news/7926-event-pages-of-history-november-en" TargetMode="External"/><Relationship Id="rId779" Type="http://schemas.openxmlformats.org/officeDocument/2006/relationships/hyperlink" Target="https://warthunder.com/en/news/8208-event-pages-of-history-may-en" TargetMode="External"/><Relationship Id="rId902" Type="http://schemas.openxmlformats.org/officeDocument/2006/relationships/hyperlink" Target="https://warthunder.com/en/news/8589-special-chinese-air-force-day-a-decal-and-the-z-19e-is-here-to-stay-en" TargetMode="External"/><Relationship Id="rId986" Type="http://schemas.openxmlformats.org/officeDocument/2006/relationships/hyperlink" Target="https://warthunder.com/en/news/8962-shop-shades-on-its-time-for-the-sizzling-summer-sale-en" TargetMode="External"/><Relationship Id="rId31" Type="http://schemas.openxmlformats.org/officeDocument/2006/relationships/hyperlink" Target="https://warthunder.com/en/news/251/current" TargetMode="External"/><Relationship Id="rId334" Type="http://schemas.openxmlformats.org/officeDocument/2006/relationships/hyperlink" Target="https://warthunder.com/en/news/4422-special-mega-bundles-at-70-off-en" TargetMode="External"/><Relationship Id="rId541" Type="http://schemas.openxmlformats.org/officeDocument/2006/relationships/hyperlink" Target="https://warthunder.com/en/news/7231-special-independence-day-usa-en" TargetMode="External"/><Relationship Id="rId639" Type="http://schemas.openxmlformats.org/officeDocument/2006/relationships/hyperlink" Target="https://warthunder.com/en/news/7795-special-people-s-liberation-army-day-en" TargetMode="External"/><Relationship Id="rId180" Type="http://schemas.openxmlformats.org/officeDocument/2006/relationships/hyperlink" Target="https://warthunder.com/en/news/2684/current" TargetMode="External"/><Relationship Id="rId278" Type="http://schemas.openxmlformats.org/officeDocument/2006/relationships/hyperlink" Target="https://warthunder.com/en/news/3323/current" TargetMode="External"/><Relationship Id="rId401" Type="http://schemas.openxmlformats.org/officeDocument/2006/relationships/hyperlink" Target="https://warthunder.com/en/news/4639-event-the-road-for-the-brave-and-airfield-assault-en" TargetMode="External"/><Relationship Id="rId846" Type="http://schemas.openxmlformats.org/officeDocument/2006/relationships/hyperlink" Target="https://warthunder.com/en/news/8580-shop-war-thunders-birthday-sale-in-the-gaijinnet-store-en" TargetMode="External"/><Relationship Id="rId1031" Type="http://schemas.openxmlformats.org/officeDocument/2006/relationships/hyperlink" Target="https://warthunder.com/en/news/9111-event-pages-of-history-october-pacific-ace-en" TargetMode="External"/><Relationship Id="rId1129" Type="http://schemas.openxmlformats.org/officeDocument/2006/relationships/hyperlink" Target="https://warthunder.com/en/news/9349-event-pages-of-history-february-the-big-chief-en" TargetMode="External"/><Relationship Id="rId485" Type="http://schemas.openxmlformats.org/officeDocument/2006/relationships/hyperlink" Target="https://old-forum.warthunder.com/index.php?/topic/473653-happy-new-year/" TargetMode="External"/><Relationship Id="rId692" Type="http://schemas.openxmlformats.org/officeDocument/2006/relationships/hyperlink" Target="https://warthunder.com/en/news/7981-event-pages-of-history-december-en" TargetMode="External"/><Relationship Id="rId706" Type="http://schemas.openxmlformats.org/officeDocument/2006/relationships/hyperlink" Target="https://warthunder.com/en/news/7733-special-italian-navy-day-en" TargetMode="External"/><Relationship Id="rId913" Type="http://schemas.openxmlformats.org/officeDocument/2006/relationships/hyperlink" Target="https://warthunder.com/en/news/8680-event-pages-of-history-january-ace-in-a-day-en" TargetMode="External"/><Relationship Id="rId42" Type="http://schemas.openxmlformats.org/officeDocument/2006/relationships/hyperlink" Target="https://warthunder.com/en/news/299/current" TargetMode="External"/><Relationship Id="rId138" Type="http://schemas.openxmlformats.org/officeDocument/2006/relationships/hyperlink" Target="https://warthunder.com/en/news/718/current" TargetMode="External"/><Relationship Id="rId345" Type="http://schemas.openxmlformats.org/officeDocument/2006/relationships/hyperlink" Target="https://warthunder.com/en/news/4382-event-still-waters-en" TargetMode="External"/><Relationship Id="rId552" Type="http://schemas.openxmlformats.org/officeDocument/2006/relationships/hyperlink" Target="https://warthunder.com/en/news/7397-event-halloween-in-war-thunder-en" TargetMode="External"/><Relationship Id="rId997" Type="http://schemas.openxmlformats.org/officeDocument/2006/relationships/hyperlink" Target="https://warthunder.com/en/news/8964-event-pages-of-history-july-the-jumping-general-en" TargetMode="External"/><Relationship Id="rId191" Type="http://schemas.openxmlformats.org/officeDocument/2006/relationships/hyperlink" Target="https://warthunder.com/en/news/721/current" TargetMode="External"/><Relationship Id="rId205" Type="http://schemas.openxmlformats.org/officeDocument/2006/relationships/hyperlink" Target="https://warthunder.com/en/news/2779/current" TargetMode="External"/><Relationship Id="rId412" Type="http://schemas.openxmlformats.org/officeDocument/2006/relationships/hyperlink" Target="https://warthunder.com/en/news/5363-event-total-domination-and-enduring-confrontation-en" TargetMode="External"/><Relationship Id="rId857" Type="http://schemas.openxmlformats.org/officeDocument/2006/relationships/hyperlink" Target="https://warthunder.com/en/news/8602-event-pages-of-history-december-the-heroic-nurse-en" TargetMode="External"/><Relationship Id="rId1042" Type="http://schemas.openxmlformats.org/officeDocument/2006/relationships/hyperlink" Target="https://warthunder.com/en/news/9111-event-pages-of-history-october-pacific-ace-en" TargetMode="External"/><Relationship Id="rId289" Type="http://schemas.openxmlformats.org/officeDocument/2006/relationships/hyperlink" Target="https://warthunder.com/en/news/3610-special-team-deathmatch-win-rare-vehicles-en" TargetMode="External"/><Relationship Id="rId496" Type="http://schemas.openxmlformats.org/officeDocument/2006/relationships/hyperlink" Target="https://warthunder.com/en/news/6648-news-alexander-pokryshkin-s-birthday-en" TargetMode="External"/><Relationship Id="rId717" Type="http://schemas.openxmlformats.org/officeDocument/2006/relationships/hyperlink" Target="https://warthunder.com/en/news/8037-event-pages-of-history-january-en" TargetMode="External"/><Relationship Id="rId924" Type="http://schemas.openxmlformats.org/officeDocument/2006/relationships/hyperlink" Target="https://warthunder.com/en/news/8737-special-happy-valentines-day-get-themed-decorations-and-a-rare-tank-en" TargetMode="External"/><Relationship Id="rId53" Type="http://schemas.openxmlformats.org/officeDocument/2006/relationships/hyperlink" Target="https://warthunder.com/en/news/340/current" TargetMode="External"/><Relationship Id="rId149" Type="http://schemas.openxmlformats.org/officeDocument/2006/relationships/hyperlink" Target="https://warthunder.com/en/news/820/current" TargetMode="External"/><Relationship Id="rId356" Type="http://schemas.openxmlformats.org/officeDocument/2006/relationships/hyperlink" Target="https://warthunder.com/en/news/4601-event-rhine-operation-plunder-en" TargetMode="External"/><Relationship Id="rId563" Type="http://schemas.openxmlformats.org/officeDocument/2006/relationships/hyperlink" Target="https://warthunder.com/en/news/7459-special-attack-on-pearl-harbor-en" TargetMode="External"/><Relationship Id="rId770" Type="http://schemas.openxmlformats.org/officeDocument/2006/relationships/hyperlink" Target="https://warthunder.com/en/news/8220-special-wt-poland-happy-constitution-day-en" TargetMode="External"/><Relationship Id="rId216" Type="http://schemas.openxmlformats.org/officeDocument/2006/relationships/hyperlink" Target="https://warthunder.com/en/news/2944/current" TargetMode="External"/><Relationship Id="rId423" Type="http://schemas.openxmlformats.org/officeDocument/2006/relationships/hyperlink" Target="https://warthunder.com/en/news/5600-special-spot-the-ball-updated-en" TargetMode="External"/><Relationship Id="rId868" Type="http://schemas.openxmlformats.org/officeDocument/2006/relationships/hyperlink" Target="https://warthunder.com/en/news/8111-esport-defender-tournament-series-en" TargetMode="External"/><Relationship Id="rId1053" Type="http://schemas.openxmlformats.org/officeDocument/2006/relationships/hyperlink" Target="https://warthunder.com/en/news/9213-shop-special-a-decal-and-the-return-of-the-pzsflic-and-panzer-iv70a-for-bundeswehr-day-en" TargetMode="External"/><Relationship Id="rId630" Type="http://schemas.openxmlformats.org/officeDocument/2006/relationships/hyperlink" Target="https://warthunder.com/en/news/7755-event-pages-of-history-july-en" TargetMode="External"/><Relationship Id="rId728" Type="http://schemas.openxmlformats.org/officeDocument/2006/relationships/hyperlink" Target="https://warthunder.com/en/news/8075-special-victory-in-stalingrad-day-en" TargetMode="External"/><Relationship Id="rId935" Type="http://schemas.openxmlformats.org/officeDocument/2006/relationships/hyperlink" Target="https://warthunder.com/en/news/8791-special-happy-international-womens-day-en" TargetMode="External"/><Relationship Id="rId64" Type="http://schemas.openxmlformats.org/officeDocument/2006/relationships/hyperlink" Target="https://warthunder.com/en/news/383/current" TargetMode="External"/><Relationship Id="rId367" Type="http://schemas.openxmlformats.org/officeDocument/2006/relationships/hyperlink" Target="https://warthunder.com/en/news/4798-shop-summer-sale-ended-en" TargetMode="External"/><Relationship Id="rId574" Type="http://schemas.openxmlformats.org/officeDocument/2006/relationships/hyperlink" Target="https://warthunder.com/en/news/7358-special-german-unity-day-en" TargetMode="External"/><Relationship Id="rId1120" Type="http://schemas.openxmlformats.org/officeDocument/2006/relationships/hyperlink" Target="https://warthunder.com/en/news/9344-video-shop-special-moments-of-valor-australia-en" TargetMode="External"/><Relationship Id="rId227" Type="http://schemas.openxmlformats.org/officeDocument/2006/relationships/hyperlink" Target="https://warthunder.com/en/news/3119/current" TargetMode="External"/><Relationship Id="rId781" Type="http://schemas.openxmlformats.org/officeDocument/2006/relationships/hyperlink" Target="https://warthunder.com/en/news/8281-event-pages-of-history-june-en" TargetMode="External"/><Relationship Id="rId879" Type="http://schemas.openxmlformats.org/officeDocument/2006/relationships/hyperlink" Target="https://warthunder.com/en/news/8296-special-decal-and-destroyer-for-canadian-armed-forces-day-en" TargetMode="External"/><Relationship Id="rId434" Type="http://schemas.openxmlformats.org/officeDocument/2006/relationships/hyperlink" Target="https://warthunder.com/en/news/5856-event-halloween-in-war-thunder-en" TargetMode="External"/><Relationship Id="rId641" Type="http://schemas.openxmlformats.org/officeDocument/2006/relationships/hyperlink" Target="https://warthunder.com/en/news/7789-event-pages-of-history-august-en" TargetMode="External"/><Relationship Id="rId739" Type="http://schemas.openxmlformats.org/officeDocument/2006/relationships/hyperlink" Target="https://warthunder.com/en/news/8073-event-pages-of-history-february-en" TargetMode="External"/><Relationship Id="rId1064" Type="http://schemas.openxmlformats.org/officeDocument/2006/relationships/hyperlink" Target="https://warthunder.com/en/news/9262-shop-the-hudson-mk-v-is-temporarily-available-on-the-anniversary-of-its-first-flight-en" TargetMode="External"/><Relationship Id="rId280" Type="http://schemas.openxmlformats.org/officeDocument/2006/relationships/hyperlink" Target="https://warthunder.com/en/news/3396--en" TargetMode="External"/><Relationship Id="rId501" Type="http://schemas.openxmlformats.org/officeDocument/2006/relationships/hyperlink" Target="https://warthunder.com/en/news/6759-special-d-day-en" TargetMode="External"/><Relationship Id="rId946" Type="http://schemas.openxmlformats.org/officeDocument/2006/relationships/hyperlink" Target="https://warthunder.com/en/news/8834-special-get-a-decal-for-the-anniversary-of-the-royal-air-force-en" TargetMode="External"/><Relationship Id="rId1131" Type="http://schemas.openxmlformats.org/officeDocument/2006/relationships/hyperlink" Target="https://warthunder.com/en/news/9349-event-pages-of-history-february-the-big-chief-en" TargetMode="External"/><Relationship Id="rId75" Type="http://schemas.openxmlformats.org/officeDocument/2006/relationships/hyperlink" Target="https://warthunder.com/en/news/429/current" TargetMode="External"/><Relationship Id="rId140" Type="http://schemas.openxmlformats.org/officeDocument/2006/relationships/hyperlink" Target="https://warthunder.com/en/news/744/current" TargetMode="External"/><Relationship Id="rId378" Type="http://schemas.openxmlformats.org/officeDocument/2006/relationships/hyperlink" Target="https://warthunder.com/en/news/4954-event-happy-tanker-s-day-en" TargetMode="External"/><Relationship Id="rId585" Type="http://schemas.openxmlformats.org/officeDocument/2006/relationships/hyperlink" Target="https://warthunder.com/en/news/7549-special-national-foundation-day-in-japan-en" TargetMode="External"/><Relationship Id="rId792" Type="http://schemas.openxmlformats.org/officeDocument/2006/relationships/hyperlink" Target="https://warthunder.com/en/news/8281-event-pages-of-history-june-en" TargetMode="External"/><Relationship Id="rId806" Type="http://schemas.openxmlformats.org/officeDocument/2006/relationships/hyperlink" Target="https://warthunder.com/en/news/8331-event-pages-of-history-july-en" TargetMode="External"/><Relationship Id="rId6" Type="http://schemas.openxmlformats.org/officeDocument/2006/relationships/hyperlink" Target="https://warthunder.com/en/news/86/current" TargetMode="External"/><Relationship Id="rId238" Type="http://schemas.openxmlformats.org/officeDocument/2006/relationships/hyperlink" Target="https://warthunder.com/en/news/3206/current" TargetMode="External"/><Relationship Id="rId445" Type="http://schemas.openxmlformats.org/officeDocument/2006/relationships/hyperlink" Target="https://warthunder.com/en/news/5438-raf-100-royal-air-force-centenary-en" TargetMode="External"/><Relationship Id="rId652" Type="http://schemas.openxmlformats.org/officeDocument/2006/relationships/hyperlink" Target="https://warthunder.com/en/news/7837-event-pages-of-history-september-en" TargetMode="External"/><Relationship Id="rId1075" Type="http://schemas.openxmlformats.org/officeDocument/2006/relationships/hyperlink" Target="https://warthunder.com/en/news/8983-shop-the-israeli-a-4e-returns-for-the-anniversary-of-its-first-flight-en" TargetMode="External"/><Relationship Id="rId291" Type="http://schemas.openxmlformats.org/officeDocument/2006/relationships/hyperlink" Target="https://warthunder.com/en/news/3639-special-st-patricks-day-en" TargetMode="External"/><Relationship Id="rId305" Type="http://schemas.openxmlformats.org/officeDocument/2006/relationships/hyperlink" Target="https://warthunder.com/en/news/3805-event-the-battle-of-kursk-en" TargetMode="External"/><Relationship Id="rId512" Type="http://schemas.openxmlformats.org/officeDocument/2006/relationships/hyperlink" Target="https://warthunder.com/en/news/6866-special-80-year-anniversary-of-battle-of-britain-en" TargetMode="External"/><Relationship Id="rId957" Type="http://schemas.openxmlformats.org/officeDocument/2006/relationships/hyperlink" Target="https://warthunder.com/en/news/8870-sale-the-big-in-game-sale-in-war-thunder-en" TargetMode="External"/><Relationship Id="rId86" Type="http://schemas.openxmlformats.org/officeDocument/2006/relationships/hyperlink" Target="https://warthunder.com/en/news/465/current" TargetMode="External"/><Relationship Id="rId151" Type="http://schemas.openxmlformats.org/officeDocument/2006/relationships/hyperlink" Target="https://warthunder.com/en/news/833/current" TargetMode="External"/><Relationship Id="rId389" Type="http://schemas.openxmlformats.org/officeDocument/2006/relationships/hyperlink" Target="https://warthunder.com/en/news/5079-special-hurry-up-and-get-rare-packs-en" TargetMode="External"/><Relationship Id="rId596" Type="http://schemas.openxmlformats.org/officeDocument/2006/relationships/hyperlink" Target="https://warthunder.com/en/news/7629-event-pages-of-history-april-en" TargetMode="External"/><Relationship Id="rId817" Type="http://schemas.openxmlformats.org/officeDocument/2006/relationships/hyperlink" Target="https://warthunder.com/en/news/8410-special-80th-anniversary-of-the-victory-in-the-battle-of-kursk-en" TargetMode="External"/><Relationship Id="rId1002" Type="http://schemas.openxmlformats.org/officeDocument/2006/relationships/hyperlink" Target="https://warthunder.com/en/news/9008-shop-the-lightning-f53-temporarily-returns-for-golden-eagles-en" TargetMode="External"/><Relationship Id="rId249" Type="http://schemas.openxmlformats.org/officeDocument/2006/relationships/hyperlink" Target="https://warthunder.com/en/news/3281/current" TargetMode="External"/><Relationship Id="rId456" Type="http://schemas.openxmlformats.org/officeDocument/2006/relationships/hyperlink" Target="https://warthunder.com/en/news/6128-special-earth-thunder-we-are-not-their-playthings-en" TargetMode="External"/><Relationship Id="rId663" Type="http://schemas.openxmlformats.org/officeDocument/2006/relationships/hyperlink" Target="https://warthunder.com/en/news/7894-special-german-unity-day-en" TargetMode="External"/><Relationship Id="rId870" Type="http://schemas.openxmlformats.org/officeDocument/2006/relationships/hyperlink" Target="https://warthunder.com/en/news/8169-shop-moments-of-valour-the-turkish-armed-forces-en" TargetMode="External"/><Relationship Id="rId1086" Type="http://schemas.openxmlformats.org/officeDocument/2006/relationships/hyperlink" Target="https://warthunder.com/en/news/8875-special-dupleix-returns-to-sale-on-its-anniversary-en" TargetMode="External"/><Relationship Id="rId13" Type="http://schemas.openxmlformats.org/officeDocument/2006/relationships/hyperlink" Target="https://warthunder.com/en/news/3079/current" TargetMode="External"/><Relationship Id="rId109" Type="http://schemas.openxmlformats.org/officeDocument/2006/relationships/hyperlink" Target="https://warthunder.com/en/news/534/current" TargetMode="External"/><Relationship Id="rId316" Type="http://schemas.openxmlformats.org/officeDocument/2006/relationships/hyperlink" Target="https://warthunder.com/en/news/4278-event-night-events-rb-guardian-angel-and-operation-chastise-en" TargetMode="External"/><Relationship Id="rId523" Type="http://schemas.openxmlformats.org/officeDocument/2006/relationships/hyperlink" Target="https://warthunder.com/en/news/7013-shop-new-year-sale-en" TargetMode="External"/><Relationship Id="rId968" Type="http://schemas.openxmlformats.org/officeDocument/2006/relationships/hyperlink" Target="https://warthunder.com/en/news/8871-event-pages-of-history-may-for-victory-en" TargetMode="External"/><Relationship Id="rId97" Type="http://schemas.openxmlformats.org/officeDocument/2006/relationships/hyperlink" Target="https://warthunder.com/en/news/497/current" TargetMode="External"/><Relationship Id="rId730" Type="http://schemas.openxmlformats.org/officeDocument/2006/relationships/hyperlink" Target="https://warthunder.com/en/news/8080-event-world-war-mode-news-en" TargetMode="External"/><Relationship Id="rId828" Type="http://schemas.openxmlformats.org/officeDocument/2006/relationships/hyperlink" Target="https://warthunder.com/en/news/8490-special-the-yak-38-is-back-for-its-maiden-flight-anniversary-and-is-here-to-stay-en" TargetMode="External"/><Relationship Id="rId1013" Type="http://schemas.openxmlformats.org/officeDocument/2006/relationships/hyperlink" Target="https://warthunder.com/en/news/9004-event-pages-of-history-august-the-first-in-paris-en" TargetMode="External"/><Relationship Id="rId162" Type="http://schemas.openxmlformats.org/officeDocument/2006/relationships/hyperlink" Target="https://warthunder.com/en/news/878/current" TargetMode="External"/><Relationship Id="rId467" Type="http://schemas.openxmlformats.org/officeDocument/2006/relationships/hyperlink" Target="https://warthunder.com/en/news/6277-news-bastille-day-special-vive-la-france-en" TargetMode="External"/><Relationship Id="rId1097" Type="http://schemas.openxmlformats.org/officeDocument/2006/relationships/hyperlink" Target="https://warthunder.com/ru/news/16923-akcia-den-vdv-rossii-polucite-novuu-dekal-ru" TargetMode="External"/><Relationship Id="rId674" Type="http://schemas.openxmlformats.org/officeDocument/2006/relationships/hyperlink" Target="https://warthunder.com/en/news/7955-special-italian-national-unity-and-armed-forces-day-en" TargetMode="External"/><Relationship Id="rId881" Type="http://schemas.openxmlformats.org/officeDocument/2006/relationships/hyperlink" Target="https://warthunder.com/en/news/8281-event-pages-of-history-june-en" TargetMode="External"/><Relationship Id="rId979" Type="http://schemas.openxmlformats.org/officeDocument/2006/relationships/hyperlink" Target="https://warthunder.com/en/news/8913-event-pages-of-history-june-the-military-engineer-en" TargetMode="External"/><Relationship Id="rId24" Type="http://schemas.openxmlformats.org/officeDocument/2006/relationships/hyperlink" Target="https://warthunder.com/en/news/211/current" TargetMode="External"/><Relationship Id="rId327" Type="http://schemas.openxmlformats.org/officeDocument/2006/relationships/hyperlink" Target="https://old-forum.warthunder.com/index.php?/topic/341232-attack-on-the-pearl-harbor/" TargetMode="External"/><Relationship Id="rId534" Type="http://schemas.openxmlformats.org/officeDocument/2006/relationships/hyperlink" Target="https://warthunder.com/en/news/7121-event-60-year-anniversary-of-the-first-manned-flight-into-space-en" TargetMode="External"/><Relationship Id="rId741" Type="http://schemas.openxmlformats.org/officeDocument/2006/relationships/hyperlink" Target="https://warthunder.com/en/news/8124-event-pages-of-history-march-en" TargetMode="External"/><Relationship Id="rId839" Type="http://schemas.openxmlformats.org/officeDocument/2006/relationships/hyperlink" Target="https://warthunder.com/en/news/8495-event-pages-of-history-october-en" TargetMode="External"/><Relationship Id="rId173" Type="http://schemas.openxmlformats.org/officeDocument/2006/relationships/hyperlink" Target="https://warthunder.com/en/news/2623/current" TargetMode="External"/><Relationship Id="rId380" Type="http://schemas.openxmlformats.org/officeDocument/2006/relationships/hyperlink" Target="https://warthunder.com/en/news/4970-event-battle-of-britain-en" TargetMode="External"/><Relationship Id="rId601" Type="http://schemas.openxmlformats.org/officeDocument/2006/relationships/hyperlink" Target="https://warthunder.com/en/news/7629-event-pages-of-history-april-en" TargetMode="External"/><Relationship Id="rId1024" Type="http://schemas.openxmlformats.org/officeDocument/2006/relationships/hyperlink" Target="https://warthunder.com/en/news/9038-event-pages-of-history-september-attacker-ace-en" TargetMode="External"/><Relationship Id="rId240" Type="http://schemas.openxmlformats.org/officeDocument/2006/relationships/hyperlink" Target="https://warthunder.com/en/news/3222/current" TargetMode="External"/><Relationship Id="rId478" Type="http://schemas.openxmlformats.org/officeDocument/2006/relationships/hyperlink" Target="https://warthunder.com/en/news/6442-special-war-thunder-reaches-its-7th-year-en" TargetMode="External"/><Relationship Id="rId685" Type="http://schemas.openxmlformats.org/officeDocument/2006/relationships/hyperlink" Target="https://warthunder.com/en/news/7978-special-80th-anniversary-of-the-normandie-niemen-regiment-en" TargetMode="External"/><Relationship Id="rId892" Type="http://schemas.openxmlformats.org/officeDocument/2006/relationships/hyperlink" Target="https://warthunder.com/en/news/8438-special-victory-in-wwii-anniversary-decal-en" TargetMode="External"/><Relationship Id="rId906" Type="http://schemas.openxmlformats.org/officeDocument/2006/relationships/hyperlink" Target="https://warthunder.com/en/news/8365-special-t-2-early-available-again-for-the-anniversary-of-its-first-flight-en" TargetMode="External"/><Relationship Id="rId35" Type="http://schemas.openxmlformats.org/officeDocument/2006/relationships/hyperlink" Target="https://warthunder.com/en/news/268/current" TargetMode="External"/><Relationship Id="rId100" Type="http://schemas.openxmlformats.org/officeDocument/2006/relationships/hyperlink" Target="https://warthunder.com/en/news/505/current" TargetMode="External"/><Relationship Id="rId338" Type="http://schemas.openxmlformats.org/officeDocument/2006/relationships/hyperlink" Target="https://warthunder.com/en/news/4183-event-team-deathmatch-and-historical-enduring-confrontation-en" TargetMode="External"/><Relationship Id="rId545" Type="http://schemas.openxmlformats.org/officeDocument/2006/relationships/hyperlink" Target="https://warthunder.com/en/news/7271-event-russian-airborne-forces-day-en" TargetMode="External"/><Relationship Id="rId752" Type="http://schemas.openxmlformats.org/officeDocument/2006/relationships/hyperlink" Target="https://warthunder.com/en/news/8124-event-pages-of-history-march-en" TargetMode="External"/><Relationship Id="rId184" Type="http://schemas.openxmlformats.org/officeDocument/2006/relationships/hyperlink" Target="https://warthunder.com/en/news/428/current" TargetMode="External"/><Relationship Id="rId391" Type="http://schemas.openxmlformats.org/officeDocument/2006/relationships/hyperlink" Target="https://warthunder.com/en/news/5148-event-ctf-classic-mode-en" TargetMode="External"/><Relationship Id="rId405" Type="http://schemas.openxmlformats.org/officeDocument/2006/relationships/hyperlink" Target="https://warthunder.com/en/news/5226-special-festivities-in-war-thunder-en" TargetMode="External"/><Relationship Id="rId612" Type="http://schemas.openxmlformats.org/officeDocument/2006/relationships/hyperlink" Target="https://warthunder.com/en/news/7664-event-pages-of-history-may-en" TargetMode="External"/><Relationship Id="rId1035" Type="http://schemas.openxmlformats.org/officeDocument/2006/relationships/hyperlink" Target="https://warthunder.com/en/news/9123-shop-hms-iron-duke-is-back-on-the-anniversary-of-its-launch-en" TargetMode="External"/><Relationship Id="rId251" Type="http://schemas.openxmlformats.org/officeDocument/2006/relationships/hyperlink" Target="https://warthunder.com/en/news/3295/current" TargetMode="External"/><Relationship Id="rId489" Type="http://schemas.openxmlformats.org/officeDocument/2006/relationships/hyperlink" Target="https://warthunder.com/en/news/6536-new-year-in-war-thunder-en" TargetMode="External"/><Relationship Id="rId696" Type="http://schemas.openxmlformats.org/officeDocument/2006/relationships/hyperlink" Target="https://warthunder.com/en/news/7981-event-pages-of-history-december-en" TargetMode="External"/><Relationship Id="rId917" Type="http://schemas.openxmlformats.org/officeDocument/2006/relationships/hyperlink" Target="https://warthunder.com/en/news/8680-event-pages-of-history-january-ace-in-a-day-en" TargetMode="External"/><Relationship Id="rId1102" Type="http://schemas.openxmlformats.org/officeDocument/2006/relationships/hyperlink" Target="https://warthunder.com/en/news/9113-special-shop-discounts-rare-tanks-and-a-decal-for-the-national-day-of-the-prc-en" TargetMode="External"/><Relationship Id="rId46" Type="http://schemas.openxmlformats.org/officeDocument/2006/relationships/hyperlink" Target="https://warthunder.com/en/news/307/current" TargetMode="External"/><Relationship Id="rId349" Type="http://schemas.openxmlformats.org/officeDocument/2006/relationships/hyperlink" Target="https://warthunder.com/en/news/4508-special-valentine-s-day-en" TargetMode="External"/><Relationship Id="rId556" Type="http://schemas.openxmlformats.org/officeDocument/2006/relationships/hyperlink" Target="https://warthunder.com/en/news/7419-special-103-year-anniversary-of-poland-regaining-independence-en" TargetMode="External"/><Relationship Id="rId763" Type="http://schemas.openxmlformats.org/officeDocument/2006/relationships/hyperlink" Target="https://warthunder.com/en/news/8197-special-zimbabwe-independence-day-en" TargetMode="External"/><Relationship Id="rId111" Type="http://schemas.openxmlformats.org/officeDocument/2006/relationships/hyperlink" Target="https://warthunder.com/en/news/552/current" TargetMode="External"/><Relationship Id="rId195" Type="http://schemas.openxmlformats.org/officeDocument/2006/relationships/hyperlink" Target="https://warthunder.com/en/news/2598/current" TargetMode="External"/><Relationship Id="rId209" Type="http://schemas.openxmlformats.org/officeDocument/2006/relationships/hyperlink" Target="https://warthunder.com/en/news/2853/current" TargetMode="External"/><Relationship Id="rId416" Type="http://schemas.openxmlformats.org/officeDocument/2006/relationships/hyperlink" Target="https://warthunder.com/en/news/5410-event-large-calibres-and-enduring-confrontation-en" TargetMode="External"/><Relationship Id="rId970" Type="http://schemas.openxmlformats.org/officeDocument/2006/relationships/hyperlink" Target="https://warthunder.com/en/news/8871-event-pages-of-history-may-for-victory-en" TargetMode="External"/><Relationship Id="rId1046" Type="http://schemas.openxmlformats.org/officeDocument/2006/relationships/hyperlink" Target="https://warthunder.com/en/news/9178-special-its-war-thunders-12th-birthday-join-the-celebrations-en" TargetMode="External"/><Relationship Id="rId623" Type="http://schemas.openxmlformats.org/officeDocument/2006/relationships/hyperlink" Target="https://warthunder.com/en/news/7748-sale-summer-sale-en" TargetMode="External"/><Relationship Id="rId830" Type="http://schemas.openxmlformats.org/officeDocument/2006/relationships/hyperlink" Target="https://warthunder.com/en/news/8426-event-pages-of-history-september-en" TargetMode="External"/><Relationship Id="rId928" Type="http://schemas.openxmlformats.org/officeDocument/2006/relationships/hyperlink" Target="https://warthunder.com/en/news/8750-shop-special-a-bundle-and-decal-for-south-african-armed-forces-day-en" TargetMode="External"/><Relationship Id="rId57" Type="http://schemas.openxmlformats.org/officeDocument/2006/relationships/hyperlink" Target="https://warthunder.com/en/news/358/current" TargetMode="External"/><Relationship Id="rId262" Type="http://schemas.openxmlformats.org/officeDocument/2006/relationships/hyperlink" Target="https://warthunder.com/en/news/3418/current" TargetMode="External"/><Relationship Id="rId567" Type="http://schemas.openxmlformats.org/officeDocument/2006/relationships/hyperlink" Target="https://warthunder.com/en/news/7493-special-the-first-combat-mission-of-the-flying-tigers-en" TargetMode="External"/><Relationship Id="rId1113" Type="http://schemas.openxmlformats.org/officeDocument/2006/relationships/hyperlink" Target="https://warthunder.com/en/news/9302-event-pages-of-history-january-defender-of-leningrad-en" TargetMode="External"/><Relationship Id="rId122" Type="http://schemas.openxmlformats.org/officeDocument/2006/relationships/hyperlink" Target="https://warthunder.com/en/news/604/current" TargetMode="External"/><Relationship Id="rId774" Type="http://schemas.openxmlformats.org/officeDocument/2006/relationships/hyperlink" Target="https://warthunder.com/en/news/8208-event-pages-of-history-may-en" TargetMode="External"/><Relationship Id="rId981" Type="http://schemas.openxmlformats.org/officeDocument/2006/relationships/hyperlink" Target="https://warthunder.com/ru/news/16857-akcia-den-rossii-ru" TargetMode="External"/><Relationship Id="rId1057" Type="http://schemas.openxmlformats.org/officeDocument/2006/relationships/hyperlink" Target="https://warthunder.com/en/news/9173-event-pages-of-history-november-medicane-en" TargetMode="External"/><Relationship Id="rId427" Type="http://schemas.openxmlformats.org/officeDocument/2006/relationships/hyperlink" Target="https://warthunder.com/en/news/5638-event-friday-july-13th-bad-turn-en" TargetMode="External"/><Relationship Id="rId634" Type="http://schemas.openxmlformats.org/officeDocument/2006/relationships/hyperlink" Target="https://warthunder.com/en/news/7755-event-pages-of-history-july-en" TargetMode="External"/><Relationship Id="rId841" Type="http://schemas.openxmlformats.org/officeDocument/2006/relationships/hyperlink" Target="https://warthunder.com/en/news/8495-event-pages-of-history-october-en" TargetMode="External"/><Relationship Id="rId273" Type="http://schemas.openxmlformats.org/officeDocument/2006/relationships/hyperlink" Target="https://warthunder.com/en/news/2911/current" TargetMode="External"/><Relationship Id="rId480" Type="http://schemas.openxmlformats.org/officeDocument/2006/relationships/hyperlink" Target="https://warthunder.com/en/news/6464-shop-war-thunder-birthday-sale-en" TargetMode="External"/><Relationship Id="rId701" Type="http://schemas.openxmlformats.org/officeDocument/2006/relationships/hyperlink" Target="https://warthunder.com/en/news/7629-event-pages-of-history-april-en" TargetMode="External"/><Relationship Id="rId939" Type="http://schemas.openxmlformats.org/officeDocument/2006/relationships/hyperlink" Target="https://warthunder.com/en/news/8821-special-happy-st-patricks-day-en" TargetMode="External"/><Relationship Id="rId1124" Type="http://schemas.openxmlformats.org/officeDocument/2006/relationships/hyperlink" Target="https://warthunder.com/en/news/9349-event-pages-of-history-february-the-big-chief-en" TargetMode="External"/><Relationship Id="rId68" Type="http://schemas.openxmlformats.org/officeDocument/2006/relationships/hyperlink" Target="https://warthunder.com/en/news/403/current" TargetMode="External"/><Relationship Id="rId133" Type="http://schemas.openxmlformats.org/officeDocument/2006/relationships/hyperlink" Target="https://warthunder.com/en/news/695/current" TargetMode="External"/><Relationship Id="rId340" Type="http://schemas.openxmlformats.org/officeDocument/2006/relationships/hyperlink" Target="https://warthunder.com/en/news/4278-event-night-events-rb-guardian-angel-and-operation-chastise-en" TargetMode="External"/><Relationship Id="rId578" Type="http://schemas.openxmlformats.org/officeDocument/2006/relationships/hyperlink" Target="https://warthunder.com/en/news/7512-special-vistula-oder-offensive-en" TargetMode="External"/><Relationship Id="rId785" Type="http://schemas.openxmlformats.org/officeDocument/2006/relationships/hyperlink" Target="https://warthunder.com/en/news/8310-special-rn-geniere-is-back-for-italian-navy-day-en" TargetMode="External"/><Relationship Id="rId992" Type="http://schemas.openxmlformats.org/officeDocument/2006/relationships/hyperlink" Target="https://warthunder.com/en/news/8964-event-pages-of-history-july-the-jumping-general-en" TargetMode="External"/><Relationship Id="rId200" Type="http://schemas.openxmlformats.org/officeDocument/2006/relationships/hyperlink" Target="https://warthunder.com/en/news/2749--en" TargetMode="External"/><Relationship Id="rId438" Type="http://schemas.openxmlformats.org/officeDocument/2006/relationships/hyperlink" Target="https://warthunder.com/en/news/5880-special-fleet-minefield-ahead-try-out-the-vs-8-en" TargetMode="External"/><Relationship Id="rId645" Type="http://schemas.openxmlformats.org/officeDocument/2006/relationships/hyperlink" Target="https://warthunder.com/en/news/7813-special-us-airborne-day-en" TargetMode="External"/><Relationship Id="rId852" Type="http://schemas.openxmlformats.org/officeDocument/2006/relationships/hyperlink" Target="https://warthunder.com/en/news/8599-shop-black-friday-bundle-en" TargetMode="External"/><Relationship Id="rId1068" Type="http://schemas.openxmlformats.org/officeDocument/2006/relationships/hyperlink" Target="https://warthunder.com/en/news/9240-event-pages-of-history-december-world-champion-en" TargetMode="External"/><Relationship Id="rId284" Type="http://schemas.openxmlformats.org/officeDocument/2006/relationships/hyperlink" Target="https://warthunder.com/en/news/3509/current" TargetMode="External"/><Relationship Id="rId491" Type="http://schemas.openxmlformats.org/officeDocument/2006/relationships/hyperlink" Target="https://warthunder.com/en/news/6562-shop-the-lunar-new-year-2020-en" TargetMode="External"/><Relationship Id="rId505" Type="http://schemas.openxmlformats.org/officeDocument/2006/relationships/hyperlink" Target="https://warthunder.com/en/news/6787-news-independence-day-en" TargetMode="External"/><Relationship Id="rId712" Type="http://schemas.openxmlformats.org/officeDocument/2006/relationships/hyperlink" Target="https://warthunder.com/en/news/7962-special-people-s-liberation-army-air-force-day-en" TargetMode="External"/><Relationship Id="rId79" Type="http://schemas.openxmlformats.org/officeDocument/2006/relationships/hyperlink" Target="https://warthunder.com/en/news/446/current" TargetMode="External"/><Relationship Id="rId144" Type="http://schemas.openxmlformats.org/officeDocument/2006/relationships/hyperlink" Target="https://warthunder.com/en/news/789/current" TargetMode="External"/><Relationship Id="rId589" Type="http://schemas.openxmlformats.org/officeDocument/2006/relationships/hyperlink" Target="https://warthunder.com/en/news/7575-special-spitfire-mk-ix-first-flight-en" TargetMode="External"/><Relationship Id="rId796" Type="http://schemas.openxmlformats.org/officeDocument/2006/relationships/hyperlink" Target="https://warthunder.com/en/news/8346-special-a-tank-a-fighter-and-a-decal-for-us-independence-day-en" TargetMode="External"/><Relationship Id="rId351" Type="http://schemas.openxmlformats.org/officeDocument/2006/relationships/hyperlink" Target="https://warthunder.com/en/news/4527-shop-special-discounts-en" TargetMode="External"/><Relationship Id="rId449" Type="http://schemas.openxmlformats.org/officeDocument/2006/relationships/hyperlink" Target="https://warthunder.com/en/news/6019-news-the-lunar-new-year-in-war-thunder-en" TargetMode="External"/><Relationship Id="rId656" Type="http://schemas.openxmlformats.org/officeDocument/2006/relationships/hyperlink" Target="https://warthunder.com/en/news/7871-special-battle-of-britain-day-en" TargetMode="External"/><Relationship Id="rId863" Type="http://schemas.openxmlformats.org/officeDocument/2006/relationships/hyperlink" Target="https://warthunder.com/en/news/8602-event-pages-of-history-december-the-heroic-nurse-en" TargetMode="External"/><Relationship Id="rId1079" Type="http://schemas.openxmlformats.org/officeDocument/2006/relationships/hyperlink" Target="https://warthunder.com/en/news/8710-special-anniversary-of-lifting-the-siege-of-leningrad-get-the-kv-2-zis-6-and-earn-a-decal-decoration-en" TargetMode="External"/><Relationship Id="rId211" Type="http://schemas.openxmlformats.org/officeDocument/2006/relationships/hyperlink" Target="https://warthunder.com/en/news/2870/current" TargetMode="External"/><Relationship Id="rId295" Type="http://schemas.openxmlformats.org/officeDocument/2006/relationships/hyperlink" Target="https://warthunder.com/en/news/3680-special-day-of-cosmonautics-en" TargetMode="External"/><Relationship Id="rId309" Type="http://schemas.openxmlformats.org/officeDocument/2006/relationships/hyperlink" Target="https://warthunder.com/en/news/4188-special-day-of-the-russian-air-force-en" TargetMode="External"/><Relationship Id="rId516" Type="http://schemas.openxmlformats.org/officeDocument/2006/relationships/hyperlink" Target="https://warthunder.com/en/news/6920-event-halloween-in-war-thunder-en" TargetMode="External"/><Relationship Id="rId723" Type="http://schemas.openxmlformats.org/officeDocument/2006/relationships/hyperlink" Target="https://warthunder.com/en/news/8037-event-pages-of-history-january-en" TargetMode="External"/><Relationship Id="rId930" Type="http://schemas.openxmlformats.org/officeDocument/2006/relationships/hyperlink" Target="https://warthunder.com/en/news/8713-event-pages-of-history-february-through-a-storm-en" TargetMode="External"/><Relationship Id="rId1006" Type="http://schemas.openxmlformats.org/officeDocument/2006/relationships/hyperlink" Target="https://warthunder.com/en/news/9021-shop-special-50th-anniversary-of-the-tornados-first-flight-a-special-decal-and-a-discount-en" TargetMode="External"/><Relationship Id="rId155" Type="http://schemas.openxmlformats.org/officeDocument/2006/relationships/hyperlink" Target="https://warthunder.com/en/news/852/current" TargetMode="External"/><Relationship Id="rId362" Type="http://schemas.openxmlformats.org/officeDocument/2006/relationships/hyperlink" Target="https://warthunder.com/en/news/4702-event-floats-en" TargetMode="External"/><Relationship Id="rId222" Type="http://schemas.openxmlformats.org/officeDocument/2006/relationships/hyperlink" Target="https://warthunder.com/en/news/3040/current" TargetMode="External"/><Relationship Id="rId667" Type="http://schemas.openxmlformats.org/officeDocument/2006/relationships/hyperlink" Target="https://warthunder.com/en/news/7888-event-pages-of-history-october-en" TargetMode="External"/><Relationship Id="rId874" Type="http://schemas.openxmlformats.org/officeDocument/2006/relationships/hyperlink" Target="https://warthunder.com/en/news/8214-special-koi-and-golden-week-in-japan-en" TargetMode="External"/><Relationship Id="rId17" Type="http://schemas.openxmlformats.org/officeDocument/2006/relationships/hyperlink" Target="https://warthunder.com/en/news/165/current" TargetMode="External"/><Relationship Id="rId527" Type="http://schemas.openxmlformats.org/officeDocument/2006/relationships/hyperlink" Target="https://warthunder.com/en/news/7042-special-lunar-new-year-and-valentine-s-day-en" TargetMode="External"/><Relationship Id="rId734" Type="http://schemas.openxmlformats.org/officeDocument/2006/relationships/hyperlink" Target="https://warthunder.com/en/news/8093-special-happy-valentine-s-day-en" TargetMode="External"/><Relationship Id="rId941" Type="http://schemas.openxmlformats.org/officeDocument/2006/relationships/hyperlink" Target="https://warthunder.com/en/news/8761-event-pages-of-history-march-on-wings-of-war-en" TargetMode="External"/><Relationship Id="rId70" Type="http://schemas.openxmlformats.org/officeDocument/2006/relationships/hyperlink" Target="https://warthunder.com/en/news/409/current" TargetMode="External"/><Relationship Id="rId166" Type="http://schemas.openxmlformats.org/officeDocument/2006/relationships/hyperlink" Target="https://warthunder.com/en/news/909/current" TargetMode="External"/><Relationship Id="rId373" Type="http://schemas.openxmlformats.org/officeDocument/2006/relationships/hyperlink" Target="https://warthunder.com/en/news/4853-event-war-in-mid-air-en" TargetMode="External"/><Relationship Id="rId580" Type="http://schemas.openxmlformats.org/officeDocument/2006/relationships/hyperlink" Target="https://warthunder.com/en/news/7525-special-battle-of-anzio-en" TargetMode="External"/><Relationship Id="rId801" Type="http://schemas.openxmlformats.org/officeDocument/2006/relationships/hyperlink" Target="https://warthunder.com/en/news/8331-event-pages-of-history-july-en" TargetMode="External"/><Relationship Id="rId1017" Type="http://schemas.openxmlformats.org/officeDocument/2006/relationships/hyperlink" Target="https://warthunder.com/en/news/9053-special-a-decal-for-the-anniversary-of-the-victory-over-japan-en" TargetMode="External"/><Relationship Id="rId1" Type="http://schemas.openxmlformats.org/officeDocument/2006/relationships/hyperlink" Target="https://warthunder.com/en/news/30/current" TargetMode="External"/><Relationship Id="rId233" Type="http://schemas.openxmlformats.org/officeDocument/2006/relationships/hyperlink" Target="https://warthunder.com/en/news/3170/current" TargetMode="External"/><Relationship Id="rId440" Type="http://schemas.openxmlformats.org/officeDocument/2006/relationships/hyperlink" Target="https://warthunder.com/en/news/5972-merry-christmas-en" TargetMode="External"/><Relationship Id="rId678" Type="http://schemas.openxmlformats.org/officeDocument/2006/relationships/hyperlink" Target="https://warthunder.com/en/news/7961-special-polish-independence-day-en" TargetMode="External"/><Relationship Id="rId885" Type="http://schemas.openxmlformats.org/officeDocument/2006/relationships/hyperlink" Target="https://warthunder.com/en/news/8340-special-three-different-vehicles-and-a-decal-for-the-jsdf-day-en" TargetMode="External"/><Relationship Id="rId1070" Type="http://schemas.openxmlformats.org/officeDocument/2006/relationships/hyperlink" Target="https://warthunder.com/en/news/9240-event-pages-of-history-december-world-champion-en" TargetMode="External"/><Relationship Id="rId28" Type="http://schemas.openxmlformats.org/officeDocument/2006/relationships/hyperlink" Target="https://warthunder.com/en/news/232/current" TargetMode="External"/><Relationship Id="rId300" Type="http://schemas.openxmlformats.org/officeDocument/2006/relationships/hyperlink" Target="https://old-forum.warthunder.com/index.php?/topic/317378-shop-russia-day-bundle-at-30-off/" TargetMode="External"/><Relationship Id="rId538" Type="http://schemas.openxmlformats.org/officeDocument/2006/relationships/hyperlink" Target="https://warthunder.com/en/news/7212-special-russia-day-en" TargetMode="External"/><Relationship Id="rId745" Type="http://schemas.openxmlformats.org/officeDocument/2006/relationships/hyperlink" Target="https://warthunder.com/en/news/8124-event-pages-of-history-march-en" TargetMode="External"/><Relationship Id="rId952" Type="http://schemas.openxmlformats.org/officeDocument/2006/relationships/hyperlink" Target="https://warthunder.com/en/news/8832-event-pages-of-history-april-for-zoya-en" TargetMode="External"/><Relationship Id="rId81" Type="http://schemas.openxmlformats.org/officeDocument/2006/relationships/hyperlink" Target="https://warthunder.com/en/news/452/current" TargetMode="External"/><Relationship Id="rId177" Type="http://schemas.openxmlformats.org/officeDocument/2006/relationships/hyperlink" Target="https://warthunder.com/en/news/2655/current" TargetMode="External"/><Relationship Id="rId384" Type="http://schemas.openxmlformats.org/officeDocument/2006/relationships/hyperlink" Target="https://warthunder.com/en/news/4994-special-german-unity-day-en" TargetMode="External"/><Relationship Id="rId591" Type="http://schemas.openxmlformats.org/officeDocument/2006/relationships/hyperlink" Target="https://warthunder.com/en/news/7582-event-the-tailspin-is-back-en" TargetMode="External"/><Relationship Id="rId605" Type="http://schemas.openxmlformats.org/officeDocument/2006/relationships/hyperlink" Target="https://warthunder.com/en/news/7664-event-pages-of-history-may-en" TargetMode="External"/><Relationship Id="rId812" Type="http://schemas.openxmlformats.org/officeDocument/2006/relationships/hyperlink" Target="https://warthunder.com/en/news/8366-event-pages-of-history-august-en" TargetMode="External"/><Relationship Id="rId1028" Type="http://schemas.openxmlformats.org/officeDocument/2006/relationships/hyperlink" Target="https://warthunder.com/en/news/9102-shop-discount-on-the-yak-38-for-the-anniversary-of-its-first-flight-en" TargetMode="External"/><Relationship Id="rId244" Type="http://schemas.openxmlformats.org/officeDocument/2006/relationships/hyperlink" Target="https://warthunder.com/en/news/3231/current" TargetMode="External"/><Relationship Id="rId689" Type="http://schemas.openxmlformats.org/officeDocument/2006/relationships/hyperlink" Target="https://warthunder.com/en/news/7981-event-pages-of-history-december-en" TargetMode="External"/><Relationship Id="rId896" Type="http://schemas.openxmlformats.org/officeDocument/2006/relationships/hyperlink" Target="https://warthunder.com/en/news/8511-event-battle-of-the-caucasus-a-decal-and-decoration-for-the-80th-anniversary-en" TargetMode="External"/><Relationship Id="rId1081" Type="http://schemas.openxmlformats.org/officeDocument/2006/relationships/hyperlink" Target="https://warthunder.com/en/news/8730-special-the-rooivalk-is-back-on-the-anniversary-of-its-first-flight-en" TargetMode="External"/><Relationship Id="rId39" Type="http://schemas.openxmlformats.org/officeDocument/2006/relationships/hyperlink" Target="https://warthunder.com/en/news/875/current" TargetMode="External"/><Relationship Id="rId451" Type="http://schemas.openxmlformats.org/officeDocument/2006/relationships/hyperlink" Target="https://warthunder.com/en/news/6037-event-sea-voyage-en" TargetMode="External"/><Relationship Id="rId549" Type="http://schemas.openxmlformats.org/officeDocument/2006/relationships/hyperlink" Target="https://warthunder.com/en/news/7344-special-us-air-force-day-en" TargetMode="External"/><Relationship Id="rId756" Type="http://schemas.openxmlformats.org/officeDocument/2006/relationships/hyperlink" Target="https://warthunder.com/en/news/8174-war-thunder-infantry-en" TargetMode="External"/><Relationship Id="rId104" Type="http://schemas.openxmlformats.org/officeDocument/2006/relationships/hyperlink" Target="https://warthunder.com/en/news/520/current" TargetMode="External"/><Relationship Id="rId188" Type="http://schemas.openxmlformats.org/officeDocument/2006/relationships/hyperlink" Target="https://warthunder.com/en/news/560/current" TargetMode="External"/><Relationship Id="rId311" Type="http://schemas.openxmlformats.org/officeDocument/2006/relationships/hyperlink" Target="https://warthunder.com/en/news/4217-special-under-the-black-flag-en" TargetMode="External"/><Relationship Id="rId395" Type="http://schemas.openxmlformats.org/officeDocument/2006/relationships/hyperlink" Target="https://warthunder.com/en/news/5226-special-festivities-in-war-thunder-en" TargetMode="External"/><Relationship Id="rId409" Type="http://schemas.openxmlformats.org/officeDocument/2006/relationships/hyperlink" Target="https://warthunder.com/en/news/5317-special-valentine-s-day-with-war-thunder-en" TargetMode="External"/><Relationship Id="rId963" Type="http://schemas.openxmlformats.org/officeDocument/2006/relationships/hyperlink" Target="https://warthunder.com/en/news/8871-event-pages-of-history-may-for-victory-en" TargetMode="External"/><Relationship Id="rId1039" Type="http://schemas.openxmlformats.org/officeDocument/2006/relationships/hyperlink" Target="https://warthunder.com/en/news/9111-event-pages-of-history-october-pacific-ace-en" TargetMode="External"/><Relationship Id="rId92" Type="http://schemas.openxmlformats.org/officeDocument/2006/relationships/hyperlink" Target="https://warthunder.com/en/news/487/current" TargetMode="External"/><Relationship Id="rId616" Type="http://schemas.openxmlformats.org/officeDocument/2006/relationships/hyperlink" Target="https://warthunder.com/en/news/7721-special-80th-anniversary-of-the-battle-of-midway-en" TargetMode="External"/><Relationship Id="rId823" Type="http://schemas.openxmlformats.org/officeDocument/2006/relationships/hyperlink" Target="https://warthunder.com/en/news/8426-event-pages-of-history-september-en" TargetMode="External"/><Relationship Id="rId255" Type="http://schemas.openxmlformats.org/officeDocument/2006/relationships/hyperlink" Target="https://warthunder.com/en/news/3336/current" TargetMode="External"/><Relationship Id="rId462" Type="http://schemas.openxmlformats.org/officeDocument/2006/relationships/hyperlink" Target="https://warthunder.com/en/news/6256-special-meltdown-discounts-en" TargetMode="External"/><Relationship Id="rId1092" Type="http://schemas.openxmlformats.org/officeDocument/2006/relationships/hyperlink" Target="https://warthunder.com/en/news/8977-shop-special-video-moments-of-valor-argentina-en" TargetMode="External"/><Relationship Id="rId1106" Type="http://schemas.openxmlformats.org/officeDocument/2006/relationships/hyperlink" Target="https://warthunder.com/en/news/9173-event-pages-of-history-november-medicane-en" TargetMode="External"/><Relationship Id="rId115" Type="http://schemas.openxmlformats.org/officeDocument/2006/relationships/hyperlink" Target="https://warthunder.com/en/news/573/current" TargetMode="External"/><Relationship Id="rId322" Type="http://schemas.openxmlformats.org/officeDocument/2006/relationships/hyperlink" Target="https://warthunder.com/en/news/4332-armistice-day-en" TargetMode="External"/><Relationship Id="rId767" Type="http://schemas.openxmlformats.org/officeDocument/2006/relationships/hyperlink" Target="https://warthunder.com/en/news/8167-event-pages-of-history-april-en" TargetMode="External"/><Relationship Id="rId974" Type="http://schemas.openxmlformats.org/officeDocument/2006/relationships/hyperlink" Target="https://warthunder.com/en/news/8908-special-the-milan-temporarily-returns-on-the-anniversary-of-its-first-flight-en" TargetMode="External"/><Relationship Id="rId199" Type="http://schemas.openxmlformats.org/officeDocument/2006/relationships/hyperlink" Target="https://warthunder.com/en/news/2681/current" TargetMode="External"/><Relationship Id="rId627" Type="http://schemas.openxmlformats.org/officeDocument/2006/relationships/hyperlink" Target="https://warthunder.com/en/news/7760-special-canada-day-en" TargetMode="External"/><Relationship Id="rId834" Type="http://schemas.openxmlformats.org/officeDocument/2006/relationships/hyperlink" Target="https://warthunder.com/en/news/8495-event-pages-of-history-october-en" TargetMode="External"/><Relationship Id="rId266" Type="http://schemas.openxmlformats.org/officeDocument/2006/relationships/hyperlink" Target="https://warthunder.com/en/news/3441/current" TargetMode="External"/><Relationship Id="rId473" Type="http://schemas.openxmlformats.org/officeDocument/2006/relationships/hyperlink" Target="https://warthunder.com/en/news/6368-special-tankers-day-celebrate-with-us-en" TargetMode="External"/><Relationship Id="rId680" Type="http://schemas.openxmlformats.org/officeDocument/2006/relationships/hyperlink" Target="https://warthunder.com/en/news/7969-world-war-news-en" TargetMode="External"/><Relationship Id="rId901" Type="http://schemas.openxmlformats.org/officeDocument/2006/relationships/hyperlink" Target="https://warthunder.com/en/news/8567-special-italian-national-unity-armed-forces-day-the-p40-and-a-decal-to-celebrate-en" TargetMode="External"/><Relationship Id="rId1117" Type="http://schemas.openxmlformats.org/officeDocument/2006/relationships/hyperlink" Target="https://warthunder.com/en/news/9302-event-pages-of-history-january-defender-of-leningrad-en" TargetMode="External"/><Relationship Id="rId30" Type="http://schemas.openxmlformats.org/officeDocument/2006/relationships/hyperlink" Target="https://warthunder.com/en/news/253/current" TargetMode="External"/><Relationship Id="rId126" Type="http://schemas.openxmlformats.org/officeDocument/2006/relationships/hyperlink" Target="https://warthunder.com/en/news/636/current" TargetMode="External"/><Relationship Id="rId333" Type="http://schemas.openxmlformats.org/officeDocument/2006/relationships/hyperlink" Target="https://warthunder.com/en/news/4355-shop-black-friday-thanksgiving-discounts-have-ended-en" TargetMode="External"/><Relationship Id="rId540" Type="http://schemas.openxmlformats.org/officeDocument/2006/relationships/hyperlink" Target="https://warthunder.com/en/news/7230-special-canada-day-en" TargetMode="External"/><Relationship Id="rId778" Type="http://schemas.openxmlformats.org/officeDocument/2006/relationships/hyperlink" Target="https://warthunder.com/en/news/8208-event-pages-of-history-may-en" TargetMode="External"/><Relationship Id="rId985" Type="http://schemas.openxmlformats.org/officeDocument/2006/relationships/hyperlink" Target="https://warthunder.com/en/news/8913-event-pages-of-history-june-the-military-engineer-en" TargetMode="External"/><Relationship Id="rId638" Type="http://schemas.openxmlformats.org/officeDocument/2006/relationships/hyperlink" Target="https://warthunder.ru/ru/news/15831-akciya-den-vmf-rossii-ru" TargetMode="External"/><Relationship Id="rId845" Type="http://schemas.openxmlformats.org/officeDocument/2006/relationships/hyperlink" Target="https://warthunder.com/en/news/8549-event-pages-of-history-november-en" TargetMode="External"/><Relationship Id="rId1030" Type="http://schemas.openxmlformats.org/officeDocument/2006/relationships/hyperlink" Target="https://warthunder.com/en/news/9038-event-pages-of-history-september-attacker-ace-en" TargetMode="External"/><Relationship Id="rId277" Type="http://schemas.openxmlformats.org/officeDocument/2006/relationships/hyperlink" Target="https://warthunder.com/en/news/3226/current" TargetMode="External"/><Relationship Id="rId400" Type="http://schemas.openxmlformats.org/officeDocument/2006/relationships/hyperlink" Target="https://warthunder.com/en/news/4529-event-battle-of-stalingrad-enhttps:/warthunder.com/en/news/4529-event-battle-of-stalingrad-en" TargetMode="External"/><Relationship Id="rId484" Type="http://schemas.openxmlformats.org/officeDocument/2006/relationships/hyperlink" Target="https://warthunder.com/en/news/6541-christmas-wishes-en" TargetMode="External"/><Relationship Id="rId705" Type="http://schemas.openxmlformats.org/officeDocument/2006/relationships/hyperlink" Target="https://warthunder.com/en/news/7725-shop-d-day-2022-bundle-50-en" TargetMode="External"/><Relationship Id="rId1128" Type="http://schemas.openxmlformats.org/officeDocument/2006/relationships/hyperlink" Target="https://warthunder.com/en/news/9349-event-pages-of-history-february-the-big-chief-en" TargetMode="External"/><Relationship Id="rId137" Type="http://schemas.openxmlformats.org/officeDocument/2006/relationships/hyperlink" Target="https://warthunder.com/en/news/712/current" TargetMode="External"/><Relationship Id="rId344" Type="http://schemas.openxmlformats.org/officeDocument/2006/relationships/hyperlink" Target="https://warthunder.com/en/news/4354-event-battle-of-moscow-en" TargetMode="External"/><Relationship Id="rId691" Type="http://schemas.openxmlformats.org/officeDocument/2006/relationships/hyperlink" Target="https://warthunder.com/en/news/8018-event-pandora-s-box-en" TargetMode="External"/><Relationship Id="rId789" Type="http://schemas.openxmlformats.org/officeDocument/2006/relationships/hyperlink" Target="https://warthunder.com/en/news/8324-special-the-mig-21-sps-k-returns-to-celebrate-the-mig-21-s-first-flight-en" TargetMode="External"/><Relationship Id="rId912" Type="http://schemas.openxmlformats.org/officeDocument/2006/relationships/hyperlink" Target="https://warthunder.com/en/news/8680-event-pages-of-history-january-ace-in-a-day-en" TargetMode="External"/><Relationship Id="rId996" Type="http://schemas.openxmlformats.org/officeDocument/2006/relationships/hyperlink" Target="https://warthunder.com/en/news/8994-shop-the-hunter-fga9-is-available-on-the-anniversary-of-its-first-flight-en" TargetMode="External"/><Relationship Id="rId41" Type="http://schemas.openxmlformats.org/officeDocument/2006/relationships/hyperlink" Target="https://warthunder.com/en/news/297/current" TargetMode="External"/><Relationship Id="rId551" Type="http://schemas.openxmlformats.org/officeDocument/2006/relationships/hyperlink" Target="https://warthunder.com/en/news/7372-special-us-navy-day-en" TargetMode="External"/><Relationship Id="rId649" Type="http://schemas.openxmlformats.org/officeDocument/2006/relationships/hyperlink" Target="https://warthunder.com/en/news/7789-event-pages-of-history-august-en" TargetMode="External"/><Relationship Id="rId856" Type="http://schemas.openxmlformats.org/officeDocument/2006/relationships/hyperlink" Target="https://warthunder.com/en/news/8602-event-pages-of-history-december-the-heroic-nurse-en" TargetMode="External"/><Relationship Id="rId190" Type="http://schemas.openxmlformats.org/officeDocument/2006/relationships/hyperlink" Target="https://warthunder.com/en/news/648/current" TargetMode="External"/><Relationship Id="rId204" Type="http://schemas.openxmlformats.org/officeDocument/2006/relationships/hyperlink" Target="https://warthunder.com/en/news/2756/current" TargetMode="External"/><Relationship Id="rId288" Type="http://schemas.openxmlformats.org/officeDocument/2006/relationships/hyperlink" Target="https://warthunder.com/en/news/3579-tournament-defender-combined-battles-en" TargetMode="External"/><Relationship Id="rId411" Type="http://schemas.openxmlformats.org/officeDocument/2006/relationships/hyperlink" Target="https://warthunder.com/en/news/5345-special-defender-of-the-fatherland-en" TargetMode="External"/><Relationship Id="rId509" Type="http://schemas.openxmlformats.org/officeDocument/2006/relationships/hyperlink" Target="https://warthunder.com/en/news/6823-event-russian-aerospace-forces-day-en" TargetMode="External"/><Relationship Id="rId1041" Type="http://schemas.openxmlformats.org/officeDocument/2006/relationships/hyperlink" Target="https://warthunder.com/en/news/9143-shop-the-uh-1c-xm-30-is-temporarily-available-on-the-anniversary-of-the-uh-1s-first-flight-en" TargetMode="External"/><Relationship Id="rId495" Type="http://schemas.openxmlformats.org/officeDocument/2006/relationships/hyperlink" Target="https://warthunder.com/en/news/6628-event-happy-international-women-s-day-en" TargetMode="External"/><Relationship Id="rId716" Type="http://schemas.openxmlformats.org/officeDocument/2006/relationships/hyperlink" Target="https://warthunder.com/en/news/8037-event-pages-of-history-january-en" TargetMode="External"/><Relationship Id="rId923" Type="http://schemas.openxmlformats.org/officeDocument/2006/relationships/hyperlink" Target="https://warthunder.com/en/news/8713-event-pages-of-history-february-through-a-storm-en" TargetMode="External"/><Relationship Id="rId52" Type="http://schemas.openxmlformats.org/officeDocument/2006/relationships/hyperlink" Target="https://warthunder.com/en/news/335/current" TargetMode="External"/><Relationship Id="rId148" Type="http://schemas.openxmlformats.org/officeDocument/2006/relationships/hyperlink" Target="https://warthunder.com/en/news/814/current" TargetMode="External"/><Relationship Id="rId355" Type="http://schemas.openxmlformats.org/officeDocument/2006/relationships/hyperlink" Target="https://warthunder.com/en/news/4588-event-st-patrick-s-day-en" TargetMode="External"/><Relationship Id="rId562" Type="http://schemas.openxmlformats.org/officeDocument/2006/relationships/hyperlink" Target="https://warthunder.com/en/news/7447-special-80th-anniversary-of-the-battle-of-moscow-en" TargetMode="External"/><Relationship Id="rId215" Type="http://schemas.openxmlformats.org/officeDocument/2006/relationships/hyperlink" Target="https://warthunder.com/en/news/2937/current" TargetMode="External"/><Relationship Id="rId422" Type="http://schemas.openxmlformats.org/officeDocument/2006/relationships/hyperlink" Target="https://warthunder.com/en/news/5494-victory-day-with-war-thunder-en" TargetMode="External"/><Relationship Id="rId867" Type="http://schemas.openxmlformats.org/officeDocument/2006/relationships/hyperlink" Target="https://warthunder.com/en/news/8683-happy-new-year-2024-en" TargetMode="External"/><Relationship Id="rId1052" Type="http://schemas.openxmlformats.org/officeDocument/2006/relationships/hyperlink" Target="https://forum.warthunder.com/t/armistice-day-remembering-those-who-fell/184265" TargetMode="External"/><Relationship Id="rId299" Type="http://schemas.openxmlformats.org/officeDocument/2006/relationships/hyperlink" Target="https://old-forum.warthunder.com/index.php?/topic/316493-shop-d-day-bundle-at-30-off33/" TargetMode="External"/><Relationship Id="rId727" Type="http://schemas.openxmlformats.org/officeDocument/2006/relationships/hyperlink" Target="https://warthunder.com/en/news/8073-event-pages-of-history-february-en" TargetMode="External"/><Relationship Id="rId934" Type="http://schemas.openxmlformats.org/officeDocument/2006/relationships/hyperlink" Target="https://warthunder.com/en/news/8783-special-finnish-air-force-day-a-decal-to-celebrate-en" TargetMode="External"/><Relationship Id="rId63" Type="http://schemas.openxmlformats.org/officeDocument/2006/relationships/hyperlink" Target="https://warthunder.com/en/news/367/current" TargetMode="External"/><Relationship Id="rId159" Type="http://schemas.openxmlformats.org/officeDocument/2006/relationships/hyperlink" Target="https://warthunder.com/en/news/870/current" TargetMode="External"/><Relationship Id="rId366" Type="http://schemas.openxmlformats.org/officeDocument/2006/relationships/hyperlink" Target="https://warthunder.com/en/news/4794-event-ctf-flag-raiser-en" TargetMode="External"/><Relationship Id="rId573" Type="http://schemas.openxmlformats.org/officeDocument/2006/relationships/hyperlink" Target="https://warthunder.com/en/news/7154-shop-may-sale-in-the-gaijin-store-en" TargetMode="External"/><Relationship Id="rId780" Type="http://schemas.openxmlformats.org/officeDocument/2006/relationships/hyperlink" Target="https://warthunder.com/en/news/8208-event-pages-of-history-may-en" TargetMode="External"/><Relationship Id="rId226" Type="http://schemas.openxmlformats.org/officeDocument/2006/relationships/hyperlink" Target="https://warthunder.com/en/news/3103/current" TargetMode="External"/><Relationship Id="rId433" Type="http://schemas.openxmlformats.org/officeDocument/2006/relationships/hyperlink" Target="https://warthunder.com/en/news/5852-special-news-war-thunder-s-birthday-discounts-and-gifts-en" TargetMode="External"/><Relationship Id="rId878" Type="http://schemas.openxmlformats.org/officeDocument/2006/relationships/hyperlink" Target="https://warthunder.com/en/news/8292-special-t129-is-back-for-the-turkish-air-force-day-en" TargetMode="External"/><Relationship Id="rId1063" Type="http://schemas.openxmlformats.org/officeDocument/2006/relationships/hyperlink" Target="https://warthunder.com/en/news/9240-event-pages-of-history-december-world-champion-en" TargetMode="External"/><Relationship Id="rId640" Type="http://schemas.openxmlformats.org/officeDocument/2006/relationships/hyperlink" Target="https://warthunder.com/en/news/7789-event-pages-of-history-august-en" TargetMode="External"/><Relationship Id="rId738" Type="http://schemas.openxmlformats.org/officeDocument/2006/relationships/hyperlink" Target="https://warthunder.com/en/news/8105-special-south-african-armed-forces-day-en" TargetMode="External"/><Relationship Id="rId945" Type="http://schemas.openxmlformats.org/officeDocument/2006/relationships/hyperlink" Target="https://warthunder.com/en/news/8833-special-get-a-decal-for-the-anniversary-of-the-italian-air-force-en" TargetMode="External"/><Relationship Id="rId74" Type="http://schemas.openxmlformats.org/officeDocument/2006/relationships/hyperlink" Target="https://warthunder.com/en/news/426/current" TargetMode="External"/><Relationship Id="rId377" Type="http://schemas.openxmlformats.org/officeDocument/2006/relationships/hyperlink" Target="https://warthunder.com/en/news/4941-event-wingball-en" TargetMode="External"/><Relationship Id="rId500" Type="http://schemas.openxmlformats.org/officeDocument/2006/relationships/hyperlink" Target="https://warthunder.com/en/news/6703-event-winner-vehicles-for-the-victory-anniversary-en" TargetMode="External"/><Relationship Id="rId584" Type="http://schemas.openxmlformats.org/officeDocument/2006/relationships/hyperlink" Target="https://warthunder.com/en/news/7546-special-operation-veritable-en" TargetMode="External"/><Relationship Id="rId805" Type="http://schemas.openxmlformats.org/officeDocument/2006/relationships/hyperlink" Target="https://warthunder.com/en/news/8331-event-pages-of-history-july-en" TargetMode="External"/><Relationship Id="rId1130" Type="http://schemas.openxmlformats.org/officeDocument/2006/relationships/hyperlink" Target="https://warthunder.com/en/news/9349-event-pages-of-history-february-the-big-chief-en" TargetMode="External"/><Relationship Id="rId5" Type="http://schemas.openxmlformats.org/officeDocument/2006/relationships/hyperlink" Target="https://warthunder.com/en/news/82/current" TargetMode="External"/><Relationship Id="rId237" Type="http://schemas.openxmlformats.org/officeDocument/2006/relationships/hyperlink" Target="https://warthunder.com/en/news/3204/current" TargetMode="External"/><Relationship Id="rId791" Type="http://schemas.openxmlformats.org/officeDocument/2006/relationships/hyperlink" Target="https://warthunder.com/en/news/8281-event-pages-of-history-june-en" TargetMode="External"/><Relationship Id="rId889" Type="http://schemas.openxmlformats.org/officeDocument/2006/relationships/hyperlink" Target="https://warthunder.com/en/news/8380-special-t-69-ii-g-and-a-decal-to-commemorate-pla-day-en" TargetMode="External"/><Relationship Id="rId1074" Type="http://schemas.openxmlformats.org/officeDocument/2006/relationships/hyperlink" Target="https://warthunder.com/en/news/8970-shop-special-a-plane-ship-and-decal-for-the-anniversary-of-the-japanese-self-defense-forces-en" TargetMode="External"/><Relationship Id="rId444" Type="http://schemas.openxmlformats.org/officeDocument/2006/relationships/hyperlink" Target="https://warthunder.com/en/news/5426-event-hats-off-to-you-en" TargetMode="External"/><Relationship Id="rId651" Type="http://schemas.openxmlformats.org/officeDocument/2006/relationships/hyperlink" Target="https://warthunder.com/en/news/7845-special-victory-in-asia-day-en" TargetMode="External"/><Relationship Id="rId749" Type="http://schemas.openxmlformats.org/officeDocument/2006/relationships/hyperlink" Target="https://warthunder.com/en/news/8124-event-pages-of-history-march-en" TargetMode="External"/><Relationship Id="rId290" Type="http://schemas.openxmlformats.org/officeDocument/2006/relationships/hyperlink" Target="https://warthunder.com/en/news/3619-special-500k-facebook-mastermind-quiz-en" TargetMode="External"/><Relationship Id="rId304" Type="http://schemas.openxmlformats.org/officeDocument/2006/relationships/hyperlink" Target="https://warthunder.com/en/news/3802-event-independence-day-air-battles-over-the-ardennes-en" TargetMode="External"/><Relationship Id="rId388" Type="http://schemas.openxmlformats.org/officeDocument/2006/relationships/hyperlink" Target="https://warthunder.com/en/news/5062-special-halloween-update-winners-list-en" TargetMode="External"/><Relationship Id="rId511" Type="http://schemas.openxmlformats.org/officeDocument/2006/relationships/hyperlink" Target="https://warthunder.com/en/news/6862-special-happy-tankers-day-en" TargetMode="External"/><Relationship Id="rId609" Type="http://schemas.openxmlformats.org/officeDocument/2006/relationships/hyperlink" Target="https://warthunder.com/en/news/7664-event-pages-of-history-may-en" TargetMode="External"/><Relationship Id="rId956" Type="http://schemas.openxmlformats.org/officeDocument/2006/relationships/hyperlink" Target="https://warthunder.com/en/news/8869-special-a-decal-for-italian-liberation-day-en" TargetMode="External"/><Relationship Id="rId85" Type="http://schemas.openxmlformats.org/officeDocument/2006/relationships/hyperlink" Target="https://warthunder.com/en/news/464/current" TargetMode="External"/><Relationship Id="rId150" Type="http://schemas.openxmlformats.org/officeDocument/2006/relationships/hyperlink" Target="https://warthunder.com/en/news/838/current" TargetMode="External"/><Relationship Id="rId595" Type="http://schemas.openxmlformats.org/officeDocument/2006/relationships/hyperlink" Target="https://warthunder.com/en/news/7629-event-pages-of-history-april-en" TargetMode="External"/><Relationship Id="rId816" Type="http://schemas.openxmlformats.org/officeDocument/2006/relationships/hyperlink" Target="https://warthunder.com/en/news/8366-event-pages-of-history-august-en" TargetMode="External"/><Relationship Id="rId1001" Type="http://schemas.openxmlformats.org/officeDocument/2006/relationships/hyperlink" Target="https://warthunder.com/en/news/9004-event-pages-of-history-august-the-first-in-paris-en" TargetMode="External"/><Relationship Id="rId248" Type="http://schemas.openxmlformats.org/officeDocument/2006/relationships/hyperlink" Target="https://warthunder.com/en/news/3273/current" TargetMode="External"/><Relationship Id="rId455" Type="http://schemas.openxmlformats.org/officeDocument/2006/relationships/hyperlink" Target="https://warthunder.com/en/news/6114-event-tank-football-friendly-matches-en" TargetMode="External"/><Relationship Id="rId662" Type="http://schemas.openxmlformats.org/officeDocument/2006/relationships/hyperlink" Target="https://warthunder.com/en/news/7888-event-pages-of-history-october-en" TargetMode="External"/><Relationship Id="rId1085" Type="http://schemas.openxmlformats.org/officeDocument/2006/relationships/hyperlink" Target="https://warthunder.com/en/news/8832-event-pages-of-history-april-for-zoya-en" TargetMode="External"/><Relationship Id="rId12" Type="http://schemas.openxmlformats.org/officeDocument/2006/relationships/hyperlink" Target="https://warthunder.com/en/news/135/current" TargetMode="External"/><Relationship Id="rId108" Type="http://schemas.openxmlformats.org/officeDocument/2006/relationships/hyperlink" Target="https://warthunder.com/en/news/533/current" TargetMode="External"/><Relationship Id="rId315" Type="http://schemas.openxmlformats.org/officeDocument/2006/relationships/hyperlink" Target="https://warthunder.com/en/news/4269-event-floats-en" TargetMode="External"/><Relationship Id="rId522" Type="http://schemas.openxmlformats.org/officeDocument/2006/relationships/hyperlink" Target="https://warthunder.com/en/news/7009-christmas-wishes-en" TargetMode="External"/><Relationship Id="rId967" Type="http://schemas.openxmlformats.org/officeDocument/2006/relationships/hyperlink" Target="https://warthunder.com/en/news/8887-special-us-armed-forces-day-celebrating-with-a-new-decal-en" TargetMode="External"/><Relationship Id="rId96" Type="http://schemas.openxmlformats.org/officeDocument/2006/relationships/hyperlink" Target="https://warthunder.com/en/news/495/current" TargetMode="External"/><Relationship Id="rId161" Type="http://schemas.openxmlformats.org/officeDocument/2006/relationships/hyperlink" Target="https://warthunder.com/en/news/877/current" TargetMode="External"/><Relationship Id="rId399" Type="http://schemas.openxmlformats.org/officeDocument/2006/relationships/hyperlink" Target="https://warthunder.com/en/news/4464-event-airfield-assault-and-defense-stalingrad-enduring-confrontation-english-channel-en" TargetMode="External"/><Relationship Id="rId827" Type="http://schemas.openxmlformats.org/officeDocument/2006/relationships/hyperlink" Target="https://warthunder.com/en/news/8483-special-the-mi-24d-returns-to-celebrate-the-anniversary-of-its-first-flight-en" TargetMode="External"/><Relationship Id="rId1012" Type="http://schemas.openxmlformats.org/officeDocument/2006/relationships/hyperlink" Target="https://warthunder.com/en/news/9034-shop-anniversary-of-the-mig-15s-adoption-into-service-discount-on-the-mig-15bis-ish-en" TargetMode="External"/><Relationship Id="rId259" Type="http://schemas.openxmlformats.org/officeDocument/2006/relationships/hyperlink" Target="https://warthunder.com/en/news/3393/current" TargetMode="External"/><Relationship Id="rId466" Type="http://schemas.openxmlformats.org/officeDocument/2006/relationships/hyperlink" Target="https://warthunder.com/en/news/6269-event-sicilian-campaign-en" TargetMode="External"/><Relationship Id="rId673" Type="http://schemas.openxmlformats.org/officeDocument/2006/relationships/hyperlink" Target="https://warthunder.com/en/news/7926-event-pages-of-history-november-en" TargetMode="External"/><Relationship Id="rId880" Type="http://schemas.openxmlformats.org/officeDocument/2006/relationships/hyperlink" Target="https://warthunder.com/en/news/8304-special-celebrating-500-years-of-swedish-independence-en" TargetMode="External"/><Relationship Id="rId1096" Type="http://schemas.openxmlformats.org/officeDocument/2006/relationships/hyperlink" Target="https://warthunder.com/en/news/9007-shop-special-the-type-69-iia-and-a-decal-to-commemorate-pla-day-en" TargetMode="External"/><Relationship Id="rId23" Type="http://schemas.openxmlformats.org/officeDocument/2006/relationships/hyperlink" Target="https://warthunder.com/en/news/207/current" TargetMode="External"/><Relationship Id="rId119" Type="http://schemas.openxmlformats.org/officeDocument/2006/relationships/hyperlink" Target="https://warthunder.com/en/news/585/current" TargetMode="External"/><Relationship Id="rId326" Type="http://schemas.openxmlformats.org/officeDocument/2006/relationships/hyperlink" Target="https://warthunder.com/en/news/4370-event-battle-for-moscow-en" TargetMode="External"/><Relationship Id="rId533" Type="http://schemas.openxmlformats.org/officeDocument/2006/relationships/hyperlink" Target="https://old-forum.warthunder.com/index.php?/topic/520932-happy-easter/" TargetMode="External"/><Relationship Id="rId978" Type="http://schemas.openxmlformats.org/officeDocument/2006/relationships/hyperlink" Target="https://warthunder.com/en/news/8932-event-shop-celebrate-the-80th-anniversary-of-d-day-in-war-thunder-en" TargetMode="External"/><Relationship Id="rId740" Type="http://schemas.openxmlformats.org/officeDocument/2006/relationships/hyperlink" Target="https://warthunder.com/en/news/8073-event-pages-of-history-february-en" TargetMode="External"/><Relationship Id="rId838" Type="http://schemas.openxmlformats.org/officeDocument/2006/relationships/hyperlink" Target="https://warthunder.com/en/news/8524-special-trafalgar-day-a-decal-and-hmcs-haida-to-celebrate-en" TargetMode="External"/><Relationship Id="rId1023" Type="http://schemas.openxmlformats.org/officeDocument/2006/relationships/hyperlink" Target="https://warthunder.com/en/news/9024-shop-special-us-airborne-day-get-yourself-a-new-decal-the-uh-1c-xm-30-en" TargetMode="External"/><Relationship Id="rId172" Type="http://schemas.openxmlformats.org/officeDocument/2006/relationships/hyperlink" Target="https://warthunder.com/en/news/2618/current" TargetMode="External"/><Relationship Id="rId477" Type="http://schemas.openxmlformats.org/officeDocument/2006/relationships/hyperlink" Target="https://warthunder.com/en/news/6412-special-german-unity-day-en" TargetMode="External"/><Relationship Id="rId600" Type="http://schemas.openxmlformats.org/officeDocument/2006/relationships/hyperlink" Target="https://warthunder.com/en/news/7629-event-pages-of-history-april-en" TargetMode="External"/><Relationship Id="rId684" Type="http://schemas.openxmlformats.org/officeDocument/2006/relationships/hyperlink" Target="https://warthunder.com/en/news/7926-event-pages-of-history-november-en" TargetMode="External"/><Relationship Id="rId337" Type="http://schemas.openxmlformats.org/officeDocument/2006/relationships/hyperlink" Target="https://warthunder.com/en/news/4166-event-rapid-fire-and-floats-en" TargetMode="External"/><Relationship Id="rId891" Type="http://schemas.openxmlformats.org/officeDocument/2006/relationships/hyperlink" Target="https://warthunder.com/en/news/8413-special-mig-15bis-ish-returns-for-official-service-anniversary-en" TargetMode="External"/><Relationship Id="rId905" Type="http://schemas.openxmlformats.org/officeDocument/2006/relationships/hyperlink" Target="https://warthunder.com/en/news/8341-special-decal-for-canada-day-en" TargetMode="External"/><Relationship Id="rId989" Type="http://schemas.openxmlformats.org/officeDocument/2006/relationships/hyperlink" Target="https://warthunder.com/en/news/8964-event-pages-of-history-july-the-jumping-general-en" TargetMode="External"/><Relationship Id="rId34" Type="http://schemas.openxmlformats.org/officeDocument/2006/relationships/hyperlink" Target="https://warthunder.com/en/news/263/current" TargetMode="External"/><Relationship Id="rId544" Type="http://schemas.openxmlformats.org/officeDocument/2006/relationships/hyperlink" Target="https://warthunder.com/en/news/7269-special-day-of-chinese-people-s-liberation-army-en" TargetMode="External"/><Relationship Id="rId751" Type="http://schemas.openxmlformats.org/officeDocument/2006/relationships/hyperlink" Target="https://warthunder.com/en/news/8124-event-pages-of-history-march-en" TargetMode="External"/><Relationship Id="rId849" Type="http://schemas.openxmlformats.org/officeDocument/2006/relationships/hyperlink" Target="https://warthunder.com/en/news/8549-event-pages-of-history-november-en" TargetMode="External"/><Relationship Id="rId183" Type="http://schemas.openxmlformats.org/officeDocument/2006/relationships/hyperlink" Target="https://warthunder.com/en/news/2749--en" TargetMode="External"/><Relationship Id="rId390" Type="http://schemas.openxmlformats.org/officeDocument/2006/relationships/hyperlink" Target="https://warthunder.com/en/news/5132-shop-take-advantage-of-special-black-friday-en" TargetMode="External"/><Relationship Id="rId404" Type="http://schemas.openxmlformats.org/officeDocument/2006/relationships/hyperlink" Target="https://warthunder.com/en/news/5139-special-75th-anniversary-of-the-normandie-niemen-en" TargetMode="External"/><Relationship Id="rId611" Type="http://schemas.openxmlformats.org/officeDocument/2006/relationships/hyperlink" Target="https://warthunder.com/en/news/7664-event-pages-of-history-may-en" TargetMode="External"/><Relationship Id="rId1034" Type="http://schemas.openxmlformats.org/officeDocument/2006/relationships/hyperlink" Target="https://warthunder.com/en/news/9111-event-pages-of-history-october-pacific-ace-en" TargetMode="External"/><Relationship Id="rId250" Type="http://schemas.openxmlformats.org/officeDocument/2006/relationships/hyperlink" Target="https://warthunder.com/en/news/3290/current" TargetMode="External"/><Relationship Id="rId488" Type="http://schemas.openxmlformats.org/officeDocument/2006/relationships/hyperlink" Target="https://old-forum.warthunder.com/index.php?/topic/463012-event-%E2%80%9Cnight-battles%E2%80%9D/" TargetMode="External"/><Relationship Id="rId695" Type="http://schemas.openxmlformats.org/officeDocument/2006/relationships/hyperlink" Target="https://warthunder.com/en/news/8040-merry-christmas-and-happy-new-year-2023-en" TargetMode="External"/><Relationship Id="rId709" Type="http://schemas.openxmlformats.org/officeDocument/2006/relationships/hyperlink" Target="https://warthunder.com/en/news/7762-special-swedish-air-forces-day-en" TargetMode="External"/><Relationship Id="rId916" Type="http://schemas.openxmlformats.org/officeDocument/2006/relationships/hyperlink" Target="https://warthunder.com/en/news/8712-special-australia-day-the-boomerang-mkii-returns-discounts-and-earn-a-koala-decal-en" TargetMode="External"/><Relationship Id="rId1101" Type="http://schemas.openxmlformats.org/officeDocument/2006/relationships/hyperlink" Target="https://warthunder.com/en/news/9100-shop-three-variants-of-the-mi-24-are-available-at-a-discount-to-mark-the-anniversary-of-its-first-flight-en" TargetMode="External"/><Relationship Id="rId45" Type="http://schemas.openxmlformats.org/officeDocument/2006/relationships/hyperlink" Target="https://warthunder.com/en/news/306/current" TargetMode="External"/><Relationship Id="rId110" Type="http://schemas.openxmlformats.org/officeDocument/2006/relationships/hyperlink" Target="https://warthunder.com/en/news/546/current" TargetMode="External"/><Relationship Id="rId348" Type="http://schemas.openxmlformats.org/officeDocument/2006/relationships/hyperlink" Target="https://warthunder.com/en/news/4475-event-winter-games-biathlon-curling-and-races-en" TargetMode="External"/><Relationship Id="rId555" Type="http://schemas.openxmlformats.org/officeDocument/2006/relationships/hyperlink" Target="https://warthunder.com/en/news/7417-shop-war-thunder-birthday-sale-in-gaijin-net-store-en" TargetMode="External"/><Relationship Id="rId762" Type="http://schemas.openxmlformats.org/officeDocument/2006/relationships/hyperlink" Target="https://warthunder.com/en/news/8167-event-pages-of-history-april-en" TargetMode="External"/><Relationship Id="rId194" Type="http://schemas.openxmlformats.org/officeDocument/2006/relationships/hyperlink" Target="https://warthunder.com/en/news/914/current" TargetMode="External"/><Relationship Id="rId208" Type="http://schemas.openxmlformats.org/officeDocument/2006/relationships/hyperlink" Target="https://warthunder.com/en/news/2835/current" TargetMode="External"/><Relationship Id="rId415" Type="http://schemas.openxmlformats.org/officeDocument/2006/relationships/hyperlink" Target="https://warthunder.com/en/news/5405-news-birthday-of-alexander-pokryshkin-en" TargetMode="External"/><Relationship Id="rId622" Type="http://schemas.openxmlformats.org/officeDocument/2006/relationships/hyperlink" Target="https://warthunder.com/en/news/7689-event-pages-of-history-june-en" TargetMode="External"/><Relationship Id="rId1045" Type="http://schemas.openxmlformats.org/officeDocument/2006/relationships/hyperlink" Target="https://warthunder.com/en/news/9169-shop-war-thunders-12th-birthday-sale-in-the-gaijinnet-store-en" TargetMode="External"/><Relationship Id="rId261" Type="http://schemas.openxmlformats.org/officeDocument/2006/relationships/hyperlink" Target="https://warthunder.com/en/news/5109-event-team-deathmatch-100-en" TargetMode="External"/><Relationship Id="rId499" Type="http://schemas.openxmlformats.org/officeDocument/2006/relationships/hyperlink" Target="https://warthunder.com/en/news/6698-event-quarantine-maneuvers-in-war-thunder-en" TargetMode="External"/><Relationship Id="rId927" Type="http://schemas.openxmlformats.org/officeDocument/2006/relationships/hyperlink" Target="https://warthunder.com/en/news/8748-shop-aigle-is-back-on-the-anniversary-of-its-launch-en" TargetMode="External"/><Relationship Id="rId1112" Type="http://schemas.openxmlformats.org/officeDocument/2006/relationships/hyperlink" Target="https://warthunder.com/en/news/9302-event-pages-of-history-january-defender-of-leningrad-en" TargetMode="External"/><Relationship Id="rId56" Type="http://schemas.openxmlformats.org/officeDocument/2006/relationships/hyperlink" Target="https://warthunder.com/en/news/357/current" TargetMode="External"/><Relationship Id="rId359" Type="http://schemas.openxmlformats.org/officeDocument/2006/relationships/hyperlink" Target="https://warthunder.com/en/news/4643-event-cosmonautics-day-en" TargetMode="External"/><Relationship Id="rId566" Type="http://schemas.openxmlformats.org/officeDocument/2006/relationships/hyperlink" Target="https://warthunder.com/en/news/7488-special-the-ardennes-offensive-en" TargetMode="External"/><Relationship Id="rId773" Type="http://schemas.openxmlformats.org/officeDocument/2006/relationships/hyperlink" Target="https://warthunder.com/en/news/8208-event-pages-of-history-may-en" TargetMode="External"/><Relationship Id="rId121" Type="http://schemas.openxmlformats.org/officeDocument/2006/relationships/hyperlink" Target="https://warthunder.com/en/news/596/current" TargetMode="External"/><Relationship Id="rId219" Type="http://schemas.openxmlformats.org/officeDocument/2006/relationships/hyperlink" Target="https://warthunder.com/en/news/2981/current" TargetMode="External"/><Relationship Id="rId426" Type="http://schemas.openxmlformats.org/officeDocument/2006/relationships/hyperlink" Target="https://warthunder.com/en/news/5624-event-a-fiery-ball-football-competition-for-tanks-update-en" TargetMode="External"/><Relationship Id="rId633" Type="http://schemas.openxmlformats.org/officeDocument/2006/relationships/hyperlink" Target="https://warthunder.com/en/news/7775-special-bastille-day-en" TargetMode="External"/><Relationship Id="rId980" Type="http://schemas.openxmlformats.org/officeDocument/2006/relationships/hyperlink" Target="https://warthunder.com/en/news/8939-special-italian-navy-day-a-decal-and-rn-geniere-for-golden-eagles-en" TargetMode="External"/><Relationship Id="rId1056" Type="http://schemas.openxmlformats.org/officeDocument/2006/relationships/hyperlink" Target="https://warthunder.com/en/news/9173-event-pages-of-history-november-medicane-en" TargetMode="External"/><Relationship Id="rId840" Type="http://schemas.openxmlformats.org/officeDocument/2006/relationships/hyperlink" Target="https://warthunder.com/en/news/8540-special-j35a-draken-returns-for-the-anniversary-of-its-maiden-flight-en" TargetMode="External"/><Relationship Id="rId938" Type="http://schemas.openxmlformats.org/officeDocument/2006/relationships/hyperlink" Target="https://warthunder.com/en/news/8761-event-pages-of-history-march-on-wings-of-war-en" TargetMode="External"/><Relationship Id="rId67" Type="http://schemas.openxmlformats.org/officeDocument/2006/relationships/hyperlink" Target="https://warthunder.com/en/news/399/current" TargetMode="External"/><Relationship Id="rId272" Type="http://schemas.openxmlformats.org/officeDocument/2006/relationships/hyperlink" Target="https://warthunder.com/en/news/2764/current" TargetMode="External"/><Relationship Id="rId577" Type="http://schemas.openxmlformats.org/officeDocument/2006/relationships/hyperlink" Target="https://warthunder.com/en/news/7504-special-operation-bolo-en" TargetMode="External"/><Relationship Id="rId700" Type="http://schemas.openxmlformats.org/officeDocument/2006/relationships/hyperlink" Target="https://warthunder.com/en/news/7564-shop-day-of-the-south-african-armed-forces-en" TargetMode="External"/><Relationship Id="rId1123" Type="http://schemas.openxmlformats.org/officeDocument/2006/relationships/hyperlink" Target="https://warthunder.com/en/news/9349-event-pages-of-history-february-the-big-chief-en" TargetMode="External"/><Relationship Id="rId132" Type="http://schemas.openxmlformats.org/officeDocument/2006/relationships/hyperlink" Target="https://warthunder.com/en/news/678/current" TargetMode="External"/><Relationship Id="rId784" Type="http://schemas.openxmlformats.org/officeDocument/2006/relationships/hyperlink" Target="https://warthunder.com/en/news/8306-special-vehicles-of-d-day-for-golden-eagles-en" TargetMode="External"/><Relationship Id="rId991" Type="http://schemas.openxmlformats.org/officeDocument/2006/relationships/hyperlink" Target="https://warthunder.com/en/news/8974-shop-special-happy-july-4th-a-tank-fighter-and-a-decal-for-us-independence-day-en" TargetMode="External"/><Relationship Id="rId1067" Type="http://schemas.openxmlformats.org/officeDocument/2006/relationships/hyperlink" Target="https://warthunder.com/en/news/9240-event-pages-of-history-december-world-champion-en" TargetMode="External"/><Relationship Id="rId437" Type="http://schemas.openxmlformats.org/officeDocument/2006/relationships/hyperlink" Target="https://old-forum.warthunder.com/index.php?/topic/432543-remembrance-sunday-lest-we-forget-1111/" TargetMode="External"/><Relationship Id="rId644" Type="http://schemas.openxmlformats.org/officeDocument/2006/relationships/hyperlink" Target="https://warthunder.com/en/news/7789-event-pages-of-history-august-en" TargetMode="External"/><Relationship Id="rId851" Type="http://schemas.openxmlformats.org/officeDocument/2006/relationships/hyperlink" Target="https://warthunder.com/en/news/8549-event-pages-of-history-november-en" TargetMode="External"/><Relationship Id="rId283" Type="http://schemas.openxmlformats.org/officeDocument/2006/relationships/hyperlink" Target="https://warthunder.com/en/news/3504/current" TargetMode="External"/><Relationship Id="rId490" Type="http://schemas.openxmlformats.org/officeDocument/2006/relationships/hyperlink" Target="https://warthunder.com/en/news/6542-shop-the-new-year-sale-en" TargetMode="External"/><Relationship Id="rId504" Type="http://schemas.openxmlformats.org/officeDocument/2006/relationships/hyperlink" Target="https://warthunder.com/en/news/6782-event-world-war-season-road-to-the-west-en" TargetMode="External"/><Relationship Id="rId711" Type="http://schemas.openxmlformats.org/officeDocument/2006/relationships/hyperlink" Target="https://warthunder.com/en/news/7888-event-pages-of-history-october-en" TargetMode="External"/><Relationship Id="rId949" Type="http://schemas.openxmlformats.org/officeDocument/2006/relationships/hyperlink" Target="https://warthunder.com/en/news/8832-event-pages-of-history-april-for-zoya-en" TargetMode="External"/><Relationship Id="rId1134" Type="http://schemas.openxmlformats.org/officeDocument/2006/relationships/hyperlink" Target="https://warthunder.com/en/news/9367-shop-the-bo-105-cb-2-is-temporarily-available-at-a-discount-for-the-bo-105s-first-flight-en" TargetMode="External"/><Relationship Id="rId78" Type="http://schemas.openxmlformats.org/officeDocument/2006/relationships/hyperlink" Target="https://warthunder.com/en/news/439/current" TargetMode="External"/><Relationship Id="rId143" Type="http://schemas.openxmlformats.org/officeDocument/2006/relationships/hyperlink" Target="https://warthunder.com/en/news/775/current" TargetMode="External"/><Relationship Id="rId350" Type="http://schemas.openxmlformats.org/officeDocument/2006/relationships/hyperlink" Target="https://warthunder.com/en/news/4521-event-rescue-operation-en" TargetMode="External"/><Relationship Id="rId588" Type="http://schemas.openxmlformats.org/officeDocument/2006/relationships/hyperlink" Target="https://warthunder.com/en/news/7568-special-esport-defender-tournament-and-gaijin-store-sale-en" TargetMode="External"/><Relationship Id="rId795" Type="http://schemas.openxmlformats.org/officeDocument/2006/relationships/hyperlink" Target="https://warthunder.com/en/news/8345-special-decal-for-french-air-force-day-en" TargetMode="External"/><Relationship Id="rId809" Type="http://schemas.openxmlformats.org/officeDocument/2006/relationships/hyperlink" Target="https://warthunder.com/en/news/8366-event-pages-of-history-august-en" TargetMode="External"/><Relationship Id="rId9" Type="http://schemas.openxmlformats.org/officeDocument/2006/relationships/hyperlink" Target="https://warthunder.com/en/news/105/current" TargetMode="External"/><Relationship Id="rId210" Type="http://schemas.openxmlformats.org/officeDocument/2006/relationships/hyperlink" Target="https://warthunder.com/en/news/2859/current" TargetMode="External"/><Relationship Id="rId448" Type="http://schemas.openxmlformats.org/officeDocument/2006/relationships/hyperlink" Target="https://warthunder.com/en/news/6003-event-the-liberation-of-leningrad-75th-anniversary-en" TargetMode="External"/><Relationship Id="rId655" Type="http://schemas.openxmlformats.org/officeDocument/2006/relationships/hyperlink" Target="https://warthunder.com/en/news/7837-event-pages-of-history-september-en" TargetMode="External"/><Relationship Id="rId862" Type="http://schemas.openxmlformats.org/officeDocument/2006/relationships/hyperlink" Target="https://warthunder.com/en/news/8667-event-celebrate-christmas-and-the-new-year-in-war-thunder-en" TargetMode="External"/><Relationship Id="rId1078" Type="http://schemas.openxmlformats.org/officeDocument/2006/relationships/hyperlink" Target="https://warthunder.com/en/news/8680-event-pages-of-history-january-ace-in-a-day-en" TargetMode="External"/><Relationship Id="rId294" Type="http://schemas.openxmlformats.org/officeDocument/2006/relationships/hyperlink" Target="https://warthunder.com/en/news/3676-event-large-calibres-event-en" TargetMode="External"/><Relationship Id="rId308" Type="http://schemas.openxmlformats.org/officeDocument/2006/relationships/hyperlink" Target="https://warthunder.com/en/news/4174-event-new-missions-en" TargetMode="External"/><Relationship Id="rId515" Type="http://schemas.openxmlformats.org/officeDocument/2006/relationships/hyperlink" Target="https://warthunder.com/en/news/6907-special-8th-anniversary-of-war-thunder-en" TargetMode="External"/><Relationship Id="rId722" Type="http://schemas.openxmlformats.org/officeDocument/2006/relationships/hyperlink" Target="https://warthunder.com/en/news/8059-shop-special-happy-lunar-new-year-en" TargetMode="External"/><Relationship Id="rId89" Type="http://schemas.openxmlformats.org/officeDocument/2006/relationships/hyperlink" Target="https://warthunder.com/en/news/479/current" TargetMode="External"/><Relationship Id="rId154" Type="http://schemas.openxmlformats.org/officeDocument/2006/relationships/hyperlink" Target="https://warthunder.com/en/news/849/current" TargetMode="External"/><Relationship Id="rId361" Type="http://schemas.openxmlformats.org/officeDocument/2006/relationships/hyperlink" Target="https://warthunder.com/en/news/4693-vday-happy-victory-day-en" TargetMode="External"/><Relationship Id="rId599" Type="http://schemas.openxmlformats.org/officeDocument/2006/relationships/hyperlink" Target="https://warthunder.com/en/news/7629-event-pages-of-history-april-en" TargetMode="External"/><Relationship Id="rId1005" Type="http://schemas.openxmlformats.org/officeDocument/2006/relationships/hyperlink" Target="https://warthunder.com/en/news/9004-event-pages-of-history-august-the-first-in-paris-en" TargetMode="External"/><Relationship Id="rId459" Type="http://schemas.openxmlformats.org/officeDocument/2006/relationships/hyperlink" Target="https://warthunder.com/en/news/6232-event-d-day-75th-anniversary-normandy-landings-en" TargetMode="External"/><Relationship Id="rId666" Type="http://schemas.openxmlformats.org/officeDocument/2006/relationships/hyperlink" Target="https://warthunder.com/en/news/7903-special-us-navy-birthday-en" TargetMode="External"/><Relationship Id="rId873" Type="http://schemas.openxmlformats.org/officeDocument/2006/relationships/hyperlink" Target="https://warthunder.com/en/news/8211-special-israel-independence-day-en" TargetMode="External"/><Relationship Id="rId1089" Type="http://schemas.openxmlformats.org/officeDocument/2006/relationships/hyperlink" Target="https://warthunder.com/en/news/8913-event-pages-of-history-june-the-military-engineer-en" TargetMode="External"/><Relationship Id="rId16" Type="http://schemas.openxmlformats.org/officeDocument/2006/relationships/hyperlink" Target="https://warthunder.com/en/news/164/current" TargetMode="External"/><Relationship Id="rId221" Type="http://schemas.openxmlformats.org/officeDocument/2006/relationships/hyperlink" Target="https://warthunder.com/en/news/2987/current" TargetMode="External"/><Relationship Id="rId319" Type="http://schemas.openxmlformats.org/officeDocument/2006/relationships/hyperlink" Target="https://warthunder.com/en/news/4304-war-thunder-four-years-and-still-going-strong-en" TargetMode="External"/><Relationship Id="rId526" Type="http://schemas.openxmlformats.org/officeDocument/2006/relationships/hyperlink" Target="https://warthunder.com/en/news/6114-event-tank-football-friendly-matches-en" TargetMode="External"/><Relationship Id="rId733" Type="http://schemas.openxmlformats.org/officeDocument/2006/relationships/hyperlink" Target="https://warthunder.com/en/news/8073-event-pages-of-history-february-en" TargetMode="External"/><Relationship Id="rId940" Type="http://schemas.openxmlformats.org/officeDocument/2006/relationships/hyperlink" Target="https://warthunder.com/en/news/8761-event-pages-of-history-march-on-wings-of-war-en" TargetMode="External"/><Relationship Id="rId1016" Type="http://schemas.openxmlformats.org/officeDocument/2006/relationships/hyperlink" Target="https://warthunder.com/en/news/9038-event-pages-of-history-september-attacker-ace-en" TargetMode="External"/><Relationship Id="rId165" Type="http://schemas.openxmlformats.org/officeDocument/2006/relationships/hyperlink" Target="https://warthunder.com/en/news/903/current" TargetMode="External"/><Relationship Id="rId372" Type="http://schemas.openxmlformats.org/officeDocument/2006/relationships/hyperlink" Target="https://warthunder.com/en/news/4842-event-ctf-classic-mode-survey-is-over-en" TargetMode="External"/><Relationship Id="rId677" Type="http://schemas.openxmlformats.org/officeDocument/2006/relationships/hyperlink" Target="https://warthunder.com/en/news/7926-event-pages-of-history-november-en" TargetMode="External"/><Relationship Id="rId800" Type="http://schemas.openxmlformats.org/officeDocument/2006/relationships/hyperlink" Target="https://warthunder.com/en/news/8352-event-combat-robots-of-atomic-heart-come-to-war-thunder-en" TargetMode="External"/><Relationship Id="rId232" Type="http://schemas.openxmlformats.org/officeDocument/2006/relationships/hyperlink" Target="https://warthunder.com/en/news/3157/current" TargetMode="External"/><Relationship Id="rId884" Type="http://schemas.openxmlformats.org/officeDocument/2006/relationships/hyperlink" Target="https://warthunder.com/en/news/8336-shop-summer-sale-in-the-gaijin-store-en" TargetMode="External"/><Relationship Id="rId27" Type="http://schemas.openxmlformats.org/officeDocument/2006/relationships/hyperlink" Target="https://warthunder.com/en/news/231/current" TargetMode="External"/><Relationship Id="rId537" Type="http://schemas.openxmlformats.org/officeDocument/2006/relationships/hyperlink" Target="https://warthunder.com/en/news/7205-shop-d-day-bundles-en" TargetMode="External"/><Relationship Id="rId744" Type="http://schemas.openxmlformats.org/officeDocument/2006/relationships/hyperlink" Target="https://warthunder.com/en/news/8144-special-happy-international-women-s-day-en" TargetMode="External"/><Relationship Id="rId951" Type="http://schemas.openxmlformats.org/officeDocument/2006/relationships/hyperlink" Target="https://warthunder.com/en/news/8832-event-pages-of-history-april-for-zoya-en" TargetMode="External"/><Relationship Id="rId80" Type="http://schemas.openxmlformats.org/officeDocument/2006/relationships/hyperlink" Target="https://web.archive.org/web/20211101000000*/https:/warthunder.com/en/news/6838-event-tank-biathlon-and-sea-biathlon-en" TargetMode="External"/><Relationship Id="rId176" Type="http://schemas.openxmlformats.org/officeDocument/2006/relationships/hyperlink" Target="https://warthunder.com/en/news/2650/current" TargetMode="External"/><Relationship Id="rId383" Type="http://schemas.openxmlformats.org/officeDocument/2006/relationships/hyperlink" Target="https://warthunder.com/en/news/4993-event-battle-royale-and-enduring-confrontation-en" TargetMode="External"/><Relationship Id="rId590" Type="http://schemas.openxmlformats.org/officeDocument/2006/relationships/hyperlink" Target="https://warthunder.com/en/news/7581-special-happy-international-women-s-day-en" TargetMode="External"/><Relationship Id="rId604" Type="http://schemas.openxmlformats.org/officeDocument/2006/relationships/hyperlink" Target="https://warthunder.com/en/news/7668-special-japanese-constitution-day-en" TargetMode="External"/><Relationship Id="rId811" Type="http://schemas.openxmlformats.org/officeDocument/2006/relationships/hyperlink" Target="https://warthunder.com/en/news/8396-special-the-cuban-mig-17as-is-back-for-ge-and-a-russian-air-force-decal-en" TargetMode="External"/><Relationship Id="rId1027" Type="http://schemas.openxmlformats.org/officeDocument/2006/relationships/hyperlink" Target="https://warthunder.com/en/news/9038-event-pages-of-history-september-attacker-ace-en" TargetMode="External"/><Relationship Id="rId243" Type="http://schemas.openxmlformats.org/officeDocument/2006/relationships/hyperlink" Target="https://warthunder.com/en/news/3229/current" TargetMode="External"/><Relationship Id="rId450" Type="http://schemas.openxmlformats.org/officeDocument/2006/relationships/hyperlink" Target="https://warthunder.com/en/news/6032-special-valentine-s-day-with-war-thunder-en" TargetMode="External"/><Relationship Id="rId688" Type="http://schemas.openxmlformats.org/officeDocument/2006/relationships/hyperlink" Target="https://warthunder.com/en/news/7981-event-pages-of-history-december-en" TargetMode="External"/><Relationship Id="rId895" Type="http://schemas.openxmlformats.org/officeDocument/2006/relationships/hyperlink" Target="https://warthunder.com/en/news/8426-event-pages-of-history-september-en" TargetMode="External"/><Relationship Id="rId909" Type="http://schemas.openxmlformats.org/officeDocument/2006/relationships/hyperlink" Target="https://warthunder.com/en/news/8680-event-pages-of-history-january-ace-in-a-day-en" TargetMode="External"/><Relationship Id="rId1080" Type="http://schemas.openxmlformats.org/officeDocument/2006/relationships/hyperlink" Target="https://warthunder.com/en/news/8727-special-national-foundation-day-in-japan-rare-vehicles-temporarily-on-sale-en" TargetMode="External"/><Relationship Id="rId38" Type="http://schemas.openxmlformats.org/officeDocument/2006/relationships/hyperlink" Target="https://warthunder.com/en/news/280/current" TargetMode="External"/><Relationship Id="rId103" Type="http://schemas.openxmlformats.org/officeDocument/2006/relationships/hyperlink" Target="https://warthunder.com/en/news/514/current" TargetMode="External"/><Relationship Id="rId310" Type="http://schemas.openxmlformats.org/officeDocument/2006/relationships/hyperlink" Target="https://warthunder.com/en/news/4197-gamescom2016-tactical-landing-updated-with-winners-list-en" TargetMode="External"/><Relationship Id="rId548" Type="http://schemas.openxmlformats.org/officeDocument/2006/relationships/hyperlink" Target="https://warthunder.com/en/news/7338-special-battle-of-britain-day-en" TargetMode="External"/><Relationship Id="rId755" Type="http://schemas.openxmlformats.org/officeDocument/2006/relationships/hyperlink" Target="https://warthunder.com/en/news/8160-special-lucky-pi%C3%B1ata-en" TargetMode="External"/><Relationship Id="rId962" Type="http://schemas.openxmlformats.org/officeDocument/2006/relationships/hyperlink" Target="https://warthunder.com/en/news/8880-shop-may-sale-in-the-gaijin-store-en" TargetMode="External"/><Relationship Id="rId91" Type="http://schemas.openxmlformats.org/officeDocument/2006/relationships/hyperlink" Target="https://warthunder.com/en/news/482/current" TargetMode="External"/><Relationship Id="rId187" Type="http://schemas.openxmlformats.org/officeDocument/2006/relationships/hyperlink" Target="https://warthunder.com/en/news/515/current" TargetMode="External"/><Relationship Id="rId394" Type="http://schemas.openxmlformats.org/officeDocument/2006/relationships/hyperlink" Target="https://warthunder.com/en/news/5226-special-festivities-in-war-thunder-en" TargetMode="External"/><Relationship Id="rId408" Type="http://schemas.openxmlformats.org/officeDocument/2006/relationships/hyperlink" Target="https://warthunder.com/en/news/5315-event-winter-games-en" TargetMode="External"/><Relationship Id="rId615" Type="http://schemas.openxmlformats.org/officeDocument/2006/relationships/hyperlink" Target="https://warthunder.com/en/news/7689-event-pages-of-history-june-en" TargetMode="External"/><Relationship Id="rId822" Type="http://schemas.openxmlformats.org/officeDocument/2006/relationships/hyperlink" Target="https://warthunder.com/en/news/8456-special-the-kv-2-zis-6-and-a-decoration-for-tanker-s-day-en" TargetMode="External"/><Relationship Id="rId1038" Type="http://schemas.openxmlformats.org/officeDocument/2006/relationships/hyperlink" Target="https://warthunder.com/en/news/9111-event-pages-of-history-october-pacific-ace-en" TargetMode="External"/><Relationship Id="rId254" Type="http://schemas.openxmlformats.org/officeDocument/2006/relationships/hyperlink" Target="https://warthunder.com/en/news/3317/current" TargetMode="External"/><Relationship Id="rId699" Type="http://schemas.openxmlformats.org/officeDocument/2006/relationships/hyperlink" Target="https://warthunder.com/en/news/7555-special-happy-valentine-s-day-en" TargetMode="External"/><Relationship Id="rId1091" Type="http://schemas.openxmlformats.org/officeDocument/2006/relationships/hyperlink" Target="https://warthunder.com/en/news/8969-shop-special-celebrating-swedish-air-force-day-with-aircraft-and-a-unique-decal-en" TargetMode="External"/><Relationship Id="rId1105" Type="http://schemas.openxmlformats.org/officeDocument/2006/relationships/hyperlink" Target="https://warthunder.com/en/news/9155-special-halloween-in-war-thunder-en" TargetMode="External"/><Relationship Id="rId49" Type="http://schemas.openxmlformats.org/officeDocument/2006/relationships/hyperlink" Target="https://warthunder.com/en/news/321/current" TargetMode="External"/><Relationship Id="rId114" Type="http://schemas.openxmlformats.org/officeDocument/2006/relationships/hyperlink" Target="https://warthunder.com/en/news/569/current" TargetMode="External"/><Relationship Id="rId461" Type="http://schemas.openxmlformats.org/officeDocument/2006/relationships/hyperlink" Target="https://warthunder.com/en/news/6253-event-maginot-line-en" TargetMode="External"/><Relationship Id="rId559" Type="http://schemas.openxmlformats.org/officeDocument/2006/relationships/hyperlink" Target="https://warthunder.com/en/news/7431-shop-black-friday-bundle-en" TargetMode="External"/><Relationship Id="rId766" Type="http://schemas.openxmlformats.org/officeDocument/2006/relationships/hyperlink" Target="https://warthunder.com/en/news/8210-special-italy-liberation-day-en" TargetMode="External"/><Relationship Id="rId198" Type="http://schemas.openxmlformats.org/officeDocument/2006/relationships/hyperlink" Target="https://warthunder.com/en/news/2660/current" TargetMode="External"/><Relationship Id="rId321" Type="http://schemas.openxmlformats.org/officeDocument/2006/relationships/hyperlink" Target="https://warthunder.com/en/news/4315-event-war-in-mid-air-en" TargetMode="External"/><Relationship Id="rId419" Type="http://schemas.openxmlformats.org/officeDocument/2006/relationships/hyperlink" Target="https://warthunder.com/en/news/5437-event-new-and-improved-racing-en" TargetMode="External"/><Relationship Id="rId626" Type="http://schemas.openxmlformats.org/officeDocument/2006/relationships/hyperlink" Target="https://warthunder.com/en/news/7689-event-pages-of-history-june-en" TargetMode="External"/><Relationship Id="rId973" Type="http://schemas.openxmlformats.org/officeDocument/2006/relationships/hyperlink" Target="https://warthunder.com/en/news/8904-special-uss-des-moines-temporarily-returns-on-its-anniversary-en" TargetMode="External"/><Relationship Id="rId1049" Type="http://schemas.openxmlformats.org/officeDocument/2006/relationships/hyperlink" Target="https://warthunder.com/en/news/9189-shop-the-he-219-a-7-is-temporarily-available-on-the-anniversary-of-its-first-flight-en" TargetMode="External"/><Relationship Id="rId833" Type="http://schemas.openxmlformats.org/officeDocument/2006/relationships/hyperlink" Target="https://warthunder.com/en/news/8506-special-german-unity-day-vehicles-for-ge-and-a-decal-to-celebrate-en" TargetMode="External"/><Relationship Id="rId1116" Type="http://schemas.openxmlformats.org/officeDocument/2006/relationships/hyperlink" Target="https://warthunder.com/en/news/9326-shop-the-sav-201248-for-swedish-armed-forces-day-en" TargetMode="External"/><Relationship Id="rId265" Type="http://schemas.openxmlformats.org/officeDocument/2006/relationships/hyperlink" Target="https://warthunder.com/en/news/3459/current" TargetMode="External"/><Relationship Id="rId472" Type="http://schemas.openxmlformats.org/officeDocument/2006/relationships/hyperlink" Target="https://warthunder.com/en/news/6337-event-the-battle-of-kursk-en" TargetMode="External"/><Relationship Id="rId900" Type="http://schemas.openxmlformats.org/officeDocument/2006/relationships/hyperlink" Target="https://warthunder.com/en/news/8551-special-republic-of-turkey-100th-anniversary-a-decal-and-the-t129-atak-is-back-en" TargetMode="External"/><Relationship Id="rId125" Type="http://schemas.openxmlformats.org/officeDocument/2006/relationships/hyperlink" Target="https://warthunder.com/en/news/618/current" TargetMode="External"/><Relationship Id="rId332" Type="http://schemas.openxmlformats.org/officeDocument/2006/relationships/hyperlink" Target="https://warthunder.com/en/news/4417-special-seasonal-discounts-en" TargetMode="External"/><Relationship Id="rId777" Type="http://schemas.openxmlformats.org/officeDocument/2006/relationships/hyperlink" Target="https://warthunder.com/en/news/8254-special-us-armed-forces-day-en" TargetMode="External"/><Relationship Id="rId984" Type="http://schemas.openxmlformats.org/officeDocument/2006/relationships/hyperlink" Target="https://warthunder.com/en/news/8913-event-pages-of-history-june-the-military-engineer-en" TargetMode="External"/><Relationship Id="rId637" Type="http://schemas.openxmlformats.org/officeDocument/2006/relationships/hyperlink" Target="https://warthunder.com/en/news/7755-event-pages-of-history-july-en" TargetMode="External"/><Relationship Id="rId844" Type="http://schemas.openxmlformats.org/officeDocument/2006/relationships/hyperlink" Target="https://warthunder.com/en/news/8568-event-battle-of-the-atlantic-ships-against-submarines-en" TargetMode="External"/><Relationship Id="rId276" Type="http://schemas.openxmlformats.org/officeDocument/2006/relationships/hyperlink" Target="https://warthunder.com/en/news/3171/current" TargetMode="External"/><Relationship Id="rId483" Type="http://schemas.openxmlformats.org/officeDocument/2006/relationships/hyperlink" Target="https://warthunder.com/en/news/6536-new-year-in-war-thunder-en" TargetMode="External"/><Relationship Id="rId690" Type="http://schemas.openxmlformats.org/officeDocument/2006/relationships/hyperlink" Target="https://warthunder.com/en/news/7981-event-pages-of-history-december-en" TargetMode="External"/><Relationship Id="rId704" Type="http://schemas.openxmlformats.org/officeDocument/2006/relationships/hyperlink" Target="https://warthunder.com/en/news/7706-special-home-guard-swedish-national-security-forces-day-en" TargetMode="External"/><Relationship Id="rId911" Type="http://schemas.openxmlformats.org/officeDocument/2006/relationships/hyperlink" Target="https://warthunder.com/en/news/8680-event-pages-of-history-january-ace-in-a-day-en" TargetMode="External"/><Relationship Id="rId1127" Type="http://schemas.openxmlformats.org/officeDocument/2006/relationships/hyperlink" Target="https://warthunder.com/en/news/9368-shop-special-themed-decorations-a-decal-and-tank-for-valentines-day-en" TargetMode="External"/><Relationship Id="rId40" Type="http://schemas.openxmlformats.org/officeDocument/2006/relationships/hyperlink" Target="https://warthunder.com/en/news/286/current" TargetMode="External"/><Relationship Id="rId136" Type="http://schemas.openxmlformats.org/officeDocument/2006/relationships/hyperlink" Target="https://warthunder.com/en/news/708/current" TargetMode="External"/><Relationship Id="rId343" Type="http://schemas.openxmlformats.org/officeDocument/2006/relationships/hyperlink" Target="https://warthunder.com/en/news/4329-event-battle-of-iwo-jima-en" TargetMode="External"/><Relationship Id="rId550" Type="http://schemas.openxmlformats.org/officeDocument/2006/relationships/hyperlink" Target="https://warthunder.com/en/news/7359-special-national-day-of-the-people-s-republic-of-china-en" TargetMode="External"/><Relationship Id="rId788" Type="http://schemas.openxmlformats.org/officeDocument/2006/relationships/hyperlink" Target="https://warthunder.com/en/news/8323-special-two-ships-and-a-decal-for-german-navy-day-en" TargetMode="External"/><Relationship Id="rId995" Type="http://schemas.openxmlformats.org/officeDocument/2006/relationships/hyperlink" Target="https://warthunder.com/en/news/8964-event-pages-of-history-july-the-jumping-general-en" TargetMode="External"/><Relationship Id="rId203" Type="http://schemas.openxmlformats.org/officeDocument/2006/relationships/hyperlink" Target="https://warthunder.com/en/news/2752/current" TargetMode="External"/><Relationship Id="rId648" Type="http://schemas.openxmlformats.org/officeDocument/2006/relationships/hyperlink" Target="https://warthunder.com/en/news/7789-event-pages-of-history-august-en" TargetMode="External"/><Relationship Id="rId855" Type="http://schemas.openxmlformats.org/officeDocument/2006/relationships/hyperlink" Target="https://warthunder.com/en/news/8606-special-st-andrews-day-the-scottish-saltire-decal-to-celebrate-en" TargetMode="External"/><Relationship Id="rId1040" Type="http://schemas.openxmlformats.org/officeDocument/2006/relationships/hyperlink" Target="https://warthunder.com/en/news/9140-shop-special-trafalgar-day-horatio-nelson-decal-and-the-fairmile-d-5001-at-a-30-discount-en" TargetMode="External"/><Relationship Id="rId287" Type="http://schemas.openxmlformats.org/officeDocument/2006/relationships/hyperlink" Target="https://warthunder.com/en/news/3562-special-valentine-s-day-in-war-thunder-en" TargetMode="External"/><Relationship Id="rId410" Type="http://schemas.openxmlformats.org/officeDocument/2006/relationships/hyperlink" Target="https://warthunder.com/en/news/5332-event-enduring-confrontation-in-rb-floats-ctf-en" TargetMode="External"/><Relationship Id="rId494" Type="http://schemas.openxmlformats.org/officeDocument/2006/relationships/hyperlink" Target="https://warthunder.com/en/news/6588-event-defender-of-the-fatherland-en" TargetMode="External"/><Relationship Id="rId508" Type="http://schemas.openxmlformats.org/officeDocument/2006/relationships/hyperlink" Target="https://warthunder.com/en/news/6816-event-russian-airborne-forces-day-en" TargetMode="External"/><Relationship Id="rId715" Type="http://schemas.openxmlformats.org/officeDocument/2006/relationships/hyperlink" Target="https://warthunder.com/en/news/7755-event-pages-of-history-july-en" TargetMode="External"/><Relationship Id="rId922" Type="http://schemas.openxmlformats.org/officeDocument/2006/relationships/hyperlink" Target="https://warthunder.com/en/news/8731-event-take-part-in-the-guardian-angel-event-for-air-realistic-battles-en" TargetMode="External"/><Relationship Id="rId147" Type="http://schemas.openxmlformats.org/officeDocument/2006/relationships/hyperlink" Target="https://warthunder.com/en/news/810/current" TargetMode="External"/><Relationship Id="rId354" Type="http://schemas.openxmlformats.org/officeDocument/2006/relationships/hyperlink" Target="https://warthunder.com/en/news/4561-event-day-of-the-kindest-cute-beautiful-responsive-smiling-en" TargetMode="External"/><Relationship Id="rId799" Type="http://schemas.openxmlformats.org/officeDocument/2006/relationships/hyperlink" Target="https://warthunder.com/en/news/8331-event-pages-of-history-july-en" TargetMode="External"/><Relationship Id="rId51" Type="http://schemas.openxmlformats.org/officeDocument/2006/relationships/hyperlink" Target="https://warthunder.com/en/news/330/current" TargetMode="External"/><Relationship Id="rId561" Type="http://schemas.openxmlformats.org/officeDocument/2006/relationships/hyperlink" Target="https://warthunder.com/en/news/7435-special-naval-infantry-day-en" TargetMode="External"/><Relationship Id="rId659" Type="http://schemas.openxmlformats.org/officeDocument/2006/relationships/hyperlink" Target="https://warthunder.com/en/news/7837-event-pages-of-history-september-en" TargetMode="External"/><Relationship Id="rId866" Type="http://schemas.openxmlformats.org/officeDocument/2006/relationships/hyperlink" Target="https://warthunder.com/en/news/8679-special-the-mig-15bis-ish-is-back-for-its-maiden-flight-anniversary-and-is-here-to-stay-en" TargetMode="External"/><Relationship Id="rId214" Type="http://schemas.openxmlformats.org/officeDocument/2006/relationships/hyperlink" Target="https://warthunder.com/en/news/2914/current" TargetMode="External"/><Relationship Id="rId298" Type="http://schemas.openxmlformats.org/officeDocument/2006/relationships/hyperlink" Target="https://warthunder.com/en/news/3722-event-rapid-fire-and-floats-en" TargetMode="External"/><Relationship Id="rId421" Type="http://schemas.openxmlformats.org/officeDocument/2006/relationships/hyperlink" Target="https://warthunder.com/en/news/5452-weekend-special-friday-the-13th-chainsaw-massacre-en" TargetMode="External"/><Relationship Id="rId519" Type="http://schemas.openxmlformats.org/officeDocument/2006/relationships/hyperlink" Target="https://warthunder.com/en/news/6957-shop-black-friday-bundle-en" TargetMode="External"/><Relationship Id="rId1051" Type="http://schemas.openxmlformats.org/officeDocument/2006/relationships/hyperlink" Target="https://warthunder.com/en/news/9173-event-pages-of-history-november-medicane-en" TargetMode="External"/><Relationship Id="rId158" Type="http://schemas.openxmlformats.org/officeDocument/2006/relationships/hyperlink" Target="https://warthunder.com/en/news/861/current" TargetMode="External"/><Relationship Id="rId726" Type="http://schemas.openxmlformats.org/officeDocument/2006/relationships/hyperlink" Target="https://warthunder.com/en/news/8037-event-pages-of-history-january-en" TargetMode="External"/><Relationship Id="rId933" Type="http://schemas.openxmlformats.org/officeDocument/2006/relationships/hyperlink" Target="https://warthunder.com/en/news/8761-event-pages-of-history-march-on-wings-of-war-en" TargetMode="External"/><Relationship Id="rId1009" Type="http://schemas.openxmlformats.org/officeDocument/2006/relationships/hyperlink" Target="https://warthunder.com/en/news/9004-event-pages-of-history-august-the-first-in-paris-en" TargetMode="External"/><Relationship Id="rId62" Type="http://schemas.openxmlformats.org/officeDocument/2006/relationships/hyperlink" Target="https://warthunder.com/en/news/366/current" TargetMode="External"/><Relationship Id="rId365" Type="http://schemas.openxmlformats.org/officeDocument/2006/relationships/hyperlink" Target="https://warthunder.com/en/news/4768-event-100-en" TargetMode="External"/><Relationship Id="rId572" Type="http://schemas.openxmlformats.org/officeDocument/2006/relationships/hyperlink" Target="https://warthunder.com/en/news/7112-event-tailspin-a-new-milestone-in-the-development-of-the-game-en" TargetMode="External"/><Relationship Id="rId225" Type="http://schemas.openxmlformats.org/officeDocument/2006/relationships/hyperlink" Target="https://warthunder.com/en/news/3091/current" TargetMode="External"/><Relationship Id="rId432" Type="http://schemas.openxmlformats.org/officeDocument/2006/relationships/hyperlink" Target="https://warthunder.com/en/news/5797-shop-german-unity-day-bundles-en" TargetMode="External"/><Relationship Id="rId877" Type="http://schemas.openxmlformats.org/officeDocument/2006/relationships/hyperlink" Target="https://warthunder.com/en/news/8272-special-decal-and-discounts-for-israel-defense-forces-anniversary-en" TargetMode="External"/><Relationship Id="rId1062" Type="http://schemas.openxmlformats.org/officeDocument/2006/relationships/hyperlink" Target="https://warthunder.com/en/news/9251-shop-discounts-on-the-vijayanta-and-mig-21-bison-to-celebrate-indian-armed-forces-flag-day-en" TargetMode="External"/><Relationship Id="rId737" Type="http://schemas.openxmlformats.org/officeDocument/2006/relationships/hyperlink" Target="https://warthunder.com/en/news/8073-event-pages-of-history-february-en" TargetMode="External"/><Relationship Id="rId944" Type="http://schemas.openxmlformats.org/officeDocument/2006/relationships/hyperlink" Target="https://warthunder.com/en/news/8761-event-pages-of-history-march-on-wings-of-war-en" TargetMode="External"/><Relationship Id="rId73" Type="http://schemas.openxmlformats.org/officeDocument/2006/relationships/hyperlink" Target="https://warthunder.com/en/news/424/current" TargetMode="External"/><Relationship Id="rId169" Type="http://schemas.openxmlformats.org/officeDocument/2006/relationships/hyperlink" Target="https://warthunder.com/en/news/2597/current" TargetMode="External"/><Relationship Id="rId376" Type="http://schemas.openxmlformats.org/officeDocument/2006/relationships/hyperlink" Target="https://warthunder.com/en/news/4920-gamescom-war-thunder-quiz-en" TargetMode="External"/><Relationship Id="rId583" Type="http://schemas.openxmlformats.org/officeDocument/2006/relationships/hyperlink" Target="https://warthunder.com/en/news/7541-special-end-of-the-battle-of-stalingrad-en" TargetMode="External"/><Relationship Id="rId790" Type="http://schemas.openxmlformats.org/officeDocument/2006/relationships/hyperlink" Target="https://warthunder.com/en/news/8281-event-pages-of-history-june-en" TargetMode="External"/><Relationship Id="rId804" Type="http://schemas.openxmlformats.org/officeDocument/2006/relationships/hyperlink" Target="https://warthunder.com/en/news/8331-event-pages-of-history-july-en" TargetMode="External"/><Relationship Id="rId4" Type="http://schemas.openxmlformats.org/officeDocument/2006/relationships/hyperlink" Target="https://warthunder.com/en/news/78/current" TargetMode="External"/><Relationship Id="rId236" Type="http://schemas.openxmlformats.org/officeDocument/2006/relationships/hyperlink" Target="https://warthunder.com/en/news/3188/current" TargetMode="External"/><Relationship Id="rId443" Type="http://schemas.openxmlformats.org/officeDocument/2006/relationships/hyperlink" Target="https://warthunder.com/en/news/5332-event-enduring-confrontation-in-rb-floats-ctf-en" TargetMode="External"/><Relationship Id="rId650" Type="http://schemas.openxmlformats.org/officeDocument/2006/relationships/hyperlink" Target="https://warthunder.com/en/news/7837-event-pages-of-history-september-en" TargetMode="External"/><Relationship Id="rId888" Type="http://schemas.openxmlformats.org/officeDocument/2006/relationships/hyperlink" Target="https://warthunder.com/en/news/8377-special-stroyny-and-neustrashimy-for-golden-eagles-en" TargetMode="External"/><Relationship Id="rId1073" Type="http://schemas.openxmlformats.org/officeDocument/2006/relationships/hyperlink" Target="https://warthunder.com/en/news/8729-special-celebrate-the-lunar-new-year-with-activities-and-sales-en" TargetMode="External"/><Relationship Id="rId303" Type="http://schemas.openxmlformats.org/officeDocument/2006/relationships/hyperlink" Target="https://warthunder.com/en/news/3793-event-the-road-for-the-brave-en" TargetMode="External"/><Relationship Id="rId748" Type="http://schemas.openxmlformats.org/officeDocument/2006/relationships/hyperlink" Target="https://warthunder.com/en/news/8155-special-st-patrick-s-day-en" TargetMode="External"/><Relationship Id="rId955" Type="http://schemas.openxmlformats.org/officeDocument/2006/relationships/hyperlink" Target="https://warthunder.com/en/news/8832-event-pages-of-history-april-for-zoya-en" TargetMode="External"/><Relationship Id="rId84" Type="http://schemas.openxmlformats.org/officeDocument/2006/relationships/hyperlink" Target="https://warthunder.com/en/news/461/current" TargetMode="External"/><Relationship Id="rId387" Type="http://schemas.openxmlformats.org/officeDocument/2006/relationships/hyperlink" Target="https://warthunder.com/en/news/5037-event-still-waters-en" TargetMode="External"/><Relationship Id="rId510" Type="http://schemas.openxmlformats.org/officeDocument/2006/relationships/hyperlink" Target="https://warthunder.com/en/news/6838-event-tank-biathlon-and-sea-biathlon-en" TargetMode="External"/><Relationship Id="rId594" Type="http://schemas.openxmlformats.org/officeDocument/2006/relationships/hyperlink" Target="https://warthunder.com/en/news/7629-event-pages-of-history-april-en" TargetMode="External"/><Relationship Id="rId608" Type="http://schemas.openxmlformats.org/officeDocument/2006/relationships/hyperlink" Target="https://warthunder.com/en/news/7664-event-pages-of-history-may-en" TargetMode="External"/><Relationship Id="rId815" Type="http://schemas.openxmlformats.org/officeDocument/2006/relationships/hyperlink" Target="https://warthunder.com/en/news/8366-event-pages-of-history-august-en" TargetMode="External"/><Relationship Id="rId247" Type="http://schemas.openxmlformats.org/officeDocument/2006/relationships/hyperlink" Target="https://warthunder.com/en/news/3266/current" TargetMode="External"/><Relationship Id="rId899" Type="http://schemas.openxmlformats.org/officeDocument/2006/relationships/hyperlink" Target="https://warthunder.com/en/news/8495-event-pages-of-history-october-en" TargetMode="External"/><Relationship Id="rId1000" Type="http://schemas.openxmlformats.org/officeDocument/2006/relationships/hyperlink" Target="https://warthunder.com/en/news/8964-event-pages-of-history-july-the-jumping-general-en" TargetMode="External"/><Relationship Id="rId1084" Type="http://schemas.openxmlformats.org/officeDocument/2006/relationships/hyperlink" Target="https://warthunder.com/en/news/8784-shop-special-alexander-pokyrshkins-p-39n-0-temporarily-returns-for-his-birthday-en" TargetMode="External"/><Relationship Id="rId107" Type="http://schemas.openxmlformats.org/officeDocument/2006/relationships/hyperlink" Target="https://warthunder.com/en/news/525/current" TargetMode="External"/><Relationship Id="rId454" Type="http://schemas.openxmlformats.org/officeDocument/2006/relationships/hyperlink" Target="https://warthunder.com/en/news/6108-news-birthday-of-alexander-pokryshkin-en" TargetMode="External"/><Relationship Id="rId661" Type="http://schemas.openxmlformats.org/officeDocument/2006/relationships/hyperlink" Target="https://warthunder.com/en/news/7891-special-national-day-of-the-people-s-republic-of-china-en" TargetMode="External"/><Relationship Id="rId759" Type="http://schemas.openxmlformats.org/officeDocument/2006/relationships/hyperlink" Target="https://warthunder.com/en/news/8167-event-pages-of-history-april-en" TargetMode="External"/><Relationship Id="rId966" Type="http://schemas.openxmlformats.org/officeDocument/2006/relationships/hyperlink" Target="https://warthunder.com/en/news/8871-event-pages-of-history-may-for-victory-en" TargetMode="External"/><Relationship Id="rId11" Type="http://schemas.openxmlformats.org/officeDocument/2006/relationships/hyperlink" Target="https://warthunder.com/en/news/130/current" TargetMode="External"/><Relationship Id="rId314" Type="http://schemas.openxmlformats.org/officeDocument/2006/relationships/hyperlink" Target="https://warthunder.com/en/news/4262-event-airfield-assault-and-defense-stalingrad-en" TargetMode="External"/><Relationship Id="rId398" Type="http://schemas.openxmlformats.org/officeDocument/2006/relationships/hyperlink" Target="https://warthunder.com/en/news/5226-special-festivities-in-war-thunder-en" TargetMode="External"/><Relationship Id="rId521" Type="http://schemas.openxmlformats.org/officeDocument/2006/relationships/hyperlink" Target="https://warthunder.com/en/news/7008-special-new-year-in-war-thunder-en" TargetMode="External"/><Relationship Id="rId619" Type="http://schemas.openxmlformats.org/officeDocument/2006/relationships/hyperlink" Target="https://warthunder.ru/ru/news/15774-akciya-den-rossii-ru" TargetMode="External"/><Relationship Id="rId95" Type="http://schemas.openxmlformats.org/officeDocument/2006/relationships/hyperlink" Target="https://warthunder.com/en/news/492/current" TargetMode="External"/><Relationship Id="rId160" Type="http://schemas.openxmlformats.org/officeDocument/2006/relationships/hyperlink" Target="https://warthunder.com/en/news/876/current" TargetMode="External"/><Relationship Id="rId826" Type="http://schemas.openxmlformats.org/officeDocument/2006/relationships/hyperlink" Target="https://warthunder.com/en/news/8478-special-a-decal-and-two-fighters-to-celebrate-the-us-air-forces-birthday-en" TargetMode="External"/><Relationship Id="rId1011" Type="http://schemas.openxmlformats.org/officeDocument/2006/relationships/hyperlink" Target="https://warthunder.com/en/news/9032-shop-prinz-eugen-temporarily-returns-to-celebrate-the-anniversary-of-its-launch-en" TargetMode="External"/><Relationship Id="rId1109" Type="http://schemas.openxmlformats.org/officeDocument/2006/relationships/hyperlink" Target="https://warthunder.com/en/news/9293-shop-seasonal-discounts-in-war-thunder-en" TargetMode="External"/><Relationship Id="rId258" Type="http://schemas.openxmlformats.org/officeDocument/2006/relationships/hyperlink" Target="https://warthunder.com/en/news/3397/current" TargetMode="External"/><Relationship Id="rId465" Type="http://schemas.openxmlformats.org/officeDocument/2006/relationships/hyperlink" Target="https://warthunder.com/en/news/6267-news-independence-day-usa-en" TargetMode="External"/><Relationship Id="rId672" Type="http://schemas.openxmlformats.org/officeDocument/2006/relationships/hyperlink" Target="https://warthunder.com/en/news/7945-special-happy-anniversary-war-thunder-en" TargetMode="External"/><Relationship Id="rId1095" Type="http://schemas.openxmlformats.org/officeDocument/2006/relationships/hyperlink" Target="https://warthunder.com/en/news/9001-event-floats-en" TargetMode="External"/><Relationship Id="rId22" Type="http://schemas.openxmlformats.org/officeDocument/2006/relationships/hyperlink" Target="https://warthunder.com/en/news/206/current" TargetMode="External"/><Relationship Id="rId118" Type="http://schemas.openxmlformats.org/officeDocument/2006/relationships/hyperlink" Target="https://warthunder.com/en/news/582/current" TargetMode="External"/><Relationship Id="rId325" Type="http://schemas.openxmlformats.org/officeDocument/2006/relationships/hyperlink" Target="https://warthunder.com/en/news/4362-news-st-andrew-s-day-en" TargetMode="External"/><Relationship Id="rId532" Type="http://schemas.openxmlformats.org/officeDocument/2006/relationships/hyperlink" Target="https://warthunder.com/en/news/7113-event-warfare-2077-in-war-thunder-en" TargetMode="External"/><Relationship Id="rId977" Type="http://schemas.openxmlformats.org/officeDocument/2006/relationships/hyperlink" Target="https://warthunder.com/en/news/8913-event-pages-of-history-june-the-military-engineer-en" TargetMode="External"/><Relationship Id="rId171" Type="http://schemas.openxmlformats.org/officeDocument/2006/relationships/hyperlink" Target="https://warthunder.com/en/news/2615/current" TargetMode="External"/><Relationship Id="rId837" Type="http://schemas.openxmlformats.org/officeDocument/2006/relationships/hyperlink" Target="https://warthunder.com/en/news/8519-special-vautour-iin-returns-for-the-anniversary-of-its-maiden-flight-en" TargetMode="External"/><Relationship Id="rId1022" Type="http://schemas.openxmlformats.org/officeDocument/2006/relationships/hyperlink" Target="https://warthunder.com/en/news/9038-event-pages-of-history-september-attacker-ace-en" TargetMode="External"/><Relationship Id="rId269" Type="http://schemas.openxmlformats.org/officeDocument/2006/relationships/hyperlink" Target="https://warthunder.com/en/news/3485--en" TargetMode="External"/><Relationship Id="rId476" Type="http://schemas.openxmlformats.org/officeDocument/2006/relationships/hyperlink" Target="https://warthunder.com/en/news/6406-people-s-republic-of-china-70th-anniversary-en" TargetMode="External"/><Relationship Id="rId683" Type="http://schemas.openxmlformats.org/officeDocument/2006/relationships/hyperlink" Target="https://warthunder.com/en/news/7975-shop-black-friday-bundle-en" TargetMode="External"/><Relationship Id="rId890" Type="http://schemas.openxmlformats.org/officeDocument/2006/relationships/hyperlink" Target="https://warthunder.com/en/news/8389-special-incredibly-fast-lightning-jet-fighter-temporarily-available-for-ge-en" TargetMode="External"/><Relationship Id="rId904" Type="http://schemas.openxmlformats.org/officeDocument/2006/relationships/hyperlink" Target="https://warthunder.com/en/news/8274-special-legendary-spg-for-the-swedish-home-guard-day-en" TargetMode="External"/><Relationship Id="rId33" Type="http://schemas.openxmlformats.org/officeDocument/2006/relationships/hyperlink" Target="https://warthunder.com/en/news/262/current" TargetMode="External"/><Relationship Id="rId129" Type="http://schemas.openxmlformats.org/officeDocument/2006/relationships/hyperlink" Target="https://warthunder.com/en/news/659--en" TargetMode="External"/><Relationship Id="rId336" Type="http://schemas.openxmlformats.org/officeDocument/2006/relationships/hyperlink" Target="https://warthunder.com/en/news/3722-event-rapid-fire-and-floats-en" TargetMode="External"/><Relationship Id="rId543" Type="http://schemas.openxmlformats.org/officeDocument/2006/relationships/hyperlink" Target="https://warthunder.com/en/news/7251-special-russian-navy-325th-anniversary-en" TargetMode="External"/><Relationship Id="rId988" Type="http://schemas.openxmlformats.org/officeDocument/2006/relationships/hyperlink" Target="https://warthunder.com/en/news/8965-special-celebrating-british-armed-forces-day-with-a-decal-en" TargetMode="External"/><Relationship Id="rId182" Type="http://schemas.openxmlformats.org/officeDocument/2006/relationships/hyperlink" Target="https://warthunder.com/en/news/2723/current" TargetMode="External"/><Relationship Id="rId403" Type="http://schemas.openxmlformats.org/officeDocument/2006/relationships/hyperlink" Target="https://warthunder.com/en/news/5066-special-war-thunder-5-years-en" TargetMode="External"/><Relationship Id="rId750" Type="http://schemas.openxmlformats.org/officeDocument/2006/relationships/hyperlink" Target="https://warthunder.com/en/news/8161-special-first-flight-of-the-la-5-en" TargetMode="External"/><Relationship Id="rId848" Type="http://schemas.openxmlformats.org/officeDocument/2006/relationships/hyperlink" Target="https://warthunder.com/en/news/8588-special-bundeswehr-day-a-decal-and-two-tanks-to-celebrate-en" TargetMode="External"/><Relationship Id="rId1033" Type="http://schemas.openxmlformats.org/officeDocument/2006/relationships/hyperlink" Target="https://warthunder.com/en/news/9111-event-pages-of-history-october-pacific-ace-en" TargetMode="External"/><Relationship Id="rId487" Type="http://schemas.openxmlformats.org/officeDocument/2006/relationships/hyperlink" Target="https://warthunder.com/en/news/6278-event-tournament-king-of-the-hill-en" TargetMode="External"/><Relationship Id="rId610" Type="http://schemas.openxmlformats.org/officeDocument/2006/relationships/hyperlink" Target="https://warthunder.com/en/news/7664-event-pages-of-history-may-en" TargetMode="External"/><Relationship Id="rId694" Type="http://schemas.openxmlformats.org/officeDocument/2006/relationships/hyperlink" Target="https://warthunder.com/en/news/8035-special-new-year-with-war-thunder-en" TargetMode="External"/><Relationship Id="rId708" Type="http://schemas.openxmlformats.org/officeDocument/2006/relationships/hyperlink" Target="https://warthunder.com/en/news/7759-special-japan-self-defense-forces-day-en" TargetMode="External"/><Relationship Id="rId915" Type="http://schemas.openxmlformats.org/officeDocument/2006/relationships/hyperlink" Target="https://warthunder.com/en/news/8692-special-su-7bmk-returns-for-the-anniversary-of-its-maiden-flight-en" TargetMode="External"/><Relationship Id="rId347" Type="http://schemas.openxmlformats.org/officeDocument/2006/relationships/hyperlink" Target="https://warthunder.com/en/news/4464-event-airfield-assault-and-defense-stalingrad-enduring-confrontation-english-channel-en" TargetMode="External"/><Relationship Id="rId999" Type="http://schemas.openxmlformats.org/officeDocument/2006/relationships/hyperlink" Target="https://warthunder.com/ru/news/16914-akcia-den-vmf-rossii-dekal-strojnyj-i-neustrasimyj-za-zo-ru" TargetMode="External"/><Relationship Id="rId1100" Type="http://schemas.openxmlformats.org/officeDocument/2006/relationships/hyperlink" Target="https://warthunder.com/en/news/9089-shop-discount-on-the-ka-50-for-nikolai-kamovs-birthday-en" TargetMode="External"/><Relationship Id="rId44" Type="http://schemas.openxmlformats.org/officeDocument/2006/relationships/hyperlink" Target="https://warthunder.com/en/news/305/current" TargetMode="External"/><Relationship Id="rId554" Type="http://schemas.openxmlformats.org/officeDocument/2006/relationships/hyperlink" Target="https://warthunder.com/en/news/7413-special-italian-national-unity-and-armed-forces-day-en" TargetMode="External"/><Relationship Id="rId761" Type="http://schemas.openxmlformats.org/officeDocument/2006/relationships/hyperlink" Target="https://warthunder.com/en/news/8167-event-pages-of-history-april-en" TargetMode="External"/><Relationship Id="rId859" Type="http://schemas.openxmlformats.org/officeDocument/2006/relationships/hyperlink" Target="https://warthunder.com/en/news/8602-event-pages-of-history-december-the-heroic-nurse-en" TargetMode="External"/><Relationship Id="rId193" Type="http://schemas.openxmlformats.org/officeDocument/2006/relationships/hyperlink" Target="https://warthunder.com/en/news/863/current" TargetMode="External"/><Relationship Id="rId207" Type="http://schemas.openxmlformats.org/officeDocument/2006/relationships/hyperlink" Target="https://warthunder.com/en/news/2821/current" TargetMode="External"/><Relationship Id="rId414" Type="http://schemas.openxmlformats.org/officeDocument/2006/relationships/hyperlink" Target="https://warthunder.com/en/news/5391-event-st-patrick-s-day-en" TargetMode="External"/><Relationship Id="rId498" Type="http://schemas.openxmlformats.org/officeDocument/2006/relationships/hyperlink" Target="https://warthunder.com/en/news/6680-happy-cosmonautic-day-en" TargetMode="External"/><Relationship Id="rId621" Type="http://schemas.openxmlformats.org/officeDocument/2006/relationships/hyperlink" Target="https://warthunder.com/en/news/7689-event-pages-of-history-june-en" TargetMode="External"/><Relationship Id="rId1044" Type="http://schemas.openxmlformats.org/officeDocument/2006/relationships/hyperlink" Target="https://warthunder.com/en/news/9111-event-pages-of-history-october-pacific-ace-en" TargetMode="External"/><Relationship Id="rId260" Type="http://schemas.openxmlformats.org/officeDocument/2006/relationships/hyperlink" Target="https://warthunder.com/en/news/3412/current" TargetMode="External"/><Relationship Id="rId719" Type="http://schemas.openxmlformats.org/officeDocument/2006/relationships/hyperlink" Target="https://warthunder.com/en/news/8037-event-pages-of-history-january-en" TargetMode="External"/><Relationship Id="rId926" Type="http://schemas.openxmlformats.org/officeDocument/2006/relationships/hyperlink" Target="https://warthunder.com/en/news/8745-shop-the-bo-105-cb-2-temporarily-returns-on-the-anniversary-of-its-first-flight-en" TargetMode="External"/><Relationship Id="rId1111" Type="http://schemas.openxmlformats.org/officeDocument/2006/relationships/hyperlink" Target="https://warthunder.com/en/news/9302-event-pages-of-history-january-defender-of-leningrad-en" TargetMode="External"/><Relationship Id="rId55" Type="http://schemas.openxmlformats.org/officeDocument/2006/relationships/hyperlink" Target="https://warthunder.com/en/news/351/current" TargetMode="External"/><Relationship Id="rId120" Type="http://schemas.openxmlformats.org/officeDocument/2006/relationships/hyperlink" Target="https://warthunder.com/en/news/591/current" TargetMode="External"/><Relationship Id="rId358" Type="http://schemas.openxmlformats.org/officeDocument/2006/relationships/hyperlink" Target="https://warthunder.com/en/news/4639-event-the-road-for-the-brave-and-airfield-assault-en" TargetMode="External"/><Relationship Id="rId565" Type="http://schemas.openxmlformats.org/officeDocument/2006/relationships/hyperlink" Target="https://warthunder.com/en/news/7478-giveaway-end-of-the-year-giveaway-week-1-en" TargetMode="External"/><Relationship Id="rId772" Type="http://schemas.openxmlformats.org/officeDocument/2006/relationships/hyperlink" Target="https://warthunder.com/en/news/8226-event-victory-day-in-war-thunder-en" TargetMode="External"/><Relationship Id="rId218" Type="http://schemas.openxmlformats.org/officeDocument/2006/relationships/hyperlink" Target="https://warthunder.com/en/news/2974/current" TargetMode="External"/><Relationship Id="rId425" Type="http://schemas.openxmlformats.org/officeDocument/2006/relationships/hyperlink" Target="https://warthunder.com/en/news/5620-news-independence-day-en" TargetMode="External"/><Relationship Id="rId632" Type="http://schemas.openxmlformats.org/officeDocument/2006/relationships/hyperlink" Target="https://warthunder.com/en/news/7755-event-pages-of-history-july-en" TargetMode="External"/><Relationship Id="rId1055" Type="http://schemas.openxmlformats.org/officeDocument/2006/relationships/hyperlink" Target="https://warthunder.com/en/news/9173-event-pages-of-history-november-medicane-en" TargetMode="External"/><Relationship Id="rId271" Type="http://schemas.openxmlformats.org/officeDocument/2006/relationships/hyperlink" Target="https://warthunder.com/en/news/3496/current" TargetMode="External"/><Relationship Id="rId937" Type="http://schemas.openxmlformats.org/officeDocument/2006/relationships/hyperlink" Target="https://warthunder.com/en/news/8812-event-tank-football-2024-en" TargetMode="External"/><Relationship Id="rId1122" Type="http://schemas.openxmlformats.org/officeDocument/2006/relationships/hyperlink" Target="https://warthunder.com/en/news/9348-shop-special-welcome-to-the-year-of-the-snake-en" TargetMode="External"/><Relationship Id="rId66" Type="http://schemas.openxmlformats.org/officeDocument/2006/relationships/hyperlink" Target="https://warthunder.com/en/news/395/current" TargetMode="External"/><Relationship Id="rId131" Type="http://schemas.openxmlformats.org/officeDocument/2006/relationships/hyperlink" Target="https://warthunder.com/en/news/681/current" TargetMode="External"/><Relationship Id="rId369" Type="http://schemas.openxmlformats.org/officeDocument/2006/relationships/hyperlink" Target="https://warthunder.com/en/news/4819-news-independence-day-en" TargetMode="External"/><Relationship Id="rId576" Type="http://schemas.openxmlformats.org/officeDocument/2006/relationships/hyperlink" Target="https://warthunder.com/en/news/7503-special-battle-of-the-kerch-peninsula-en" TargetMode="External"/><Relationship Id="rId783" Type="http://schemas.openxmlformats.org/officeDocument/2006/relationships/hyperlink" Target="https://warthunder.com/en/news/8281-event-pages-of-history-june-en" TargetMode="External"/><Relationship Id="rId990" Type="http://schemas.openxmlformats.org/officeDocument/2006/relationships/hyperlink" Target="https://warthunder.com/en/news/8971-special-celebrating-the-anniversary-of-the-french-air-force-with-a-decal-en" TargetMode="External"/><Relationship Id="rId229" Type="http://schemas.openxmlformats.org/officeDocument/2006/relationships/hyperlink" Target="https://warthunder.com/en/news/3129/current" TargetMode="External"/><Relationship Id="rId436" Type="http://schemas.openxmlformats.org/officeDocument/2006/relationships/hyperlink" Target="https://warthunder.com/en/news/5872-special-a-centenary-of-poland-regaining-independence-en" TargetMode="External"/><Relationship Id="rId643" Type="http://schemas.openxmlformats.org/officeDocument/2006/relationships/hyperlink" Target="https://warthunder.ru/ru/news/15850-akciya-den-vvs-rossii-ru" TargetMode="External"/><Relationship Id="rId1066" Type="http://schemas.openxmlformats.org/officeDocument/2006/relationships/hyperlink" Target="https://warthunder.com/en/news/9285-shop-the-mi-24d-is-temporarily-available-at-a-discount-for-helicopter-pilots-day-en" TargetMode="External"/><Relationship Id="rId850" Type="http://schemas.openxmlformats.org/officeDocument/2006/relationships/hyperlink" Target="https://warthunder.com/en/news/8549-event-pages-of-history-november-en" TargetMode="External"/><Relationship Id="rId948" Type="http://schemas.openxmlformats.org/officeDocument/2006/relationships/hyperlink" Target="https://warthunder.com/en/news/8832-event-pages-of-history-april-for-zoya-en" TargetMode="External"/><Relationship Id="rId1133" Type="http://schemas.openxmlformats.org/officeDocument/2006/relationships/hyperlink" Target="https://warthunder.com/en/news/9363-shop-special-discounts-a-decal-and-rare-vehicles-for-national-foundation-day-in-japan-en" TargetMode="External"/><Relationship Id="rId77" Type="http://schemas.openxmlformats.org/officeDocument/2006/relationships/hyperlink" Target="https://warthunder.com/en/news/437/current" TargetMode="External"/><Relationship Id="rId282" Type="http://schemas.openxmlformats.org/officeDocument/2006/relationships/hyperlink" Target="https://warthunder.com/en/news/3503/current" TargetMode="External"/><Relationship Id="rId503" Type="http://schemas.openxmlformats.org/officeDocument/2006/relationships/hyperlink" Target="https://warthunder.com/en/news/6772-shop-summer-sale-en" TargetMode="External"/><Relationship Id="rId587" Type="http://schemas.openxmlformats.org/officeDocument/2006/relationships/hyperlink" Target="https://warthunder.com/en/news/7562-special-battle-of-iwo-jima-en" TargetMode="External"/><Relationship Id="rId710" Type="http://schemas.openxmlformats.org/officeDocument/2006/relationships/hyperlink" Target="https://warthunder.com/en/news/7875-special-us-air-force-birthday-en" TargetMode="External"/><Relationship Id="rId808" Type="http://schemas.openxmlformats.org/officeDocument/2006/relationships/hyperlink" Target="https://warthunder.ru/ru/news/16370-dekal-na-den-vdv-ru" TargetMode="External"/><Relationship Id="rId8" Type="http://schemas.openxmlformats.org/officeDocument/2006/relationships/hyperlink" Target="https://warthunder.com/en/news/104/current" TargetMode="External"/><Relationship Id="rId142" Type="http://schemas.openxmlformats.org/officeDocument/2006/relationships/hyperlink" Target="https://warthunder.com/en/news/762/current" TargetMode="External"/><Relationship Id="rId447" Type="http://schemas.openxmlformats.org/officeDocument/2006/relationships/hyperlink" Target="https://warthunder.com/en/news/5967-news-festivities-in-war-thunder-en" TargetMode="External"/><Relationship Id="rId794" Type="http://schemas.openxmlformats.org/officeDocument/2006/relationships/hyperlink" Target="https://warthunder.com/en/news/8331-event-pages-of-history-july-en" TargetMode="External"/><Relationship Id="rId1077" Type="http://schemas.openxmlformats.org/officeDocument/2006/relationships/hyperlink" Target="https://warthunder.com/en/news/8691-special-swedish-armed-forces-day-the-sav-201248-and-a-decal-en" TargetMode="External"/><Relationship Id="rId654" Type="http://schemas.openxmlformats.org/officeDocument/2006/relationships/hyperlink" Target="https://warthunder.ru/ru/news/15896-akciya-s-dnyom-tankista-ru" TargetMode="External"/><Relationship Id="rId861" Type="http://schemas.openxmlformats.org/officeDocument/2006/relationships/hyperlink" Target="https://warthunder.com/en/news/8602-event-pages-of-history-december-the-heroic-nurse-en" TargetMode="External"/><Relationship Id="rId959" Type="http://schemas.openxmlformats.org/officeDocument/2006/relationships/hyperlink" Target="https://warthunder.com/en/news/8874-special-get-a-decal-during-golden-week-in-japan-en" TargetMode="External"/><Relationship Id="rId293" Type="http://schemas.openxmlformats.org/officeDocument/2006/relationships/hyperlink" Target="https://warthunder.com/en/news/3666-development-the-april-fools-event-is-over-en" TargetMode="External"/><Relationship Id="rId307" Type="http://schemas.openxmlformats.org/officeDocument/2006/relationships/hyperlink" Target="https://warthunder.com/en/news/4166-event-rapid-fire-and-floats-en" TargetMode="External"/><Relationship Id="rId514" Type="http://schemas.openxmlformats.org/officeDocument/2006/relationships/hyperlink" Target="https://warthunder.com/en/news/6894-birthday-of-the-united-states-navy-en" TargetMode="External"/><Relationship Id="rId721" Type="http://schemas.openxmlformats.org/officeDocument/2006/relationships/hyperlink" Target="https://warthunder.com/en/news/8037-event-pages-of-history-january-en" TargetMode="External"/><Relationship Id="rId88" Type="http://schemas.openxmlformats.org/officeDocument/2006/relationships/hyperlink" Target="https://warthunder.com/en/news/469/current" TargetMode="External"/><Relationship Id="rId153" Type="http://schemas.openxmlformats.org/officeDocument/2006/relationships/hyperlink" Target="https://warthunder.com/en/news/846/current" TargetMode="External"/><Relationship Id="rId360" Type="http://schemas.openxmlformats.org/officeDocument/2006/relationships/hyperlink" Target="https://warthunder.com/en/news/4648-special-war-thunder-chronicles-en" TargetMode="External"/><Relationship Id="rId598" Type="http://schemas.openxmlformats.org/officeDocument/2006/relationships/hyperlink" Target="https://warthunder.com/en/news/7629-event-pages-of-history-april-en" TargetMode="External"/><Relationship Id="rId819" Type="http://schemas.openxmlformats.org/officeDocument/2006/relationships/hyperlink" Target="https://warthunder.com/en/news/8366-event-pages-of-history-august-en" TargetMode="External"/><Relationship Id="rId1004" Type="http://schemas.openxmlformats.org/officeDocument/2006/relationships/hyperlink" Target="https://warthunder.com/en/news/9004-event-pages-of-history-august-the-first-in-paris-en" TargetMode="External"/><Relationship Id="rId220" Type="http://schemas.openxmlformats.org/officeDocument/2006/relationships/hyperlink" Target="https://warthunder.com/en/news/2984/current" TargetMode="External"/><Relationship Id="rId458" Type="http://schemas.openxmlformats.org/officeDocument/2006/relationships/hyperlink" Target="https://warthunder.com/en/news/6179-video-world-war-has-begun-soldiers-mobilization-en" TargetMode="External"/><Relationship Id="rId665" Type="http://schemas.openxmlformats.org/officeDocument/2006/relationships/hyperlink" Target="https://warthunder.com/en/news/7888-event-pages-of-history-october-en" TargetMode="External"/><Relationship Id="rId872" Type="http://schemas.openxmlformats.org/officeDocument/2006/relationships/hyperlink" Target="https://warthunder.com/en/news/8194-special-vasily-matsievich-s-birthday-en" TargetMode="External"/><Relationship Id="rId1088" Type="http://schemas.openxmlformats.org/officeDocument/2006/relationships/hyperlink" Target="https://warthunder.com/en/news/8915-special-canadian-armed-forces-day-get-yourself-a-decal-en" TargetMode="External"/><Relationship Id="rId15" Type="http://schemas.openxmlformats.org/officeDocument/2006/relationships/hyperlink" Target="https://warthunder.com/en/news/157/current" TargetMode="External"/><Relationship Id="rId318" Type="http://schemas.openxmlformats.org/officeDocument/2006/relationships/hyperlink" Target="https://warthunder.com/en/news/4298-event-the-road-for-the-brave-en" TargetMode="External"/><Relationship Id="rId525" Type="http://schemas.openxmlformats.org/officeDocument/2006/relationships/hyperlink" Target="https://warthunder.com/en/news/6694-shop-may-sale-in-war-thunder-en" TargetMode="External"/><Relationship Id="rId732" Type="http://schemas.openxmlformats.org/officeDocument/2006/relationships/hyperlink" Target="https://warthunder.com/en/news/8082-special-national-foundation-day-in-japan-en" TargetMode="External"/><Relationship Id="rId99" Type="http://schemas.openxmlformats.org/officeDocument/2006/relationships/hyperlink" Target="https://warthunder.com/en/news/503/current" TargetMode="External"/><Relationship Id="rId164" Type="http://schemas.openxmlformats.org/officeDocument/2006/relationships/hyperlink" Target="https://warthunder.com/en/news/892/current" TargetMode="External"/><Relationship Id="rId371" Type="http://schemas.openxmlformats.org/officeDocument/2006/relationships/hyperlink" Target="https://warthunder.com/en/news/4826-event-total-domination-en" TargetMode="External"/><Relationship Id="rId1015" Type="http://schemas.openxmlformats.org/officeDocument/2006/relationships/hyperlink" Target="https://warthunder.com/en/news/9043-shop-special-a-discount-decal-decoration-for-operation-bagrations-anniversary-en" TargetMode="External"/><Relationship Id="rId469" Type="http://schemas.openxmlformats.org/officeDocument/2006/relationships/hyperlink" Target="https://warthunder.com/en/news/6291-event-russian-navy-day-en" TargetMode="External"/><Relationship Id="rId676" Type="http://schemas.openxmlformats.org/officeDocument/2006/relationships/hyperlink" Target="https://warthunder.com/en/news/7959-shop-war-thunder-birthday-sale-in-gaijin-net-store-en" TargetMode="External"/><Relationship Id="rId883" Type="http://schemas.openxmlformats.org/officeDocument/2006/relationships/hyperlink" Target="https://warthunder.com/en/news/8333-special-decal-for-the-british-armed-forces-day-en" TargetMode="External"/><Relationship Id="rId1099" Type="http://schemas.openxmlformats.org/officeDocument/2006/relationships/hyperlink" Target="https://warthunder.com/en/news/9025-special-a-new-decal-and-decoration-for-the-80th-anniversary-of-the-liberation-of-paris-en" TargetMode="External"/><Relationship Id="rId26" Type="http://schemas.openxmlformats.org/officeDocument/2006/relationships/hyperlink" Target="https://warthunder.com/en/news/223/current" TargetMode="External"/><Relationship Id="rId231" Type="http://schemas.openxmlformats.org/officeDocument/2006/relationships/hyperlink" Target="https://warthunder.com/en/news/3145/current" TargetMode="External"/><Relationship Id="rId329" Type="http://schemas.openxmlformats.org/officeDocument/2006/relationships/hyperlink" Target="https://warthunder.com/en/news/4404-event-team-deathmatch-and-enduring-confrontation-en" TargetMode="External"/><Relationship Id="rId536" Type="http://schemas.openxmlformats.org/officeDocument/2006/relationships/hyperlink" Target="https://warthunder.com/en/news/7153-special-happy-victory-day-en" TargetMode="External"/><Relationship Id="rId175" Type="http://schemas.openxmlformats.org/officeDocument/2006/relationships/hyperlink" Target="https://warthunder.com/en/news/2642/current" TargetMode="External"/><Relationship Id="rId743" Type="http://schemas.openxmlformats.org/officeDocument/2006/relationships/hyperlink" Target="https://warthunder.com/en/news/8139-special-finnish-air-force-day-en" TargetMode="External"/><Relationship Id="rId950" Type="http://schemas.openxmlformats.org/officeDocument/2006/relationships/hyperlink" Target="https://warthunder.com/en/news/8847-special-celebrate-the-day-of-aviation-and-cosmonautics-by-earning-a-themed-decal-en" TargetMode="External"/><Relationship Id="rId1026" Type="http://schemas.openxmlformats.org/officeDocument/2006/relationships/hyperlink" Target="https://warthunder.com/en/news/9096-shop-special-a-new-decal-two-fighters-a-discount-to-celebrate-the-us-air-forces-birthday-en" TargetMode="External"/><Relationship Id="rId382" Type="http://schemas.openxmlformats.org/officeDocument/2006/relationships/hyperlink" Target="https://warthunder.com/en/news/4978-special-us-air-force-day-get-the-xf5f-skyrocket-en" TargetMode="External"/><Relationship Id="rId603" Type="http://schemas.openxmlformats.org/officeDocument/2006/relationships/hyperlink" Target="https://warthunder.com/en/news/7667-special-polish-constitution-day-en" TargetMode="External"/><Relationship Id="rId687" Type="http://schemas.openxmlformats.org/officeDocument/2006/relationships/hyperlink" Target="https://warthunder.com/en/news/7981-event-pages-of-history-december-en" TargetMode="External"/><Relationship Id="rId810" Type="http://schemas.openxmlformats.org/officeDocument/2006/relationships/hyperlink" Target="https://warthunder.com/en/news/8366-event-pages-of-history-august-en" TargetMode="External"/><Relationship Id="rId908" Type="http://schemas.openxmlformats.org/officeDocument/2006/relationships/hyperlink" Target="https://warthunder.com/en/news/8587-special-polish-independence-day-a-decal-camouflage-and-lanovskis-p-47-to-celebrate-en" TargetMode="External"/><Relationship Id="rId242" Type="http://schemas.openxmlformats.org/officeDocument/2006/relationships/hyperlink" Target="https://warthunder.com/en/news/3229/current" TargetMode="External"/><Relationship Id="rId894" Type="http://schemas.openxmlformats.org/officeDocument/2006/relationships/hyperlink" Target="https://warthunder.com/en/news/8467-special-the-yp-38-is-back-for-the-anniversary-of-its-first-flight-en" TargetMode="External"/><Relationship Id="rId37" Type="http://schemas.openxmlformats.org/officeDocument/2006/relationships/hyperlink" Target="https://warthunder.com/en/news/278/current" TargetMode="External"/><Relationship Id="rId102" Type="http://schemas.openxmlformats.org/officeDocument/2006/relationships/hyperlink" Target="https://warthunder.com/en/news/511/current" TargetMode="External"/><Relationship Id="rId547" Type="http://schemas.openxmlformats.org/officeDocument/2006/relationships/hyperlink" Target="https://warthunder.com/en/news/7333-special-happy-tankers-day-en" TargetMode="External"/><Relationship Id="rId754" Type="http://schemas.openxmlformats.org/officeDocument/2006/relationships/hyperlink" Target="https://warthunder.com/en/news/8149-event-tank-football-2023-en" TargetMode="External"/><Relationship Id="rId961" Type="http://schemas.openxmlformats.org/officeDocument/2006/relationships/hyperlink" Target="https://warthunder.com/en/news/8871-event-pages-of-history-may-for-victory-en" TargetMode="External"/><Relationship Id="rId90" Type="http://schemas.openxmlformats.org/officeDocument/2006/relationships/hyperlink" Target="https://warthunder.com/en/news/473/current" TargetMode="External"/><Relationship Id="rId186" Type="http://schemas.openxmlformats.org/officeDocument/2006/relationships/hyperlink" Target="https://warthunder.com/en/news/481/current" TargetMode="External"/><Relationship Id="rId393" Type="http://schemas.openxmlformats.org/officeDocument/2006/relationships/hyperlink" Target="https://warthunder.com/en/news/5158-giveaway-advent-in-war-thunder-en" TargetMode="External"/><Relationship Id="rId407" Type="http://schemas.openxmlformats.org/officeDocument/2006/relationships/hyperlink" Target="https://warthunder.com/en/news/5295-event-battle-for-stalingrad-en" TargetMode="External"/><Relationship Id="rId614" Type="http://schemas.openxmlformats.org/officeDocument/2006/relationships/hyperlink" Target="https://warthunder.com/en/news/7710-special-maiden-flight-of-the-bf-109-en" TargetMode="External"/><Relationship Id="rId821" Type="http://schemas.openxmlformats.org/officeDocument/2006/relationships/hyperlink" Target="https://warthunder.com/en/news/8426-event-pages-of-history-september-en" TargetMode="External"/><Relationship Id="rId1037" Type="http://schemas.openxmlformats.org/officeDocument/2006/relationships/hyperlink" Target="https://warthunder.com/en/news/9132-shop-the-vautour-iin-is-temporarily-available-at-a-discount-for-the-anniversary-of-its-first-flight-en" TargetMode="External"/><Relationship Id="rId253" Type="http://schemas.openxmlformats.org/officeDocument/2006/relationships/hyperlink" Target="https://warthunder.com/en/news/3309/current" TargetMode="External"/><Relationship Id="rId460" Type="http://schemas.openxmlformats.org/officeDocument/2006/relationships/hyperlink" Target="https://warthunder.com/en/news/6241-event-russia-day-en" TargetMode="External"/><Relationship Id="rId698" Type="http://schemas.openxmlformats.org/officeDocument/2006/relationships/hyperlink" Target="https://warthunder.com/en/news/8048-happy-new-year-2023-en" TargetMode="External"/><Relationship Id="rId919" Type="http://schemas.openxmlformats.org/officeDocument/2006/relationships/hyperlink" Target="https://warthunder.com/en/news/8713-event-pages-of-history-february-through-a-storm-en" TargetMode="External"/><Relationship Id="rId1090" Type="http://schemas.openxmlformats.org/officeDocument/2006/relationships/hyperlink" Target="https://warthunder.com/en/news/8948-shop-special-german-navy-day-two-ships-and-a-decal-en" TargetMode="External"/><Relationship Id="rId1104" Type="http://schemas.openxmlformats.org/officeDocument/2006/relationships/hyperlink" Target="https://warthunder.com/en/news/9149-shop-in-game-discounts-for-war-thunders-12th-anniversary-en" TargetMode="External"/><Relationship Id="rId48" Type="http://schemas.openxmlformats.org/officeDocument/2006/relationships/hyperlink" Target="https://warthunder.com/en/news/318/current" TargetMode="External"/><Relationship Id="rId113" Type="http://schemas.openxmlformats.org/officeDocument/2006/relationships/hyperlink" Target="https://warthunder.com/en/news/565/current" TargetMode="External"/><Relationship Id="rId320" Type="http://schemas.openxmlformats.org/officeDocument/2006/relationships/hyperlink" Target="https://warthunder.com/en/news/4305-event-halloween-mischief-updated-01-11-2016-en" TargetMode="External"/><Relationship Id="rId558" Type="http://schemas.openxmlformats.org/officeDocument/2006/relationships/hyperlink" Target="https://warthunder.com/en/news/7428-special-soviet-offensive-at-stalingrad-en" TargetMode="External"/><Relationship Id="rId765" Type="http://schemas.openxmlformats.org/officeDocument/2006/relationships/hyperlink" Target="https://warthunder.com/en/news/8167-event-pages-of-history-april-en" TargetMode="External"/><Relationship Id="rId972" Type="http://schemas.openxmlformats.org/officeDocument/2006/relationships/hyperlink" Target="https://warthunder.com/en/news/8871-event-pages-of-history-may-for-victory-en" TargetMode="External"/><Relationship Id="rId197" Type="http://schemas.openxmlformats.org/officeDocument/2006/relationships/hyperlink" Target="https://warthunder.com/en/news/2603/current" TargetMode="External"/><Relationship Id="rId418" Type="http://schemas.openxmlformats.org/officeDocument/2006/relationships/hyperlink" Target="https://warthunder.com/en/news/5419-silent-thunder-the-first-test-of-the-new-game-en" TargetMode="External"/><Relationship Id="rId625" Type="http://schemas.openxmlformats.org/officeDocument/2006/relationships/hyperlink" Target="https://warthunder.com/en/news/7751-special-bundeswehr-day-en" TargetMode="External"/><Relationship Id="rId832" Type="http://schemas.openxmlformats.org/officeDocument/2006/relationships/hyperlink" Target="https://warthunder.com/en/news/8495-event-pages-of-history-october-en" TargetMode="External"/><Relationship Id="rId1048" Type="http://schemas.openxmlformats.org/officeDocument/2006/relationships/hyperlink" Target="https://warthunder.com/en/news/9173-event-pages-of-history-november-medicane-en" TargetMode="External"/><Relationship Id="rId264" Type="http://schemas.openxmlformats.org/officeDocument/2006/relationships/hyperlink" Target="https://warthunder.com/en/news/3455/current" TargetMode="External"/><Relationship Id="rId471" Type="http://schemas.openxmlformats.org/officeDocument/2006/relationships/hyperlink" Target="https://warthunder.com/en/news/6315-event-russian-air-force-day-en" TargetMode="External"/><Relationship Id="rId1115" Type="http://schemas.openxmlformats.org/officeDocument/2006/relationships/hyperlink" Target="https://warthunder.com/en/news/9302-event-pages-of-history-january-defender-of-leningrad-en" TargetMode="External"/><Relationship Id="rId59" Type="http://schemas.openxmlformats.org/officeDocument/2006/relationships/hyperlink" Target="https://warthunder.com/en/news/360/current" TargetMode="External"/><Relationship Id="rId124" Type="http://schemas.openxmlformats.org/officeDocument/2006/relationships/hyperlink" Target="https://warthunder.com/en/news/614/current" TargetMode="External"/><Relationship Id="rId569" Type="http://schemas.openxmlformats.org/officeDocument/2006/relationships/hyperlink" Target="https://warthunder.com/en/news/7499-video-christmas-video-en" TargetMode="External"/><Relationship Id="rId776" Type="http://schemas.openxmlformats.org/officeDocument/2006/relationships/hyperlink" Target="https://warthunder.com/en/news/8208-event-pages-of-history-may-en" TargetMode="External"/><Relationship Id="rId983" Type="http://schemas.openxmlformats.org/officeDocument/2006/relationships/hyperlink" Target="https://warthunder.com/en/news/8913-event-pages-of-history-june-the-military-engineer-en" TargetMode="External"/><Relationship Id="rId331" Type="http://schemas.openxmlformats.org/officeDocument/2006/relationships/hyperlink" Target="https://warthunder.com/en/news/4414/current/direct/https:/warthunder.com/en/news/4414/current/direct/" TargetMode="External"/><Relationship Id="rId429" Type="http://schemas.openxmlformats.org/officeDocument/2006/relationships/hyperlink" Target="https://warthunder.com/en/news/5716-event-the-75th-anniversary-of-the-end-of-the-battle-of-kursk-en" TargetMode="External"/><Relationship Id="rId636" Type="http://schemas.openxmlformats.org/officeDocument/2006/relationships/hyperlink" Target="https://warthunder.com/en/news/7755-event-pages-of-history-july-en" TargetMode="External"/><Relationship Id="rId1059" Type="http://schemas.openxmlformats.org/officeDocument/2006/relationships/hyperlink" Target="https://warthunder.com/en/news/9245-special-the-scottish-saltire-for-st-andrews-day-en" TargetMode="External"/><Relationship Id="rId843" Type="http://schemas.openxmlformats.org/officeDocument/2006/relationships/hyperlink" Target="https://warthunder.com/en/news/8549-event-pages-of-history-november-en" TargetMode="External"/><Relationship Id="rId1126" Type="http://schemas.openxmlformats.org/officeDocument/2006/relationships/hyperlink" Target="https://warthunder.com/en/news/9349-event-pages-of-history-february-the-big-chief-en" TargetMode="External"/><Relationship Id="rId275" Type="http://schemas.openxmlformats.org/officeDocument/2006/relationships/hyperlink" Target="https://warthunder.com/en/news/3156/current" TargetMode="External"/><Relationship Id="rId482" Type="http://schemas.openxmlformats.org/officeDocument/2006/relationships/hyperlink" Target="https://warthunder.com/en/news/6488-shop-black-friday-sale-en" TargetMode="External"/><Relationship Id="rId703" Type="http://schemas.openxmlformats.org/officeDocument/2006/relationships/hyperlink" Target="https://warthunder.com/en/news/7676-event-legend-of-victory-is-2-321-en" TargetMode="External"/><Relationship Id="rId910" Type="http://schemas.openxmlformats.org/officeDocument/2006/relationships/hyperlink" Target="https://warthunder.com/en/news/8680-event-pages-of-history-january-ace-in-a-day-en" TargetMode="External"/><Relationship Id="rId135" Type="http://schemas.openxmlformats.org/officeDocument/2006/relationships/hyperlink" Target="https://warthunder.com/en/news/707/current" TargetMode="External"/><Relationship Id="rId342" Type="http://schemas.openxmlformats.org/officeDocument/2006/relationships/hyperlink" Target="http://web.archive.org/web/20161031014851/https:/warthunder.com/en/news/4308-shop-clearance-sale-in-the-store-50-discount-en/" TargetMode="External"/><Relationship Id="rId787" Type="http://schemas.openxmlformats.org/officeDocument/2006/relationships/hyperlink" Target="https://warthunder.com/en/news/8281-event-pages-of-history-june-en" TargetMode="External"/><Relationship Id="rId994" Type="http://schemas.openxmlformats.org/officeDocument/2006/relationships/hyperlink" Target="https://warthunder.com/en/news/8964-event-pages-of-history-july-the-jumping-general-en" TargetMode="External"/><Relationship Id="rId202" Type="http://schemas.openxmlformats.org/officeDocument/2006/relationships/hyperlink" Target="https://warthunder.com/en/news/2750/current" TargetMode="External"/><Relationship Id="rId647" Type="http://schemas.openxmlformats.org/officeDocument/2006/relationships/hyperlink" Target="https://warthunder.com/en/news/7789-event-pages-of-history-august-en" TargetMode="External"/><Relationship Id="rId854" Type="http://schemas.openxmlformats.org/officeDocument/2006/relationships/hyperlink" Target="https://warthunder.com/en/news/8549-event-pages-of-history-november-en" TargetMode="External"/><Relationship Id="rId286" Type="http://schemas.openxmlformats.org/officeDocument/2006/relationships/hyperlink" Target="https://warthunder.com/en/news/3552-event-rapid-fire-en" TargetMode="External"/><Relationship Id="rId493" Type="http://schemas.openxmlformats.org/officeDocument/2006/relationships/hyperlink" Target="https://warthunder.com/en/news/6583-special-valentine-s-day-en" TargetMode="External"/><Relationship Id="rId507" Type="http://schemas.openxmlformats.org/officeDocument/2006/relationships/hyperlink" Target="https://warthunder.com/en/news/6800-event-russian-navy-day-with-war-thunder-en" TargetMode="External"/><Relationship Id="rId714" Type="http://schemas.openxmlformats.org/officeDocument/2006/relationships/hyperlink" Target="https://warthunder.com/en/news/7670-special-israel-independence-day-en" TargetMode="External"/><Relationship Id="rId921" Type="http://schemas.openxmlformats.org/officeDocument/2006/relationships/hyperlink" Target="https://warthunder.com/en/news/8713-event-pages-of-history-february-through-a-storm-en" TargetMode="External"/><Relationship Id="rId50" Type="http://schemas.openxmlformats.org/officeDocument/2006/relationships/hyperlink" Target="https://warthunder.com/en/news/323/current" TargetMode="External"/><Relationship Id="rId146" Type="http://schemas.openxmlformats.org/officeDocument/2006/relationships/hyperlink" Target="https://warthunder.com/en/news/792/current" TargetMode="External"/><Relationship Id="rId353" Type="http://schemas.openxmlformats.org/officeDocument/2006/relationships/hyperlink" Target="https://warthunder.com/en/news/4554-event-spitfire-day-in-honor-of-the-first-flight-en" TargetMode="External"/><Relationship Id="rId560" Type="http://schemas.openxmlformats.org/officeDocument/2006/relationships/hyperlink" Target="https://warthunder.com/en/news/7433-special-mosquito-first-flight-en" TargetMode="External"/><Relationship Id="rId798" Type="http://schemas.openxmlformats.org/officeDocument/2006/relationships/hyperlink" Target="https://warthunder.com/en/news/8349-special-a-decal-and-a-3d-decoration-commemorating-80-years-from-operation-husky-en" TargetMode="External"/><Relationship Id="rId213" Type="http://schemas.openxmlformats.org/officeDocument/2006/relationships/hyperlink" Target="https://warthunder.com/en/news/2912/current" TargetMode="External"/><Relationship Id="rId420" Type="http://schemas.openxmlformats.org/officeDocument/2006/relationships/hyperlink" Target="https://warthunder.com/en/news/5449-special-cosmonautics-day-en" TargetMode="External"/><Relationship Id="rId658" Type="http://schemas.openxmlformats.org/officeDocument/2006/relationships/hyperlink" Target="https://warthunder.com/en/news/7837-event-pages-of-history-september-en" TargetMode="External"/><Relationship Id="rId865" Type="http://schemas.openxmlformats.org/officeDocument/2006/relationships/hyperlink" Target="https://warthunder.com/en/news/8602-event-pages-of-history-december-the-heroic-nurse-en" TargetMode="External"/><Relationship Id="rId1050" Type="http://schemas.openxmlformats.org/officeDocument/2006/relationships/hyperlink" Target="https://warthunder.com/en/news/9201-shop-discount-on-the-tu-1-in-honor-of-an-tupolevs-birthday-en" TargetMode="External"/><Relationship Id="rId297" Type="http://schemas.openxmlformats.org/officeDocument/2006/relationships/hyperlink" Target="https://warthunder.com/en/news/3709-event-victory-hour-capture-of-berlin-pve-event-en" TargetMode="External"/><Relationship Id="rId518" Type="http://schemas.openxmlformats.org/officeDocument/2006/relationships/hyperlink" Target="https://warthunder.com/en/news/6938-event-102-year-anniversary-of-poland-regaining-independence-en" TargetMode="External"/><Relationship Id="rId725" Type="http://schemas.openxmlformats.org/officeDocument/2006/relationships/hyperlink" Target="https://warthunder.com/en/news/8069-special-australia-day-en" TargetMode="External"/><Relationship Id="rId932" Type="http://schemas.openxmlformats.org/officeDocument/2006/relationships/hyperlink" Target="https://warthunder.com/en/news/8761-event-pages-of-history-march-on-wings-of-war-en" TargetMode="External"/><Relationship Id="rId157" Type="http://schemas.openxmlformats.org/officeDocument/2006/relationships/hyperlink" Target="https://warthunder.com/en/news/855/current" TargetMode="External"/><Relationship Id="rId364" Type="http://schemas.openxmlformats.org/officeDocument/2006/relationships/hyperlink" Target="https://warthunder.com/en/news/4754-event-invasion-of-normandy-en" TargetMode="External"/><Relationship Id="rId1008" Type="http://schemas.openxmlformats.org/officeDocument/2006/relationships/hyperlink" Target="https://warthunder.com/en/news/9024-shop-special-us-airborne-day-get-yourself-a-new-decal-the-uh-1c-xm-30-en" TargetMode="External"/><Relationship Id="rId61" Type="http://schemas.openxmlformats.org/officeDocument/2006/relationships/hyperlink" Target="https://warthunder.com/en/news/365/current" TargetMode="External"/><Relationship Id="rId571" Type="http://schemas.openxmlformats.org/officeDocument/2006/relationships/hyperlink" Target="https://warthunder.com/en/news/7042-special-lunar-new-year-and-valentine-s-day-en" TargetMode="External"/><Relationship Id="rId669" Type="http://schemas.openxmlformats.org/officeDocument/2006/relationships/hyperlink" Target="https://warthunder.com/en/news/7888-event-pages-of-history-october-en" TargetMode="External"/><Relationship Id="rId876" Type="http://schemas.openxmlformats.org/officeDocument/2006/relationships/hyperlink" Target="https://warthunder.com/en/news/8256-special-french-national-sailor-day-decal-and-discounts-en" TargetMode="External"/><Relationship Id="rId19" Type="http://schemas.openxmlformats.org/officeDocument/2006/relationships/hyperlink" Target="https://warthunder.com/en/news/170/current" TargetMode="External"/><Relationship Id="rId224" Type="http://schemas.openxmlformats.org/officeDocument/2006/relationships/hyperlink" Target="https://warthunder.com/en/news/3092/current" TargetMode="External"/><Relationship Id="rId431" Type="http://schemas.openxmlformats.org/officeDocument/2006/relationships/hyperlink" Target="https://warthunder.com/en/news/5771-event-participate-in-the-battle-of-britain-en" TargetMode="External"/><Relationship Id="rId529" Type="http://schemas.openxmlformats.org/officeDocument/2006/relationships/hyperlink" Target="https://warthunder.com/en/news/7076-event-happy-international-women-s-day-en" TargetMode="External"/><Relationship Id="rId736" Type="http://schemas.openxmlformats.org/officeDocument/2006/relationships/hyperlink" Target="https://warthunder.com/en/news/8098-special-first-flight-of-the-bo-105-en" TargetMode="External"/><Relationship Id="rId1061" Type="http://schemas.openxmlformats.org/officeDocument/2006/relationships/hyperlink" Target="https://warthunder.com/en/news/9240-event-pages-of-history-december-world-champion-en" TargetMode="External"/><Relationship Id="rId168" Type="http://schemas.openxmlformats.org/officeDocument/2006/relationships/hyperlink" Target="https://warthunder.com/en/news/2595--en" TargetMode="External"/><Relationship Id="rId943" Type="http://schemas.openxmlformats.org/officeDocument/2006/relationships/hyperlink" Target="https://warthunder.com/en/news/8761-event-pages-of-history-march-on-wings-of-war-en" TargetMode="External"/><Relationship Id="rId1019" Type="http://schemas.openxmlformats.org/officeDocument/2006/relationships/hyperlink" Target="https://warthunder.com/en/news/9069-shop-special-discounts-on-soviet-tanks-and-a-decoration-for-tankers-day-en" TargetMode="External"/><Relationship Id="rId72" Type="http://schemas.openxmlformats.org/officeDocument/2006/relationships/hyperlink" Target="https://warthunder.com/en/news/421/current" TargetMode="External"/><Relationship Id="rId375" Type="http://schemas.openxmlformats.org/officeDocument/2006/relationships/hyperlink" Target="https://warthunder.com/en/news/4892-special-russian-air-force-105th-anniversary-en" TargetMode="External"/><Relationship Id="rId582" Type="http://schemas.openxmlformats.org/officeDocument/2006/relationships/hyperlink" Target="https://warthunder.com/en/news/7534-special-lunar-new-year-en" TargetMode="External"/><Relationship Id="rId803" Type="http://schemas.openxmlformats.org/officeDocument/2006/relationships/hyperlink" Target="https://warthunder.com/en/news/8331-event-pages-of-history-july-en" TargetMode="External"/><Relationship Id="rId3" Type="http://schemas.openxmlformats.org/officeDocument/2006/relationships/hyperlink" Target="https://warthunder.com/en/news/63/current" TargetMode="External"/><Relationship Id="rId235" Type="http://schemas.openxmlformats.org/officeDocument/2006/relationships/hyperlink" Target="https://warthunder.com/en/news/3175/current" TargetMode="External"/><Relationship Id="rId442" Type="http://schemas.openxmlformats.org/officeDocument/2006/relationships/hyperlink" Target="https://warthunder.com/en/news/5985-news-year-2018-in-war-thunder-en" TargetMode="External"/><Relationship Id="rId887" Type="http://schemas.openxmlformats.org/officeDocument/2006/relationships/hyperlink" Target="https://warthunder.com/en/news/8364-special-hunter-fga-9-celebrates-the-anniversary-of-its-first-flight-en" TargetMode="External"/><Relationship Id="rId1072" Type="http://schemas.openxmlformats.org/officeDocument/2006/relationships/hyperlink" Target="https://warthunder.com/en/news/9240-event-pages-of-history-december-world-champion-en" TargetMode="External"/><Relationship Id="rId302" Type="http://schemas.openxmlformats.org/officeDocument/2006/relationships/hyperlink" Target="https://warthunder.com/en/news/3790-news-petlyakov-chronicle-of-a-dive-bomber-en" TargetMode="External"/><Relationship Id="rId747" Type="http://schemas.openxmlformats.org/officeDocument/2006/relationships/hyperlink" Target="https://warthunder.com/en/news/8124-event-pages-of-history-march-en" TargetMode="External"/><Relationship Id="rId954" Type="http://schemas.openxmlformats.org/officeDocument/2006/relationships/hyperlink" Target="https://warthunder.com/en/news/8862-special-st-georges-day-englands-flag-temporarily-returns-en" TargetMode="External"/><Relationship Id="rId83" Type="http://schemas.openxmlformats.org/officeDocument/2006/relationships/hyperlink" Target="https://warthunder.com/en/news/458/current" TargetMode="External"/><Relationship Id="rId179" Type="http://schemas.openxmlformats.org/officeDocument/2006/relationships/hyperlink" Target="https://warthunder.com/en/news/2680/current" TargetMode="External"/><Relationship Id="rId386" Type="http://schemas.openxmlformats.org/officeDocument/2006/relationships/hyperlink" Target="https://warthunder.com/en/news/5020-special-friday-the-13th-true-slasher-en" TargetMode="External"/><Relationship Id="rId593" Type="http://schemas.openxmlformats.org/officeDocument/2006/relationships/hyperlink" Target="https://warthunder.com/en/news/7632-event-children-of-arachis-desert-cinnamon-and-giant-worms-en" TargetMode="External"/><Relationship Id="rId607" Type="http://schemas.openxmlformats.org/officeDocument/2006/relationships/hyperlink" Target="https://warthunder.com/en/news/7677-event-victory-day-in-war-thunder-en" TargetMode="External"/><Relationship Id="rId814" Type="http://schemas.openxmlformats.org/officeDocument/2006/relationships/hyperlink" Target="https://warthunder.com/en/news/8401-special-sky-dragons-decal-and-a-uh-1c-xm-30-for-us-airborne-day-en" TargetMode="External"/><Relationship Id="rId246" Type="http://schemas.openxmlformats.org/officeDocument/2006/relationships/hyperlink" Target="https://warthunder.com/en/news/3258/current" TargetMode="External"/><Relationship Id="rId453" Type="http://schemas.openxmlformats.org/officeDocument/2006/relationships/hyperlink" Target="https://warthunder.com/en/news/6090-news-international-women-s-day-en" TargetMode="External"/><Relationship Id="rId660" Type="http://schemas.openxmlformats.org/officeDocument/2006/relationships/hyperlink" Target="https://warthunder.com/en/news/7837-event-pages-of-history-september-en" TargetMode="External"/><Relationship Id="rId898" Type="http://schemas.openxmlformats.org/officeDocument/2006/relationships/hyperlink" Target="https://warthunder.com/en/news/8495-event-pages-of-history-october-en" TargetMode="External"/><Relationship Id="rId1083" Type="http://schemas.openxmlformats.org/officeDocument/2006/relationships/hyperlink" Target="https://warthunder.com/en/news/8754-esport-special-defender-of-the-fatherland-tournaments-a-decal-decoration-and-vehicles-for-golden-eagles-en" TargetMode="External"/><Relationship Id="rId106" Type="http://schemas.openxmlformats.org/officeDocument/2006/relationships/hyperlink" Target="https://warthunder.com/en/news/524/current" TargetMode="External"/><Relationship Id="rId313" Type="http://schemas.openxmlformats.org/officeDocument/2006/relationships/hyperlink" Target="https://warthunder.com/en/news/4246-special-battle-of-britain-en" TargetMode="External"/><Relationship Id="rId758" Type="http://schemas.openxmlformats.org/officeDocument/2006/relationships/hyperlink" Target="https://warthunder.com/en/news/8167-event-pages-of-history-april-en" TargetMode="External"/><Relationship Id="rId965" Type="http://schemas.openxmlformats.org/officeDocument/2006/relationships/hyperlink" Target="https://warthunder.com/en/news/8871-event-pages-of-history-may-for-victory-en" TargetMode="External"/><Relationship Id="rId10" Type="http://schemas.openxmlformats.org/officeDocument/2006/relationships/hyperlink" Target="https://warthunder.com/en/news/109/current" TargetMode="External"/><Relationship Id="rId94" Type="http://schemas.openxmlformats.org/officeDocument/2006/relationships/hyperlink" Target="https://warthunder.com/en/news/491/current" TargetMode="External"/><Relationship Id="rId397" Type="http://schemas.openxmlformats.org/officeDocument/2006/relationships/hyperlink" Target="https://warthunder.com/en/news/5242-happy-new-year-en" TargetMode="External"/><Relationship Id="rId520" Type="http://schemas.openxmlformats.org/officeDocument/2006/relationships/hyperlink" Target="https://warthunder.com/en/news/6965-giveaway-get-roccat-horde-aimo-keyboards-and-somua-sm-packs-en" TargetMode="External"/><Relationship Id="rId618" Type="http://schemas.openxmlformats.org/officeDocument/2006/relationships/hyperlink" Target="https://warthunder.com/en/news/7689-event-pages-of-history-june-en" TargetMode="External"/><Relationship Id="rId825" Type="http://schemas.openxmlformats.org/officeDocument/2006/relationships/hyperlink" Target="https://warthunder.com/en/news/8426-event-pages-of-history-september-en" TargetMode="External"/><Relationship Id="rId257" Type="http://schemas.openxmlformats.org/officeDocument/2006/relationships/hyperlink" Target="https://warthunder.com/en/news/3360/current" TargetMode="External"/><Relationship Id="rId464" Type="http://schemas.openxmlformats.org/officeDocument/2006/relationships/hyperlink" Target="https://warthunder.com/en/news/6263-shop-war-thunder-summer-sale-en" TargetMode="External"/><Relationship Id="rId1010" Type="http://schemas.openxmlformats.org/officeDocument/2006/relationships/hyperlink" Target="https://warthunder.com/en/news/9004-event-pages-of-history-august-the-first-in-paris-en" TargetMode="External"/><Relationship Id="rId1094" Type="http://schemas.openxmlformats.org/officeDocument/2006/relationships/hyperlink" Target="https://warthunder.com/en/news/8993-shop-the-t-2-early-is-available-on-the-anniversary-of-its-first-flight-en" TargetMode="External"/><Relationship Id="rId1108" Type="http://schemas.openxmlformats.org/officeDocument/2006/relationships/hyperlink" Target="https://warthunder.com/en/news/9234-shop-black-friday-in-war-thunder-en" TargetMode="External"/><Relationship Id="rId117" Type="http://schemas.openxmlformats.org/officeDocument/2006/relationships/hyperlink" Target="https://warthunder.com/en/news/574/current" TargetMode="External"/><Relationship Id="rId671" Type="http://schemas.openxmlformats.org/officeDocument/2006/relationships/hyperlink" Target="https://warthunder.com/en/news/7939-event-halloween-in-war-thunder-en" TargetMode="External"/><Relationship Id="rId769" Type="http://schemas.openxmlformats.org/officeDocument/2006/relationships/hyperlink" Target="https://warthunder.com/en/news/8208-event-pages-of-history-may-en" TargetMode="External"/><Relationship Id="rId976" Type="http://schemas.openxmlformats.org/officeDocument/2006/relationships/hyperlink" Target="https://warthunder.com/en/news/8913-event-pages-of-history-june-the-military-engineer-en" TargetMode="External"/><Relationship Id="rId324" Type="http://schemas.openxmlformats.org/officeDocument/2006/relationships/hyperlink" Target="https://warthunder.com/en/news/4355-shop-black-friday-thanksgiving-discounts-have-ended-en" TargetMode="External"/><Relationship Id="rId531" Type="http://schemas.openxmlformats.org/officeDocument/2006/relationships/hyperlink" Target="https://warthunder.com/en/news/7097-p39n-0-for-alexander-pokryshkin-s-birthday-en" TargetMode="External"/><Relationship Id="rId629" Type="http://schemas.openxmlformats.org/officeDocument/2006/relationships/hyperlink" Target="https://warthunder.com/en/news/7765-special-us-independence-day-en" TargetMode="External"/><Relationship Id="rId836" Type="http://schemas.openxmlformats.org/officeDocument/2006/relationships/hyperlink" Target="https://warthunder.com/en/news/8514-special-us-navy-birthday-a-decal-and-the-uss-cowell-to-celebrate-en" TargetMode="External"/><Relationship Id="rId1021" Type="http://schemas.openxmlformats.org/officeDocument/2006/relationships/hyperlink" Target="https://warthunder.com/en/news/9038-event-pages-of-history-september-attacker-ace-en" TargetMode="External"/><Relationship Id="rId1119" Type="http://schemas.openxmlformats.org/officeDocument/2006/relationships/hyperlink" Target="https://warthunder.com/en/news/9339-shop-the-su-7bmk-temporarily-returns-at-a-discount-for-the-anniversary-of-the-su-7b-entering-service-en" TargetMode="External"/><Relationship Id="rId903" Type="http://schemas.openxmlformats.org/officeDocument/2006/relationships/hyperlink" Target="https://warthunder.com/en/news/8171-special-royal-air-force-day-en" TargetMode="External"/><Relationship Id="rId32" Type="http://schemas.openxmlformats.org/officeDocument/2006/relationships/hyperlink" Target="https://warthunder.com/en/news/255/current" TargetMode="External"/><Relationship Id="rId181" Type="http://schemas.openxmlformats.org/officeDocument/2006/relationships/hyperlink" Target="https://warthunder.com/en/news/2716/current" TargetMode="External"/><Relationship Id="rId279" Type="http://schemas.openxmlformats.org/officeDocument/2006/relationships/hyperlink" Target="https://warthunder.com/en/news/3348/current" TargetMode="External"/><Relationship Id="rId486" Type="http://schemas.openxmlformats.org/officeDocument/2006/relationships/hyperlink" Target="https://warthunder.com/en/news/6130-development-alien-combat-vehicles-from-green-hills-en" TargetMode="External"/><Relationship Id="rId693" Type="http://schemas.openxmlformats.org/officeDocument/2006/relationships/hyperlink" Target="https://warthunder.com/en/news/7981-event-pages-of-history-december-en" TargetMode="External"/><Relationship Id="rId139" Type="http://schemas.openxmlformats.org/officeDocument/2006/relationships/hyperlink" Target="https://warthunder.com/en/news/739/current" TargetMode="External"/><Relationship Id="rId346" Type="http://schemas.openxmlformats.org/officeDocument/2006/relationships/hyperlink" Target="https://warthunder.com/en/news/4418-special-collect-a-premium-type-95-ha-go-commander-for-christmas-en" TargetMode="External"/><Relationship Id="rId553" Type="http://schemas.openxmlformats.org/officeDocument/2006/relationships/hyperlink" Target="https://warthunder.com/en/news/7408-news-happy-birthday-war-thunder-en" TargetMode="External"/><Relationship Id="rId760" Type="http://schemas.openxmlformats.org/officeDocument/2006/relationships/hyperlink" Target="https://warthunder.com/en/news/8192-special-day-of-aviation-and-cosmonautics-en" TargetMode="External"/><Relationship Id="rId998" Type="http://schemas.openxmlformats.org/officeDocument/2006/relationships/hyperlink" Target="https://warthunder.com/en/news/8964-event-pages-of-history-july-the-jumping-general-en" TargetMode="External"/><Relationship Id="rId206" Type="http://schemas.openxmlformats.org/officeDocument/2006/relationships/hyperlink" Target="https://warthunder.com/en/news/2812/current" TargetMode="External"/><Relationship Id="rId413" Type="http://schemas.openxmlformats.org/officeDocument/2006/relationships/hyperlink" Target="https://warthunder.com/en/news/5372-special-winter-is-over-welcome-to-spring-en" TargetMode="External"/><Relationship Id="rId858" Type="http://schemas.openxmlformats.org/officeDocument/2006/relationships/hyperlink" Target="https://warthunder.com/en/news/8602-event-pages-of-history-december-the-heroic-nurse-en" TargetMode="External"/><Relationship Id="rId1043" Type="http://schemas.openxmlformats.org/officeDocument/2006/relationships/hyperlink" Target="https://warthunder.com/en/news/9160-shop-the-j35a-draken-temporarily-returns-at-a-discount-for-the-anniversary-of-its-first-flight-en" TargetMode="External"/><Relationship Id="rId620" Type="http://schemas.openxmlformats.org/officeDocument/2006/relationships/hyperlink" Target="https://warthunder.com/en/news/7689-event-pages-of-history-june-en" TargetMode="External"/><Relationship Id="rId718" Type="http://schemas.openxmlformats.org/officeDocument/2006/relationships/hyperlink" Target="https://warthunder.com/en/news/8037-event-pages-of-history-january-en" TargetMode="External"/><Relationship Id="rId925" Type="http://schemas.openxmlformats.org/officeDocument/2006/relationships/hyperlink" Target="https://warthunder.com/en/news/8713-event-pages-of-history-february-through-a-storm-en" TargetMode="External"/><Relationship Id="rId1110" Type="http://schemas.openxmlformats.org/officeDocument/2006/relationships/hyperlink" Target="https://warthunder.com/en/news/8968-shop-founding-of-the-south-african-national-defence-force-rooikat-105-returns-for-golden-eagles-en" TargetMode="External"/><Relationship Id="rId54" Type="http://schemas.openxmlformats.org/officeDocument/2006/relationships/hyperlink" Target="https://warthunder.com/en/news/344/current" TargetMode="External"/><Relationship Id="rId270" Type="http://schemas.openxmlformats.org/officeDocument/2006/relationships/hyperlink" Target="https://warthunder.com/en/news/3492/current" TargetMode="External"/><Relationship Id="rId130" Type="http://schemas.openxmlformats.org/officeDocument/2006/relationships/hyperlink" Target="https://warthunder.com/en/news/662/current" TargetMode="External"/><Relationship Id="rId368" Type="http://schemas.openxmlformats.org/officeDocument/2006/relationships/hyperlink" Target="https://warthunder.com/en/news/4799-event-battleroyal-en" TargetMode="External"/><Relationship Id="rId575" Type="http://schemas.openxmlformats.org/officeDocument/2006/relationships/hyperlink" Target="https://warthunder.com/en/news/7421-special-founding-of-the-people-s-liberation-army-air-force-en" TargetMode="External"/><Relationship Id="rId782" Type="http://schemas.openxmlformats.org/officeDocument/2006/relationships/hyperlink" Target="https://warthunder.com/en/news/8298-special-d-day-event-and-decal-en" TargetMode="External"/><Relationship Id="rId228" Type="http://schemas.openxmlformats.org/officeDocument/2006/relationships/hyperlink" Target="https://warthunder.com/en/news/3125/current" TargetMode="External"/><Relationship Id="rId435" Type="http://schemas.openxmlformats.org/officeDocument/2006/relationships/hyperlink" Target="https://web.archive.org/web/20181106230133/https:/warthunder.com/en/news/5861-special-big-war-thunder-birthday-sale-en" TargetMode="External"/><Relationship Id="rId642" Type="http://schemas.openxmlformats.org/officeDocument/2006/relationships/hyperlink" Target="https://warthunder.com/en/news/7789-event-pages-of-history-august-en" TargetMode="External"/><Relationship Id="rId1065" Type="http://schemas.openxmlformats.org/officeDocument/2006/relationships/hyperlink" Target="https://warthunder.com/en/news/9240-event-pages-of-history-december-world-champion-en" TargetMode="External"/><Relationship Id="rId502" Type="http://schemas.openxmlformats.org/officeDocument/2006/relationships/hyperlink" Target="https://warthunder.com/en/news/6764-special-russia-day-en" TargetMode="External"/><Relationship Id="rId947" Type="http://schemas.openxmlformats.org/officeDocument/2006/relationships/hyperlink" Target="https://warthunder.com/en/news/8839-event-mad-thunder-rage-and-loot-en" TargetMode="External"/><Relationship Id="rId1132" Type="http://schemas.openxmlformats.org/officeDocument/2006/relationships/hyperlink" Target="https://warthunder.com/en/news/9302-event-pages-of-history-january-defender-of-leningrad-en" TargetMode="External"/><Relationship Id="rId76" Type="http://schemas.openxmlformats.org/officeDocument/2006/relationships/hyperlink" Target="https://warthunder.com/en/news/436/current" TargetMode="External"/><Relationship Id="rId807" Type="http://schemas.openxmlformats.org/officeDocument/2006/relationships/hyperlink" Target="https://warthunder.com/en/news/8366-event-pages-of-history-august-en" TargetMode="External"/><Relationship Id="rId292" Type="http://schemas.openxmlformats.org/officeDocument/2006/relationships/hyperlink" Target="https://warthunder.com/en/news/3641-special-v-for-victory-en" TargetMode="External"/><Relationship Id="rId597" Type="http://schemas.openxmlformats.org/officeDocument/2006/relationships/hyperlink" Target="https://warthunder.com/en/news/7643-special-happy-cosmonautics-day-en" TargetMode="External"/><Relationship Id="rId152" Type="http://schemas.openxmlformats.org/officeDocument/2006/relationships/hyperlink" Target="https://warthunder.com/en/news/843/current" TargetMode="External"/><Relationship Id="rId457" Type="http://schemas.openxmlformats.org/officeDocument/2006/relationships/hyperlink" Target="https://warthunder.com/en/news/6170-special-victory-day-en" TargetMode="External"/><Relationship Id="rId1087" Type="http://schemas.openxmlformats.org/officeDocument/2006/relationships/hyperlink" Target="https://warthunder.com/en/news/8909-special-the-sav-201248-and-a-decal-are-available-for-swedish-national-security-forces-day-en" TargetMode="External"/><Relationship Id="rId664" Type="http://schemas.openxmlformats.org/officeDocument/2006/relationships/hyperlink" Target="https://warthunder.com/en/news/7888-event-pages-of-history-october-en" TargetMode="External"/><Relationship Id="rId871" Type="http://schemas.openxmlformats.org/officeDocument/2006/relationships/hyperlink" Target="https://warthunder.com/en/news/8175-event-mobile-infantry-event-en" TargetMode="External"/><Relationship Id="rId969" Type="http://schemas.openxmlformats.org/officeDocument/2006/relationships/hyperlink" Target="https://warthunder.com/en/news/8893-special-national-sailors-day-in-france-a-decal-and-the-duguay-trouin-returns-en" TargetMode="External"/><Relationship Id="rId317" Type="http://schemas.openxmlformats.org/officeDocument/2006/relationships/hyperlink" Target="https://warthunder.com/en/news/4286-event-large-calibres-and-rocket-science-en" TargetMode="External"/><Relationship Id="rId524" Type="http://schemas.openxmlformats.org/officeDocument/2006/relationships/hyperlink" Target="https://warthunder.com/en/news/6650-shop-stay-home-and-stay-safe-offer-en" TargetMode="External"/><Relationship Id="rId731" Type="http://schemas.openxmlformats.org/officeDocument/2006/relationships/hyperlink" Target="https://warthunder.com/en/news/8073-event-pages-of-history-february-en" TargetMode="External"/><Relationship Id="rId98" Type="http://schemas.openxmlformats.org/officeDocument/2006/relationships/hyperlink" Target="https://warthunder.com/en/news/501/current" TargetMode="External"/><Relationship Id="rId829" Type="http://schemas.openxmlformats.org/officeDocument/2006/relationships/hyperlink" Target="https://warthunder.com/en/news/8426-event-pages-of-history-september-en" TargetMode="External"/><Relationship Id="rId1014" Type="http://schemas.openxmlformats.org/officeDocument/2006/relationships/hyperlink" Target="https://warthunder.com/en/news/9004-event-pages-of-history-august-the-first-in-paris-en" TargetMode="External"/><Relationship Id="rId25" Type="http://schemas.openxmlformats.org/officeDocument/2006/relationships/hyperlink" Target="https://warthunder.com/en/news/212/current" TargetMode="External"/><Relationship Id="rId174" Type="http://schemas.openxmlformats.org/officeDocument/2006/relationships/hyperlink" Target="https://warthunder.com/en/news/2633/current" TargetMode="External"/><Relationship Id="rId381" Type="http://schemas.openxmlformats.org/officeDocument/2006/relationships/hyperlink" Target="https://warthunder.com/en/news/4973-news-happy-birthday-us-air-force-en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arthunder.com/en/news/8743-event-earn-the-jaguar-is-in-the-sword-of-justice-event-en" TargetMode="External"/><Relationship Id="rId18" Type="http://schemas.openxmlformats.org/officeDocument/2006/relationships/hyperlink" Target="https://warthunder.com/en/news/7676-event-legend-of-victory-is-2-321-en" TargetMode="External"/><Relationship Id="rId26" Type="http://schemas.openxmlformats.org/officeDocument/2006/relationships/hyperlink" Target="https://warthunder.com/en/news/8999-development-flight-of-the-albatross-alcione-en" TargetMode="External"/><Relationship Id="rId21" Type="http://schemas.openxmlformats.org/officeDocument/2006/relationships/hyperlink" Target="https://warthunder.com/en/news/9238-development-flight-of-the-vulture-iar-93b-en" TargetMode="External"/><Relationship Id="rId34" Type="http://schemas.openxmlformats.org/officeDocument/2006/relationships/hyperlink" Target="https://warthunder.com/en/news/8227-event-legend-of-victory-bm-31-12-andryusha-en" TargetMode="External"/><Relationship Id="rId7" Type="http://schemas.openxmlformats.org/officeDocument/2006/relationships/hyperlink" Target="https://warthunder.com/en/news/9005-event-get-the-iranian-f-14a-iriaf-in-the-persian-tomcat-event-en" TargetMode="External"/><Relationship Id="rId12" Type="http://schemas.openxmlformats.org/officeDocument/2006/relationships/hyperlink" Target="https://warthunder.com/en/news/8788-event-earn-sms-baden-in-the-imperial-flagship-event-en" TargetMode="External"/><Relationship Id="rId17" Type="http://schemas.openxmlformats.org/officeDocument/2006/relationships/hyperlink" Target="https://warthunder.com/en/news/7942-development-38-cm-sturmm%C3%B6rser-sturmtiger-spg-en" TargetMode="External"/><Relationship Id="rId25" Type="http://schemas.openxmlformats.org/officeDocument/2006/relationships/hyperlink" Target="https://warthunder.com/en/news/9012-development-persian-tomcat-f-14a-iriaf-en" TargetMode="External"/><Relationship Id="rId33" Type="http://schemas.openxmlformats.org/officeDocument/2006/relationships/hyperlink" Target="https://warthunder.com/en/news/8566-development-dreams-come-true-tog-ii-the-old-gangs-land-battleship-en" TargetMode="External"/><Relationship Id="rId2" Type="http://schemas.openxmlformats.org/officeDocument/2006/relationships/hyperlink" Target="https://warthunder.com/en/news/9323-event-get-the-fv40303-in-the-enter-the-serpent-event-en" TargetMode="External"/><Relationship Id="rId16" Type="http://schemas.openxmlformats.org/officeDocument/2006/relationships/hyperlink" Target="https://warthunder.com/en/news/8222-development-bm-31-12-katyusha-s-little-brother-en" TargetMode="External"/><Relationship Id="rId20" Type="http://schemas.openxmlformats.org/officeDocument/2006/relationships/hyperlink" Target="https://warthunder.com/en/news/9330-development-enter-the-serpent-fv40303-en" TargetMode="External"/><Relationship Id="rId29" Type="http://schemas.openxmlformats.org/officeDocument/2006/relationships/hyperlink" Target="https://warthunder.com/en/news/8861-development-inferno-cannon-plz83-130-en" TargetMode="External"/><Relationship Id="rId1" Type="http://schemas.openxmlformats.org/officeDocument/2006/relationships/hyperlink" Target="https://warthunder.com/en/news/9355-event-get-the-f-5ag-in-the-freedom-fighter-event-en" TargetMode="External"/><Relationship Id="rId6" Type="http://schemas.openxmlformats.org/officeDocument/2006/relationships/hyperlink" Target="https://warthunder.com/en/news/9042-event-get-hms-barham-in-the-steel-baron-event-en" TargetMode="External"/><Relationship Id="rId11" Type="http://schemas.openxmlformats.org/officeDocument/2006/relationships/hyperlink" Target="https://warthunder.com/en/news/8854-event-earn-the-plz-83-130-in-the-inferno-cannon-event-en" TargetMode="External"/><Relationship Id="rId24" Type="http://schemas.openxmlformats.org/officeDocument/2006/relationships/hyperlink" Target="https://warthunder.com/en/news/9064-development-steel-baron-hms-barham-en" TargetMode="External"/><Relationship Id="rId32" Type="http://schemas.openxmlformats.org/officeDocument/2006/relationships/hyperlink" Target="https://warthunder.com/en/news/8709-event-call-of-the-dragon-earn-the-object-292-en" TargetMode="External"/><Relationship Id="rId37" Type="http://schemas.openxmlformats.org/officeDocument/2006/relationships/hyperlink" Target="https://warthunder.com/en/news/7960-event-imminent-breakthrough-en" TargetMode="External"/><Relationship Id="rId5" Type="http://schemas.openxmlformats.org/officeDocument/2006/relationships/hyperlink" Target="https://warthunder.com/en/news/9108-event-get-the-boxer-mgs-in-the-mobile-sniper-event-en" TargetMode="External"/><Relationship Id="rId15" Type="http://schemas.openxmlformats.org/officeDocument/2006/relationships/hyperlink" Target="https://warthunder.com/en/news/8557-event-dreams-come-true-tog-ii-en" TargetMode="External"/><Relationship Id="rId23" Type="http://schemas.openxmlformats.org/officeDocument/2006/relationships/hyperlink" Target="https://warthunder.com/en/news/9118-development-mobile-sniper-boxer-mgs-en" TargetMode="External"/><Relationship Id="rId28" Type="http://schemas.openxmlformats.org/officeDocument/2006/relationships/hyperlink" Target="https://warthunder.com/en/news/8877-event-legend-of-victory-eremins-yak-3-en" TargetMode="External"/><Relationship Id="rId36" Type="http://schemas.openxmlformats.org/officeDocument/2006/relationships/hyperlink" Target="https://warthunder.com/en/news/9186-development-dreams-come-true-kv-7-u-13-happy-birthday-war-thunder-en" TargetMode="External"/><Relationship Id="rId10" Type="http://schemas.openxmlformats.org/officeDocument/2006/relationships/hyperlink" Target="https://warthunder.com/en/news/8854-event-earn-the-plz-83-130-in-the-inferno-cannon-event-en" TargetMode="External"/><Relationship Id="rId19" Type="http://schemas.openxmlformats.org/officeDocument/2006/relationships/hyperlink" Target="https://warthunder.com/en/news/9361-development-freedom-fighter-f-5ag-en" TargetMode="External"/><Relationship Id="rId31" Type="http://schemas.openxmlformats.org/officeDocument/2006/relationships/hyperlink" Target="https://warthunder.com/en/news/8742-development-sword-of-justice-jaguar-is-en" TargetMode="External"/><Relationship Id="rId4" Type="http://schemas.openxmlformats.org/officeDocument/2006/relationships/hyperlink" Target="https://warthunder.com/en/news/9154-event-dreams-come-true-kv-7-en" TargetMode="External"/><Relationship Id="rId9" Type="http://schemas.openxmlformats.org/officeDocument/2006/relationships/hyperlink" Target="https://warthunder.com/en/news/8912-event-earn-the-churchill-avre-in-the-operation-overlord-event-en" TargetMode="External"/><Relationship Id="rId14" Type="http://schemas.openxmlformats.org/officeDocument/2006/relationships/hyperlink" Target="https://warthunder.com/en/news/8707-development-call-of-the-dragon-object-292-en" TargetMode="External"/><Relationship Id="rId22" Type="http://schemas.openxmlformats.org/officeDocument/2006/relationships/hyperlink" Target="https://warthunder.com/en/news/9183-event-play-in-the-kv-7-vs-kv-7-event-and-earn-tickets-to-have-a-chance-of-winning-the-is-7-during-our-anniversary-stream-en" TargetMode="External"/><Relationship Id="rId27" Type="http://schemas.openxmlformats.org/officeDocument/2006/relationships/hyperlink" Target="https://warthunder.com/en/news/8930-development-operation-overlord-churchill-avre-petard-en" TargetMode="External"/><Relationship Id="rId30" Type="http://schemas.openxmlformats.org/officeDocument/2006/relationships/hyperlink" Target="https://warthunder.com/en/news/8819-development-imperial-flagship-sms-baden-en" TargetMode="External"/><Relationship Id="rId35" Type="http://schemas.openxmlformats.org/officeDocument/2006/relationships/hyperlink" Target="https://warthunder.com/en/news/7946-event-dreams-come-true-sturmtiger-en" TargetMode="External"/><Relationship Id="rId8" Type="http://schemas.openxmlformats.org/officeDocument/2006/relationships/hyperlink" Target="https://warthunder.com/en/news/8986-event-earn-alcione-in-the-flight-of-the-albatross-event-en" TargetMode="External"/><Relationship Id="rId3" Type="http://schemas.openxmlformats.org/officeDocument/2006/relationships/hyperlink" Target="https://warthunder.com/en/news/9154-event-dreams-come-true-kv-7-en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arthunder.com/en/news/5698-marathon-good-old-s-u-m-m-e-r-en" TargetMode="External"/><Relationship Id="rId18" Type="http://schemas.openxmlformats.org/officeDocument/2006/relationships/hyperlink" Target="https://warthunder.com/en/news/4151-special-operation-s-u-m-m-e-r-updated-03-08-2016-en" TargetMode="External"/><Relationship Id="rId26" Type="http://schemas.openxmlformats.org/officeDocument/2006/relationships/hyperlink" Target="https://warthunder.com/en/news/6536-new-year-in-war-thunder-en" TargetMode="External"/><Relationship Id="rId39" Type="http://schemas.openxmlformats.org/officeDocument/2006/relationships/hyperlink" Target="https://warthunder.com/en/news/7003-development-uss-baltimore-ca-68-1943-en" TargetMode="External"/><Relationship Id="rId21" Type="http://schemas.openxmlformats.org/officeDocument/2006/relationships/hyperlink" Target="https://warthunder.com/en/news/2736/current" TargetMode="External"/><Relationship Id="rId34" Type="http://schemas.openxmlformats.org/officeDocument/2006/relationships/hyperlink" Target="https://warthunder.com/en/news/5677-marathon-s-u-m-m-e-r-engineering-school-en" TargetMode="External"/><Relationship Id="rId7" Type="http://schemas.openxmlformats.org/officeDocument/2006/relationships/hyperlink" Target="https://warthunder.com/en/news/7267-event-summer-landing-en" TargetMode="External"/><Relationship Id="rId12" Type="http://schemas.openxmlformats.org/officeDocument/2006/relationships/hyperlink" Target="https://warthunder.com/en/news/5962-special-festive-quest-en" TargetMode="External"/><Relationship Id="rId17" Type="http://schemas.openxmlformats.org/officeDocument/2006/relationships/hyperlink" Target="https://warthunder.com/en/news/4416-special-war-thunder-winter-holiday-en" TargetMode="External"/><Relationship Id="rId25" Type="http://schemas.openxmlformats.org/officeDocument/2006/relationships/hyperlink" Target="https://warthunder.com/en/news/6991-development-sd-kfz-251-21-deadly-triplets-en" TargetMode="External"/><Relationship Id="rId33" Type="http://schemas.openxmlformats.org/officeDocument/2006/relationships/hyperlink" Target="https://warthunder.com/en/news/5979-event-special-festive-delivery-en" TargetMode="External"/><Relationship Id="rId38" Type="http://schemas.openxmlformats.org/officeDocument/2006/relationships/hyperlink" Target="https://warthunder.com/en/news/7002-development-type-k-8-class-no-13-kusentei-1942-en" TargetMode="External"/><Relationship Id="rId2" Type="http://schemas.openxmlformats.org/officeDocument/2006/relationships/hyperlink" Target="https://warthunder.com/en/news/8644-event-winter-extreme-earn-yourself-rewards-this-festive-season-en" TargetMode="External"/><Relationship Id="rId16" Type="http://schemas.openxmlformats.org/officeDocument/2006/relationships/hyperlink" Target="https://warthunder.com/en/news/4868-marathon-operation-s-u-m-m-e-r-awards-together-en" TargetMode="External"/><Relationship Id="rId20" Type="http://schemas.openxmlformats.org/officeDocument/2006/relationships/hyperlink" Target="https://warthunder.com/en/news/3249/current" TargetMode="External"/><Relationship Id="rId29" Type="http://schemas.openxmlformats.org/officeDocument/2006/relationships/hyperlink" Target="https://warthunder.com/en/news/2735/current" TargetMode="External"/><Relationship Id="rId1" Type="http://schemas.openxmlformats.org/officeDocument/2006/relationships/hyperlink" Target="https://warthunder.com/en/news/9276-event-get-yourself-some-cool-rewards-in-the-winter-tales-event-en" TargetMode="External"/><Relationship Id="rId6" Type="http://schemas.openxmlformats.org/officeDocument/2006/relationships/hyperlink" Target="https://warthunder.com/en/news/7469-event-operation-w-i-n-t-e-r-en" TargetMode="External"/><Relationship Id="rId11" Type="http://schemas.openxmlformats.org/officeDocument/2006/relationships/hyperlink" Target="https://warthunder.com/en/news/6293-special-operation-h-e-a-t-en" TargetMode="External"/><Relationship Id="rId24" Type="http://schemas.openxmlformats.org/officeDocument/2006/relationships/hyperlink" Target="https://warthunder.com/en/news/8002/current" TargetMode="External"/><Relationship Id="rId32" Type="http://schemas.openxmlformats.org/officeDocument/2006/relationships/hyperlink" Target="https://warthunder.com/en/news/6547-event-festive-events-en" TargetMode="External"/><Relationship Id="rId37" Type="http://schemas.openxmlformats.org/officeDocument/2006/relationships/hyperlink" Target="https://warthunder.com/en/news/8025-development-winter-event-vehicles-lat%C3%A9-298-en" TargetMode="External"/><Relationship Id="rId40" Type="http://schemas.openxmlformats.org/officeDocument/2006/relationships/hyperlink" Target="https://warthunder.com/en/news/7001-development-class-3-en" TargetMode="External"/><Relationship Id="rId5" Type="http://schemas.openxmlformats.org/officeDocument/2006/relationships/hyperlink" Target="https://warthunder.com/en/news/7796-event-summer-quest-en" TargetMode="External"/><Relationship Id="rId15" Type="http://schemas.openxmlformats.org/officeDocument/2006/relationships/hyperlink" Target="https://warthunder.com/en/news/5224-special-festive-quest-en" TargetMode="External"/><Relationship Id="rId23" Type="http://schemas.openxmlformats.org/officeDocument/2006/relationships/hyperlink" Target="https://warthunder.com/en/news/400/current" TargetMode="External"/><Relationship Id="rId28" Type="http://schemas.openxmlformats.org/officeDocument/2006/relationships/hyperlink" Target="https://warthunder.com/en/news/5657-development-is-7-an-old-school-heavy-tank-en" TargetMode="External"/><Relationship Id="rId36" Type="http://schemas.openxmlformats.org/officeDocument/2006/relationships/hyperlink" Target="https://warthunder.com/en/news/6999-development-mig-21-pfm-en" TargetMode="External"/><Relationship Id="rId10" Type="http://schemas.openxmlformats.org/officeDocument/2006/relationships/hyperlink" Target="https://warthunder.com/en/news/6521-special-operation-f-r-o-s-t-en" TargetMode="External"/><Relationship Id="rId19" Type="http://schemas.openxmlformats.org/officeDocument/2006/relationships/hyperlink" Target="https://warthunder.com/en/news/3489-special-war-thunder-fulfills-your-wishes-en" TargetMode="External"/><Relationship Id="rId31" Type="http://schemas.openxmlformats.org/officeDocument/2006/relationships/hyperlink" Target="https://warthunder.com/en/news/6998-development-ro-57-quadriarma-en" TargetMode="External"/><Relationship Id="rId4" Type="http://schemas.openxmlformats.org/officeDocument/2006/relationships/hyperlink" Target="https://warthunder.com/en/news/7991-development-winter-event-uss-newport-news-ca-148-en" TargetMode="External"/><Relationship Id="rId9" Type="http://schemas.openxmlformats.org/officeDocument/2006/relationships/hyperlink" Target="https://warthunder.com/en/news/6808-special-operation-s-u-m-m-e-r-2020-en" TargetMode="External"/><Relationship Id="rId14" Type="http://schemas.openxmlformats.org/officeDocument/2006/relationships/hyperlink" Target="https://warthunder.com/en/news/5650-marathon-operation-s-u-m-m-e-r-assemble-a-tank-updated-en" TargetMode="External"/><Relationship Id="rId22" Type="http://schemas.openxmlformats.org/officeDocument/2006/relationships/hyperlink" Target="https://warthunder.com/en/news/756-Summertime-Madness-Hunting-Frenzy-en" TargetMode="External"/><Relationship Id="rId27" Type="http://schemas.openxmlformats.org/officeDocument/2006/relationships/hyperlink" Target="https://warthunder.com/en/news/5967-news-festivities-in-war-thunder-en" TargetMode="External"/><Relationship Id="rId30" Type="http://schemas.openxmlformats.org/officeDocument/2006/relationships/hyperlink" Target="https://warthunder.com/en/news/8021-event-winter-quest-en" TargetMode="External"/><Relationship Id="rId35" Type="http://schemas.openxmlformats.org/officeDocument/2006/relationships/hyperlink" Target="https://warthunder.com/en/news/8024/current" TargetMode="External"/><Relationship Id="rId8" Type="http://schemas.openxmlformats.org/officeDocument/2006/relationships/hyperlink" Target="https://warthunder.com/en/news/6981-special-operation-w-i-n-t-e-r-en" TargetMode="External"/><Relationship Id="rId3" Type="http://schemas.openxmlformats.org/officeDocument/2006/relationships/hyperlink" Target="https://warthunder.com/en/news/8384-event-summer-extreme-en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arthunder.com/en/news/8181-development-repair-factory-shcherbakov-light-cruiser-en" TargetMode="External"/><Relationship Id="rId18" Type="http://schemas.openxmlformats.org/officeDocument/2006/relationships/hyperlink" Target="https://warthunder.com/en/news/6871-development-crafting-event-strategist-sd-kfz-251-10-en" TargetMode="External"/><Relationship Id="rId26" Type="http://schemas.openxmlformats.org/officeDocument/2006/relationships/hyperlink" Target="https://warthunder.com/en/news/7109-development-craft-srafting-event-jds-y%C5%ABgure-dd-184-en" TargetMode="External"/><Relationship Id="rId39" Type="http://schemas.openxmlformats.org/officeDocument/2006/relationships/hyperlink" Target="https://warthunder.com/en/news/8494-event-tokushu-heiki-assemble-and-test-an-honorable-missile-to-obtain-prizes-en" TargetMode="External"/><Relationship Id="rId21" Type="http://schemas.openxmlformats.org/officeDocument/2006/relationships/hyperlink" Target="https://warthunder.com/en/news/8491-development-tokushu-heiki-losat-en" TargetMode="External"/><Relationship Id="rId34" Type="http://schemas.openxmlformats.org/officeDocument/2006/relationships/hyperlink" Target="https://warthunder.com/en/news/7346-development-export-order-f-5a-usa-en" TargetMode="External"/><Relationship Id="rId42" Type="http://schemas.openxmlformats.org/officeDocument/2006/relationships/hyperlink" Target="https://warthunder.com/en/news/7640-event-the-battle-for-arachis-en" TargetMode="External"/><Relationship Id="rId47" Type="http://schemas.openxmlformats.org/officeDocument/2006/relationships/hyperlink" Target="https://warthunder.com/en/news/6140-development-merkava-mk-1-chariot-of-fire-en" TargetMode="External"/><Relationship Id="rId50" Type="http://schemas.openxmlformats.org/officeDocument/2006/relationships/hyperlink" Target="https://warthunder.com/en/news/6145-special-battlefield-engineer-en" TargetMode="External"/><Relationship Id="rId7" Type="http://schemas.openxmlformats.org/officeDocument/2006/relationships/hyperlink" Target="https://warthunder.com/en/news/6873-development-crafting-event-strategist-bereznyak-isayev-en" TargetMode="External"/><Relationship Id="rId2" Type="http://schemas.openxmlformats.org/officeDocument/2006/relationships/hyperlink" Target="https://warthunder.com/en/news/8172-development-repair-factory-amd-35-sa35-en" TargetMode="External"/><Relationship Id="rId16" Type="http://schemas.openxmlformats.org/officeDocument/2006/relationships/hyperlink" Target="https://warthunder.com/en/news/7343-development-export-order-pt-16-t14-mod-en" TargetMode="External"/><Relationship Id="rId29" Type="http://schemas.openxmlformats.org/officeDocument/2006/relationships/hyperlink" Target="https://warthunder.com/en/news/6138-development-junkers-ju-388-j-the-high-altitude-marauder-en" TargetMode="External"/><Relationship Id="rId11" Type="http://schemas.openxmlformats.org/officeDocument/2006/relationships/hyperlink" Target="https://warthunder.com/en/news/5424-event-flying-serpent-crouching-tiger-en" TargetMode="External"/><Relationship Id="rId24" Type="http://schemas.openxmlformats.org/officeDocument/2006/relationships/hyperlink" Target="https://warthunder.com/en/news/7637-development-battle-for-arachis-kfir-c-2-en" TargetMode="External"/><Relationship Id="rId32" Type="http://schemas.openxmlformats.org/officeDocument/2006/relationships/hyperlink" Target="https://warthunder.com/en/news/7881-development-project-overpowered-po-2m-en" TargetMode="External"/><Relationship Id="rId37" Type="http://schemas.openxmlformats.org/officeDocument/2006/relationships/hyperlink" Target="https://warthunder.com/en/news/6403-operation-shipyard-h-34-and-whirlwind-p-9-en" TargetMode="External"/><Relationship Id="rId40" Type="http://schemas.openxmlformats.org/officeDocument/2006/relationships/hyperlink" Target="https://warthunder.com/en/news/8186-event-repair-factory-en" TargetMode="External"/><Relationship Id="rId45" Type="http://schemas.openxmlformats.org/officeDocument/2006/relationships/hyperlink" Target="https://warthunder.com/en/news/6878-event-wargame-strategist-en" TargetMode="External"/><Relationship Id="rId5" Type="http://schemas.openxmlformats.org/officeDocument/2006/relationships/hyperlink" Target="https://warthunder.com/en/news/7342-development-export-order-destroyer-hms-mohawk-en" TargetMode="External"/><Relationship Id="rId15" Type="http://schemas.openxmlformats.org/officeDocument/2006/relationships/hyperlink" Target="https://warthunder.com/en/news/7636-development-battle-for-arachis-alecto-mk-i-spg-en" TargetMode="External"/><Relationship Id="rId23" Type="http://schemas.openxmlformats.org/officeDocument/2006/relationships/hyperlink" Target="https://warthunder.com/en/news/7880-development-project-o-po-strike-jet-aircraft-jaguar-e-en" TargetMode="External"/><Relationship Id="rId28" Type="http://schemas.openxmlformats.org/officeDocument/2006/relationships/hyperlink" Target="https://warthunder.com/en/news/6400-operation-shipyard-vt1-2-doppelrohr-kasemattpanzer-en" TargetMode="External"/><Relationship Id="rId36" Type="http://schemas.openxmlformats.org/officeDocument/2006/relationships/hyperlink" Target="https://warthunder.com/en/news/6877-development-crafting-event-strategist-merkava-mk-3d-en" TargetMode="External"/><Relationship Id="rId49" Type="http://schemas.openxmlformats.org/officeDocument/2006/relationships/hyperlink" Target="https://warthunder.com/en/news/6144-development-vfw-german-ballista-en" TargetMode="External"/><Relationship Id="rId10" Type="http://schemas.openxmlformats.org/officeDocument/2006/relationships/hyperlink" Target="https://warthunder.com/en/news/6135-news-battlefield-engineer-en" TargetMode="External"/><Relationship Id="rId19" Type="http://schemas.openxmlformats.org/officeDocument/2006/relationships/hyperlink" Target="https://warthunder.com/en/news/6399-operation-shipyard-mbk-161-1943-shallow-water-battleship-en" TargetMode="External"/><Relationship Id="rId31" Type="http://schemas.openxmlformats.org/officeDocument/2006/relationships/hyperlink" Target="https://warthunder.com/en/news/8183-development-repair-factory-qn506-en" TargetMode="External"/><Relationship Id="rId44" Type="http://schemas.openxmlformats.org/officeDocument/2006/relationships/hyperlink" Target="https://warthunder.com/en/news/7107-event-future-technology-en" TargetMode="External"/><Relationship Id="rId4" Type="http://schemas.openxmlformats.org/officeDocument/2006/relationships/hyperlink" Target="https://warthunder.com/en/news/7631-development-battle-for-arachis-uss-davis-dd-395-destroyer-en" TargetMode="External"/><Relationship Id="rId9" Type="http://schemas.openxmlformats.org/officeDocument/2006/relationships/hyperlink" Target="https://warthunder.com/en/news/6397-danger-crane-operations-overhead-passage-prohibited-en" TargetMode="External"/><Relationship Id="rId14" Type="http://schemas.openxmlformats.org/officeDocument/2006/relationships/hyperlink" Target="https://warthunder.com/en/news/7877-development-project-po-light-tank-ccvl-en" TargetMode="External"/><Relationship Id="rId22" Type="http://schemas.openxmlformats.org/officeDocument/2006/relationships/hyperlink" Target="https://warthunder.com/en/news/8184-development-repair-factory-a-7k-corsair-ii-en" TargetMode="External"/><Relationship Id="rId27" Type="http://schemas.openxmlformats.org/officeDocument/2006/relationships/hyperlink" Target="https://warthunder.com/en/news/6872-development-crafting-event-strategist-l%C3%BCbeck-frigate-en" TargetMode="External"/><Relationship Id="rId30" Type="http://schemas.openxmlformats.org/officeDocument/2006/relationships/hyperlink" Target="https://warthunder.com/en/news/8492-development-tokushu-heiki-ki-48-ii-otsu-ki-148-missile-en" TargetMode="External"/><Relationship Id="rId35" Type="http://schemas.openxmlformats.org/officeDocument/2006/relationships/hyperlink" Target="https://warthunder.com/en/news/7110-development-craft-srafting-event-xm8-ags-en" TargetMode="External"/><Relationship Id="rId43" Type="http://schemas.openxmlformats.org/officeDocument/2006/relationships/hyperlink" Target="https://warthunder.com/en/news/7350-event-export-order-en" TargetMode="External"/><Relationship Id="rId48" Type="http://schemas.openxmlformats.org/officeDocument/2006/relationships/hyperlink" Target="https://warthunder.com/en/news/6141-development-hms-tiger-the-annihilator-en" TargetMode="External"/><Relationship Id="rId8" Type="http://schemas.openxmlformats.org/officeDocument/2006/relationships/hyperlink" Target="https://warthunder.com/en/news/6669-special-space-race-en" TargetMode="External"/><Relationship Id="rId3" Type="http://schemas.openxmlformats.org/officeDocument/2006/relationships/hyperlink" Target="https://warthunder.com/en/news/7872-development-project-o-battleship-ostfriesland-en" TargetMode="External"/><Relationship Id="rId12" Type="http://schemas.openxmlformats.org/officeDocument/2006/relationships/hyperlink" Target="https://warthunder.com/en/news/8488-development-tokushu-heiki-battlecruiser-kurama-en" TargetMode="External"/><Relationship Id="rId17" Type="http://schemas.openxmlformats.org/officeDocument/2006/relationships/hyperlink" Target="https://warthunder.com/en/news/7104-development-craft-srafting-event-early-f-4f-phantom-ii-en" TargetMode="External"/><Relationship Id="rId25" Type="http://schemas.openxmlformats.org/officeDocument/2006/relationships/hyperlink" Target="https://warthunder.com/en/news/7348-development-export-order-pansarbil-m-40-en" TargetMode="External"/><Relationship Id="rId33" Type="http://schemas.openxmlformats.org/officeDocument/2006/relationships/hyperlink" Target="https://warthunder.com/en/news/7639-development-battle-for-arachis-t-72m2-moderna-en" TargetMode="External"/><Relationship Id="rId38" Type="http://schemas.openxmlformats.org/officeDocument/2006/relationships/hyperlink" Target="https://warthunder.com/en/news/6137-development-the-big-submarine-chasers-of-project-122bis-bombs-away-en" TargetMode="External"/><Relationship Id="rId46" Type="http://schemas.openxmlformats.org/officeDocument/2006/relationships/hyperlink" Target="https://warthunder.com/en/news/6409-special-operation-shipyard-en" TargetMode="External"/><Relationship Id="rId20" Type="http://schemas.openxmlformats.org/officeDocument/2006/relationships/hyperlink" Target="https://warthunder.com/en/news/6136-development-i-180s-sky-acrobat-en" TargetMode="External"/><Relationship Id="rId41" Type="http://schemas.openxmlformats.org/officeDocument/2006/relationships/hyperlink" Target="https://warthunder.com/en/news/7882-event-project-overpowered-en" TargetMode="External"/><Relationship Id="rId1" Type="http://schemas.openxmlformats.org/officeDocument/2006/relationships/hyperlink" Target="https://warthunder.com/en/news/8484-development-tokushu-heiki-f-100f-super-sabre-en" TargetMode="External"/><Relationship Id="rId6" Type="http://schemas.openxmlformats.org/officeDocument/2006/relationships/hyperlink" Target="https://warthunder.com/en/news/7103-development-craft-srafting-event-su-76d-en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old-forum.warthunder.com/index.php?/topic/383200-changes-to-vehicle-battle-ratings-and-economy-17th-october-2017/" TargetMode="External"/><Relationship Id="rId18" Type="http://schemas.openxmlformats.org/officeDocument/2006/relationships/hyperlink" Target="https://old-forum.warthunder.com/index.php?/topic/456417-planned-economy-modification-costs-and-br-changes-july-2019/" TargetMode="External"/><Relationship Id="rId26" Type="http://schemas.openxmlformats.org/officeDocument/2006/relationships/hyperlink" Target="https://old-forum.warthunder.com/index.php?/topic/513636-planned-battle-rating-changes-january-2021/" TargetMode="External"/><Relationship Id="rId39" Type="http://schemas.openxmlformats.org/officeDocument/2006/relationships/hyperlink" Target="https://forum.warthunder.com/t/planned-battle-rating-changes-for-the-month-of-october/33834" TargetMode="External"/><Relationship Id="rId21" Type="http://schemas.openxmlformats.org/officeDocument/2006/relationships/hyperlink" Target="https://old-forum.warthunder.com/index.php?/topic/481821-planned-battle-rating-changes-april-2020/" TargetMode="External"/><Relationship Id="rId34" Type="http://schemas.openxmlformats.org/officeDocument/2006/relationships/hyperlink" Target="https://old-forum.warthunder.com/index.php?/topic/564510-planned-battle-rating-changes-september-2022/" TargetMode="External"/><Relationship Id="rId7" Type="http://schemas.openxmlformats.org/officeDocument/2006/relationships/hyperlink" Target="https://old-forum.warthunder.com/index.php?/topic/294878-planned-battle-rating-38-economy-changes-for-ground-and-air-vehicles/" TargetMode="External"/><Relationship Id="rId2" Type="http://schemas.openxmlformats.org/officeDocument/2006/relationships/hyperlink" Target="https://old-forum.warthunder.com/index.php?/topic/164299-planned-battle-rating-changes-for-aircraft-in-arcade/" TargetMode="External"/><Relationship Id="rId16" Type="http://schemas.openxmlformats.org/officeDocument/2006/relationships/hyperlink" Target="https://old-forum.warthunder.com/index.php?/topic/433463-planned-battle-rating-changes-november-2018/" TargetMode="External"/><Relationship Id="rId20" Type="http://schemas.openxmlformats.org/officeDocument/2006/relationships/hyperlink" Target="https://old-forum.warthunder.com/index.php?/topic/475670-planned-economy-and-battle-rating-changes-28012020/" TargetMode="External"/><Relationship Id="rId29" Type="http://schemas.openxmlformats.org/officeDocument/2006/relationships/hyperlink" Target="https://old-forum.warthunder.com/index.php?/topic/531676-planned-battle-rating-changes-august-2021/" TargetMode="External"/><Relationship Id="rId41" Type="http://schemas.openxmlformats.org/officeDocument/2006/relationships/hyperlink" Target="https://forum.warthunder.com/t/planned-battle-rating-changes-for-october-2024/165275" TargetMode="External"/><Relationship Id="rId1" Type="http://schemas.openxmlformats.org/officeDocument/2006/relationships/hyperlink" Target="https://old-forum.warthunder.com/index.php?/topic/164360-planned-battle-ratings-changes-for-tanks/" TargetMode="External"/><Relationship Id="rId6" Type="http://schemas.openxmlformats.org/officeDocument/2006/relationships/hyperlink" Target="https://old-forum.warthunder.com/index.php?/topic/267615-battle-rating-38-economy-changes-september-2015/" TargetMode="External"/><Relationship Id="rId11" Type="http://schemas.openxmlformats.org/officeDocument/2006/relationships/hyperlink" Target="https://old-forum.warthunder.com/index.php?/topic/350924-planned-changes-for-battle-ratings-february-2017/" TargetMode="External"/><Relationship Id="rId24" Type="http://schemas.openxmlformats.org/officeDocument/2006/relationships/hyperlink" Target="https://old-forum.warthunder.com/index.php?/topic/500748-planned-battle-rating-changes-october-2020/" TargetMode="External"/><Relationship Id="rId32" Type="http://schemas.openxmlformats.org/officeDocument/2006/relationships/hyperlink" Target="https://warthunder.com/en/news/7547-development-battle-rating-update-and-important-changes-to-the-top-tier-air-battles-en" TargetMode="External"/><Relationship Id="rId37" Type="http://schemas.openxmlformats.org/officeDocument/2006/relationships/hyperlink" Target="https://warthunder.com/en/game/changelog/current/1486" TargetMode="External"/><Relationship Id="rId40" Type="http://schemas.openxmlformats.org/officeDocument/2006/relationships/hyperlink" Target="https://forum.warthunder.com/t/planned-battle-rating-changes-for-january-2024/67713" TargetMode="External"/><Relationship Id="rId5" Type="http://schemas.openxmlformats.org/officeDocument/2006/relationships/hyperlink" Target="https://old-forum.warthunder.com/index.php?/topic/245885-planned-battle-rating-changes-10062015/" TargetMode="External"/><Relationship Id="rId15" Type="http://schemas.openxmlformats.org/officeDocument/2006/relationships/hyperlink" Target="https://old-forum.warthunder.com/index.php?/topic/418995-battle-rating-changes-july-2018/" TargetMode="External"/><Relationship Id="rId23" Type="http://schemas.openxmlformats.org/officeDocument/2006/relationships/hyperlink" Target="https://old-forum.warthunder.com/index.php?/topic/496476-planned-battle-rating-economy-changes-august-2020/" TargetMode="External"/><Relationship Id="rId28" Type="http://schemas.openxmlformats.org/officeDocument/2006/relationships/hyperlink" Target="https://old-forum.warthunder.com/index.php?/topic/528996-planned-battle-rating-changes-july-2021/&amp;ct=1625490356" TargetMode="External"/><Relationship Id="rId36" Type="http://schemas.openxmlformats.org/officeDocument/2006/relationships/hyperlink" Target="https://old-forum.warthunder.com/index.php?/topic/572699-planned-battle-rating-changes-january-2023/" TargetMode="External"/><Relationship Id="rId10" Type="http://schemas.openxmlformats.org/officeDocument/2006/relationships/hyperlink" Target="https://old-forum.warthunder.com/index.php?/topic/344754-planned-br-changes-for-aircraft-and-ground-vehicles-december-2016/" TargetMode="External"/><Relationship Id="rId19" Type="http://schemas.openxmlformats.org/officeDocument/2006/relationships/hyperlink" Target="https://old-forum.warthunder.com/index.php?/topic/466251-planned-br-changes-october-2019/" TargetMode="External"/><Relationship Id="rId31" Type="http://schemas.openxmlformats.org/officeDocument/2006/relationships/hyperlink" Target="https://old-forum.warthunder.com/index.php?/topic/541176-planned-battle-rating-changes-november-2021/" TargetMode="External"/><Relationship Id="rId4" Type="http://schemas.openxmlformats.org/officeDocument/2006/relationships/hyperlink" Target="https://old-forum.warthunder.com/index.php?/topic/232319-battle-rating-38-economy-changes-16042015/" TargetMode="External"/><Relationship Id="rId9" Type="http://schemas.openxmlformats.org/officeDocument/2006/relationships/hyperlink" Target="https://old-forum.warthunder.com/index.php?/topic/335950-planned-br-changes-for-aircraft-and-ground-vehicles-october-2016/" TargetMode="External"/><Relationship Id="rId14" Type="http://schemas.openxmlformats.org/officeDocument/2006/relationships/hyperlink" Target="https://old-forum.warthunder.com/index.php?/topic/407594-changes-to-vehicle-battle-ratings-april-2018/" TargetMode="External"/><Relationship Id="rId22" Type="http://schemas.openxmlformats.org/officeDocument/2006/relationships/hyperlink" Target="https://old-forum.warthunder.com/index.php?/topic/491168-planned-battle-rating-changes-june-2020/" TargetMode="External"/><Relationship Id="rId27" Type="http://schemas.openxmlformats.org/officeDocument/2006/relationships/hyperlink" Target="https://old-forum.warthunder.com/index.php?%2Ftopic%2F524356-planned-battle-rating-changes-may-2021%2F&amp;ct=1621262151" TargetMode="External"/><Relationship Id="rId30" Type="http://schemas.openxmlformats.org/officeDocument/2006/relationships/hyperlink" Target="https://old-forum.warthunder.com/index.php?/topic/536016-planned-battle-rating-changes-september-2021/" TargetMode="External"/><Relationship Id="rId35" Type="http://schemas.openxmlformats.org/officeDocument/2006/relationships/hyperlink" Target="https://old-forum.warthunder.com/index.php?/topic/568364-planned-battle-rating-changes-november-2022/" TargetMode="External"/><Relationship Id="rId8" Type="http://schemas.openxmlformats.org/officeDocument/2006/relationships/hyperlink" Target="https://old-forum.warthunder.com/index.php?/topic/321019-planned-br-changes-for-aircraft-and-ground-vehicles-july-2016/" TargetMode="External"/><Relationship Id="rId3" Type="http://schemas.openxmlformats.org/officeDocument/2006/relationships/hyperlink" Target="https://old-forum.warthunder.com/index.php?/topic/184035-br-changes-to-ground-forces/" TargetMode="External"/><Relationship Id="rId12" Type="http://schemas.openxmlformats.org/officeDocument/2006/relationships/hyperlink" Target="https://old-forum.warthunder.com/index.php?/topic/370374-planned-changes-to-vehicle-battle-ratings-july-2017/" TargetMode="External"/><Relationship Id="rId17" Type="http://schemas.openxmlformats.org/officeDocument/2006/relationships/hyperlink" Target="https://old-forum.warthunder.com/index.php?/topic/443334-planned-battle-rating-changes-february-2019-updated-2502/" TargetMode="External"/><Relationship Id="rId25" Type="http://schemas.openxmlformats.org/officeDocument/2006/relationships/hyperlink" Target="https://old-forum.warthunder.com/index.php?/topic/507381-planned-battle-rating-changes-december-2020/" TargetMode="External"/><Relationship Id="rId33" Type="http://schemas.openxmlformats.org/officeDocument/2006/relationships/hyperlink" Target="https://old-forum.warthunder.com/index.php?/topic/553856-planned-battle-rating-changes-may-2022/" TargetMode="External"/><Relationship Id="rId38" Type="http://schemas.openxmlformats.org/officeDocument/2006/relationships/hyperlink" Target="https://forum.warthunder.com/t/planned-battle-rating-changes-table-updated-04-08-2023/12456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old-forum.warthunder.com/index.php?/topic/383200-changes-to-vehicle-battle-ratings-and-economy-17th-october-2017/" TargetMode="External"/><Relationship Id="rId13" Type="http://schemas.openxmlformats.org/officeDocument/2006/relationships/hyperlink" Target="https://old-forum.warthunder.com/index.php?/topic/456417-planned-economy-modification-costs-and-br-changes-july-2019/" TargetMode="External"/><Relationship Id="rId18" Type="http://schemas.openxmlformats.org/officeDocument/2006/relationships/hyperlink" Target="https://old-forum.warthunder.com/index.php?/topic/484450-planned-changes-to-the-research-trees-and-economy/" TargetMode="External"/><Relationship Id="rId26" Type="http://schemas.openxmlformats.org/officeDocument/2006/relationships/hyperlink" Target="https://old-forum.warthunder.com/index.php?/topic/532396-planned-economy-changes-for-august/" TargetMode="External"/><Relationship Id="rId3" Type="http://schemas.openxmlformats.org/officeDocument/2006/relationships/hyperlink" Target="https://old-forum.warthunder.com/index.php?/topic/267615-battle-rating-38-economy-changes-september-2015/" TargetMode="External"/><Relationship Id="rId21" Type="http://schemas.openxmlformats.org/officeDocument/2006/relationships/hyperlink" Target="https://old-forum.warthunder.com/index.php?/topic/500109-planned-economy-changes/" TargetMode="External"/><Relationship Id="rId7" Type="http://schemas.openxmlformats.org/officeDocument/2006/relationships/hyperlink" Target="https://old-forum.warthunder.com/index.php?/topic/360265-planned-economy-changes-for-april-2017/" TargetMode="External"/><Relationship Id="rId12" Type="http://schemas.openxmlformats.org/officeDocument/2006/relationships/hyperlink" Target="https://old-forum.warthunder.com/index.php?/topic/448621-planned-economy-changes-for-23rd-april/" TargetMode="External"/><Relationship Id="rId17" Type="http://schemas.openxmlformats.org/officeDocument/2006/relationships/hyperlink" Target="https://old-forum.warthunder.com/index.php?/topic/475670-planned-economy-and-battle-rating-changes-28012020/" TargetMode="External"/><Relationship Id="rId25" Type="http://schemas.openxmlformats.org/officeDocument/2006/relationships/hyperlink" Target="https://old-forum.warthunder.com/index.php?/topic/529690-planned-economy-changes-in-july-2021/&amp;ct=1626347373" TargetMode="External"/><Relationship Id="rId2" Type="http://schemas.openxmlformats.org/officeDocument/2006/relationships/hyperlink" Target="https://old-forum.warthunder.com/index.php?/topic/247308-battle-rating-38-economy-changes-15062015/" TargetMode="External"/><Relationship Id="rId16" Type="http://schemas.openxmlformats.org/officeDocument/2006/relationships/hyperlink" Target="https://old-forum.warthunder.com/index.php?/topic/470659-planned-economy-changes-02122019/" TargetMode="External"/><Relationship Id="rId20" Type="http://schemas.openxmlformats.org/officeDocument/2006/relationships/hyperlink" Target="https://old-forum.warthunder.com/index.php?/topic/496476-planned-battle-rating-economy-changes-august-2020/" TargetMode="External"/><Relationship Id="rId1" Type="http://schemas.openxmlformats.org/officeDocument/2006/relationships/hyperlink" Target="https://old-forum.warthunder.com/index.php?/topic/232319-battle-rating-38-economy-changes-16042015/" TargetMode="External"/><Relationship Id="rId6" Type="http://schemas.openxmlformats.org/officeDocument/2006/relationships/hyperlink" Target="https://old-forum.warthunder.com/index.php?/topic/351322-economy-changes-february-2017/" TargetMode="External"/><Relationship Id="rId11" Type="http://schemas.openxmlformats.org/officeDocument/2006/relationships/hyperlink" Target="https://old-forum.warthunder.com/index.php?/topic/443597-planned-economy-changes-25022019-updated/" TargetMode="External"/><Relationship Id="rId24" Type="http://schemas.openxmlformats.org/officeDocument/2006/relationships/hyperlink" Target="https://old-forum.warthunder.com/index.php?/topic/523032-planned-economy-changes-in-may/" TargetMode="External"/><Relationship Id="rId5" Type="http://schemas.openxmlformats.org/officeDocument/2006/relationships/hyperlink" Target="https://old-forum.warthunder.com/index.php?/topic/294878-planned-battle-rating-38-economy-changes-for-ground-and-air-vehicles/" TargetMode="External"/><Relationship Id="rId15" Type="http://schemas.openxmlformats.org/officeDocument/2006/relationships/hyperlink" Target="https://old-forum.warthunder.com/index.php?/topic/466511-planned-economy-changes/" TargetMode="External"/><Relationship Id="rId23" Type="http://schemas.openxmlformats.org/officeDocument/2006/relationships/hyperlink" Target="https://old-forum.warthunder.com/index.php?/topic/514914-preliminary-tech-tree-changes-february/" TargetMode="External"/><Relationship Id="rId28" Type="http://schemas.openxmlformats.org/officeDocument/2006/relationships/hyperlink" Target="https://old-forum.warthunder.com/index.php?/topic/554609-planned-economy-changes-in-may/" TargetMode="External"/><Relationship Id="rId10" Type="http://schemas.openxmlformats.org/officeDocument/2006/relationships/hyperlink" Target="https://old-forum.warthunder.com/index.php?/topic/428936-planned-economy-changes-october-2018/" TargetMode="External"/><Relationship Id="rId19" Type="http://schemas.openxmlformats.org/officeDocument/2006/relationships/hyperlink" Target="https://old-forum.warthunder.com/index.php?/topic/490879-planned-changes-to-the-research-trees-and-economy/" TargetMode="External"/><Relationship Id="rId4" Type="http://schemas.openxmlformats.org/officeDocument/2006/relationships/hyperlink" Target="https://old-forum.warthunder.com/index.php?/topic/278096-economy-changes-11112015/" TargetMode="External"/><Relationship Id="rId9" Type="http://schemas.openxmlformats.org/officeDocument/2006/relationships/hyperlink" Target="https://old-forum.warthunder.com/index.php?/topic/408796-planned-economy-changes-april-2018/" TargetMode="External"/><Relationship Id="rId14" Type="http://schemas.openxmlformats.org/officeDocument/2006/relationships/hyperlink" Target="https://old-forum.warthunder.com/index.php?/topic/457121-planned-economy-changes-and-ammunition-costs-changes-july-2019/" TargetMode="External"/><Relationship Id="rId22" Type="http://schemas.openxmlformats.org/officeDocument/2006/relationships/hyperlink" Target="https://old-forum.warthunder.com/index.php?/topic/508586-planned-economy-changes/" TargetMode="External"/><Relationship Id="rId27" Type="http://schemas.openxmlformats.org/officeDocument/2006/relationships/hyperlink" Target="https://warthunder.com/en/news/7537-development-planned-economy-changes-in-february-en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arthunder.com/en/news/4463-development-we-answer-your-questions-en" TargetMode="External"/><Relationship Id="rId18" Type="http://schemas.openxmlformats.org/officeDocument/2006/relationships/hyperlink" Target="https://warthunder.com/en/news/4927-development-a-new-era-in-war-thunder-early-details-en" TargetMode="External"/><Relationship Id="rId26" Type="http://schemas.openxmlformats.org/officeDocument/2006/relationships/hyperlink" Target="https://warthunder.com/en/news/5497-development-answers-from-developers-en" TargetMode="External"/><Relationship Id="rId39" Type="http://schemas.openxmlformats.org/officeDocument/2006/relationships/hyperlink" Target="https://warthunder.com/en/news/6252-qa-answers-from-the-developers-en" TargetMode="External"/><Relationship Id="rId21" Type="http://schemas.openxmlformats.org/officeDocument/2006/relationships/hyperlink" Target="https://warthunder.com/en/news/4933-development-answers-from-developers-en" TargetMode="External"/><Relationship Id="rId34" Type="http://schemas.openxmlformats.org/officeDocument/2006/relationships/hyperlink" Target="https://warthunder.com/en/news/5903-qa-answers-from-the-developers-en" TargetMode="External"/><Relationship Id="rId42" Type="http://schemas.openxmlformats.org/officeDocument/2006/relationships/hyperlink" Target="https://warthunder.com/en/news/6434-qa-answers-from-the-developers-en" TargetMode="External"/><Relationship Id="rId47" Type="http://schemas.openxmlformats.org/officeDocument/2006/relationships/hyperlink" Target="https://warthunder.com/en/news/6679-qa-answers-from-the-developers-en" TargetMode="External"/><Relationship Id="rId50" Type="http://schemas.openxmlformats.org/officeDocument/2006/relationships/hyperlink" Target="https://warthunder.com/en/news/6890-qa-answers-from-the-developers-en" TargetMode="External"/><Relationship Id="rId55" Type="http://schemas.openxmlformats.org/officeDocument/2006/relationships/hyperlink" Target="https://warthunder.com/en/news/7703-qa-answers-from-the-developers-en" TargetMode="External"/><Relationship Id="rId7" Type="http://schemas.openxmlformats.org/officeDocument/2006/relationships/hyperlink" Target="https://warthunder.com/en/news/4836-development-answers-from-developers-en" TargetMode="External"/><Relationship Id="rId2" Type="http://schemas.openxmlformats.org/officeDocument/2006/relationships/hyperlink" Target="https://warthunder.com/en/news/4483-development-we-answer-your-questions-en/" TargetMode="External"/><Relationship Id="rId16" Type="http://schemas.openxmlformats.org/officeDocument/2006/relationships/hyperlink" Target="https://warthunder.com/en/news/4769-development-q-a-for-world-war-game-mode-en" TargetMode="External"/><Relationship Id="rId29" Type="http://schemas.openxmlformats.org/officeDocument/2006/relationships/hyperlink" Target="https://warthunder.com/en/news/5758-q-a-answers-from-the-developers-en" TargetMode="External"/><Relationship Id="rId11" Type="http://schemas.openxmlformats.org/officeDocument/2006/relationships/hyperlink" Target="https://warthunder.com/en/news/5107-q-a-answers-from-the-developers-en" TargetMode="External"/><Relationship Id="rId24" Type="http://schemas.openxmlformats.org/officeDocument/2006/relationships/hyperlink" Target="https://warthunder.com/en/news/5376-q-a-answers-from-the-developers-en" TargetMode="External"/><Relationship Id="rId32" Type="http://schemas.openxmlformats.org/officeDocument/2006/relationships/hyperlink" Target="https://warthunder.com/en/news/5275-q-a-answers-from-the-developers-en" TargetMode="External"/><Relationship Id="rId37" Type="http://schemas.openxmlformats.org/officeDocument/2006/relationships/hyperlink" Target="https://warthunder.com/en/news/6160-qa-answers-from-the-developers-en" TargetMode="External"/><Relationship Id="rId40" Type="http://schemas.openxmlformats.org/officeDocument/2006/relationships/hyperlink" Target="https://warthunder.com/en/news/6276-qa-answers-from-the-developers-en" TargetMode="External"/><Relationship Id="rId45" Type="http://schemas.openxmlformats.org/officeDocument/2006/relationships/hyperlink" Target="https://warthunder.com/en/news/6044-qa-ballistic-update-questions-and-answers-from-the-developers-en" TargetMode="External"/><Relationship Id="rId53" Type="http://schemas.openxmlformats.org/officeDocument/2006/relationships/hyperlink" Target="https://warthunder.com/en/news/7240-qa-answers-from-the-developers-en" TargetMode="External"/><Relationship Id="rId5" Type="http://schemas.openxmlformats.org/officeDocument/2006/relationships/hyperlink" Target="https://warthunder.com/en/news/4680-development-answers-from-developers-en" TargetMode="External"/><Relationship Id="rId10" Type="http://schemas.openxmlformats.org/officeDocument/2006/relationships/hyperlink" Target="https://warthunder.com/en/news/5011-development-answers-from-developers-en" TargetMode="External"/><Relationship Id="rId19" Type="http://schemas.openxmlformats.org/officeDocument/2006/relationships/hyperlink" Target="https://warthunder.com/en/news/5142-q-a-answers-from-the-developers-en" TargetMode="External"/><Relationship Id="rId31" Type="http://schemas.openxmlformats.org/officeDocument/2006/relationships/hyperlink" Target="https://warthunder.com/en/news/5971-qa-answers-from-the-developers-en" TargetMode="External"/><Relationship Id="rId44" Type="http://schemas.openxmlformats.org/officeDocument/2006/relationships/hyperlink" Target="https://warthunder.com/en/news/6540-qa-answers-from-the-developers-en" TargetMode="External"/><Relationship Id="rId52" Type="http://schemas.openxmlformats.org/officeDocument/2006/relationships/hyperlink" Target="https://warthunder.com/en/news/7130-qa-answers-from-the-developers-en" TargetMode="External"/><Relationship Id="rId4" Type="http://schemas.openxmlformats.org/officeDocument/2006/relationships/hyperlink" Target="https://warthunder.com/en/news/4652-development-answers-from-developers-en" TargetMode="External"/><Relationship Id="rId9" Type="http://schemas.openxmlformats.org/officeDocument/2006/relationships/hyperlink" Target="https://warthunder.com/en/news/4989-development-answers-from-developers-en" TargetMode="External"/><Relationship Id="rId14" Type="http://schemas.openxmlformats.org/officeDocument/2006/relationships/hyperlink" Target="https://warthunder.com/en/news/4516-development-we-answer-your-questions-en" TargetMode="External"/><Relationship Id="rId22" Type="http://schemas.openxmlformats.org/officeDocument/2006/relationships/hyperlink" Target="https://warthunder.com/en/news/5250-q-a-answers-from-the-developers-en" TargetMode="External"/><Relationship Id="rId27" Type="http://schemas.openxmlformats.org/officeDocument/2006/relationships/hyperlink" Target="https://warthunder.com/en/news/5615-development-answers-from-developers-en" TargetMode="External"/><Relationship Id="rId30" Type="http://schemas.openxmlformats.org/officeDocument/2006/relationships/hyperlink" Target="https://warthunder.com/en/news/5873-qa-answers-from-the-developers-en" TargetMode="External"/><Relationship Id="rId35" Type="http://schemas.openxmlformats.org/officeDocument/2006/relationships/hyperlink" Target="https://warthunder.com/en/news/6009-qa-answers-from-the-developers-en" TargetMode="External"/><Relationship Id="rId43" Type="http://schemas.openxmlformats.org/officeDocument/2006/relationships/hyperlink" Target="https://warthunder.com/en/news/6471-special-qa-gaijin-s-cco-kirill-yudintsev-answers-tough-questions-en" TargetMode="External"/><Relationship Id="rId48" Type="http://schemas.openxmlformats.org/officeDocument/2006/relationships/hyperlink" Target="https://warthunder.com/en/news/6771-qa-answers-from-the-developers-en" TargetMode="External"/><Relationship Id="rId56" Type="http://schemas.openxmlformats.org/officeDocument/2006/relationships/hyperlink" Target="https://warthunder.com/en/news/8079-qa-answers-from-the-developers-en" TargetMode="External"/><Relationship Id="rId8" Type="http://schemas.openxmlformats.org/officeDocument/2006/relationships/hyperlink" Target="https://warthunder.com/en/news/4898-development-answers-from-developers-en" TargetMode="External"/><Relationship Id="rId51" Type="http://schemas.openxmlformats.org/officeDocument/2006/relationships/hyperlink" Target="https://warthunder.com/en/news/7038-qa-answers-from-the-developers-en" TargetMode="External"/><Relationship Id="rId3" Type="http://schemas.openxmlformats.org/officeDocument/2006/relationships/hyperlink" Target="https://warthunder.com/en/news/4555-development-we-answer-your-questions-en" TargetMode="External"/><Relationship Id="rId12" Type="http://schemas.openxmlformats.org/officeDocument/2006/relationships/hyperlink" Target="https://warthunder.com/en/news/5198-q-a-answers-from-the-developers-en" TargetMode="External"/><Relationship Id="rId17" Type="http://schemas.openxmlformats.org/officeDocument/2006/relationships/hyperlink" Target="https://warthunder.com/en/news/4865-development-answers-from-developers-en" TargetMode="External"/><Relationship Id="rId25" Type="http://schemas.openxmlformats.org/officeDocument/2006/relationships/hyperlink" Target="https://warthunder.com/en/news/5464-q-a-answers-from-the-developers-en" TargetMode="External"/><Relationship Id="rId33" Type="http://schemas.openxmlformats.org/officeDocument/2006/relationships/hyperlink" Target="https://warthunder.com/en/news/5466-q-a-answers-from-the-developers-en" TargetMode="External"/><Relationship Id="rId38" Type="http://schemas.openxmlformats.org/officeDocument/2006/relationships/hyperlink" Target="https://warthunder.com/en/news/6195-qa-world-war-mode-we-answer-your-questions-en" TargetMode="External"/><Relationship Id="rId46" Type="http://schemas.openxmlformats.org/officeDocument/2006/relationships/hyperlink" Target="https://warthunder.com/en/news/6575-qa-answers-from-the-developers-en" TargetMode="External"/><Relationship Id="rId20" Type="http://schemas.openxmlformats.org/officeDocument/2006/relationships/hyperlink" Target="https://warthunder.com/en/news/4771-development-latest-naval-q-a-en" TargetMode="External"/><Relationship Id="rId41" Type="http://schemas.openxmlformats.org/officeDocument/2006/relationships/hyperlink" Target="https://warthunder.com/en/news/6333-qa-answers-from-the-developers-en" TargetMode="External"/><Relationship Id="rId54" Type="http://schemas.openxmlformats.org/officeDocument/2006/relationships/hyperlink" Target="https://www.youtube.com/watch?v=2GPyb0U-29c&amp;t=2026s" TargetMode="External"/><Relationship Id="rId1" Type="http://schemas.openxmlformats.org/officeDocument/2006/relationships/hyperlink" Target="https://old-forum.warthunder.com/index.php?/topic/346974-qa-dev-questions-answers-compilation-new-year-edition/" TargetMode="External"/><Relationship Id="rId6" Type="http://schemas.openxmlformats.org/officeDocument/2006/relationships/hyperlink" Target="https://warthunder.com/en/news/4749-development-answers-from-developers-en" TargetMode="External"/><Relationship Id="rId15" Type="http://schemas.openxmlformats.org/officeDocument/2006/relationships/hyperlink" Target="https://warthunder.com/en/news/4599-development-answers-from-developers-en" TargetMode="External"/><Relationship Id="rId23" Type="http://schemas.openxmlformats.org/officeDocument/2006/relationships/hyperlink" Target="https://warthunder.com/en/news/5308-q-a-answers-from-the-developers-en" TargetMode="External"/><Relationship Id="rId28" Type="http://schemas.openxmlformats.org/officeDocument/2006/relationships/hyperlink" Target="https://warthunder.com/en/news/5700-qa-answers-from-the-developers-en" TargetMode="External"/><Relationship Id="rId36" Type="http://schemas.openxmlformats.org/officeDocument/2006/relationships/hyperlink" Target="https://warthunder.com/en/news/6023-qa-ballistic-update-questions-and-answers-from-the-developers-en" TargetMode="External"/><Relationship Id="rId49" Type="http://schemas.openxmlformats.org/officeDocument/2006/relationships/hyperlink" Target="https://warthunder.com/en/news/6818-qa-answers-from-the-developers-en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arthunder.com/en/news/7214-esport-victory-cup-tournament-rewards-in-twitch-drops-en" TargetMode="External"/><Relationship Id="rId13" Type="http://schemas.openxmlformats.org/officeDocument/2006/relationships/hyperlink" Target="https://warthunder.com/en/news/7874-twitch-drops-to-celebrate-the-drone-age-en" TargetMode="External"/><Relationship Id="rId3" Type="http://schemas.openxmlformats.org/officeDocument/2006/relationships/hyperlink" Target="https://warthunder.com/en/news/7020/current/" TargetMode="External"/><Relationship Id="rId7" Type="http://schemas.openxmlformats.org/officeDocument/2006/relationships/hyperlink" Target="https://warthunder.com/en/news/7122-twitch-drops-rewards-for-war-thunder-and-enlisted-this-weekend-en" TargetMode="External"/><Relationship Id="rId12" Type="http://schemas.openxmlformats.org/officeDocument/2006/relationships/hyperlink" Target="https://warthunder.com/en/news/7651-esport-olyst-cup-ii-and-twitch-drops-en" TargetMode="External"/><Relationship Id="rId17" Type="http://schemas.openxmlformats.org/officeDocument/2006/relationships/hyperlink" Target="https://warthunder.com/en/news/8215-esport-air-superiority-tournament-and-twitch-drops-en" TargetMode="External"/><Relationship Id="rId2" Type="http://schemas.openxmlformats.org/officeDocument/2006/relationships/hyperlink" Target="https://warthunder.com/en/news/6961-twitch-drops-are-back-en" TargetMode="External"/><Relationship Id="rId16" Type="http://schemas.openxmlformats.org/officeDocument/2006/relationships/hyperlink" Target="https://warthunder.com/en/news/8189-twitch-drops-for-exowarriors-en" TargetMode="External"/><Relationship Id="rId1" Type="http://schemas.openxmlformats.org/officeDocument/2006/relationships/hyperlink" Target="https://warthunder.com/en/news/6751-watch-streams-on-twitch-get-rewards-en" TargetMode="External"/><Relationship Id="rId6" Type="http://schemas.openxmlformats.org/officeDocument/2006/relationships/hyperlink" Target="https://warthunder.com/en/news/7088-esport-olyst-cup-and-twitch-drops-en" TargetMode="External"/><Relationship Id="rId11" Type="http://schemas.openxmlformats.org/officeDocument/2006/relationships/hyperlink" Target="https://warthunder.com/en/news/7498-esport-play4peace-tournaments-en" TargetMode="External"/><Relationship Id="rId5" Type="http://schemas.openxmlformats.org/officeDocument/2006/relationships/hyperlink" Target="https://warthunder.com/en/news/7077-twitch-drops-rewards-for-war-thunder-and-enlisted-this-weekend-en" TargetMode="External"/><Relationship Id="rId15" Type="http://schemas.openxmlformats.org/officeDocument/2006/relationships/hyperlink" Target="https://warthunder.com/en/news/7965-war-thunder-10-years-anniversary-twitch-drops-en" TargetMode="External"/><Relationship Id="rId10" Type="http://schemas.openxmlformats.org/officeDocument/2006/relationships/hyperlink" Target="https://warthunder.com/en/news/7397-event-halloween-in-war-thunder-en" TargetMode="External"/><Relationship Id="rId4" Type="http://schemas.openxmlformats.org/officeDocument/2006/relationships/hyperlink" Target="https://warthunder.com/en/news/7031-esport-esport-ready-100k-cup-and-twitch-drops-en" TargetMode="External"/><Relationship Id="rId9" Type="http://schemas.openxmlformats.org/officeDocument/2006/relationships/hyperlink" Target="https://warthunder.com/en/news/7294-esport-battle-buddies-tournament-and-twitch-drops-en" TargetMode="External"/><Relationship Id="rId14" Type="http://schemas.openxmlformats.org/officeDocument/2006/relationships/hyperlink" Target="https://warthunder.com/en/news/7943-war-thunder-10-years-anniversary-twitch-drops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/>
  </sheetViews>
  <sheetFormatPr defaultColWidth="12.5703125" defaultRowHeight="15.75" customHeight="1" x14ac:dyDescent="0.2"/>
  <cols>
    <col min="1" max="1" width="5" customWidth="1"/>
    <col min="2" max="2" width="12.5703125" customWidth="1"/>
    <col min="3" max="3" width="4.28515625" customWidth="1"/>
    <col min="4" max="4" width="12.5703125" customWidth="1"/>
    <col min="5" max="5" width="4.140625" customWidth="1"/>
    <col min="6" max="6" width="12.5703125" customWidth="1"/>
    <col min="7" max="7" width="5" customWidth="1"/>
  </cols>
  <sheetData>
    <row r="1" spans="1:7" ht="18.75" customHeight="1" x14ac:dyDescent="0.2">
      <c r="A1" s="1"/>
      <c r="B1" s="393" t="s">
        <v>0</v>
      </c>
      <c r="C1" s="394"/>
      <c r="D1" s="394"/>
      <c r="E1" s="394"/>
      <c r="F1" s="395"/>
      <c r="G1" s="2" t="s">
        <v>1</v>
      </c>
    </row>
    <row r="2" spans="1:7" ht="18.75" customHeight="1" x14ac:dyDescent="0.2">
      <c r="A2" s="399"/>
      <c r="B2" s="396"/>
      <c r="C2" s="397"/>
      <c r="D2" s="397"/>
      <c r="E2" s="397"/>
      <c r="F2" s="398"/>
      <c r="G2" s="400"/>
    </row>
    <row r="3" spans="1:7" ht="18.75" customHeight="1" x14ac:dyDescent="0.2">
      <c r="A3" s="397"/>
      <c r="B3" s="401"/>
      <c r="C3" s="402"/>
      <c r="D3" s="402"/>
      <c r="E3" s="402"/>
      <c r="F3" s="402"/>
      <c r="G3" s="398"/>
    </row>
    <row r="4" spans="1:7" ht="18.75" customHeight="1" x14ac:dyDescent="0.2">
      <c r="A4" s="403" t="s">
        <v>2</v>
      </c>
      <c r="B4" s="404"/>
      <c r="C4" s="404"/>
      <c r="D4" s="404"/>
      <c r="E4" s="404"/>
      <c r="F4" s="404"/>
      <c r="G4" s="405"/>
    </row>
    <row r="5" spans="1:7" ht="18.75" customHeight="1" x14ac:dyDescent="0.2">
      <c r="A5" s="406" t="s">
        <v>3</v>
      </c>
      <c r="B5" s="397"/>
      <c r="C5" s="397"/>
      <c r="D5" s="397"/>
      <c r="E5" s="397"/>
      <c r="F5" s="397"/>
      <c r="G5" s="398"/>
    </row>
    <row r="6" spans="1:7" ht="18.75" customHeight="1" x14ac:dyDescent="0.2">
      <c r="A6" s="407" t="s">
        <v>4</v>
      </c>
      <c r="B6" s="397"/>
      <c r="C6" s="397"/>
      <c r="D6" s="397"/>
      <c r="E6" s="397"/>
      <c r="F6" s="397"/>
      <c r="G6" s="398"/>
    </row>
    <row r="7" spans="1:7" ht="18.75" customHeight="1" x14ac:dyDescent="0.2">
      <c r="A7" s="407" t="s">
        <v>5</v>
      </c>
      <c r="B7" s="397"/>
      <c r="C7" s="397"/>
      <c r="D7" s="397"/>
      <c r="E7" s="397"/>
      <c r="F7" s="397"/>
      <c r="G7" s="398"/>
    </row>
  </sheetData>
  <mergeCells count="8">
    <mergeCell ref="A5:G5"/>
    <mergeCell ref="A6:G6"/>
    <mergeCell ref="A7:G7"/>
    <mergeCell ref="B1:F2"/>
    <mergeCell ref="A2:A3"/>
    <mergeCell ref="G2:G3"/>
    <mergeCell ref="B3:F3"/>
    <mergeCell ref="A4:G4"/>
  </mergeCells>
  <hyperlinks>
    <hyperlink ref="B1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2" max="2" width="15.5703125" customWidth="1"/>
    <col min="5" max="5" width="17.5703125" customWidth="1"/>
    <col min="6" max="6" width="20.7109375" customWidth="1"/>
    <col min="9" max="9" width="27" customWidth="1"/>
    <col min="10" max="10" width="18.28515625" customWidth="1"/>
    <col min="11" max="11" width="27" customWidth="1"/>
    <col min="12" max="12" width="18" customWidth="1"/>
    <col min="13" max="21" width="12.5703125" hidden="1"/>
    <col min="22" max="25" width="14.140625" hidden="1" customWidth="1"/>
  </cols>
  <sheetData>
    <row r="1" spans="1:25" ht="24.75" customHeight="1" x14ac:dyDescent="0.2">
      <c r="A1" s="408" t="s">
        <v>6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5"/>
      <c r="M1" s="5"/>
      <c r="N1" s="5"/>
      <c r="O1" s="5"/>
      <c r="P1" s="5"/>
      <c r="Q1" s="5"/>
      <c r="R1" s="5"/>
      <c r="S1" s="5"/>
      <c r="T1" s="5"/>
      <c r="U1" s="5"/>
      <c r="V1" s="6"/>
      <c r="W1" s="7"/>
      <c r="X1" s="7"/>
      <c r="Y1" s="6"/>
    </row>
    <row r="2" spans="1:25" ht="30" x14ac:dyDescent="0.2">
      <c r="A2" s="8" t="s">
        <v>7</v>
      </c>
      <c r="B2" s="9" t="s">
        <v>8</v>
      </c>
      <c r="C2" s="409" t="s">
        <v>9</v>
      </c>
      <c r="D2" s="404"/>
      <c r="E2" s="10" t="s">
        <v>10</v>
      </c>
      <c r="F2" s="10" t="s">
        <v>11</v>
      </c>
      <c r="G2" s="409" t="s">
        <v>12</v>
      </c>
      <c r="H2" s="404"/>
      <c r="I2" s="9" t="s">
        <v>13</v>
      </c>
      <c r="J2" s="9" t="s">
        <v>14</v>
      </c>
      <c r="K2" s="9" t="s">
        <v>15</v>
      </c>
      <c r="L2" s="11" t="s">
        <v>16</v>
      </c>
      <c r="M2" s="410" t="s">
        <v>17</v>
      </c>
      <c r="N2" s="402"/>
      <c r="O2" s="402"/>
      <c r="P2" s="402"/>
      <c r="Q2" s="402"/>
      <c r="R2" s="402"/>
      <c r="S2" s="402"/>
      <c r="T2" s="402"/>
      <c r="U2" s="402"/>
      <c r="V2" s="411" t="s">
        <v>18</v>
      </c>
      <c r="W2" s="412"/>
      <c r="X2" s="7" t="s">
        <v>19</v>
      </c>
      <c r="Y2" s="6" t="s">
        <v>20</v>
      </c>
    </row>
    <row r="3" spans="1:25" ht="15" x14ac:dyDescent="0.2">
      <c r="A3" s="12" t="s">
        <v>21</v>
      </c>
      <c r="B3" s="13" t="s">
        <v>22</v>
      </c>
      <c r="C3" s="14">
        <v>41304</v>
      </c>
      <c r="D3" s="15" t="str">
        <f t="shared" ref="D3:D62" si="0">CHOOSE(WEEKDAY(C3,2),"Monday","Tuesday","Wednesday","Thursday","Friday","Saturday","Sunday")</f>
        <v>Wednesday</v>
      </c>
      <c r="E3" s="16" t="s">
        <v>22</v>
      </c>
      <c r="F3" s="15" t="s">
        <v>22</v>
      </c>
      <c r="G3" s="17" t="s">
        <v>22</v>
      </c>
      <c r="H3" s="17" t="s">
        <v>22</v>
      </c>
      <c r="I3" s="15" t="s">
        <v>22</v>
      </c>
      <c r="J3" s="15" t="s">
        <v>22</v>
      </c>
      <c r="K3" s="15" t="s">
        <v>22</v>
      </c>
      <c r="L3" s="18" t="s">
        <v>22</v>
      </c>
      <c r="M3" s="19"/>
      <c r="N3" s="19"/>
      <c r="O3" s="19"/>
      <c r="P3" s="19"/>
      <c r="Q3" s="19"/>
      <c r="R3" s="19"/>
      <c r="S3" s="19"/>
      <c r="T3" s="19"/>
      <c r="U3" s="19"/>
      <c r="V3" s="20"/>
      <c r="W3" s="21"/>
      <c r="X3" s="22">
        <f t="shared" ref="X3:X8" si="1">C3</f>
        <v>41304</v>
      </c>
      <c r="Y3" s="19"/>
    </row>
    <row r="4" spans="1:25" ht="15" x14ac:dyDescent="0.2">
      <c r="A4" s="23" t="s">
        <v>23</v>
      </c>
      <c r="B4" s="10" t="s">
        <v>22</v>
      </c>
      <c r="C4" s="24">
        <v>41352</v>
      </c>
      <c r="D4" s="25" t="str">
        <f t="shared" si="0"/>
        <v>Tuesday</v>
      </c>
      <c r="E4" s="26" t="s">
        <v>22</v>
      </c>
      <c r="F4" s="9" t="s">
        <v>22</v>
      </c>
      <c r="G4" s="9" t="s">
        <v>22</v>
      </c>
      <c r="H4" s="9" t="s">
        <v>22</v>
      </c>
      <c r="I4" s="27" t="s">
        <v>22</v>
      </c>
      <c r="J4" s="27" t="s">
        <v>22</v>
      </c>
      <c r="K4" s="27" t="s">
        <v>22</v>
      </c>
      <c r="L4" s="28">
        <f t="shared" ref="L4:L62" si="2">C4-C3</f>
        <v>48</v>
      </c>
      <c r="M4" s="5"/>
      <c r="N4" s="5"/>
      <c r="O4" s="5"/>
      <c r="P4" s="5"/>
      <c r="Q4" s="5"/>
      <c r="R4" s="5"/>
      <c r="S4" s="5"/>
      <c r="T4" s="5"/>
      <c r="U4" s="5"/>
      <c r="V4" s="6"/>
      <c r="W4" s="7"/>
      <c r="X4" s="29">
        <f t="shared" si="1"/>
        <v>41352</v>
      </c>
      <c r="Y4" s="5"/>
    </row>
    <row r="5" spans="1:25" ht="15" x14ac:dyDescent="0.2">
      <c r="A5" s="12" t="s">
        <v>24</v>
      </c>
      <c r="B5" s="13" t="s">
        <v>22</v>
      </c>
      <c r="C5" s="14">
        <v>41436</v>
      </c>
      <c r="D5" s="15" t="str">
        <f t="shared" si="0"/>
        <v>Tuesday</v>
      </c>
      <c r="E5" s="16">
        <v>41435.784722222219</v>
      </c>
      <c r="F5" s="15" t="s">
        <v>22</v>
      </c>
      <c r="G5" s="15" t="s">
        <v>22</v>
      </c>
      <c r="H5" s="15" t="s">
        <v>22</v>
      </c>
      <c r="I5" s="30" t="s">
        <v>22</v>
      </c>
      <c r="J5" s="30" t="s">
        <v>22</v>
      </c>
      <c r="K5" s="30" t="s">
        <v>22</v>
      </c>
      <c r="L5" s="31">
        <f t="shared" si="2"/>
        <v>84</v>
      </c>
      <c r="M5" s="19"/>
      <c r="N5" s="19"/>
      <c r="O5" s="19"/>
      <c r="P5" s="19"/>
      <c r="Q5" s="19"/>
      <c r="R5" s="19"/>
      <c r="S5" s="19"/>
      <c r="T5" s="19"/>
      <c r="U5" s="19"/>
      <c r="V5" s="32">
        <f>INT(E5)</f>
        <v>41435</v>
      </c>
      <c r="W5" s="33">
        <f>E5-V5</f>
        <v>0.78472222221898846</v>
      </c>
      <c r="X5" s="22">
        <f t="shared" si="1"/>
        <v>41436</v>
      </c>
      <c r="Y5" s="19"/>
    </row>
    <row r="6" spans="1:25" ht="15" x14ac:dyDescent="0.2">
      <c r="A6" s="23" t="s">
        <v>25</v>
      </c>
      <c r="B6" s="10" t="s">
        <v>22</v>
      </c>
      <c r="C6" s="24">
        <v>41493</v>
      </c>
      <c r="D6" s="34" t="str">
        <f t="shared" si="0"/>
        <v>Wednesday</v>
      </c>
      <c r="E6" s="26" t="s">
        <v>22</v>
      </c>
      <c r="F6" s="9" t="s">
        <v>22</v>
      </c>
      <c r="G6" s="9" t="s">
        <v>22</v>
      </c>
      <c r="H6" s="9" t="s">
        <v>22</v>
      </c>
      <c r="I6" s="27" t="s">
        <v>22</v>
      </c>
      <c r="J6" s="27" t="s">
        <v>22</v>
      </c>
      <c r="K6" s="27" t="s">
        <v>22</v>
      </c>
      <c r="L6" s="28">
        <f t="shared" si="2"/>
        <v>57</v>
      </c>
      <c r="M6" s="5"/>
      <c r="N6" s="5"/>
      <c r="O6" s="5"/>
      <c r="P6" s="5"/>
      <c r="Q6" s="5"/>
      <c r="R6" s="5"/>
      <c r="S6" s="5"/>
      <c r="T6" s="5"/>
      <c r="U6" s="5"/>
      <c r="V6" s="6"/>
      <c r="W6" s="7"/>
      <c r="X6" s="29">
        <f t="shared" si="1"/>
        <v>41493</v>
      </c>
      <c r="Y6" s="5"/>
    </row>
    <row r="7" spans="1:25" ht="15" x14ac:dyDescent="0.2">
      <c r="A7" s="12" t="s">
        <v>26</v>
      </c>
      <c r="B7" s="13" t="s">
        <v>22</v>
      </c>
      <c r="C7" s="14">
        <v>41543</v>
      </c>
      <c r="D7" s="15" t="str">
        <f t="shared" si="0"/>
        <v>Thursday</v>
      </c>
      <c r="E7" s="16" t="s">
        <v>22</v>
      </c>
      <c r="F7" s="15" t="s">
        <v>22</v>
      </c>
      <c r="G7" s="15" t="s">
        <v>22</v>
      </c>
      <c r="H7" s="15" t="s">
        <v>22</v>
      </c>
      <c r="I7" s="30" t="s">
        <v>22</v>
      </c>
      <c r="J7" s="30" t="s">
        <v>22</v>
      </c>
      <c r="K7" s="30" t="s">
        <v>22</v>
      </c>
      <c r="L7" s="31">
        <f t="shared" si="2"/>
        <v>50</v>
      </c>
      <c r="M7" s="19"/>
      <c r="N7" s="19"/>
      <c r="O7" s="19"/>
      <c r="P7" s="19"/>
      <c r="Q7" s="19"/>
      <c r="R7" s="19"/>
      <c r="S7" s="19"/>
      <c r="T7" s="19"/>
      <c r="U7" s="19"/>
      <c r="V7" s="20"/>
      <c r="W7" s="21"/>
      <c r="X7" s="22">
        <f t="shared" si="1"/>
        <v>41543</v>
      </c>
      <c r="Y7" s="19"/>
    </row>
    <row r="8" spans="1:25" ht="15" x14ac:dyDescent="0.2">
      <c r="A8" s="23" t="s">
        <v>27</v>
      </c>
      <c r="B8" s="10" t="s">
        <v>22</v>
      </c>
      <c r="C8" s="24">
        <v>41626</v>
      </c>
      <c r="D8" s="34" t="str">
        <f t="shared" si="0"/>
        <v>Wednesday</v>
      </c>
      <c r="E8" s="26" t="s">
        <v>22</v>
      </c>
      <c r="F8" s="9" t="s">
        <v>22</v>
      </c>
      <c r="G8" s="24">
        <f>Devblogs!FO2</f>
        <v>41561</v>
      </c>
      <c r="H8" s="9" t="str">
        <f>Devblogs!FP2</f>
        <v>Monday</v>
      </c>
      <c r="I8" s="27" t="e">
        <f t="shared" ref="I8:I63" ca="1" si="3">_xludf.DAYS(G8,C7)</f>
        <v>#NAME?</v>
      </c>
      <c r="J8" s="27" t="e">
        <f t="shared" ref="J8:J62" ca="1" si="4">_xludf.DAYS(C8,G8)</f>
        <v>#NAME?</v>
      </c>
      <c r="K8" s="27" t="s">
        <v>22</v>
      </c>
      <c r="L8" s="28">
        <f t="shared" si="2"/>
        <v>83</v>
      </c>
      <c r="M8" s="5"/>
      <c r="N8" s="5"/>
      <c r="O8" s="5"/>
      <c r="P8" s="5"/>
      <c r="Q8" s="5"/>
      <c r="R8" s="5"/>
      <c r="S8" s="5"/>
      <c r="T8" s="5"/>
      <c r="U8" s="5"/>
      <c r="V8" s="6"/>
      <c r="W8" s="7"/>
      <c r="X8" s="29">
        <f t="shared" si="1"/>
        <v>41626</v>
      </c>
      <c r="Y8" s="35">
        <f>G8</f>
        <v>41561</v>
      </c>
    </row>
    <row r="9" spans="1:25" ht="15" x14ac:dyDescent="0.2">
      <c r="A9" s="12" t="s">
        <v>28</v>
      </c>
      <c r="B9" s="13" t="s">
        <v>22</v>
      </c>
      <c r="C9" s="14">
        <v>41744</v>
      </c>
      <c r="D9" s="15" t="str">
        <f t="shared" si="0"/>
        <v>Tuesday</v>
      </c>
      <c r="E9" s="16" t="s">
        <v>22</v>
      </c>
      <c r="F9" s="15" t="s">
        <v>22</v>
      </c>
      <c r="G9" s="14">
        <f>Devblogs!FL2</f>
        <v>41649</v>
      </c>
      <c r="H9" s="15" t="str">
        <f>Devblogs!FM2</f>
        <v>Friday</v>
      </c>
      <c r="I9" s="30" t="e">
        <f t="shared" ca="1" si="3"/>
        <v>#NAME?</v>
      </c>
      <c r="J9" s="30" t="e">
        <f t="shared" ca="1" si="4"/>
        <v>#NAME?</v>
      </c>
      <c r="K9" s="30" t="s">
        <v>22</v>
      </c>
      <c r="L9" s="31">
        <f t="shared" si="2"/>
        <v>118</v>
      </c>
      <c r="M9" s="19"/>
      <c r="N9" s="19"/>
      <c r="O9" s="19"/>
      <c r="P9" s="19"/>
      <c r="Q9" s="19"/>
      <c r="R9" s="19"/>
      <c r="S9" s="19"/>
      <c r="T9" s="19"/>
      <c r="U9" s="19"/>
      <c r="V9" s="20"/>
      <c r="W9" s="21"/>
      <c r="X9" s="22">
        <f t="shared" ref="X9:X12" si="5">C9-365</f>
        <v>41379</v>
      </c>
      <c r="Y9" s="36">
        <f t="shared" ref="Y9:Y12" si="6">G9-365</f>
        <v>41284</v>
      </c>
    </row>
    <row r="10" spans="1:25" ht="15" x14ac:dyDescent="0.2">
      <c r="A10" s="23" t="s">
        <v>29</v>
      </c>
      <c r="B10" s="10" t="s">
        <v>22</v>
      </c>
      <c r="C10" s="24">
        <v>41774</v>
      </c>
      <c r="D10" s="37" t="str">
        <f t="shared" si="0"/>
        <v>Thursday</v>
      </c>
      <c r="E10" s="38">
        <v>41773.852083333331</v>
      </c>
      <c r="F10" s="9" t="s">
        <v>22</v>
      </c>
      <c r="G10" s="24">
        <f>Devblogs!FI2</f>
        <v>41747</v>
      </c>
      <c r="H10" s="9" t="str">
        <f>Devblogs!FJ2</f>
        <v>Friday</v>
      </c>
      <c r="I10" s="27" t="e">
        <f t="shared" ca="1" si="3"/>
        <v>#NAME?</v>
      </c>
      <c r="J10" s="27" t="e">
        <f t="shared" ca="1" si="4"/>
        <v>#NAME?</v>
      </c>
      <c r="K10" s="27" t="s">
        <v>22</v>
      </c>
      <c r="L10" s="28">
        <f t="shared" si="2"/>
        <v>30</v>
      </c>
      <c r="M10" s="5"/>
      <c r="N10" s="5"/>
      <c r="O10" s="5"/>
      <c r="P10" s="5"/>
      <c r="Q10" s="5"/>
      <c r="R10" s="5"/>
      <c r="S10" s="5"/>
      <c r="T10" s="5"/>
      <c r="U10" s="5"/>
      <c r="V10" s="39">
        <f t="shared" ref="V10:V63" si="7">INT(E10)</f>
        <v>41773</v>
      </c>
      <c r="W10" s="40">
        <f t="shared" ref="W10:W63" si="8">E10-V10</f>
        <v>0.85208333333139308</v>
      </c>
      <c r="X10" s="29">
        <f t="shared" si="5"/>
        <v>41409</v>
      </c>
      <c r="Y10" s="35">
        <f t="shared" si="6"/>
        <v>41382</v>
      </c>
    </row>
    <row r="11" spans="1:25" ht="15" x14ac:dyDescent="0.2">
      <c r="A11" s="12" t="s">
        <v>30</v>
      </c>
      <c r="B11" s="13" t="s">
        <v>22</v>
      </c>
      <c r="C11" s="14">
        <v>41921</v>
      </c>
      <c r="D11" s="15" t="str">
        <f t="shared" si="0"/>
        <v>Thursday</v>
      </c>
      <c r="E11" s="41">
        <v>41920.77847222222</v>
      </c>
      <c r="F11" s="15" t="s">
        <v>22</v>
      </c>
      <c r="G11" s="14">
        <f>Devblogs!FF2</f>
        <v>41795</v>
      </c>
      <c r="H11" s="15" t="str">
        <f>Devblogs!FG2</f>
        <v>Thursday</v>
      </c>
      <c r="I11" s="30" t="e">
        <f t="shared" ca="1" si="3"/>
        <v>#NAME?</v>
      </c>
      <c r="J11" s="30" t="e">
        <f t="shared" ca="1" si="4"/>
        <v>#NAME?</v>
      </c>
      <c r="K11" s="30" t="s">
        <v>22</v>
      </c>
      <c r="L11" s="31">
        <f t="shared" si="2"/>
        <v>147</v>
      </c>
      <c r="M11" s="19"/>
      <c r="N11" s="19"/>
      <c r="O11" s="19"/>
      <c r="P11" s="19"/>
      <c r="Q11" s="19"/>
      <c r="R11" s="19"/>
      <c r="S11" s="19"/>
      <c r="T11" s="19"/>
      <c r="U11" s="19"/>
      <c r="V11" s="32">
        <f t="shared" si="7"/>
        <v>41920</v>
      </c>
      <c r="W11" s="33">
        <f t="shared" si="8"/>
        <v>0.77847222222044365</v>
      </c>
      <c r="X11" s="36">
        <f t="shared" si="5"/>
        <v>41556</v>
      </c>
      <c r="Y11" s="42">
        <f t="shared" si="6"/>
        <v>41430</v>
      </c>
    </row>
    <row r="12" spans="1:25" ht="15" x14ac:dyDescent="0.2">
      <c r="A12" s="23" t="s">
        <v>31</v>
      </c>
      <c r="B12" s="10" t="s">
        <v>32</v>
      </c>
      <c r="C12" s="24">
        <v>41989</v>
      </c>
      <c r="D12" s="25" t="str">
        <f t="shared" si="0"/>
        <v>Tuesday</v>
      </c>
      <c r="E12" s="38">
        <v>41988.87222222222</v>
      </c>
      <c r="F12" s="9" t="s">
        <v>22</v>
      </c>
      <c r="G12" s="24">
        <f>Devblogs!FC2</f>
        <v>41941</v>
      </c>
      <c r="H12" s="9" t="str">
        <f>Devblogs!FD2</f>
        <v>Wednesday</v>
      </c>
      <c r="I12" s="27" t="e">
        <f t="shared" ca="1" si="3"/>
        <v>#NAME?</v>
      </c>
      <c r="J12" s="27" t="e">
        <f t="shared" ca="1" si="4"/>
        <v>#NAME?</v>
      </c>
      <c r="K12" s="27" t="s">
        <v>22</v>
      </c>
      <c r="L12" s="28">
        <f t="shared" si="2"/>
        <v>68</v>
      </c>
      <c r="M12" s="5"/>
      <c r="N12" s="5"/>
      <c r="O12" s="5"/>
      <c r="P12" s="5"/>
      <c r="Q12" s="5"/>
      <c r="R12" s="5"/>
      <c r="S12" s="5"/>
      <c r="T12" s="5"/>
      <c r="U12" s="5"/>
      <c r="V12" s="39">
        <f t="shared" si="7"/>
        <v>41988</v>
      </c>
      <c r="W12" s="40">
        <f t="shared" si="8"/>
        <v>0.87222222222044365</v>
      </c>
      <c r="X12" s="35">
        <f t="shared" si="5"/>
        <v>41624</v>
      </c>
      <c r="Y12" s="43">
        <f t="shared" si="6"/>
        <v>41576</v>
      </c>
    </row>
    <row r="13" spans="1:25" ht="15" x14ac:dyDescent="0.2">
      <c r="A13" s="12" t="s">
        <v>33</v>
      </c>
      <c r="B13" s="13" t="s">
        <v>34</v>
      </c>
      <c r="C13" s="14">
        <v>42059</v>
      </c>
      <c r="D13" s="15" t="str">
        <f t="shared" si="0"/>
        <v>Tuesday</v>
      </c>
      <c r="E13" s="41">
        <v>42058.95416666667</v>
      </c>
      <c r="F13" s="15" t="s">
        <v>22</v>
      </c>
      <c r="G13" s="14">
        <f>Devblogs!EZ2</f>
        <v>42037</v>
      </c>
      <c r="H13" s="15" t="str">
        <f>Devblogs!FA2</f>
        <v>Monday</v>
      </c>
      <c r="I13" s="30" t="e">
        <f t="shared" ca="1" si="3"/>
        <v>#NAME?</v>
      </c>
      <c r="J13" s="30" t="e">
        <f t="shared" ca="1" si="4"/>
        <v>#NAME?</v>
      </c>
      <c r="K13" s="30" t="s">
        <v>22</v>
      </c>
      <c r="L13" s="31">
        <f t="shared" si="2"/>
        <v>70</v>
      </c>
      <c r="M13" s="19"/>
      <c r="N13" s="19"/>
      <c r="O13" s="19"/>
      <c r="P13" s="19"/>
      <c r="Q13" s="19"/>
      <c r="R13" s="19"/>
      <c r="S13" s="19"/>
      <c r="T13" s="19"/>
      <c r="U13" s="19"/>
      <c r="V13" s="32">
        <f t="shared" si="7"/>
        <v>42058</v>
      </c>
      <c r="W13" s="33">
        <f t="shared" si="8"/>
        <v>0.95416666667006211</v>
      </c>
      <c r="X13" s="36">
        <f t="shared" ref="X13:X17" si="9">C13-365*2</f>
        <v>41329</v>
      </c>
      <c r="Y13" s="42">
        <f t="shared" ref="Y13:Y17" si="10">G13-365*2</f>
        <v>41307</v>
      </c>
    </row>
    <row r="14" spans="1:25" ht="30" x14ac:dyDescent="0.2">
      <c r="A14" s="23" t="s">
        <v>35</v>
      </c>
      <c r="B14" s="10" t="s">
        <v>36</v>
      </c>
      <c r="C14" s="24">
        <v>42124</v>
      </c>
      <c r="D14" s="37" t="str">
        <f t="shared" si="0"/>
        <v>Thursday</v>
      </c>
      <c r="E14" s="38">
        <v>42123.813194444447</v>
      </c>
      <c r="F14" s="9" t="s">
        <v>22</v>
      </c>
      <c r="G14" s="24">
        <f>Devblogs!EW2</f>
        <v>42111</v>
      </c>
      <c r="H14" s="9" t="str">
        <f>Devblogs!EX2</f>
        <v>Friday</v>
      </c>
      <c r="I14" s="27" t="e">
        <f t="shared" ca="1" si="3"/>
        <v>#NAME?</v>
      </c>
      <c r="J14" s="27" t="e">
        <f t="shared" ca="1" si="4"/>
        <v>#NAME?</v>
      </c>
      <c r="K14" s="27" t="s">
        <v>22</v>
      </c>
      <c r="L14" s="28">
        <f t="shared" si="2"/>
        <v>65</v>
      </c>
      <c r="M14" s="5"/>
      <c r="N14" s="5"/>
      <c r="O14" s="5"/>
      <c r="P14" s="5"/>
      <c r="Q14" s="5"/>
      <c r="R14" s="5"/>
      <c r="S14" s="5"/>
      <c r="T14" s="5"/>
      <c r="U14" s="5"/>
      <c r="V14" s="39">
        <f t="shared" si="7"/>
        <v>42123</v>
      </c>
      <c r="W14" s="40">
        <f t="shared" si="8"/>
        <v>0.81319444444670808</v>
      </c>
      <c r="X14" s="35">
        <f t="shared" si="9"/>
        <v>41394</v>
      </c>
      <c r="Y14" s="43">
        <f t="shared" si="10"/>
        <v>41381</v>
      </c>
    </row>
    <row r="15" spans="1:25" ht="15" x14ac:dyDescent="0.2">
      <c r="A15" s="12" t="s">
        <v>37</v>
      </c>
      <c r="B15" s="13" t="s">
        <v>38</v>
      </c>
      <c r="C15" s="14">
        <v>42185</v>
      </c>
      <c r="D15" s="15" t="str">
        <f t="shared" si="0"/>
        <v>Tuesday</v>
      </c>
      <c r="E15" s="41">
        <v>42184.913194444445</v>
      </c>
      <c r="F15" s="15" t="s">
        <v>22</v>
      </c>
      <c r="G15" s="14">
        <f>Devblogs!ET2</f>
        <v>42171</v>
      </c>
      <c r="H15" s="15" t="str">
        <f>Devblogs!EU2</f>
        <v>Tuesday</v>
      </c>
      <c r="I15" s="30" t="e">
        <f t="shared" ca="1" si="3"/>
        <v>#NAME?</v>
      </c>
      <c r="J15" s="30" t="e">
        <f t="shared" ca="1" si="4"/>
        <v>#NAME?</v>
      </c>
      <c r="K15" s="30" t="s">
        <v>22</v>
      </c>
      <c r="L15" s="31">
        <f t="shared" si="2"/>
        <v>61</v>
      </c>
      <c r="M15" s="19"/>
      <c r="N15" s="19"/>
      <c r="O15" s="19"/>
      <c r="P15" s="19"/>
      <c r="Q15" s="19"/>
      <c r="R15" s="19"/>
      <c r="S15" s="19"/>
      <c r="T15" s="19"/>
      <c r="U15" s="19"/>
      <c r="V15" s="32">
        <f t="shared" si="7"/>
        <v>42184</v>
      </c>
      <c r="W15" s="33">
        <f t="shared" si="8"/>
        <v>0.91319444444525288</v>
      </c>
      <c r="X15" s="36">
        <f t="shared" si="9"/>
        <v>41455</v>
      </c>
      <c r="Y15" s="42">
        <f t="shared" si="10"/>
        <v>41441</v>
      </c>
    </row>
    <row r="16" spans="1:25" ht="15" x14ac:dyDescent="0.2">
      <c r="A16" s="23" t="s">
        <v>39</v>
      </c>
      <c r="B16" s="10" t="s">
        <v>40</v>
      </c>
      <c r="C16" s="24">
        <v>42313</v>
      </c>
      <c r="D16" s="37" t="str">
        <f t="shared" si="0"/>
        <v>Thursday</v>
      </c>
      <c r="E16" s="44">
        <v>42312.796527777777</v>
      </c>
      <c r="F16" s="9" t="s">
        <v>22</v>
      </c>
      <c r="G16" s="24">
        <f>Devblogs!EQ2</f>
        <v>42221</v>
      </c>
      <c r="H16" s="9" t="str">
        <f>Devblogs!ER2</f>
        <v>Wednesday</v>
      </c>
      <c r="I16" s="27" t="e">
        <f t="shared" ca="1" si="3"/>
        <v>#NAME?</v>
      </c>
      <c r="J16" s="27" t="e">
        <f t="shared" ca="1" si="4"/>
        <v>#NAME?</v>
      </c>
      <c r="K16" s="27" t="s">
        <v>22</v>
      </c>
      <c r="L16" s="28">
        <f t="shared" si="2"/>
        <v>128</v>
      </c>
      <c r="M16" s="5"/>
      <c r="N16" s="5"/>
      <c r="O16" s="5"/>
      <c r="P16" s="5"/>
      <c r="Q16" s="5"/>
      <c r="R16" s="5"/>
      <c r="S16" s="5"/>
      <c r="T16" s="5"/>
      <c r="U16" s="5"/>
      <c r="V16" s="39">
        <f t="shared" si="7"/>
        <v>42312</v>
      </c>
      <c r="W16" s="40">
        <f t="shared" si="8"/>
        <v>0.79652777777664596</v>
      </c>
      <c r="X16" s="35">
        <f t="shared" si="9"/>
        <v>41583</v>
      </c>
      <c r="Y16" s="43">
        <f t="shared" si="10"/>
        <v>41491</v>
      </c>
    </row>
    <row r="17" spans="1:25" ht="15" x14ac:dyDescent="0.2">
      <c r="A17" s="12" t="s">
        <v>41</v>
      </c>
      <c r="B17" s="13" t="s">
        <v>42</v>
      </c>
      <c r="C17" s="14">
        <v>42353</v>
      </c>
      <c r="D17" s="15" t="str">
        <f t="shared" si="0"/>
        <v>Tuesday</v>
      </c>
      <c r="E17" s="41">
        <v>42352.993055555555</v>
      </c>
      <c r="F17" s="15" t="s">
        <v>22</v>
      </c>
      <c r="G17" s="14">
        <f>Devblogs!EN2</f>
        <v>42341</v>
      </c>
      <c r="H17" s="15" t="str">
        <f>Devblogs!EO2</f>
        <v>Thursday</v>
      </c>
      <c r="I17" s="30" t="e">
        <f t="shared" ca="1" si="3"/>
        <v>#NAME?</v>
      </c>
      <c r="J17" s="30" t="e">
        <f t="shared" ca="1" si="4"/>
        <v>#NAME?</v>
      </c>
      <c r="K17" s="30" t="s">
        <v>22</v>
      </c>
      <c r="L17" s="31">
        <f t="shared" si="2"/>
        <v>40</v>
      </c>
      <c r="M17" s="19"/>
      <c r="N17" s="19"/>
      <c r="O17" s="19"/>
      <c r="P17" s="19"/>
      <c r="Q17" s="19"/>
      <c r="R17" s="19"/>
      <c r="S17" s="19"/>
      <c r="T17" s="19"/>
      <c r="U17" s="19"/>
      <c r="V17" s="32">
        <f t="shared" si="7"/>
        <v>42352</v>
      </c>
      <c r="W17" s="33">
        <f t="shared" si="8"/>
        <v>0.99305555555474712</v>
      </c>
      <c r="X17" s="36">
        <f t="shared" si="9"/>
        <v>41623</v>
      </c>
      <c r="Y17" s="42">
        <f t="shared" si="10"/>
        <v>41611</v>
      </c>
    </row>
    <row r="18" spans="1:25" ht="15" x14ac:dyDescent="0.2">
      <c r="A18" s="23" t="s">
        <v>43</v>
      </c>
      <c r="B18" s="10" t="s">
        <v>44</v>
      </c>
      <c r="C18" s="24">
        <v>42444</v>
      </c>
      <c r="D18" s="25" t="str">
        <f t="shared" si="0"/>
        <v>Tuesday</v>
      </c>
      <c r="E18" s="38">
        <v>42443.916666666664</v>
      </c>
      <c r="F18" s="9" t="s">
        <v>22</v>
      </c>
      <c r="G18" s="24">
        <f>Devblogs!EK2</f>
        <v>42395</v>
      </c>
      <c r="H18" s="9" t="str">
        <f>Devblogs!EL2</f>
        <v>Tuesday</v>
      </c>
      <c r="I18" s="27" t="e">
        <f t="shared" ca="1" si="3"/>
        <v>#NAME?</v>
      </c>
      <c r="J18" s="27" t="e">
        <f t="shared" ca="1" si="4"/>
        <v>#NAME?</v>
      </c>
      <c r="K18" s="27">
        <f>C18-'Dev servers'!C3</f>
        <v>7</v>
      </c>
      <c r="L18" s="28">
        <f t="shared" si="2"/>
        <v>91</v>
      </c>
      <c r="M18" s="5"/>
      <c r="N18" s="5"/>
      <c r="O18" s="5"/>
      <c r="P18" s="5"/>
      <c r="Q18" s="5"/>
      <c r="R18" s="5"/>
      <c r="S18" s="5"/>
      <c r="T18" s="5"/>
      <c r="U18" s="5"/>
      <c r="V18" s="39">
        <f t="shared" si="7"/>
        <v>42443</v>
      </c>
      <c r="W18" s="40">
        <f t="shared" si="8"/>
        <v>0.91666666666424135</v>
      </c>
      <c r="X18" s="35">
        <f t="shared" ref="X18:X22" si="11">C18-365*2-366</f>
        <v>41348</v>
      </c>
      <c r="Y18" s="43">
        <f>G18-365*3</f>
        <v>41300</v>
      </c>
    </row>
    <row r="19" spans="1:25" ht="15" x14ac:dyDescent="0.2">
      <c r="A19" s="12" t="s">
        <v>45</v>
      </c>
      <c r="B19" s="13" t="s">
        <v>46</v>
      </c>
      <c r="C19" s="14">
        <v>42530</v>
      </c>
      <c r="D19" s="15" t="str">
        <f t="shared" si="0"/>
        <v>Thursday</v>
      </c>
      <c r="E19" s="41">
        <v>42529.796527777777</v>
      </c>
      <c r="F19" s="15" t="s">
        <v>22</v>
      </c>
      <c r="G19" s="14">
        <f>Devblogs!EH2</f>
        <v>42452</v>
      </c>
      <c r="H19" s="15" t="str">
        <f>Devblogs!EI2</f>
        <v>Wednesday</v>
      </c>
      <c r="I19" s="30" t="e">
        <f t="shared" ca="1" si="3"/>
        <v>#NAME?</v>
      </c>
      <c r="J19" s="30" t="e">
        <f t="shared" ca="1" si="4"/>
        <v>#NAME?</v>
      </c>
      <c r="K19" s="30">
        <f>C19-'Dev servers'!C5</f>
        <v>10</v>
      </c>
      <c r="L19" s="31">
        <f t="shared" si="2"/>
        <v>86</v>
      </c>
      <c r="M19" s="19"/>
      <c r="N19" s="19"/>
      <c r="O19" s="19"/>
      <c r="P19" s="19"/>
      <c r="Q19" s="19"/>
      <c r="R19" s="19"/>
      <c r="S19" s="19"/>
      <c r="T19" s="19"/>
      <c r="U19" s="19"/>
      <c r="V19" s="32">
        <f t="shared" si="7"/>
        <v>42529</v>
      </c>
      <c r="W19" s="33">
        <f t="shared" si="8"/>
        <v>0.79652777777664596</v>
      </c>
      <c r="X19" s="36">
        <f t="shared" si="11"/>
        <v>41434</v>
      </c>
      <c r="Y19" s="42">
        <f t="shared" ref="Y19:Y22" si="12">G19-365*2-366</f>
        <v>41356</v>
      </c>
    </row>
    <row r="20" spans="1:25" ht="15" x14ac:dyDescent="0.2">
      <c r="A20" s="23" t="s">
        <v>47</v>
      </c>
      <c r="B20" s="10" t="s">
        <v>48</v>
      </c>
      <c r="C20" s="24">
        <v>42585</v>
      </c>
      <c r="D20" s="34" t="str">
        <f t="shared" si="0"/>
        <v>Wednesday</v>
      </c>
      <c r="E20" s="38">
        <v>42584.857638888891</v>
      </c>
      <c r="F20" s="9" t="s">
        <v>22</v>
      </c>
      <c r="G20" s="24">
        <f>Devblogs!EE2</f>
        <v>42557</v>
      </c>
      <c r="H20" s="9" t="str">
        <f>Devblogs!EF2</f>
        <v>Wednesday</v>
      </c>
      <c r="I20" s="27" t="e">
        <f t="shared" ca="1" si="3"/>
        <v>#NAME?</v>
      </c>
      <c r="J20" s="27" t="e">
        <f t="shared" ca="1" si="4"/>
        <v>#NAME?</v>
      </c>
      <c r="K20" s="27">
        <f>C20-'Dev servers'!C6</f>
        <v>4</v>
      </c>
      <c r="L20" s="28">
        <f t="shared" si="2"/>
        <v>55</v>
      </c>
      <c r="M20" s="5"/>
      <c r="N20" s="5"/>
      <c r="O20" s="5"/>
      <c r="P20" s="5"/>
      <c r="Q20" s="5"/>
      <c r="R20" s="5"/>
      <c r="S20" s="5"/>
      <c r="T20" s="5"/>
      <c r="U20" s="5"/>
      <c r="V20" s="39">
        <f t="shared" si="7"/>
        <v>42584</v>
      </c>
      <c r="W20" s="40">
        <f t="shared" si="8"/>
        <v>0.85763888889050577</v>
      </c>
      <c r="X20" s="35">
        <f t="shared" si="11"/>
        <v>41489</v>
      </c>
      <c r="Y20" s="43">
        <f t="shared" si="12"/>
        <v>41461</v>
      </c>
    </row>
    <row r="21" spans="1:25" ht="15" x14ac:dyDescent="0.2">
      <c r="A21" s="12" t="s">
        <v>49</v>
      </c>
      <c r="B21" s="13" t="s">
        <v>50</v>
      </c>
      <c r="C21" s="14">
        <v>42642</v>
      </c>
      <c r="D21" s="15" t="str">
        <f t="shared" si="0"/>
        <v>Thursday</v>
      </c>
      <c r="E21" s="41">
        <v>42641.760416666664</v>
      </c>
      <c r="F21" s="15" t="s">
        <v>22</v>
      </c>
      <c r="G21" s="14">
        <f>Devblogs!EB2</f>
        <v>42615</v>
      </c>
      <c r="H21" s="15" t="str">
        <f>Devblogs!EC2</f>
        <v>Friday</v>
      </c>
      <c r="I21" s="30" t="e">
        <f t="shared" ca="1" si="3"/>
        <v>#NAME?</v>
      </c>
      <c r="J21" s="30" t="e">
        <f t="shared" ca="1" si="4"/>
        <v>#NAME?</v>
      </c>
      <c r="K21" s="30">
        <f>C21-'Dev servers'!C7</f>
        <v>14</v>
      </c>
      <c r="L21" s="31">
        <f t="shared" si="2"/>
        <v>57</v>
      </c>
      <c r="M21" s="19"/>
      <c r="N21" s="19"/>
      <c r="O21" s="19"/>
      <c r="P21" s="19"/>
      <c r="Q21" s="19"/>
      <c r="R21" s="19"/>
      <c r="S21" s="19"/>
      <c r="T21" s="19"/>
      <c r="U21" s="19"/>
      <c r="V21" s="32">
        <f t="shared" si="7"/>
        <v>42641</v>
      </c>
      <c r="W21" s="33">
        <f t="shared" si="8"/>
        <v>0.76041666666424135</v>
      </c>
      <c r="X21" s="36">
        <f t="shared" si="11"/>
        <v>41546</v>
      </c>
      <c r="Y21" s="42">
        <f t="shared" si="12"/>
        <v>41519</v>
      </c>
    </row>
    <row r="22" spans="1:25" ht="30" x14ac:dyDescent="0.2">
      <c r="A22" s="23" t="s">
        <v>51</v>
      </c>
      <c r="B22" s="10" t="s">
        <v>52</v>
      </c>
      <c r="C22" s="24">
        <v>42724</v>
      </c>
      <c r="D22" s="25" t="str">
        <f t="shared" si="0"/>
        <v>Tuesday</v>
      </c>
      <c r="E22" s="38">
        <v>42723.876388888886</v>
      </c>
      <c r="F22" s="9" t="s">
        <v>22</v>
      </c>
      <c r="G22" s="24">
        <f>Devblogs!DY2</f>
        <v>42684</v>
      </c>
      <c r="H22" s="9" t="str">
        <f>Devblogs!DZ2</f>
        <v>Thursday</v>
      </c>
      <c r="I22" s="27" t="e">
        <f t="shared" ca="1" si="3"/>
        <v>#NAME?</v>
      </c>
      <c r="J22" s="27" t="e">
        <f t="shared" ca="1" si="4"/>
        <v>#NAME?</v>
      </c>
      <c r="K22" s="27">
        <f>C22-'Dev servers'!C8</f>
        <v>10</v>
      </c>
      <c r="L22" s="28">
        <f t="shared" si="2"/>
        <v>82</v>
      </c>
      <c r="M22" s="5"/>
      <c r="N22" s="5"/>
      <c r="O22" s="5"/>
      <c r="P22" s="5"/>
      <c r="Q22" s="5"/>
      <c r="R22" s="5"/>
      <c r="S22" s="5"/>
      <c r="T22" s="5"/>
      <c r="U22" s="5"/>
      <c r="V22" s="39">
        <f t="shared" si="7"/>
        <v>42723</v>
      </c>
      <c r="W22" s="40">
        <f t="shared" si="8"/>
        <v>0.87638888888614019</v>
      </c>
      <c r="X22" s="35">
        <f t="shared" si="11"/>
        <v>41628</v>
      </c>
      <c r="Y22" s="43">
        <f t="shared" si="12"/>
        <v>41588</v>
      </c>
    </row>
    <row r="23" spans="1:25" ht="15" x14ac:dyDescent="0.2">
      <c r="A23" s="12" t="s">
        <v>53</v>
      </c>
      <c r="B23" s="13" t="s">
        <v>54</v>
      </c>
      <c r="C23" s="14">
        <v>42810</v>
      </c>
      <c r="D23" s="15" t="str">
        <f t="shared" si="0"/>
        <v>Thursday</v>
      </c>
      <c r="E23" s="41">
        <v>42809.90902777778</v>
      </c>
      <c r="F23" s="15" t="s">
        <v>22</v>
      </c>
      <c r="G23" s="14">
        <f>Devblogs!DV2</f>
        <v>42780</v>
      </c>
      <c r="H23" s="15" t="str">
        <f>Devblogs!DW2</f>
        <v>Tuesday</v>
      </c>
      <c r="I23" s="30" t="e">
        <f t="shared" ca="1" si="3"/>
        <v>#NAME?</v>
      </c>
      <c r="J23" s="30" t="e">
        <f t="shared" ca="1" si="4"/>
        <v>#NAME?</v>
      </c>
      <c r="K23" s="30">
        <f>C23-'Dev servers'!C9</f>
        <v>5</v>
      </c>
      <c r="L23" s="31">
        <f t="shared" si="2"/>
        <v>86</v>
      </c>
      <c r="M23" s="19"/>
      <c r="N23" s="19"/>
      <c r="O23" s="19"/>
      <c r="P23" s="19"/>
      <c r="Q23" s="19"/>
      <c r="R23" s="19"/>
      <c r="S23" s="19"/>
      <c r="T23" s="19"/>
      <c r="U23" s="19"/>
      <c r="V23" s="32">
        <f t="shared" si="7"/>
        <v>42809</v>
      </c>
      <c r="W23" s="33">
        <f t="shared" si="8"/>
        <v>0.90902777777955635</v>
      </c>
      <c r="X23" s="36">
        <f t="shared" ref="X23:X27" si="13">C23-365*3-366</f>
        <v>41349</v>
      </c>
      <c r="Y23" s="42">
        <f t="shared" ref="Y23:Y27" si="14">G23-365*3-366</f>
        <v>41319</v>
      </c>
    </row>
    <row r="24" spans="1:25" ht="30" x14ac:dyDescent="0.2">
      <c r="A24" s="23" t="s">
        <v>55</v>
      </c>
      <c r="B24" s="10" t="s">
        <v>56</v>
      </c>
      <c r="C24" s="24">
        <v>42880</v>
      </c>
      <c r="D24" s="37" t="str">
        <f t="shared" si="0"/>
        <v>Thursday</v>
      </c>
      <c r="E24" s="38">
        <v>42879.894444444442</v>
      </c>
      <c r="F24" s="9" t="s">
        <v>22</v>
      </c>
      <c r="G24" s="24">
        <f>Devblogs!DS2</f>
        <v>42857</v>
      </c>
      <c r="H24" s="9" t="str">
        <f>Devblogs!DT2</f>
        <v>Tuesday</v>
      </c>
      <c r="I24" s="27" t="e">
        <f t="shared" ca="1" si="3"/>
        <v>#NAME?</v>
      </c>
      <c r="J24" s="27" t="e">
        <f t="shared" ca="1" si="4"/>
        <v>#NAME?</v>
      </c>
      <c r="K24" s="27">
        <f>C24-'Dev servers'!C10</f>
        <v>7</v>
      </c>
      <c r="L24" s="28">
        <f t="shared" si="2"/>
        <v>70</v>
      </c>
      <c r="M24" s="5" t="s">
        <v>57</v>
      </c>
      <c r="N24" s="45" t="s">
        <v>58</v>
      </c>
      <c r="O24" s="5" t="s">
        <v>59</v>
      </c>
      <c r="P24" s="46" t="s">
        <v>60</v>
      </c>
      <c r="Q24" s="5" t="s">
        <v>61</v>
      </c>
      <c r="R24" s="5" t="s">
        <v>62</v>
      </c>
      <c r="S24" s="5" t="s">
        <v>63</v>
      </c>
      <c r="T24" s="5" t="s">
        <v>64</v>
      </c>
      <c r="U24" s="46" t="s">
        <v>65</v>
      </c>
      <c r="V24" s="39">
        <f t="shared" si="7"/>
        <v>42879</v>
      </c>
      <c r="W24" s="40">
        <f t="shared" si="8"/>
        <v>0.8944444444423425</v>
      </c>
      <c r="X24" s="35">
        <f t="shared" si="13"/>
        <v>41419</v>
      </c>
      <c r="Y24" s="43">
        <f t="shared" si="14"/>
        <v>41396</v>
      </c>
    </row>
    <row r="25" spans="1:25" ht="15" x14ac:dyDescent="0.2">
      <c r="A25" s="12" t="s">
        <v>66</v>
      </c>
      <c r="B25" s="13" t="s">
        <v>67</v>
      </c>
      <c r="C25" s="14">
        <v>42996</v>
      </c>
      <c r="D25" s="15" t="str">
        <f t="shared" si="0"/>
        <v>Monday</v>
      </c>
      <c r="E25" s="16">
        <v>42996.347222222219</v>
      </c>
      <c r="F25" s="14">
        <v>42992</v>
      </c>
      <c r="G25" s="14">
        <f>Devblogs!DP2</f>
        <v>42965</v>
      </c>
      <c r="H25" s="15" t="str">
        <f>Devblogs!DQ2</f>
        <v>Friday</v>
      </c>
      <c r="I25" s="30" t="e">
        <f t="shared" ca="1" si="3"/>
        <v>#NAME?</v>
      </c>
      <c r="J25" s="30" t="e">
        <f t="shared" ca="1" si="4"/>
        <v>#NAME?</v>
      </c>
      <c r="K25" s="30">
        <f>C25-'Dev servers'!C12</f>
        <v>4</v>
      </c>
      <c r="L25" s="31">
        <f t="shared" si="2"/>
        <v>116</v>
      </c>
      <c r="M25" s="19" t="b">
        <f t="shared" ref="M25:M63" si="15">C25=F25</f>
        <v>0</v>
      </c>
      <c r="N25" s="19" t="b">
        <f t="shared" ref="N25:N63" si="16">OR(C25+1=F25,C25=F25+1)</f>
        <v>0</v>
      </c>
      <c r="O25" s="19" t="b">
        <f t="shared" ref="O25:O63" si="17">OR(C25+2=F25,C25=F25+2)</f>
        <v>0</v>
      </c>
      <c r="P25" s="19" t="b">
        <f t="shared" ref="P25:P63" si="18">OR(C25+3=F25,C25=F25+3)</f>
        <v>0</v>
      </c>
      <c r="Q25" s="19" t="b">
        <f t="shared" ref="Q25:Q63" si="19">OR(C25+4=F25,C25=F25+4)</f>
        <v>1</v>
      </c>
      <c r="R25" s="19" t="b">
        <f t="shared" ref="R25:R63" si="20">OR(C25+5=F25,C25=F25+5)</f>
        <v>0</v>
      </c>
      <c r="S25" s="19" t="b">
        <f t="shared" ref="S25:S63" si="21">OR(C25+6=F25,C25=F25+6)</f>
        <v>0</v>
      </c>
      <c r="T25" s="19" t="b">
        <f t="shared" ref="T25:T63" si="22">OR(C25+7=F25,C25=F25+7)</f>
        <v>0</v>
      </c>
      <c r="U25" s="19" t="b">
        <f t="shared" ref="U25:U63" si="23">OR(C25+8&lt;=F25,C25&gt;=F25+8)</f>
        <v>0</v>
      </c>
      <c r="V25" s="32">
        <f t="shared" si="7"/>
        <v>42996</v>
      </c>
      <c r="W25" s="33">
        <f t="shared" si="8"/>
        <v>0.34722222221898846</v>
      </c>
      <c r="X25" s="36">
        <f t="shared" si="13"/>
        <v>41535</v>
      </c>
      <c r="Y25" s="42">
        <f t="shared" si="14"/>
        <v>41504</v>
      </c>
    </row>
    <row r="26" spans="1:25" ht="15" x14ac:dyDescent="0.2">
      <c r="A26" s="23" t="s">
        <v>68</v>
      </c>
      <c r="B26" s="10" t="s">
        <v>69</v>
      </c>
      <c r="C26" s="24">
        <v>43040</v>
      </c>
      <c r="D26" s="34" t="str">
        <f t="shared" si="0"/>
        <v>Wednesday</v>
      </c>
      <c r="E26" s="38">
        <v>43040.324305555558</v>
      </c>
      <c r="F26" s="24">
        <v>43035</v>
      </c>
      <c r="G26" s="24">
        <f>Devblogs!DM2</f>
        <v>43019</v>
      </c>
      <c r="H26" s="9" t="str">
        <f>Devblogs!DN2</f>
        <v>Wednesday</v>
      </c>
      <c r="I26" s="27" t="e">
        <f t="shared" ca="1" si="3"/>
        <v>#NAME?</v>
      </c>
      <c r="J26" s="27" t="e">
        <f t="shared" ca="1" si="4"/>
        <v>#NAME?</v>
      </c>
      <c r="K26" s="27">
        <f>C26-'Dev servers'!C13</f>
        <v>4</v>
      </c>
      <c r="L26" s="28">
        <f t="shared" si="2"/>
        <v>44</v>
      </c>
      <c r="M26" s="5" t="b">
        <f t="shared" si="15"/>
        <v>0</v>
      </c>
      <c r="N26" s="5" t="b">
        <f t="shared" si="16"/>
        <v>0</v>
      </c>
      <c r="O26" s="5" t="b">
        <f t="shared" si="17"/>
        <v>0</v>
      </c>
      <c r="P26" s="5" t="b">
        <f t="shared" si="18"/>
        <v>0</v>
      </c>
      <c r="Q26" s="5" t="b">
        <f t="shared" si="19"/>
        <v>0</v>
      </c>
      <c r="R26" s="5" t="b">
        <f t="shared" si="20"/>
        <v>1</v>
      </c>
      <c r="S26" s="5" t="b">
        <f t="shared" si="21"/>
        <v>0</v>
      </c>
      <c r="T26" s="5" t="b">
        <f t="shared" si="22"/>
        <v>0</v>
      </c>
      <c r="U26" s="5" t="b">
        <f t="shared" si="23"/>
        <v>0</v>
      </c>
      <c r="V26" s="39">
        <f t="shared" si="7"/>
        <v>43040</v>
      </c>
      <c r="W26" s="40">
        <f t="shared" si="8"/>
        <v>0.3243055555576575</v>
      </c>
      <c r="X26" s="35">
        <f t="shared" si="13"/>
        <v>41579</v>
      </c>
      <c r="Y26" s="43">
        <f t="shared" si="14"/>
        <v>41558</v>
      </c>
    </row>
    <row r="27" spans="1:25" ht="15" x14ac:dyDescent="0.2">
      <c r="A27" s="12" t="s">
        <v>70</v>
      </c>
      <c r="B27" s="13" t="s">
        <v>71</v>
      </c>
      <c r="C27" s="14">
        <v>43088</v>
      </c>
      <c r="D27" s="15" t="str">
        <f t="shared" si="0"/>
        <v>Tuesday</v>
      </c>
      <c r="E27" s="41">
        <v>43087.851388888892</v>
      </c>
      <c r="F27" s="14">
        <v>43087</v>
      </c>
      <c r="G27" s="14">
        <f>Devblogs!DJ2</f>
        <v>43071</v>
      </c>
      <c r="H27" s="15" t="str">
        <f>Devblogs!DK2</f>
        <v>Saturday</v>
      </c>
      <c r="I27" s="30" t="e">
        <f t="shared" ca="1" si="3"/>
        <v>#NAME?</v>
      </c>
      <c r="J27" s="30" t="e">
        <f t="shared" ca="1" si="4"/>
        <v>#NAME?</v>
      </c>
      <c r="K27" s="30">
        <f>C27-'Dev servers'!C15</f>
        <v>3</v>
      </c>
      <c r="L27" s="31">
        <f t="shared" si="2"/>
        <v>48</v>
      </c>
      <c r="M27" s="19" t="b">
        <f t="shared" si="15"/>
        <v>0</v>
      </c>
      <c r="N27" s="19" t="b">
        <f t="shared" si="16"/>
        <v>1</v>
      </c>
      <c r="O27" s="19" t="b">
        <f t="shared" si="17"/>
        <v>0</v>
      </c>
      <c r="P27" s="19" t="b">
        <f t="shared" si="18"/>
        <v>0</v>
      </c>
      <c r="Q27" s="19" t="b">
        <f t="shared" si="19"/>
        <v>0</v>
      </c>
      <c r="R27" s="19" t="b">
        <f t="shared" si="20"/>
        <v>0</v>
      </c>
      <c r="S27" s="19" t="b">
        <f t="shared" si="21"/>
        <v>0</v>
      </c>
      <c r="T27" s="19" t="b">
        <f t="shared" si="22"/>
        <v>0</v>
      </c>
      <c r="U27" s="19" t="b">
        <f t="shared" si="23"/>
        <v>0</v>
      </c>
      <c r="V27" s="32">
        <f t="shared" si="7"/>
        <v>43087</v>
      </c>
      <c r="W27" s="33">
        <f t="shared" si="8"/>
        <v>0.85138888889196096</v>
      </c>
      <c r="X27" s="36">
        <f t="shared" si="13"/>
        <v>41627</v>
      </c>
      <c r="Y27" s="42">
        <f t="shared" si="14"/>
        <v>41610</v>
      </c>
    </row>
    <row r="28" spans="1:25" ht="30" x14ac:dyDescent="0.2">
      <c r="A28" s="23" t="s">
        <v>72</v>
      </c>
      <c r="B28" s="10" t="s">
        <v>73</v>
      </c>
      <c r="C28" s="24">
        <v>43173</v>
      </c>
      <c r="D28" s="34" t="str">
        <f t="shared" si="0"/>
        <v>Wednesday</v>
      </c>
      <c r="E28" s="38">
        <v>43172.836805555555</v>
      </c>
      <c r="F28" s="24">
        <v>43172</v>
      </c>
      <c r="G28" s="24">
        <f>Devblogs!DG2</f>
        <v>43138</v>
      </c>
      <c r="H28" s="9" t="str">
        <f>Devblogs!DH2</f>
        <v>Wednesday</v>
      </c>
      <c r="I28" s="27" t="e">
        <f t="shared" ca="1" si="3"/>
        <v>#NAME?</v>
      </c>
      <c r="J28" s="27" t="e">
        <f t="shared" ca="1" si="4"/>
        <v>#NAME?</v>
      </c>
      <c r="K28" s="27">
        <f>C28-'Dev servers'!C17</f>
        <v>4</v>
      </c>
      <c r="L28" s="28">
        <f t="shared" si="2"/>
        <v>85</v>
      </c>
      <c r="M28" s="5" t="b">
        <f t="shared" si="15"/>
        <v>0</v>
      </c>
      <c r="N28" s="5" t="b">
        <f t="shared" si="16"/>
        <v>1</v>
      </c>
      <c r="O28" s="5" t="b">
        <f t="shared" si="17"/>
        <v>0</v>
      </c>
      <c r="P28" s="5" t="b">
        <f t="shared" si="18"/>
        <v>0</v>
      </c>
      <c r="Q28" s="5" t="b">
        <f t="shared" si="19"/>
        <v>0</v>
      </c>
      <c r="R28" s="5" t="b">
        <f t="shared" si="20"/>
        <v>0</v>
      </c>
      <c r="S28" s="5" t="b">
        <f t="shared" si="21"/>
        <v>0</v>
      </c>
      <c r="T28" s="5" t="b">
        <f t="shared" si="22"/>
        <v>0</v>
      </c>
      <c r="U28" s="5" t="b">
        <f t="shared" si="23"/>
        <v>0</v>
      </c>
      <c r="V28" s="39">
        <f t="shared" si="7"/>
        <v>43172</v>
      </c>
      <c r="W28" s="40">
        <f t="shared" si="8"/>
        <v>0.83680555555474712</v>
      </c>
      <c r="X28" s="35">
        <f t="shared" ref="X28:X32" si="24">C28-365*4-366</f>
        <v>41347</v>
      </c>
      <c r="Y28" s="43">
        <f t="shared" ref="Y28:Y32" si="25">G28-365*4-366</f>
        <v>41312</v>
      </c>
    </row>
    <row r="29" spans="1:25" ht="15" x14ac:dyDescent="0.2">
      <c r="A29" s="12" t="s">
        <v>74</v>
      </c>
      <c r="B29" s="13" t="s">
        <v>75</v>
      </c>
      <c r="C29" s="14">
        <v>43263</v>
      </c>
      <c r="D29" s="15" t="str">
        <f t="shared" si="0"/>
        <v>Tuesday</v>
      </c>
      <c r="E29" s="41">
        <v>43262.836111111108</v>
      </c>
      <c r="F29" s="14">
        <v>43257</v>
      </c>
      <c r="G29" s="14">
        <f>Devblogs!DD2</f>
        <v>43231</v>
      </c>
      <c r="H29" s="15" t="str">
        <f>Devblogs!DE2</f>
        <v>Friday</v>
      </c>
      <c r="I29" s="30" t="e">
        <f t="shared" ca="1" si="3"/>
        <v>#NAME?</v>
      </c>
      <c r="J29" s="30" t="e">
        <f t="shared" ca="1" si="4"/>
        <v>#NAME?</v>
      </c>
      <c r="K29" s="30">
        <f>C29-'Dev servers'!C19</f>
        <v>3</v>
      </c>
      <c r="L29" s="31">
        <f t="shared" si="2"/>
        <v>90</v>
      </c>
      <c r="M29" s="19" t="b">
        <f t="shared" si="15"/>
        <v>0</v>
      </c>
      <c r="N29" s="19" t="b">
        <f t="shared" si="16"/>
        <v>0</v>
      </c>
      <c r="O29" s="19" t="b">
        <f t="shared" si="17"/>
        <v>0</v>
      </c>
      <c r="P29" s="19" t="b">
        <f t="shared" si="18"/>
        <v>0</v>
      </c>
      <c r="Q29" s="19" t="b">
        <f t="shared" si="19"/>
        <v>0</v>
      </c>
      <c r="R29" s="19" t="b">
        <f t="shared" si="20"/>
        <v>0</v>
      </c>
      <c r="S29" s="19" t="b">
        <f t="shared" si="21"/>
        <v>1</v>
      </c>
      <c r="T29" s="19" t="b">
        <f t="shared" si="22"/>
        <v>0</v>
      </c>
      <c r="U29" s="19" t="b">
        <f t="shared" si="23"/>
        <v>0</v>
      </c>
      <c r="V29" s="32">
        <f t="shared" si="7"/>
        <v>43262</v>
      </c>
      <c r="W29" s="33">
        <f t="shared" si="8"/>
        <v>0.83611111110803904</v>
      </c>
      <c r="X29" s="36">
        <f t="shared" si="24"/>
        <v>41437</v>
      </c>
      <c r="Y29" s="42">
        <f t="shared" si="25"/>
        <v>41405</v>
      </c>
    </row>
    <row r="30" spans="1:25" ht="15" x14ac:dyDescent="0.2">
      <c r="A30" s="23" t="s">
        <v>76</v>
      </c>
      <c r="B30" s="10" t="s">
        <v>77</v>
      </c>
      <c r="C30" s="24">
        <v>43362</v>
      </c>
      <c r="D30" s="34" t="str">
        <f t="shared" si="0"/>
        <v>Wednesday</v>
      </c>
      <c r="E30" s="38">
        <v>43361.835416666669</v>
      </c>
      <c r="F30" s="24">
        <v>43354</v>
      </c>
      <c r="G30" s="24">
        <f>Devblogs!DA2</f>
        <v>43333</v>
      </c>
      <c r="H30" s="9" t="str">
        <f>Devblogs!DB2</f>
        <v>Tuesday</v>
      </c>
      <c r="I30" s="27" t="e">
        <f t="shared" ca="1" si="3"/>
        <v>#NAME?</v>
      </c>
      <c r="J30" s="27" t="e">
        <f t="shared" ca="1" si="4"/>
        <v>#NAME?</v>
      </c>
      <c r="K30" s="27">
        <f>C30-'Dev servers'!C22</f>
        <v>4</v>
      </c>
      <c r="L30" s="28">
        <f t="shared" si="2"/>
        <v>99</v>
      </c>
      <c r="M30" s="5" t="b">
        <f t="shared" si="15"/>
        <v>0</v>
      </c>
      <c r="N30" s="5" t="b">
        <f t="shared" si="16"/>
        <v>0</v>
      </c>
      <c r="O30" s="5" t="b">
        <f t="shared" si="17"/>
        <v>0</v>
      </c>
      <c r="P30" s="5" t="b">
        <f t="shared" si="18"/>
        <v>0</v>
      </c>
      <c r="Q30" s="5" t="b">
        <f t="shared" si="19"/>
        <v>0</v>
      </c>
      <c r="R30" s="5" t="b">
        <f t="shared" si="20"/>
        <v>0</v>
      </c>
      <c r="S30" s="5" t="b">
        <f t="shared" si="21"/>
        <v>0</v>
      </c>
      <c r="T30" s="5" t="b">
        <f t="shared" si="22"/>
        <v>0</v>
      </c>
      <c r="U30" s="5" t="b">
        <f t="shared" si="23"/>
        <v>1</v>
      </c>
      <c r="V30" s="39">
        <f t="shared" si="7"/>
        <v>43361</v>
      </c>
      <c r="W30" s="40">
        <f t="shared" si="8"/>
        <v>0.83541666666860692</v>
      </c>
      <c r="X30" s="35">
        <f t="shared" si="24"/>
        <v>41536</v>
      </c>
      <c r="Y30" s="43">
        <f t="shared" si="25"/>
        <v>41507</v>
      </c>
    </row>
    <row r="31" spans="1:25" ht="30" x14ac:dyDescent="0.2">
      <c r="A31" s="12" t="s">
        <v>78</v>
      </c>
      <c r="B31" s="13" t="s">
        <v>79</v>
      </c>
      <c r="C31" s="14">
        <v>43396</v>
      </c>
      <c r="D31" s="15" t="str">
        <f t="shared" si="0"/>
        <v>Tuesday</v>
      </c>
      <c r="E31" s="41">
        <v>43395.839583333334</v>
      </c>
      <c r="F31" s="14">
        <v>43396</v>
      </c>
      <c r="G31" s="14">
        <f>Devblogs!CX2</f>
        <v>43382</v>
      </c>
      <c r="H31" s="15" t="str">
        <f>Devblogs!CY2</f>
        <v>Tuesday</v>
      </c>
      <c r="I31" s="30" t="e">
        <f t="shared" ca="1" si="3"/>
        <v>#NAME?</v>
      </c>
      <c r="J31" s="30" t="e">
        <f t="shared" ca="1" si="4"/>
        <v>#NAME?</v>
      </c>
      <c r="K31" s="30">
        <f>C31-'Dev servers'!C23</f>
        <v>7</v>
      </c>
      <c r="L31" s="31">
        <f t="shared" si="2"/>
        <v>34</v>
      </c>
      <c r="M31" s="19" t="b">
        <f t="shared" si="15"/>
        <v>1</v>
      </c>
      <c r="N31" s="19" t="b">
        <f t="shared" si="16"/>
        <v>0</v>
      </c>
      <c r="O31" s="19" t="b">
        <f t="shared" si="17"/>
        <v>0</v>
      </c>
      <c r="P31" s="19" t="b">
        <f t="shared" si="18"/>
        <v>0</v>
      </c>
      <c r="Q31" s="19" t="b">
        <f t="shared" si="19"/>
        <v>0</v>
      </c>
      <c r="R31" s="19" t="b">
        <f t="shared" si="20"/>
        <v>0</v>
      </c>
      <c r="S31" s="19" t="b">
        <f t="shared" si="21"/>
        <v>0</v>
      </c>
      <c r="T31" s="19" t="b">
        <f t="shared" si="22"/>
        <v>0</v>
      </c>
      <c r="U31" s="19" t="b">
        <f t="shared" si="23"/>
        <v>0</v>
      </c>
      <c r="V31" s="32">
        <f t="shared" si="7"/>
        <v>43395</v>
      </c>
      <c r="W31" s="33">
        <f t="shared" si="8"/>
        <v>0.83958333333430346</v>
      </c>
      <c r="X31" s="36">
        <f t="shared" si="24"/>
        <v>41570</v>
      </c>
      <c r="Y31" s="42">
        <f t="shared" si="25"/>
        <v>41556</v>
      </c>
    </row>
    <row r="32" spans="1:25" ht="15" x14ac:dyDescent="0.2">
      <c r="A32" s="23" t="s">
        <v>80</v>
      </c>
      <c r="B32" s="10" t="s">
        <v>81</v>
      </c>
      <c r="C32" s="24">
        <v>43451</v>
      </c>
      <c r="D32" s="47" t="str">
        <f t="shared" si="0"/>
        <v>Monday</v>
      </c>
      <c r="E32" s="38">
        <v>43450.84375</v>
      </c>
      <c r="F32" s="24">
        <v>43452</v>
      </c>
      <c r="G32" s="24">
        <f>Devblogs!CU2</f>
        <v>43427</v>
      </c>
      <c r="H32" s="9" t="str">
        <f>Devblogs!CV2</f>
        <v>Friday</v>
      </c>
      <c r="I32" s="27" t="e">
        <f t="shared" ca="1" si="3"/>
        <v>#NAME?</v>
      </c>
      <c r="J32" s="27" t="e">
        <f t="shared" ca="1" si="4"/>
        <v>#NAME?</v>
      </c>
      <c r="K32" s="27">
        <f>C32-'Dev servers'!C25</f>
        <v>4</v>
      </c>
      <c r="L32" s="28">
        <f t="shared" si="2"/>
        <v>55</v>
      </c>
      <c r="M32" s="5" t="b">
        <f t="shared" si="15"/>
        <v>0</v>
      </c>
      <c r="N32" s="5" t="b">
        <f t="shared" si="16"/>
        <v>1</v>
      </c>
      <c r="O32" s="5" t="b">
        <f t="shared" si="17"/>
        <v>0</v>
      </c>
      <c r="P32" s="5" t="b">
        <f t="shared" si="18"/>
        <v>0</v>
      </c>
      <c r="Q32" s="5" t="b">
        <f t="shared" si="19"/>
        <v>0</v>
      </c>
      <c r="R32" s="5" t="b">
        <f t="shared" si="20"/>
        <v>0</v>
      </c>
      <c r="S32" s="5" t="b">
        <f t="shared" si="21"/>
        <v>0</v>
      </c>
      <c r="T32" s="5" t="b">
        <f t="shared" si="22"/>
        <v>0</v>
      </c>
      <c r="U32" s="5" t="b">
        <f t="shared" si="23"/>
        <v>0</v>
      </c>
      <c r="V32" s="39">
        <f t="shared" si="7"/>
        <v>43450</v>
      </c>
      <c r="W32" s="40">
        <f t="shared" si="8"/>
        <v>0.84375</v>
      </c>
      <c r="X32" s="35">
        <f t="shared" si="24"/>
        <v>41625</v>
      </c>
      <c r="Y32" s="43">
        <f t="shared" si="25"/>
        <v>41601</v>
      </c>
    </row>
    <row r="33" spans="1:25" ht="15" x14ac:dyDescent="0.2">
      <c r="A33" s="12" t="s">
        <v>82</v>
      </c>
      <c r="B33" s="13" t="s">
        <v>83</v>
      </c>
      <c r="C33" s="14">
        <v>43536</v>
      </c>
      <c r="D33" s="15" t="str">
        <f t="shared" si="0"/>
        <v>Tuesday</v>
      </c>
      <c r="E33" s="41">
        <v>43535.868055555555</v>
      </c>
      <c r="F33" s="14">
        <v>43536</v>
      </c>
      <c r="G33" s="14">
        <f>Devblogs!CR2</f>
        <v>43511</v>
      </c>
      <c r="H33" s="15" t="str">
        <f>Devblogs!CS2</f>
        <v>Friday</v>
      </c>
      <c r="I33" s="30" t="e">
        <f t="shared" ca="1" si="3"/>
        <v>#NAME?</v>
      </c>
      <c r="J33" s="30" t="e">
        <f t="shared" ca="1" si="4"/>
        <v>#NAME?</v>
      </c>
      <c r="K33" s="30">
        <f>C33-'Dev servers'!C27</f>
        <v>6</v>
      </c>
      <c r="L33" s="31">
        <f t="shared" si="2"/>
        <v>85</v>
      </c>
      <c r="M33" s="19" t="b">
        <f t="shared" si="15"/>
        <v>1</v>
      </c>
      <c r="N33" s="19" t="b">
        <f t="shared" si="16"/>
        <v>0</v>
      </c>
      <c r="O33" s="19" t="b">
        <f t="shared" si="17"/>
        <v>0</v>
      </c>
      <c r="P33" s="19" t="b">
        <f t="shared" si="18"/>
        <v>0</v>
      </c>
      <c r="Q33" s="19" t="b">
        <f t="shared" si="19"/>
        <v>0</v>
      </c>
      <c r="R33" s="19" t="b">
        <f t="shared" si="20"/>
        <v>0</v>
      </c>
      <c r="S33" s="19" t="b">
        <f t="shared" si="21"/>
        <v>0</v>
      </c>
      <c r="T33" s="19" t="b">
        <f t="shared" si="22"/>
        <v>0</v>
      </c>
      <c r="U33" s="19" t="b">
        <f t="shared" si="23"/>
        <v>0</v>
      </c>
      <c r="V33" s="32">
        <f t="shared" si="7"/>
        <v>43535</v>
      </c>
      <c r="W33" s="33">
        <f t="shared" si="8"/>
        <v>0.86805555555474712</v>
      </c>
      <c r="X33" s="36">
        <f t="shared" ref="X33:X37" si="26">C33-365*5-366</f>
        <v>41345</v>
      </c>
      <c r="Y33" s="42">
        <f t="shared" ref="Y33:Y37" si="27">G33-365*5-366</f>
        <v>41320</v>
      </c>
    </row>
    <row r="34" spans="1:25" ht="15" x14ac:dyDescent="0.2">
      <c r="A34" s="23" t="s">
        <v>84</v>
      </c>
      <c r="B34" s="10" t="s">
        <v>85</v>
      </c>
      <c r="C34" s="24">
        <v>43614</v>
      </c>
      <c r="D34" s="34" t="str">
        <f t="shared" si="0"/>
        <v>Wednesday</v>
      </c>
      <c r="E34" s="38">
        <v>43613.793749999997</v>
      </c>
      <c r="F34" s="24">
        <v>43613</v>
      </c>
      <c r="G34" s="24">
        <f>Devblogs!CO2</f>
        <v>43588</v>
      </c>
      <c r="H34" s="9" t="str">
        <f>Devblogs!CP2</f>
        <v>Friday</v>
      </c>
      <c r="I34" s="27" t="e">
        <f t="shared" ca="1" si="3"/>
        <v>#NAME?</v>
      </c>
      <c r="J34" s="27" t="e">
        <f t="shared" ca="1" si="4"/>
        <v>#NAME?</v>
      </c>
      <c r="K34" s="27">
        <f>C34-'Dev servers'!C29</f>
        <v>4</v>
      </c>
      <c r="L34" s="28">
        <f t="shared" si="2"/>
        <v>78</v>
      </c>
      <c r="M34" s="5" t="b">
        <f t="shared" si="15"/>
        <v>0</v>
      </c>
      <c r="N34" s="5" t="b">
        <f t="shared" si="16"/>
        <v>1</v>
      </c>
      <c r="O34" s="5" t="b">
        <f t="shared" si="17"/>
        <v>0</v>
      </c>
      <c r="P34" s="5" t="b">
        <f t="shared" si="18"/>
        <v>0</v>
      </c>
      <c r="Q34" s="5" t="b">
        <f t="shared" si="19"/>
        <v>0</v>
      </c>
      <c r="R34" s="5" t="b">
        <f t="shared" si="20"/>
        <v>0</v>
      </c>
      <c r="S34" s="5" t="b">
        <f t="shared" si="21"/>
        <v>0</v>
      </c>
      <c r="T34" s="5" t="b">
        <f t="shared" si="22"/>
        <v>0</v>
      </c>
      <c r="U34" s="5" t="b">
        <f t="shared" si="23"/>
        <v>0</v>
      </c>
      <c r="V34" s="39">
        <f t="shared" si="7"/>
        <v>43613</v>
      </c>
      <c r="W34" s="40">
        <f t="shared" si="8"/>
        <v>0.79374999999708962</v>
      </c>
      <c r="X34" s="35">
        <f t="shared" si="26"/>
        <v>41423</v>
      </c>
      <c r="Y34" s="43">
        <f t="shared" si="27"/>
        <v>41397</v>
      </c>
    </row>
    <row r="35" spans="1:25" ht="15" x14ac:dyDescent="0.2">
      <c r="A35" s="12" t="s">
        <v>86</v>
      </c>
      <c r="B35" s="13" t="s">
        <v>87</v>
      </c>
      <c r="C35" s="14">
        <v>43719</v>
      </c>
      <c r="D35" s="15" t="str">
        <f t="shared" si="0"/>
        <v>Wednesday</v>
      </c>
      <c r="E35" s="41">
        <v>43718.793749999997</v>
      </c>
      <c r="F35" s="14">
        <v>43718</v>
      </c>
      <c r="G35" s="14">
        <f>Devblogs!CL2</f>
        <v>43690</v>
      </c>
      <c r="H35" s="15" t="str">
        <f>Devblogs!CM2</f>
        <v>Tuesday</v>
      </c>
      <c r="I35" s="30" t="e">
        <f t="shared" ca="1" si="3"/>
        <v>#NAME?</v>
      </c>
      <c r="J35" s="30" t="e">
        <f t="shared" ca="1" si="4"/>
        <v>#NAME?</v>
      </c>
      <c r="K35" s="30">
        <f>C35-'Dev servers'!C31</f>
        <v>6</v>
      </c>
      <c r="L35" s="31">
        <f t="shared" si="2"/>
        <v>105</v>
      </c>
      <c r="M35" s="19" t="b">
        <f t="shared" si="15"/>
        <v>0</v>
      </c>
      <c r="N35" s="19" t="b">
        <f t="shared" si="16"/>
        <v>1</v>
      </c>
      <c r="O35" s="19" t="b">
        <f t="shared" si="17"/>
        <v>0</v>
      </c>
      <c r="P35" s="19" t="b">
        <f t="shared" si="18"/>
        <v>0</v>
      </c>
      <c r="Q35" s="19" t="b">
        <f t="shared" si="19"/>
        <v>0</v>
      </c>
      <c r="R35" s="19" t="b">
        <f t="shared" si="20"/>
        <v>0</v>
      </c>
      <c r="S35" s="19" t="b">
        <f t="shared" si="21"/>
        <v>0</v>
      </c>
      <c r="T35" s="19" t="b">
        <f t="shared" si="22"/>
        <v>0</v>
      </c>
      <c r="U35" s="19" t="b">
        <f t="shared" si="23"/>
        <v>0</v>
      </c>
      <c r="V35" s="32">
        <f t="shared" si="7"/>
        <v>43718</v>
      </c>
      <c r="W35" s="33">
        <f t="shared" si="8"/>
        <v>0.79374999999708962</v>
      </c>
      <c r="X35" s="36">
        <f t="shared" si="26"/>
        <v>41528</v>
      </c>
      <c r="Y35" s="42">
        <f t="shared" si="27"/>
        <v>41499</v>
      </c>
    </row>
    <row r="36" spans="1:25" ht="15" x14ac:dyDescent="0.2">
      <c r="A36" s="23" t="s">
        <v>88</v>
      </c>
      <c r="B36" s="10" t="s">
        <v>89</v>
      </c>
      <c r="C36" s="24">
        <v>43767</v>
      </c>
      <c r="D36" s="25" t="str">
        <f t="shared" si="0"/>
        <v>Tuesday</v>
      </c>
      <c r="E36" s="38">
        <v>43766.796527777777</v>
      </c>
      <c r="F36" s="24">
        <v>43767</v>
      </c>
      <c r="G36" s="24">
        <f>Devblogs!CI2</f>
        <v>43749</v>
      </c>
      <c r="H36" s="9" t="str">
        <f>Devblogs!CJ2</f>
        <v>Friday</v>
      </c>
      <c r="I36" s="27" t="e">
        <f t="shared" ca="1" si="3"/>
        <v>#NAME?</v>
      </c>
      <c r="J36" s="27" t="e">
        <f t="shared" ca="1" si="4"/>
        <v>#NAME?</v>
      </c>
      <c r="K36" s="27">
        <f>C36-'Dev servers'!C32</f>
        <v>5</v>
      </c>
      <c r="L36" s="28">
        <f t="shared" si="2"/>
        <v>48</v>
      </c>
      <c r="M36" s="5" t="b">
        <f t="shared" si="15"/>
        <v>1</v>
      </c>
      <c r="N36" s="5" t="b">
        <f t="shared" si="16"/>
        <v>0</v>
      </c>
      <c r="O36" s="5" t="b">
        <f t="shared" si="17"/>
        <v>0</v>
      </c>
      <c r="P36" s="5" t="b">
        <f t="shared" si="18"/>
        <v>0</v>
      </c>
      <c r="Q36" s="5" t="b">
        <f t="shared" si="19"/>
        <v>0</v>
      </c>
      <c r="R36" s="5" t="b">
        <f t="shared" si="20"/>
        <v>0</v>
      </c>
      <c r="S36" s="5" t="b">
        <f t="shared" si="21"/>
        <v>0</v>
      </c>
      <c r="T36" s="5" t="b">
        <f t="shared" si="22"/>
        <v>0</v>
      </c>
      <c r="U36" s="5" t="b">
        <f t="shared" si="23"/>
        <v>0</v>
      </c>
      <c r="V36" s="39">
        <f t="shared" si="7"/>
        <v>43766</v>
      </c>
      <c r="W36" s="40">
        <f t="shared" si="8"/>
        <v>0.79652777777664596</v>
      </c>
      <c r="X36" s="35">
        <f t="shared" si="26"/>
        <v>41576</v>
      </c>
      <c r="Y36" s="43">
        <f t="shared" si="27"/>
        <v>41558</v>
      </c>
    </row>
    <row r="37" spans="1:25" ht="15" x14ac:dyDescent="0.2">
      <c r="A37" s="12" t="s">
        <v>90</v>
      </c>
      <c r="B37" s="13" t="s">
        <v>91</v>
      </c>
      <c r="C37" s="14">
        <v>43816</v>
      </c>
      <c r="D37" s="15" t="str">
        <f t="shared" si="0"/>
        <v>Tuesday</v>
      </c>
      <c r="E37" s="41">
        <v>43815.838194444441</v>
      </c>
      <c r="F37" s="14">
        <v>43815</v>
      </c>
      <c r="G37" s="14">
        <f>Devblogs!CF2</f>
        <v>43797</v>
      </c>
      <c r="H37" s="15" t="str">
        <f>Devblogs!CG2</f>
        <v>Thursday</v>
      </c>
      <c r="I37" s="30" t="e">
        <f t="shared" ca="1" si="3"/>
        <v>#NAME?</v>
      </c>
      <c r="J37" s="30" t="e">
        <f t="shared" ca="1" si="4"/>
        <v>#NAME?</v>
      </c>
      <c r="K37" s="30">
        <f>C37-'Dev servers'!C33</f>
        <v>5</v>
      </c>
      <c r="L37" s="31">
        <f t="shared" si="2"/>
        <v>49</v>
      </c>
      <c r="M37" s="19" t="b">
        <f t="shared" si="15"/>
        <v>0</v>
      </c>
      <c r="N37" s="19" t="b">
        <f t="shared" si="16"/>
        <v>1</v>
      </c>
      <c r="O37" s="19" t="b">
        <f t="shared" si="17"/>
        <v>0</v>
      </c>
      <c r="P37" s="19" t="b">
        <f t="shared" si="18"/>
        <v>0</v>
      </c>
      <c r="Q37" s="19" t="b">
        <f t="shared" si="19"/>
        <v>0</v>
      </c>
      <c r="R37" s="19" t="b">
        <f t="shared" si="20"/>
        <v>0</v>
      </c>
      <c r="S37" s="19" t="b">
        <f t="shared" si="21"/>
        <v>0</v>
      </c>
      <c r="T37" s="19" t="b">
        <f t="shared" si="22"/>
        <v>0</v>
      </c>
      <c r="U37" s="19" t="b">
        <f t="shared" si="23"/>
        <v>0</v>
      </c>
      <c r="V37" s="32">
        <f t="shared" si="7"/>
        <v>43815</v>
      </c>
      <c r="W37" s="33">
        <f t="shared" si="8"/>
        <v>0.83819444444088731</v>
      </c>
      <c r="X37" s="36">
        <f t="shared" si="26"/>
        <v>41625</v>
      </c>
      <c r="Y37" s="42">
        <f t="shared" si="27"/>
        <v>41606</v>
      </c>
    </row>
    <row r="38" spans="1:25" ht="15" x14ac:dyDescent="0.2">
      <c r="A38" s="23" t="s">
        <v>92</v>
      </c>
      <c r="B38" s="10" t="s">
        <v>93</v>
      </c>
      <c r="C38" s="24">
        <v>43906</v>
      </c>
      <c r="D38" s="47" t="str">
        <f t="shared" si="0"/>
        <v>Monday</v>
      </c>
      <c r="E38" s="38">
        <v>43905.796527777777</v>
      </c>
      <c r="F38" s="24">
        <v>43900</v>
      </c>
      <c r="G38" s="24">
        <f>Devblogs!CC2</f>
        <v>43881</v>
      </c>
      <c r="H38" s="9" t="str">
        <f>Devblogs!CD2</f>
        <v>Thursday</v>
      </c>
      <c r="I38" s="27" t="e">
        <f t="shared" ca="1" si="3"/>
        <v>#NAME?</v>
      </c>
      <c r="J38" s="27" t="e">
        <f t="shared" ca="1" si="4"/>
        <v>#NAME?</v>
      </c>
      <c r="K38" s="27">
        <f>C38-'Dev servers'!C35</f>
        <v>9</v>
      </c>
      <c r="L38" s="28">
        <f t="shared" si="2"/>
        <v>90</v>
      </c>
      <c r="M38" s="5" t="b">
        <f t="shared" si="15"/>
        <v>0</v>
      </c>
      <c r="N38" s="5" t="b">
        <f t="shared" si="16"/>
        <v>0</v>
      </c>
      <c r="O38" s="5" t="b">
        <f t="shared" si="17"/>
        <v>0</v>
      </c>
      <c r="P38" s="5" t="b">
        <f t="shared" si="18"/>
        <v>0</v>
      </c>
      <c r="Q38" s="5" t="b">
        <f t="shared" si="19"/>
        <v>0</v>
      </c>
      <c r="R38" s="5" t="b">
        <f t="shared" si="20"/>
        <v>0</v>
      </c>
      <c r="S38" s="5" t="b">
        <f t="shared" si="21"/>
        <v>1</v>
      </c>
      <c r="T38" s="5" t="b">
        <f t="shared" si="22"/>
        <v>0</v>
      </c>
      <c r="U38" s="5" t="b">
        <f t="shared" si="23"/>
        <v>0</v>
      </c>
      <c r="V38" s="39">
        <f t="shared" si="7"/>
        <v>43905</v>
      </c>
      <c r="W38" s="40">
        <f t="shared" si="8"/>
        <v>0.79652777777664596</v>
      </c>
      <c r="X38" s="35">
        <f t="shared" ref="X38:X42" si="28">C38-365*5-366*2</f>
        <v>41349</v>
      </c>
      <c r="Y38" s="43">
        <f>G38-365*6-366</f>
        <v>41325</v>
      </c>
    </row>
    <row r="39" spans="1:25" ht="15" x14ac:dyDescent="0.2">
      <c r="A39" s="12" t="s">
        <v>94</v>
      </c>
      <c r="B39" s="13" t="s">
        <v>95</v>
      </c>
      <c r="C39" s="14">
        <v>43977</v>
      </c>
      <c r="D39" s="15" t="str">
        <f t="shared" si="0"/>
        <v>Tuesday</v>
      </c>
      <c r="E39" s="41">
        <v>43976.795138888891</v>
      </c>
      <c r="F39" s="14">
        <v>43983</v>
      </c>
      <c r="G39" s="14">
        <f>Devblogs!BZ2</f>
        <v>43956</v>
      </c>
      <c r="H39" s="15" t="str">
        <f>Devblogs!CA2</f>
        <v>Tuesday</v>
      </c>
      <c r="I39" s="30" t="e">
        <f t="shared" ca="1" si="3"/>
        <v>#NAME?</v>
      </c>
      <c r="J39" s="30" t="e">
        <f t="shared" ca="1" si="4"/>
        <v>#NAME?</v>
      </c>
      <c r="K39" s="30">
        <f>C39-'Dev servers'!C37</f>
        <v>5</v>
      </c>
      <c r="L39" s="31">
        <f t="shared" si="2"/>
        <v>71</v>
      </c>
      <c r="M39" s="19" t="b">
        <f t="shared" si="15"/>
        <v>0</v>
      </c>
      <c r="N39" s="19" t="b">
        <f t="shared" si="16"/>
        <v>0</v>
      </c>
      <c r="O39" s="19" t="b">
        <f t="shared" si="17"/>
        <v>0</v>
      </c>
      <c r="P39" s="19" t="b">
        <f t="shared" si="18"/>
        <v>0</v>
      </c>
      <c r="Q39" s="19" t="b">
        <f t="shared" si="19"/>
        <v>0</v>
      </c>
      <c r="R39" s="19" t="b">
        <f t="shared" si="20"/>
        <v>0</v>
      </c>
      <c r="S39" s="19" t="b">
        <f t="shared" si="21"/>
        <v>1</v>
      </c>
      <c r="T39" s="19" t="b">
        <f t="shared" si="22"/>
        <v>0</v>
      </c>
      <c r="U39" s="19" t="b">
        <f t="shared" si="23"/>
        <v>0</v>
      </c>
      <c r="V39" s="32">
        <f t="shared" si="7"/>
        <v>43976</v>
      </c>
      <c r="W39" s="33">
        <f t="shared" si="8"/>
        <v>0.79513888889050577</v>
      </c>
      <c r="X39" s="36">
        <f t="shared" si="28"/>
        <v>41420</v>
      </c>
      <c r="Y39" s="42">
        <f t="shared" ref="Y39:Y42" si="29">G39-365*5-366*2</f>
        <v>41399</v>
      </c>
    </row>
    <row r="40" spans="1:25" ht="15" x14ac:dyDescent="0.2">
      <c r="A40" s="23" t="s">
        <v>96</v>
      </c>
      <c r="B40" s="10" t="s">
        <v>97</v>
      </c>
      <c r="C40" s="24">
        <v>44076</v>
      </c>
      <c r="D40" s="34" t="str">
        <f t="shared" si="0"/>
        <v>Wednesday</v>
      </c>
      <c r="E40" s="38">
        <v>44075.793055555558</v>
      </c>
      <c r="F40" s="24">
        <v>44082</v>
      </c>
      <c r="G40" s="24">
        <f>Devblogs!BW2</f>
        <v>44057</v>
      </c>
      <c r="H40" s="9" t="str">
        <f>Devblogs!BX2</f>
        <v>Friday</v>
      </c>
      <c r="I40" s="27" t="e">
        <f t="shared" ca="1" si="3"/>
        <v>#NAME?</v>
      </c>
      <c r="J40" s="27" t="e">
        <f t="shared" ca="1" si="4"/>
        <v>#NAME?</v>
      </c>
      <c r="K40" s="27">
        <f>C40-'Dev servers'!C39</f>
        <v>7</v>
      </c>
      <c r="L40" s="28">
        <f t="shared" si="2"/>
        <v>99</v>
      </c>
      <c r="M40" s="5" t="b">
        <f t="shared" si="15"/>
        <v>0</v>
      </c>
      <c r="N40" s="5" t="b">
        <f t="shared" si="16"/>
        <v>0</v>
      </c>
      <c r="O40" s="5" t="b">
        <f t="shared" si="17"/>
        <v>0</v>
      </c>
      <c r="P40" s="5" t="b">
        <f t="shared" si="18"/>
        <v>0</v>
      </c>
      <c r="Q40" s="5" t="b">
        <f t="shared" si="19"/>
        <v>0</v>
      </c>
      <c r="R40" s="5" t="b">
        <f t="shared" si="20"/>
        <v>0</v>
      </c>
      <c r="S40" s="5" t="b">
        <f t="shared" si="21"/>
        <v>1</v>
      </c>
      <c r="T40" s="5" t="b">
        <f t="shared" si="22"/>
        <v>0</v>
      </c>
      <c r="U40" s="5" t="b">
        <f t="shared" si="23"/>
        <v>0</v>
      </c>
      <c r="V40" s="39">
        <f t="shared" si="7"/>
        <v>44075</v>
      </c>
      <c r="W40" s="40">
        <f t="shared" si="8"/>
        <v>0.7930555555576575</v>
      </c>
      <c r="X40" s="35">
        <f t="shared" si="28"/>
        <v>41519</v>
      </c>
      <c r="Y40" s="43">
        <f t="shared" si="29"/>
        <v>41500</v>
      </c>
    </row>
    <row r="41" spans="1:25" ht="15" x14ac:dyDescent="0.2">
      <c r="A41" s="12" t="s">
        <v>98</v>
      </c>
      <c r="B41" s="13" t="s">
        <v>99</v>
      </c>
      <c r="C41" s="14">
        <v>44152</v>
      </c>
      <c r="D41" s="15" t="str">
        <f t="shared" si="0"/>
        <v>Tuesday</v>
      </c>
      <c r="E41" s="48">
        <v>44151.829861111109</v>
      </c>
      <c r="F41" s="14">
        <v>44150</v>
      </c>
      <c r="G41" s="14">
        <f>Devblogs!BT2</f>
        <v>44124</v>
      </c>
      <c r="H41" s="15" t="str">
        <f>Devblogs!BU2</f>
        <v>Tuesday</v>
      </c>
      <c r="I41" s="30" t="e">
        <f t="shared" ca="1" si="3"/>
        <v>#NAME?</v>
      </c>
      <c r="J41" s="30" t="e">
        <f t="shared" ca="1" si="4"/>
        <v>#NAME?</v>
      </c>
      <c r="K41" s="30">
        <f>C41-'Dev servers'!C41</f>
        <v>7</v>
      </c>
      <c r="L41" s="31">
        <f t="shared" si="2"/>
        <v>76</v>
      </c>
      <c r="M41" s="19" t="b">
        <f t="shared" si="15"/>
        <v>0</v>
      </c>
      <c r="N41" s="19" t="b">
        <f t="shared" si="16"/>
        <v>0</v>
      </c>
      <c r="O41" s="19" t="b">
        <f t="shared" si="17"/>
        <v>1</v>
      </c>
      <c r="P41" s="19" t="b">
        <f t="shared" si="18"/>
        <v>0</v>
      </c>
      <c r="Q41" s="19" t="b">
        <f t="shared" si="19"/>
        <v>0</v>
      </c>
      <c r="R41" s="19" t="b">
        <f t="shared" si="20"/>
        <v>0</v>
      </c>
      <c r="S41" s="19" t="b">
        <f t="shared" si="21"/>
        <v>0</v>
      </c>
      <c r="T41" s="19" t="b">
        <f t="shared" si="22"/>
        <v>0</v>
      </c>
      <c r="U41" s="19" t="b">
        <f t="shared" si="23"/>
        <v>0</v>
      </c>
      <c r="V41" s="32">
        <f t="shared" si="7"/>
        <v>44151</v>
      </c>
      <c r="W41" s="33">
        <f t="shared" si="8"/>
        <v>0.82986111110949423</v>
      </c>
      <c r="X41" s="36">
        <f t="shared" si="28"/>
        <v>41595</v>
      </c>
      <c r="Y41" s="42">
        <f t="shared" si="29"/>
        <v>41567</v>
      </c>
    </row>
    <row r="42" spans="1:25" ht="15" x14ac:dyDescent="0.2">
      <c r="A42" s="8">
        <v>2.2999999999999998</v>
      </c>
      <c r="B42" s="9" t="s">
        <v>100</v>
      </c>
      <c r="C42" s="49">
        <v>44183</v>
      </c>
      <c r="D42" s="25" t="str">
        <f t="shared" si="0"/>
        <v>Friday</v>
      </c>
      <c r="E42" s="50">
        <v>44181.835416666669</v>
      </c>
      <c r="F42" s="49">
        <v>44182</v>
      </c>
      <c r="G42" s="24">
        <f>Devblogs!BQ2</f>
        <v>44172</v>
      </c>
      <c r="H42" s="9" t="str">
        <f>Devblogs!BR2</f>
        <v>Monday</v>
      </c>
      <c r="I42" s="27" t="e">
        <f t="shared" ca="1" si="3"/>
        <v>#NAME?</v>
      </c>
      <c r="J42" s="27" t="e">
        <f t="shared" ca="1" si="4"/>
        <v>#NAME?</v>
      </c>
      <c r="K42" s="27">
        <f>C42-'Dev servers'!C42</f>
        <v>6</v>
      </c>
      <c r="L42" s="28">
        <f t="shared" si="2"/>
        <v>31</v>
      </c>
      <c r="M42" s="5" t="b">
        <f t="shared" si="15"/>
        <v>0</v>
      </c>
      <c r="N42" s="5" t="b">
        <f t="shared" si="16"/>
        <v>1</v>
      </c>
      <c r="O42" s="5" t="b">
        <f t="shared" si="17"/>
        <v>0</v>
      </c>
      <c r="P42" s="5" t="b">
        <f t="shared" si="18"/>
        <v>0</v>
      </c>
      <c r="Q42" s="5" t="b">
        <f t="shared" si="19"/>
        <v>0</v>
      </c>
      <c r="R42" s="5" t="b">
        <f t="shared" si="20"/>
        <v>0</v>
      </c>
      <c r="S42" s="5" t="b">
        <f t="shared" si="21"/>
        <v>0</v>
      </c>
      <c r="T42" s="5" t="b">
        <f t="shared" si="22"/>
        <v>0</v>
      </c>
      <c r="U42" s="5" t="b">
        <f t="shared" si="23"/>
        <v>0</v>
      </c>
      <c r="V42" s="39">
        <f t="shared" si="7"/>
        <v>44181</v>
      </c>
      <c r="W42" s="40">
        <f t="shared" si="8"/>
        <v>0.83541666666860692</v>
      </c>
      <c r="X42" s="51">
        <f t="shared" si="28"/>
        <v>41626</v>
      </c>
      <c r="Y42" s="43">
        <f t="shared" si="29"/>
        <v>41615</v>
      </c>
    </row>
    <row r="43" spans="1:25" ht="15" x14ac:dyDescent="0.2">
      <c r="A43" s="52">
        <v>2.5</v>
      </c>
      <c r="B43" s="17" t="s">
        <v>101</v>
      </c>
      <c r="C43" s="53">
        <v>44265</v>
      </c>
      <c r="D43" s="17" t="str">
        <f t="shared" si="0"/>
        <v>Wednesday</v>
      </c>
      <c r="E43" s="54">
        <v>44264.794444444444</v>
      </c>
      <c r="F43" s="55">
        <v>44265</v>
      </c>
      <c r="G43" s="55">
        <f>Devblogs!BN2</f>
        <v>44242</v>
      </c>
      <c r="H43" s="15" t="str">
        <f>Devblogs!BO2</f>
        <v>Monday</v>
      </c>
      <c r="I43" s="30" t="e">
        <f t="shared" ca="1" si="3"/>
        <v>#NAME?</v>
      </c>
      <c r="J43" s="30" t="e">
        <f t="shared" ca="1" si="4"/>
        <v>#NAME?</v>
      </c>
      <c r="K43" s="30">
        <f>C43-'Dev servers'!C44</f>
        <v>7</v>
      </c>
      <c r="L43" s="31">
        <f t="shared" si="2"/>
        <v>82</v>
      </c>
      <c r="M43" s="19" t="b">
        <f t="shared" si="15"/>
        <v>1</v>
      </c>
      <c r="N43" s="19" t="b">
        <f t="shared" si="16"/>
        <v>0</v>
      </c>
      <c r="O43" s="19" t="b">
        <f t="shared" si="17"/>
        <v>0</v>
      </c>
      <c r="P43" s="19" t="b">
        <f t="shared" si="18"/>
        <v>0</v>
      </c>
      <c r="Q43" s="19" t="b">
        <f t="shared" si="19"/>
        <v>0</v>
      </c>
      <c r="R43" s="19" t="b">
        <f t="shared" si="20"/>
        <v>0</v>
      </c>
      <c r="S43" s="19" t="b">
        <f t="shared" si="21"/>
        <v>0</v>
      </c>
      <c r="T43" s="19" t="b">
        <f t="shared" si="22"/>
        <v>0</v>
      </c>
      <c r="U43" s="19" t="b">
        <f t="shared" si="23"/>
        <v>0</v>
      </c>
      <c r="V43" s="32">
        <f t="shared" si="7"/>
        <v>44264</v>
      </c>
      <c r="W43" s="33">
        <f t="shared" si="8"/>
        <v>0.79444444444379769</v>
      </c>
      <c r="X43" s="56">
        <f t="shared" ref="X43:X47" si="30">C43-365*6-366*2</f>
        <v>41343</v>
      </c>
      <c r="Y43" s="57">
        <f t="shared" ref="Y43:Y47" si="31">G43-365*6-366*2</f>
        <v>41320</v>
      </c>
    </row>
    <row r="44" spans="1:25" ht="15" x14ac:dyDescent="0.2">
      <c r="A44" s="58">
        <v>2.7</v>
      </c>
      <c r="B44" s="59" t="s">
        <v>102</v>
      </c>
      <c r="C44" s="60">
        <v>44349</v>
      </c>
      <c r="D44" s="25" t="str">
        <f t="shared" si="0"/>
        <v>Wednesday</v>
      </c>
      <c r="E44" s="61">
        <v>44348.834722222222</v>
      </c>
      <c r="F44" s="60">
        <v>44349</v>
      </c>
      <c r="G44" s="60">
        <f>Devblogs!BK2</f>
        <v>44328</v>
      </c>
      <c r="H44" s="59" t="str">
        <f>Devblogs!BL2</f>
        <v>Wednesday</v>
      </c>
      <c r="I44" s="27" t="e">
        <f t="shared" ca="1" si="3"/>
        <v>#NAME?</v>
      </c>
      <c r="J44" s="27" t="e">
        <f t="shared" ca="1" si="4"/>
        <v>#NAME?</v>
      </c>
      <c r="K44" s="27">
        <f>C44-'Dev servers'!C46</f>
        <v>7</v>
      </c>
      <c r="L44" s="28">
        <f t="shared" si="2"/>
        <v>84</v>
      </c>
      <c r="M44" s="5" t="b">
        <f t="shared" si="15"/>
        <v>1</v>
      </c>
      <c r="N44" s="5" t="b">
        <f t="shared" si="16"/>
        <v>0</v>
      </c>
      <c r="O44" s="5" t="b">
        <f t="shared" si="17"/>
        <v>0</v>
      </c>
      <c r="P44" s="5" t="b">
        <f t="shared" si="18"/>
        <v>0</v>
      </c>
      <c r="Q44" s="5" t="b">
        <f t="shared" si="19"/>
        <v>0</v>
      </c>
      <c r="R44" s="5" t="b">
        <f t="shared" si="20"/>
        <v>0</v>
      </c>
      <c r="S44" s="5" t="b">
        <f t="shared" si="21"/>
        <v>0</v>
      </c>
      <c r="T44" s="5" t="b">
        <f t="shared" si="22"/>
        <v>0</v>
      </c>
      <c r="U44" s="5" t="b">
        <f t="shared" si="23"/>
        <v>0</v>
      </c>
      <c r="V44" s="39">
        <f t="shared" si="7"/>
        <v>44348</v>
      </c>
      <c r="W44" s="40">
        <f t="shared" si="8"/>
        <v>0.83472222222189885</v>
      </c>
      <c r="X44" s="51">
        <f t="shared" si="30"/>
        <v>41427</v>
      </c>
      <c r="Y44" s="62">
        <f t="shared" si="31"/>
        <v>41406</v>
      </c>
    </row>
    <row r="45" spans="1:25" ht="15" x14ac:dyDescent="0.2">
      <c r="A45" s="52">
        <v>2.9</v>
      </c>
      <c r="B45" s="17" t="s">
        <v>103</v>
      </c>
      <c r="C45" s="53">
        <v>44446</v>
      </c>
      <c r="D45" s="17" t="str">
        <f t="shared" si="0"/>
        <v>Tuesday</v>
      </c>
      <c r="E45" s="54">
        <v>44445.795138888891</v>
      </c>
      <c r="F45" s="55">
        <v>44446</v>
      </c>
      <c r="G45" s="55">
        <f>Devblogs!BH2</f>
        <v>44426</v>
      </c>
      <c r="H45" s="15" t="str">
        <f>Devblogs!BI2</f>
        <v>Wednesday</v>
      </c>
      <c r="I45" s="30" t="e">
        <f t="shared" ca="1" si="3"/>
        <v>#NAME?</v>
      </c>
      <c r="J45" s="30" t="e">
        <f t="shared" ca="1" si="4"/>
        <v>#NAME?</v>
      </c>
      <c r="K45" s="30">
        <f>C45-'Dev servers'!C48</f>
        <v>6</v>
      </c>
      <c r="L45" s="31">
        <f t="shared" si="2"/>
        <v>97</v>
      </c>
      <c r="M45" s="19" t="b">
        <f t="shared" si="15"/>
        <v>1</v>
      </c>
      <c r="N45" s="19" t="b">
        <f t="shared" si="16"/>
        <v>0</v>
      </c>
      <c r="O45" s="19" t="b">
        <f t="shared" si="17"/>
        <v>0</v>
      </c>
      <c r="P45" s="19" t="b">
        <f t="shared" si="18"/>
        <v>0</v>
      </c>
      <c r="Q45" s="19" t="b">
        <f t="shared" si="19"/>
        <v>0</v>
      </c>
      <c r="R45" s="19" t="b">
        <f t="shared" si="20"/>
        <v>0</v>
      </c>
      <c r="S45" s="19" t="b">
        <f t="shared" si="21"/>
        <v>0</v>
      </c>
      <c r="T45" s="19" t="b">
        <f t="shared" si="22"/>
        <v>0</v>
      </c>
      <c r="U45" s="19" t="b">
        <f t="shared" si="23"/>
        <v>0</v>
      </c>
      <c r="V45" s="32">
        <f t="shared" si="7"/>
        <v>44445</v>
      </c>
      <c r="W45" s="33">
        <f t="shared" si="8"/>
        <v>0.79513888889050577</v>
      </c>
      <c r="X45" s="56">
        <f t="shared" si="30"/>
        <v>41524</v>
      </c>
      <c r="Y45" s="57">
        <f t="shared" si="31"/>
        <v>41504</v>
      </c>
    </row>
    <row r="46" spans="1:25" ht="30" x14ac:dyDescent="0.2">
      <c r="A46" s="58">
        <v>2.11</v>
      </c>
      <c r="B46" s="59" t="s">
        <v>104</v>
      </c>
      <c r="C46" s="60">
        <v>44497</v>
      </c>
      <c r="D46" s="25" t="str">
        <f t="shared" si="0"/>
        <v>Thursday</v>
      </c>
      <c r="E46" s="61">
        <v>44496.793749999997</v>
      </c>
      <c r="F46" s="60">
        <v>44495</v>
      </c>
      <c r="G46" s="60">
        <f>Devblogs!BE2</f>
        <v>44477</v>
      </c>
      <c r="H46" s="59" t="str">
        <f>Devblogs!BF2</f>
        <v>Friday</v>
      </c>
      <c r="I46" s="27" t="e">
        <f t="shared" ca="1" si="3"/>
        <v>#NAME?</v>
      </c>
      <c r="J46" s="27" t="e">
        <f t="shared" ca="1" si="4"/>
        <v>#NAME?</v>
      </c>
      <c r="K46" s="27">
        <f>C46-'Dev servers'!C51</f>
        <v>7</v>
      </c>
      <c r="L46" s="28">
        <f t="shared" si="2"/>
        <v>51</v>
      </c>
      <c r="M46" s="5" t="b">
        <f t="shared" si="15"/>
        <v>0</v>
      </c>
      <c r="N46" s="5" t="b">
        <f t="shared" si="16"/>
        <v>0</v>
      </c>
      <c r="O46" s="5" t="b">
        <f t="shared" si="17"/>
        <v>1</v>
      </c>
      <c r="P46" s="5" t="b">
        <f t="shared" si="18"/>
        <v>0</v>
      </c>
      <c r="Q46" s="5" t="b">
        <f t="shared" si="19"/>
        <v>0</v>
      </c>
      <c r="R46" s="5" t="b">
        <f t="shared" si="20"/>
        <v>0</v>
      </c>
      <c r="S46" s="5" t="b">
        <f t="shared" si="21"/>
        <v>0</v>
      </c>
      <c r="T46" s="5" t="b">
        <f t="shared" si="22"/>
        <v>0</v>
      </c>
      <c r="U46" s="5" t="b">
        <f t="shared" si="23"/>
        <v>0</v>
      </c>
      <c r="V46" s="39">
        <f t="shared" si="7"/>
        <v>44496</v>
      </c>
      <c r="W46" s="40">
        <f t="shared" si="8"/>
        <v>0.79374999999708962</v>
      </c>
      <c r="X46" s="51">
        <f t="shared" si="30"/>
        <v>41575</v>
      </c>
      <c r="Y46" s="62">
        <f t="shared" si="31"/>
        <v>41555</v>
      </c>
    </row>
    <row r="47" spans="1:25" ht="15" x14ac:dyDescent="0.2">
      <c r="A47" s="52">
        <v>2.13</v>
      </c>
      <c r="B47" s="17" t="s">
        <v>105</v>
      </c>
      <c r="C47" s="53">
        <v>44544</v>
      </c>
      <c r="D47" s="17" t="str">
        <f t="shared" si="0"/>
        <v>Tuesday</v>
      </c>
      <c r="E47" s="54">
        <v>44543.795138888891</v>
      </c>
      <c r="F47" s="55">
        <v>44547</v>
      </c>
      <c r="G47" s="55">
        <f>Devblogs!BB2</f>
        <v>44530</v>
      </c>
      <c r="H47" s="15" t="str">
        <f>Devblogs!BC2</f>
        <v>Tuesday</v>
      </c>
      <c r="I47" s="30" t="e">
        <f t="shared" ca="1" si="3"/>
        <v>#NAME?</v>
      </c>
      <c r="J47" s="30" t="e">
        <f t="shared" ca="1" si="4"/>
        <v>#NAME?</v>
      </c>
      <c r="K47" s="30">
        <f>C47-'Dev servers'!C53</f>
        <v>6</v>
      </c>
      <c r="L47" s="31">
        <f t="shared" si="2"/>
        <v>47</v>
      </c>
      <c r="M47" s="19" t="b">
        <f t="shared" si="15"/>
        <v>0</v>
      </c>
      <c r="N47" s="19" t="b">
        <f t="shared" si="16"/>
        <v>0</v>
      </c>
      <c r="O47" s="19" t="b">
        <f t="shared" si="17"/>
        <v>0</v>
      </c>
      <c r="P47" s="19" t="b">
        <f t="shared" si="18"/>
        <v>1</v>
      </c>
      <c r="Q47" s="19" t="b">
        <f t="shared" si="19"/>
        <v>0</v>
      </c>
      <c r="R47" s="19" t="b">
        <f t="shared" si="20"/>
        <v>0</v>
      </c>
      <c r="S47" s="19" t="b">
        <f t="shared" si="21"/>
        <v>0</v>
      </c>
      <c r="T47" s="19" t="b">
        <f t="shared" si="22"/>
        <v>0</v>
      </c>
      <c r="U47" s="19" t="b">
        <f t="shared" si="23"/>
        <v>0</v>
      </c>
      <c r="V47" s="32">
        <f t="shared" si="7"/>
        <v>44543</v>
      </c>
      <c r="W47" s="33">
        <f t="shared" si="8"/>
        <v>0.79513888889050577</v>
      </c>
      <c r="X47" s="56">
        <f t="shared" si="30"/>
        <v>41622</v>
      </c>
      <c r="Y47" s="57">
        <f t="shared" si="31"/>
        <v>41608</v>
      </c>
    </row>
    <row r="48" spans="1:25" ht="15" x14ac:dyDescent="0.2">
      <c r="A48" s="58">
        <v>2.15</v>
      </c>
      <c r="B48" s="59" t="s">
        <v>106</v>
      </c>
      <c r="C48" s="60">
        <v>44644</v>
      </c>
      <c r="D48" s="25" t="str">
        <f t="shared" si="0"/>
        <v>Thursday</v>
      </c>
      <c r="E48" s="61">
        <v>44643.857638888891</v>
      </c>
      <c r="F48" s="60">
        <v>44642</v>
      </c>
      <c r="G48" s="60">
        <f>Devblogs!AY2</f>
        <v>44610</v>
      </c>
      <c r="H48" s="59" t="str">
        <f>Devblogs!AZ2</f>
        <v>Friday</v>
      </c>
      <c r="I48" s="27" t="e">
        <f t="shared" ca="1" si="3"/>
        <v>#NAME?</v>
      </c>
      <c r="J48" s="27" t="e">
        <f t="shared" ca="1" si="4"/>
        <v>#NAME?</v>
      </c>
      <c r="K48" s="27">
        <f>C48-'Dev servers'!C55</f>
        <v>8</v>
      </c>
      <c r="L48" s="28">
        <f t="shared" si="2"/>
        <v>100</v>
      </c>
      <c r="M48" s="5" t="b">
        <f t="shared" si="15"/>
        <v>0</v>
      </c>
      <c r="N48" s="5" t="b">
        <f t="shared" si="16"/>
        <v>0</v>
      </c>
      <c r="O48" s="5" t="b">
        <f t="shared" si="17"/>
        <v>1</v>
      </c>
      <c r="P48" s="5" t="b">
        <f t="shared" si="18"/>
        <v>0</v>
      </c>
      <c r="Q48" s="5" t="b">
        <f t="shared" si="19"/>
        <v>0</v>
      </c>
      <c r="R48" s="5" t="b">
        <f t="shared" si="20"/>
        <v>0</v>
      </c>
      <c r="S48" s="5" t="b">
        <f t="shared" si="21"/>
        <v>0</v>
      </c>
      <c r="T48" s="5" t="b">
        <f t="shared" si="22"/>
        <v>0</v>
      </c>
      <c r="U48" s="5" t="b">
        <f t="shared" si="23"/>
        <v>0</v>
      </c>
      <c r="V48" s="39">
        <f t="shared" si="7"/>
        <v>44643</v>
      </c>
      <c r="W48" s="40">
        <f t="shared" si="8"/>
        <v>0.85763888889050577</v>
      </c>
      <c r="X48" s="51">
        <f t="shared" ref="X48:X52" si="32">C48-365*7-366*2</f>
        <v>41357</v>
      </c>
      <c r="Y48" s="62">
        <f t="shared" ref="Y48:Y52" si="33">G48-365*7-366*2</f>
        <v>41323</v>
      </c>
    </row>
    <row r="49" spans="1:25" ht="15" x14ac:dyDescent="0.2">
      <c r="A49" s="52">
        <v>2.17</v>
      </c>
      <c r="B49" s="17" t="s">
        <v>107</v>
      </c>
      <c r="C49" s="53">
        <v>44727</v>
      </c>
      <c r="D49" s="17" t="str">
        <f t="shared" si="0"/>
        <v>Wednesday</v>
      </c>
      <c r="E49" s="54">
        <v>44726.792361111111</v>
      </c>
      <c r="F49" s="55">
        <v>44719</v>
      </c>
      <c r="G49" s="55">
        <f>Devblogs!AV2</f>
        <v>44699</v>
      </c>
      <c r="H49" s="15" t="str">
        <f>Devblogs!AW2</f>
        <v>Wednesday</v>
      </c>
      <c r="I49" s="30" t="e">
        <f t="shared" ca="1" si="3"/>
        <v>#NAME?</v>
      </c>
      <c r="J49" s="30" t="e">
        <f t="shared" ca="1" si="4"/>
        <v>#NAME?</v>
      </c>
      <c r="K49" s="30">
        <f>C49-'Dev servers'!C57</f>
        <v>12</v>
      </c>
      <c r="L49" s="31">
        <f t="shared" si="2"/>
        <v>83</v>
      </c>
      <c r="M49" s="19" t="b">
        <f t="shared" si="15"/>
        <v>0</v>
      </c>
      <c r="N49" s="19" t="b">
        <f t="shared" si="16"/>
        <v>0</v>
      </c>
      <c r="O49" s="19" t="b">
        <f t="shared" si="17"/>
        <v>0</v>
      </c>
      <c r="P49" s="19" t="b">
        <f t="shared" si="18"/>
        <v>0</v>
      </c>
      <c r="Q49" s="19" t="b">
        <f t="shared" si="19"/>
        <v>0</v>
      </c>
      <c r="R49" s="19" t="b">
        <f t="shared" si="20"/>
        <v>0</v>
      </c>
      <c r="S49" s="19" t="b">
        <f t="shared" si="21"/>
        <v>0</v>
      </c>
      <c r="T49" s="19" t="b">
        <f t="shared" si="22"/>
        <v>0</v>
      </c>
      <c r="U49" s="19" t="b">
        <f t="shared" si="23"/>
        <v>1</v>
      </c>
      <c r="V49" s="32">
        <f t="shared" si="7"/>
        <v>44726</v>
      </c>
      <c r="W49" s="33">
        <f t="shared" si="8"/>
        <v>0.79236111111094942</v>
      </c>
      <c r="X49" s="56">
        <f t="shared" si="32"/>
        <v>41440</v>
      </c>
      <c r="Y49" s="57">
        <f t="shared" si="33"/>
        <v>41412</v>
      </c>
    </row>
    <row r="50" spans="1:25" ht="15" x14ac:dyDescent="0.2">
      <c r="A50" s="58">
        <v>2.19</v>
      </c>
      <c r="B50" s="59" t="s">
        <v>108</v>
      </c>
      <c r="C50" s="60">
        <v>44818</v>
      </c>
      <c r="D50" s="25" t="str">
        <f t="shared" si="0"/>
        <v>Wednesday</v>
      </c>
      <c r="E50" s="61">
        <v>44817.794444444444</v>
      </c>
      <c r="F50" s="60">
        <v>44810</v>
      </c>
      <c r="G50" s="60">
        <f>Devblogs!AS2</f>
        <v>44789</v>
      </c>
      <c r="H50" s="59" t="str">
        <f>Devblogs!AT2</f>
        <v>Tuesday</v>
      </c>
      <c r="I50" s="27" t="e">
        <f t="shared" ca="1" si="3"/>
        <v>#NAME?</v>
      </c>
      <c r="J50" s="27" t="e">
        <f t="shared" ca="1" si="4"/>
        <v>#NAME?</v>
      </c>
      <c r="K50" s="27">
        <f>C50-'Dev servers'!C58</f>
        <v>12</v>
      </c>
      <c r="L50" s="28">
        <f t="shared" si="2"/>
        <v>91</v>
      </c>
      <c r="M50" s="5" t="b">
        <f t="shared" si="15"/>
        <v>0</v>
      </c>
      <c r="N50" s="5" t="b">
        <f t="shared" si="16"/>
        <v>0</v>
      </c>
      <c r="O50" s="5" t="b">
        <f t="shared" si="17"/>
        <v>0</v>
      </c>
      <c r="P50" s="5" t="b">
        <f t="shared" si="18"/>
        <v>0</v>
      </c>
      <c r="Q50" s="5" t="b">
        <f t="shared" si="19"/>
        <v>0</v>
      </c>
      <c r="R50" s="5" t="b">
        <f t="shared" si="20"/>
        <v>0</v>
      </c>
      <c r="S50" s="5" t="b">
        <f t="shared" si="21"/>
        <v>0</v>
      </c>
      <c r="T50" s="5" t="b">
        <f t="shared" si="22"/>
        <v>0</v>
      </c>
      <c r="U50" s="5" t="b">
        <f t="shared" si="23"/>
        <v>1</v>
      </c>
      <c r="V50" s="39">
        <f t="shared" si="7"/>
        <v>44817</v>
      </c>
      <c r="W50" s="40">
        <f t="shared" si="8"/>
        <v>0.79444444444379769</v>
      </c>
      <c r="X50" s="51">
        <f t="shared" si="32"/>
        <v>41531</v>
      </c>
      <c r="Y50" s="62">
        <f t="shared" si="33"/>
        <v>41502</v>
      </c>
    </row>
    <row r="51" spans="1:25" ht="15" x14ac:dyDescent="0.2">
      <c r="A51" s="52">
        <v>2.21</v>
      </c>
      <c r="B51" s="17" t="s">
        <v>109</v>
      </c>
      <c r="C51" s="53">
        <v>44860</v>
      </c>
      <c r="D51" s="17" t="str">
        <f t="shared" si="0"/>
        <v>Wednesday</v>
      </c>
      <c r="E51" s="54">
        <v>44859.791666666664</v>
      </c>
      <c r="F51" s="55">
        <v>44866</v>
      </c>
      <c r="G51" s="55">
        <f>Devblogs!AP2</f>
        <v>44846</v>
      </c>
      <c r="H51" s="15" t="str">
        <f>Devblogs!AQ2</f>
        <v>Wednesday</v>
      </c>
      <c r="I51" s="30" t="e">
        <f t="shared" ca="1" si="3"/>
        <v>#NAME?</v>
      </c>
      <c r="J51" s="30" t="e">
        <f t="shared" ca="1" si="4"/>
        <v>#NAME?</v>
      </c>
      <c r="K51" s="30">
        <f>C51-'Dev servers'!C59</f>
        <v>12</v>
      </c>
      <c r="L51" s="31">
        <f t="shared" si="2"/>
        <v>42</v>
      </c>
      <c r="M51" s="19" t="b">
        <f t="shared" si="15"/>
        <v>0</v>
      </c>
      <c r="N51" s="19" t="b">
        <f t="shared" si="16"/>
        <v>0</v>
      </c>
      <c r="O51" s="19" t="b">
        <f t="shared" si="17"/>
        <v>0</v>
      </c>
      <c r="P51" s="19" t="b">
        <f t="shared" si="18"/>
        <v>0</v>
      </c>
      <c r="Q51" s="19" t="b">
        <f t="shared" si="19"/>
        <v>0</v>
      </c>
      <c r="R51" s="19" t="b">
        <f t="shared" si="20"/>
        <v>0</v>
      </c>
      <c r="S51" s="19" t="b">
        <f t="shared" si="21"/>
        <v>1</v>
      </c>
      <c r="T51" s="19" t="b">
        <f t="shared" si="22"/>
        <v>0</v>
      </c>
      <c r="U51" s="19" t="b">
        <f t="shared" si="23"/>
        <v>0</v>
      </c>
      <c r="V51" s="32">
        <f t="shared" si="7"/>
        <v>44859</v>
      </c>
      <c r="W51" s="33">
        <f t="shared" si="8"/>
        <v>0.79166666666424135</v>
      </c>
      <c r="X51" s="56">
        <f t="shared" si="32"/>
        <v>41573</v>
      </c>
      <c r="Y51" s="57">
        <f t="shared" si="33"/>
        <v>41559</v>
      </c>
    </row>
    <row r="52" spans="1:25" ht="15" x14ac:dyDescent="0.2">
      <c r="A52" s="58">
        <v>2.23</v>
      </c>
      <c r="B52" s="59" t="s">
        <v>110</v>
      </c>
      <c r="C52" s="60">
        <v>44915</v>
      </c>
      <c r="D52" s="25" t="str">
        <f t="shared" si="0"/>
        <v>Tuesday</v>
      </c>
      <c r="E52" s="61">
        <v>44914.793055555558</v>
      </c>
      <c r="F52" s="60">
        <v>44913</v>
      </c>
      <c r="G52" s="60">
        <f>Devblogs!AM2</f>
        <v>44894</v>
      </c>
      <c r="H52" s="59" t="str">
        <f>Devblogs!AN2</f>
        <v>Tuesday</v>
      </c>
      <c r="I52" s="27" t="e">
        <f t="shared" ca="1" si="3"/>
        <v>#NAME?</v>
      </c>
      <c r="J52" s="27" t="e">
        <f t="shared" ca="1" si="4"/>
        <v>#NAME?</v>
      </c>
      <c r="K52" s="27">
        <f>C52-'Dev servers'!C60</f>
        <v>11</v>
      </c>
      <c r="L52" s="28">
        <f t="shared" si="2"/>
        <v>55</v>
      </c>
      <c r="M52" s="5" t="b">
        <f t="shared" si="15"/>
        <v>0</v>
      </c>
      <c r="N52" s="5" t="b">
        <f t="shared" si="16"/>
        <v>0</v>
      </c>
      <c r="O52" s="5" t="b">
        <f t="shared" si="17"/>
        <v>1</v>
      </c>
      <c r="P52" s="5" t="b">
        <f t="shared" si="18"/>
        <v>0</v>
      </c>
      <c r="Q52" s="5" t="b">
        <f t="shared" si="19"/>
        <v>0</v>
      </c>
      <c r="R52" s="5" t="b">
        <f t="shared" si="20"/>
        <v>0</v>
      </c>
      <c r="S52" s="5" t="b">
        <f t="shared" si="21"/>
        <v>0</v>
      </c>
      <c r="T52" s="5" t="b">
        <f t="shared" si="22"/>
        <v>0</v>
      </c>
      <c r="U52" s="5" t="b">
        <f t="shared" si="23"/>
        <v>0</v>
      </c>
      <c r="V52" s="39">
        <f t="shared" si="7"/>
        <v>44914</v>
      </c>
      <c r="W52" s="40">
        <f t="shared" si="8"/>
        <v>0.7930555555576575</v>
      </c>
      <c r="X52" s="51">
        <f t="shared" si="32"/>
        <v>41628</v>
      </c>
      <c r="Y52" s="62">
        <f t="shared" si="33"/>
        <v>41607</v>
      </c>
    </row>
    <row r="53" spans="1:25" ht="15" x14ac:dyDescent="0.2">
      <c r="A53" s="52">
        <v>2.25</v>
      </c>
      <c r="B53" s="17" t="s">
        <v>111</v>
      </c>
      <c r="C53" s="53">
        <v>44992</v>
      </c>
      <c r="D53" s="17" t="str">
        <f t="shared" si="0"/>
        <v>Tuesday</v>
      </c>
      <c r="E53" s="54">
        <v>44991.793055555558</v>
      </c>
      <c r="F53" s="55">
        <v>44992</v>
      </c>
      <c r="G53" s="55">
        <f>Devblogs!AJ2</f>
        <v>44967</v>
      </c>
      <c r="H53" s="15" t="str">
        <f>Devblogs!AK2</f>
        <v>Friday</v>
      </c>
      <c r="I53" s="30" t="e">
        <f t="shared" ca="1" si="3"/>
        <v>#NAME?</v>
      </c>
      <c r="J53" s="30" t="e">
        <f t="shared" ca="1" si="4"/>
        <v>#NAME?</v>
      </c>
      <c r="K53" s="30">
        <f>C53-'Dev servers'!C61</f>
        <v>10</v>
      </c>
      <c r="L53" s="31">
        <f t="shared" si="2"/>
        <v>77</v>
      </c>
      <c r="M53" s="19" t="b">
        <f t="shared" si="15"/>
        <v>1</v>
      </c>
      <c r="N53" s="19" t="b">
        <f t="shared" si="16"/>
        <v>0</v>
      </c>
      <c r="O53" s="19" t="b">
        <f t="shared" si="17"/>
        <v>0</v>
      </c>
      <c r="P53" s="19" t="b">
        <f t="shared" si="18"/>
        <v>0</v>
      </c>
      <c r="Q53" s="19" t="b">
        <f t="shared" si="19"/>
        <v>0</v>
      </c>
      <c r="R53" s="19" t="b">
        <f t="shared" si="20"/>
        <v>0</v>
      </c>
      <c r="S53" s="19" t="b">
        <f t="shared" si="21"/>
        <v>0</v>
      </c>
      <c r="T53" s="19" t="b">
        <f t="shared" si="22"/>
        <v>0</v>
      </c>
      <c r="U53" s="19" t="b">
        <f t="shared" si="23"/>
        <v>0</v>
      </c>
      <c r="V53" s="32">
        <f t="shared" si="7"/>
        <v>44991</v>
      </c>
      <c r="W53" s="33">
        <f t="shared" si="8"/>
        <v>0.7930555555576575</v>
      </c>
      <c r="X53" s="56">
        <f t="shared" ref="X53:X57" si="34">C53-365*8-366*2</f>
        <v>41340</v>
      </c>
      <c r="Y53" s="57">
        <f t="shared" ref="Y53:Y57" si="35">G53-365*8-366*2</f>
        <v>41315</v>
      </c>
    </row>
    <row r="54" spans="1:25" ht="15" x14ac:dyDescent="0.2">
      <c r="A54" s="58">
        <v>2.27</v>
      </c>
      <c r="B54" s="59" t="s">
        <v>112</v>
      </c>
      <c r="C54" s="60">
        <v>45091</v>
      </c>
      <c r="D54" s="60" t="str">
        <f t="shared" si="0"/>
        <v>Wednesday</v>
      </c>
      <c r="E54" s="61">
        <v>45090.875694444447</v>
      </c>
      <c r="F54" s="60">
        <v>45083</v>
      </c>
      <c r="G54" s="60">
        <f>Devblogs!AG2</f>
        <v>45037</v>
      </c>
      <c r="H54" s="59" t="str">
        <f>Devblogs!AH2</f>
        <v>Friday</v>
      </c>
      <c r="I54" s="27" t="e">
        <f t="shared" ca="1" si="3"/>
        <v>#NAME?</v>
      </c>
      <c r="J54" s="27" t="e">
        <f t="shared" ca="1" si="4"/>
        <v>#NAME?</v>
      </c>
      <c r="K54" s="27">
        <f>C54-'Dev servers'!C63</f>
        <v>15</v>
      </c>
      <c r="L54" s="28">
        <f t="shared" si="2"/>
        <v>99</v>
      </c>
      <c r="M54" s="5" t="b">
        <f t="shared" si="15"/>
        <v>0</v>
      </c>
      <c r="N54" s="5" t="b">
        <f t="shared" si="16"/>
        <v>0</v>
      </c>
      <c r="O54" s="5" t="b">
        <f t="shared" si="17"/>
        <v>0</v>
      </c>
      <c r="P54" s="5" t="b">
        <f t="shared" si="18"/>
        <v>0</v>
      </c>
      <c r="Q54" s="5" t="b">
        <f t="shared" si="19"/>
        <v>0</v>
      </c>
      <c r="R54" s="5" t="b">
        <f t="shared" si="20"/>
        <v>0</v>
      </c>
      <c r="S54" s="5" t="b">
        <f t="shared" si="21"/>
        <v>0</v>
      </c>
      <c r="T54" s="5" t="b">
        <f t="shared" si="22"/>
        <v>0</v>
      </c>
      <c r="U54" s="5" t="b">
        <f t="shared" si="23"/>
        <v>1</v>
      </c>
      <c r="V54" s="39">
        <f t="shared" si="7"/>
        <v>45090</v>
      </c>
      <c r="W54" s="40">
        <f t="shared" si="8"/>
        <v>0.87569444444670808</v>
      </c>
      <c r="X54" s="51">
        <f t="shared" si="34"/>
        <v>41439</v>
      </c>
      <c r="Y54" s="62">
        <f t="shared" si="35"/>
        <v>41385</v>
      </c>
    </row>
    <row r="55" spans="1:25" ht="15" x14ac:dyDescent="0.2">
      <c r="A55" s="52">
        <v>2.29</v>
      </c>
      <c r="B55" s="17" t="s">
        <v>113</v>
      </c>
      <c r="C55" s="53">
        <v>45188</v>
      </c>
      <c r="D55" s="17" t="str">
        <f t="shared" si="0"/>
        <v>Tuesday</v>
      </c>
      <c r="E55" s="63">
        <v>45187.793749999997</v>
      </c>
      <c r="F55" s="55">
        <v>45188</v>
      </c>
      <c r="G55" s="55">
        <f>Devblogs!AD2</f>
        <v>45159</v>
      </c>
      <c r="H55" s="15" t="str">
        <f>Devblogs!AE2</f>
        <v>Monday</v>
      </c>
      <c r="I55" s="30" t="e">
        <f t="shared" ca="1" si="3"/>
        <v>#NAME?</v>
      </c>
      <c r="J55" s="30" t="e">
        <f t="shared" ca="1" si="4"/>
        <v>#NAME?</v>
      </c>
      <c r="K55" s="30">
        <f>C55-'Dev servers'!C65</f>
        <v>7</v>
      </c>
      <c r="L55" s="31">
        <f t="shared" si="2"/>
        <v>97</v>
      </c>
      <c r="M55" s="19" t="b">
        <f t="shared" si="15"/>
        <v>1</v>
      </c>
      <c r="N55" s="19" t="b">
        <f t="shared" si="16"/>
        <v>0</v>
      </c>
      <c r="O55" s="19" t="b">
        <f t="shared" si="17"/>
        <v>0</v>
      </c>
      <c r="P55" s="19" t="b">
        <f t="shared" si="18"/>
        <v>0</v>
      </c>
      <c r="Q55" s="19" t="b">
        <f t="shared" si="19"/>
        <v>0</v>
      </c>
      <c r="R55" s="19" t="b">
        <f t="shared" si="20"/>
        <v>0</v>
      </c>
      <c r="S55" s="19" t="b">
        <f t="shared" si="21"/>
        <v>0</v>
      </c>
      <c r="T55" s="19" t="b">
        <f t="shared" si="22"/>
        <v>0</v>
      </c>
      <c r="U55" s="19" t="b">
        <f t="shared" si="23"/>
        <v>0</v>
      </c>
      <c r="V55" s="32">
        <f t="shared" si="7"/>
        <v>45187</v>
      </c>
      <c r="W55" s="33">
        <f t="shared" si="8"/>
        <v>0.79374999999708962</v>
      </c>
      <c r="X55" s="56">
        <f t="shared" si="34"/>
        <v>41536</v>
      </c>
      <c r="Y55" s="57">
        <f t="shared" si="35"/>
        <v>41507</v>
      </c>
    </row>
    <row r="56" spans="1:25" ht="15" x14ac:dyDescent="0.2">
      <c r="A56" s="58">
        <v>2.31</v>
      </c>
      <c r="B56" s="59" t="s">
        <v>114</v>
      </c>
      <c r="C56" s="60">
        <v>45230</v>
      </c>
      <c r="D56" s="60" t="str">
        <f t="shared" si="0"/>
        <v>Tuesday</v>
      </c>
      <c r="E56" s="64">
        <v>45229.793055555558</v>
      </c>
      <c r="F56" s="60">
        <v>45230</v>
      </c>
      <c r="G56" s="60">
        <f>Devblogs!AA2</f>
        <v>45212</v>
      </c>
      <c r="H56" s="59" t="str">
        <f>Devblogs!AB2</f>
        <v>Friday</v>
      </c>
      <c r="I56" s="27" t="e">
        <f t="shared" ca="1" si="3"/>
        <v>#NAME?</v>
      </c>
      <c r="J56" s="27" t="e">
        <f t="shared" ca="1" si="4"/>
        <v>#NAME?</v>
      </c>
      <c r="K56" s="27">
        <f>C56-'Dev servers'!C66</f>
        <v>11</v>
      </c>
      <c r="L56" s="28">
        <f t="shared" si="2"/>
        <v>42</v>
      </c>
      <c r="M56" s="5" t="b">
        <f t="shared" si="15"/>
        <v>1</v>
      </c>
      <c r="N56" s="5" t="b">
        <f t="shared" si="16"/>
        <v>0</v>
      </c>
      <c r="O56" s="5" t="b">
        <f t="shared" si="17"/>
        <v>0</v>
      </c>
      <c r="P56" s="5" t="b">
        <f t="shared" si="18"/>
        <v>0</v>
      </c>
      <c r="Q56" s="5" t="b">
        <f t="shared" si="19"/>
        <v>0</v>
      </c>
      <c r="R56" s="5" t="b">
        <f t="shared" si="20"/>
        <v>0</v>
      </c>
      <c r="S56" s="5" t="b">
        <f t="shared" si="21"/>
        <v>0</v>
      </c>
      <c r="T56" s="5" t="b">
        <f t="shared" si="22"/>
        <v>0</v>
      </c>
      <c r="U56" s="5" t="b">
        <f t="shared" si="23"/>
        <v>0</v>
      </c>
      <c r="V56" s="39">
        <f t="shared" si="7"/>
        <v>45229</v>
      </c>
      <c r="W56" s="40">
        <f t="shared" si="8"/>
        <v>0.7930555555576575</v>
      </c>
      <c r="X56" s="51">
        <f t="shared" si="34"/>
        <v>41578</v>
      </c>
      <c r="Y56" s="62">
        <f t="shared" si="35"/>
        <v>41560</v>
      </c>
    </row>
    <row r="57" spans="1:25" ht="15" x14ac:dyDescent="0.2">
      <c r="A57" s="52">
        <v>2.33</v>
      </c>
      <c r="B57" s="17" t="s">
        <v>115</v>
      </c>
      <c r="C57" s="53">
        <v>45274</v>
      </c>
      <c r="D57" s="17" t="str">
        <f t="shared" si="0"/>
        <v>Thursday</v>
      </c>
      <c r="E57" s="63">
        <v>45273.793055555558</v>
      </c>
      <c r="F57" s="55">
        <v>45274</v>
      </c>
      <c r="G57" s="55">
        <f>Devblogs!X2</f>
        <v>45261</v>
      </c>
      <c r="H57" s="15" t="str">
        <f>Devblogs!Y2</f>
        <v>Friday</v>
      </c>
      <c r="I57" s="30" t="e">
        <f t="shared" ca="1" si="3"/>
        <v>#NAME?</v>
      </c>
      <c r="J57" s="30" t="e">
        <f t="shared" ca="1" si="4"/>
        <v>#NAME?</v>
      </c>
      <c r="K57" s="30">
        <f>C57-'Dev servers'!C67</f>
        <v>7</v>
      </c>
      <c r="L57" s="31">
        <f t="shared" si="2"/>
        <v>44</v>
      </c>
      <c r="M57" s="19" t="b">
        <f t="shared" si="15"/>
        <v>1</v>
      </c>
      <c r="N57" s="19" t="b">
        <f t="shared" si="16"/>
        <v>0</v>
      </c>
      <c r="O57" s="19" t="b">
        <f t="shared" si="17"/>
        <v>0</v>
      </c>
      <c r="P57" s="19" t="b">
        <f t="shared" si="18"/>
        <v>0</v>
      </c>
      <c r="Q57" s="19" t="b">
        <f t="shared" si="19"/>
        <v>0</v>
      </c>
      <c r="R57" s="19" t="b">
        <f t="shared" si="20"/>
        <v>0</v>
      </c>
      <c r="S57" s="19" t="b">
        <f t="shared" si="21"/>
        <v>0</v>
      </c>
      <c r="T57" s="19" t="b">
        <f t="shared" si="22"/>
        <v>0</v>
      </c>
      <c r="U57" s="19" t="b">
        <f t="shared" si="23"/>
        <v>0</v>
      </c>
      <c r="V57" s="32">
        <f t="shared" si="7"/>
        <v>45273</v>
      </c>
      <c r="W57" s="33">
        <f t="shared" si="8"/>
        <v>0.7930555555576575</v>
      </c>
      <c r="X57" s="56">
        <f t="shared" si="34"/>
        <v>41622</v>
      </c>
      <c r="Y57" s="57">
        <f t="shared" si="35"/>
        <v>41609</v>
      </c>
    </row>
    <row r="58" spans="1:25" ht="15" x14ac:dyDescent="0.2">
      <c r="A58" s="58">
        <v>2.35</v>
      </c>
      <c r="B58" s="59" t="s">
        <v>116</v>
      </c>
      <c r="C58" s="60">
        <v>45364</v>
      </c>
      <c r="D58" s="60" t="str">
        <f t="shared" si="0"/>
        <v>Wednesday</v>
      </c>
      <c r="E58" s="64">
        <v>45363.79583333333</v>
      </c>
      <c r="F58" s="60">
        <v>45363</v>
      </c>
      <c r="G58" s="60">
        <f>Devblogs!U2</f>
        <v>45344</v>
      </c>
      <c r="H58" s="59" t="str">
        <f>Devblogs!V2</f>
        <v>Thursday</v>
      </c>
      <c r="I58" s="27" t="e">
        <f t="shared" ca="1" si="3"/>
        <v>#NAME?</v>
      </c>
      <c r="J58" s="27" t="e">
        <f t="shared" ca="1" si="4"/>
        <v>#NAME?</v>
      </c>
      <c r="K58" s="27">
        <f>C58-'Dev servers'!C68</f>
        <v>12</v>
      </c>
      <c r="L58" s="28">
        <f t="shared" si="2"/>
        <v>90</v>
      </c>
      <c r="M58" s="5" t="b">
        <f t="shared" si="15"/>
        <v>0</v>
      </c>
      <c r="N58" s="5" t="b">
        <f t="shared" si="16"/>
        <v>1</v>
      </c>
      <c r="O58" s="5" t="b">
        <f t="shared" si="17"/>
        <v>0</v>
      </c>
      <c r="P58" s="5" t="b">
        <f t="shared" si="18"/>
        <v>0</v>
      </c>
      <c r="Q58" s="5" t="b">
        <f t="shared" si="19"/>
        <v>0</v>
      </c>
      <c r="R58" s="5" t="b">
        <f t="shared" si="20"/>
        <v>0</v>
      </c>
      <c r="S58" s="5" t="b">
        <f t="shared" si="21"/>
        <v>0</v>
      </c>
      <c r="T58" s="5" t="b">
        <f t="shared" si="22"/>
        <v>0</v>
      </c>
      <c r="U58" s="5" t="b">
        <f t="shared" si="23"/>
        <v>0</v>
      </c>
      <c r="V58" s="39">
        <f t="shared" si="7"/>
        <v>45363</v>
      </c>
      <c r="W58" s="40">
        <f t="shared" si="8"/>
        <v>0.79583333332993789</v>
      </c>
      <c r="X58" s="51">
        <f t="shared" ref="X58:X63" si="36">C58-365*8-366*3</f>
        <v>41346</v>
      </c>
      <c r="Y58" s="62">
        <f>G58-365*9-366*2</f>
        <v>41327</v>
      </c>
    </row>
    <row r="59" spans="1:25" ht="15" x14ac:dyDescent="0.2">
      <c r="A59" s="52">
        <v>2.37</v>
      </c>
      <c r="B59" s="17" t="s">
        <v>117</v>
      </c>
      <c r="C59" s="53">
        <v>45462</v>
      </c>
      <c r="D59" s="17" t="str">
        <f t="shared" si="0"/>
        <v>Wednesday</v>
      </c>
      <c r="E59" s="63">
        <v>45461.792361111111</v>
      </c>
      <c r="F59" s="55">
        <v>45447</v>
      </c>
      <c r="G59" s="55">
        <f>Devblogs!R2</f>
        <v>45436</v>
      </c>
      <c r="H59" s="15" t="str">
        <f>Devblogs!S2</f>
        <v>Friday</v>
      </c>
      <c r="I59" s="30" t="e">
        <f t="shared" ca="1" si="3"/>
        <v>#NAME?</v>
      </c>
      <c r="J59" s="30" t="e">
        <f t="shared" ca="1" si="4"/>
        <v>#NAME?</v>
      </c>
      <c r="K59" s="30">
        <f>C59-'Dev servers'!C69</f>
        <v>19</v>
      </c>
      <c r="L59" s="31">
        <f t="shared" si="2"/>
        <v>98</v>
      </c>
      <c r="M59" s="19" t="b">
        <f t="shared" si="15"/>
        <v>0</v>
      </c>
      <c r="N59" s="19" t="b">
        <f t="shared" si="16"/>
        <v>0</v>
      </c>
      <c r="O59" s="19" t="b">
        <f t="shared" si="17"/>
        <v>0</v>
      </c>
      <c r="P59" s="19" t="b">
        <f t="shared" si="18"/>
        <v>0</v>
      </c>
      <c r="Q59" s="19" t="b">
        <f t="shared" si="19"/>
        <v>0</v>
      </c>
      <c r="R59" s="19" t="b">
        <f t="shared" si="20"/>
        <v>0</v>
      </c>
      <c r="S59" s="19" t="b">
        <f t="shared" si="21"/>
        <v>0</v>
      </c>
      <c r="T59" s="19" t="b">
        <f t="shared" si="22"/>
        <v>0</v>
      </c>
      <c r="U59" s="19" t="b">
        <f t="shared" si="23"/>
        <v>1</v>
      </c>
      <c r="V59" s="32">
        <f t="shared" si="7"/>
        <v>45461</v>
      </c>
      <c r="W59" s="33">
        <f t="shared" si="8"/>
        <v>0.79236111111094942</v>
      </c>
      <c r="X59" s="56">
        <f t="shared" si="36"/>
        <v>41444</v>
      </c>
      <c r="Y59" s="57">
        <f>G59-365*8-366*3</f>
        <v>41418</v>
      </c>
    </row>
    <row r="60" spans="1:25" ht="30" x14ac:dyDescent="0.2">
      <c r="A60" s="58">
        <v>2.39</v>
      </c>
      <c r="B60" s="59" t="s">
        <v>118</v>
      </c>
      <c r="C60" s="60">
        <v>45545</v>
      </c>
      <c r="D60" s="60" t="str">
        <f t="shared" si="0"/>
        <v>Tuesday</v>
      </c>
      <c r="E60" s="64">
        <v>45544.793055555558</v>
      </c>
      <c r="F60" s="60">
        <v>45545</v>
      </c>
      <c r="G60" s="60">
        <f>Devblogs!O2</f>
        <v>45526</v>
      </c>
      <c r="H60" s="59" t="str">
        <f>Devblogs!P2</f>
        <v>Thursday</v>
      </c>
      <c r="I60" s="27" t="e">
        <f t="shared" ca="1" si="3"/>
        <v>#NAME?</v>
      </c>
      <c r="J60" s="27" t="e">
        <f t="shared" ca="1" si="4"/>
        <v>#NAME?</v>
      </c>
      <c r="K60" s="27">
        <f>C60-'Dev servers'!C70</f>
        <v>11</v>
      </c>
      <c r="L60" s="28">
        <f t="shared" si="2"/>
        <v>83</v>
      </c>
      <c r="M60" s="5" t="b">
        <f t="shared" si="15"/>
        <v>1</v>
      </c>
      <c r="N60" s="5" t="b">
        <f t="shared" si="16"/>
        <v>0</v>
      </c>
      <c r="O60" s="5" t="b">
        <f t="shared" si="17"/>
        <v>0</v>
      </c>
      <c r="P60" s="5" t="b">
        <f t="shared" si="18"/>
        <v>0</v>
      </c>
      <c r="Q60" s="5" t="b">
        <f t="shared" si="19"/>
        <v>0</v>
      </c>
      <c r="R60" s="5" t="b">
        <f t="shared" si="20"/>
        <v>0</v>
      </c>
      <c r="S60" s="5" t="b">
        <f t="shared" si="21"/>
        <v>0</v>
      </c>
      <c r="T60" s="5" t="b">
        <f t="shared" si="22"/>
        <v>0</v>
      </c>
      <c r="U60" s="5" t="b">
        <f t="shared" si="23"/>
        <v>0</v>
      </c>
      <c r="V60" s="39">
        <f t="shared" si="7"/>
        <v>45544</v>
      </c>
      <c r="W60" s="40">
        <f t="shared" si="8"/>
        <v>0.7930555555576575</v>
      </c>
      <c r="X60" s="51">
        <f t="shared" si="36"/>
        <v>41527</v>
      </c>
      <c r="Y60" s="62">
        <f>G60-365*9-366*2</f>
        <v>41509</v>
      </c>
    </row>
    <row r="61" spans="1:25" ht="15" x14ac:dyDescent="0.2">
      <c r="A61" s="52">
        <v>2.41</v>
      </c>
      <c r="B61" s="17" t="s">
        <v>119</v>
      </c>
      <c r="C61" s="53">
        <v>45615</v>
      </c>
      <c r="D61" s="17" t="str">
        <f t="shared" si="0"/>
        <v>Tuesday</v>
      </c>
      <c r="E61" s="63">
        <v>45614.794444444444</v>
      </c>
      <c r="F61" s="55">
        <v>45601</v>
      </c>
      <c r="G61" s="55">
        <f>Devblogs!L2</f>
        <v>45580</v>
      </c>
      <c r="H61" s="15" t="str">
        <f>Devblogs!M2</f>
        <v>Tuesday</v>
      </c>
      <c r="I61" s="30" t="e">
        <f t="shared" ca="1" si="3"/>
        <v>#NAME?</v>
      </c>
      <c r="J61" s="30" t="e">
        <f t="shared" ca="1" si="4"/>
        <v>#NAME?</v>
      </c>
      <c r="K61" s="30">
        <f>C61-'Dev servers'!C71</f>
        <v>25</v>
      </c>
      <c r="L61" s="31">
        <f t="shared" si="2"/>
        <v>70</v>
      </c>
      <c r="M61" s="19" t="b">
        <f t="shared" si="15"/>
        <v>0</v>
      </c>
      <c r="N61" s="19" t="b">
        <f t="shared" si="16"/>
        <v>0</v>
      </c>
      <c r="O61" s="19" t="b">
        <f t="shared" si="17"/>
        <v>0</v>
      </c>
      <c r="P61" s="19" t="b">
        <f t="shared" si="18"/>
        <v>0</v>
      </c>
      <c r="Q61" s="19" t="b">
        <f t="shared" si="19"/>
        <v>0</v>
      </c>
      <c r="R61" s="19" t="b">
        <f t="shared" si="20"/>
        <v>0</v>
      </c>
      <c r="S61" s="19" t="b">
        <f t="shared" si="21"/>
        <v>0</v>
      </c>
      <c r="T61" s="19" t="b">
        <f t="shared" si="22"/>
        <v>0</v>
      </c>
      <c r="U61" s="19" t="b">
        <f t="shared" si="23"/>
        <v>1</v>
      </c>
      <c r="V61" s="32">
        <f t="shared" si="7"/>
        <v>45614</v>
      </c>
      <c r="W61" s="33">
        <f t="shared" si="8"/>
        <v>0.79444444444379769</v>
      </c>
      <c r="X61" s="56">
        <f t="shared" si="36"/>
        <v>41597</v>
      </c>
      <c r="Y61" s="57">
        <f t="shared" ref="Y61:Y63" si="37">G61-365*8-366*3</f>
        <v>41562</v>
      </c>
    </row>
    <row r="62" spans="1:25" ht="15" x14ac:dyDescent="0.2">
      <c r="A62" s="58">
        <v>2.4300000000000002</v>
      </c>
      <c r="B62" s="59" t="s">
        <v>120</v>
      </c>
      <c r="C62" s="60">
        <v>45642</v>
      </c>
      <c r="D62" s="60" t="str">
        <f t="shared" si="0"/>
        <v>Monday</v>
      </c>
      <c r="E62" s="64">
        <v>45641.836805555555</v>
      </c>
      <c r="F62" s="60">
        <v>45638</v>
      </c>
      <c r="G62" s="60">
        <f>Devblogs!I2</f>
        <v>45631</v>
      </c>
      <c r="H62" s="59" t="str">
        <f>Devblogs!J2</f>
        <v>Thursday</v>
      </c>
      <c r="I62" s="27" t="e">
        <f t="shared" ca="1" si="3"/>
        <v>#NAME?</v>
      </c>
      <c r="J62" s="27" t="e">
        <f t="shared" ca="1" si="4"/>
        <v>#NAME?</v>
      </c>
      <c r="K62" s="27">
        <f>C62-'Dev servers'!C72</f>
        <v>6</v>
      </c>
      <c r="L62" s="28">
        <f t="shared" si="2"/>
        <v>27</v>
      </c>
      <c r="M62" s="5" t="b">
        <f t="shared" si="15"/>
        <v>0</v>
      </c>
      <c r="N62" s="5" t="b">
        <f t="shared" si="16"/>
        <v>0</v>
      </c>
      <c r="O62" s="5" t="b">
        <f t="shared" si="17"/>
        <v>0</v>
      </c>
      <c r="P62" s="5" t="b">
        <f t="shared" si="18"/>
        <v>0</v>
      </c>
      <c r="Q62" s="5" t="b">
        <f t="shared" si="19"/>
        <v>1</v>
      </c>
      <c r="R62" s="5" t="b">
        <f t="shared" si="20"/>
        <v>0</v>
      </c>
      <c r="S62" s="5" t="b">
        <f t="shared" si="21"/>
        <v>0</v>
      </c>
      <c r="T62" s="5" t="b">
        <f t="shared" si="22"/>
        <v>0</v>
      </c>
      <c r="U62" s="5" t="b">
        <f t="shared" si="23"/>
        <v>0</v>
      </c>
      <c r="V62" s="39">
        <f t="shared" si="7"/>
        <v>45641</v>
      </c>
      <c r="W62" s="40">
        <f t="shared" si="8"/>
        <v>0.83680555555474712</v>
      </c>
      <c r="X62" s="51">
        <f t="shared" si="36"/>
        <v>41624</v>
      </c>
      <c r="Y62" s="62">
        <f t="shared" si="37"/>
        <v>41613</v>
      </c>
    </row>
    <row r="63" spans="1:25" ht="15" x14ac:dyDescent="0.2">
      <c r="A63" s="52">
        <v>2.4500000000000002</v>
      </c>
      <c r="B63" s="17"/>
      <c r="C63" s="53"/>
      <c r="D63" s="17"/>
      <c r="E63" s="63"/>
      <c r="F63" s="55"/>
      <c r="G63" s="55">
        <f>Devblogs!F2</f>
        <v>45708</v>
      </c>
      <c r="H63" s="15" t="str">
        <f>Devblogs!G2</f>
        <v>Thursday</v>
      </c>
      <c r="I63" s="30" t="e">
        <f t="shared" ca="1" si="3"/>
        <v>#NAME?</v>
      </c>
      <c r="J63" s="30"/>
      <c r="K63" s="30"/>
      <c r="L63" s="31"/>
      <c r="M63" s="19" t="b">
        <f t="shared" si="15"/>
        <v>1</v>
      </c>
      <c r="N63" s="19" t="b">
        <f t="shared" si="16"/>
        <v>0</v>
      </c>
      <c r="O63" s="19" t="b">
        <f t="shared" si="17"/>
        <v>0</v>
      </c>
      <c r="P63" s="19" t="b">
        <f t="shared" si="18"/>
        <v>0</v>
      </c>
      <c r="Q63" s="19" t="b">
        <f t="shared" si="19"/>
        <v>0</v>
      </c>
      <c r="R63" s="19" t="b">
        <f t="shared" si="20"/>
        <v>0</v>
      </c>
      <c r="S63" s="19" t="b">
        <f t="shared" si="21"/>
        <v>0</v>
      </c>
      <c r="T63" s="19" t="b">
        <f t="shared" si="22"/>
        <v>0</v>
      </c>
      <c r="U63" s="19" t="b">
        <f t="shared" si="23"/>
        <v>0</v>
      </c>
      <c r="V63" s="32">
        <f t="shared" si="7"/>
        <v>0</v>
      </c>
      <c r="W63" s="33">
        <f t="shared" si="8"/>
        <v>0</v>
      </c>
      <c r="X63" s="56">
        <f t="shared" si="36"/>
        <v>-4018</v>
      </c>
      <c r="Y63" s="57">
        <f t="shared" si="37"/>
        <v>41690</v>
      </c>
    </row>
    <row r="64" spans="1:25" ht="15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5"/>
      <c r="V64" s="39"/>
      <c r="W64" s="40"/>
      <c r="X64" s="5"/>
      <c r="Y64" s="6"/>
    </row>
    <row r="65" spans="1:25" ht="15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5"/>
      <c r="V65" s="39"/>
      <c r="W65" s="40"/>
      <c r="X65" s="5"/>
      <c r="Y65" s="6"/>
    </row>
    <row r="66" spans="1:25" ht="15" x14ac:dyDescent="0.2">
      <c r="A66" s="66"/>
      <c r="B66" s="413" t="s">
        <v>121</v>
      </c>
      <c r="C66" s="404"/>
      <c r="D66" s="405"/>
      <c r="E66" s="67"/>
      <c r="F66" s="413" t="s">
        <v>122</v>
      </c>
      <c r="G66" s="404"/>
      <c r="H66" s="68">
        <f>FORECAST(E65,W5:W62,A5:A62)</f>
        <v>0.79953327663945073</v>
      </c>
      <c r="I66" s="5"/>
      <c r="J66" s="413" t="s">
        <v>123</v>
      </c>
      <c r="K66" s="404"/>
      <c r="L66" s="69">
        <f>FORECAST(K65,K18:K62,A18:A62)</f>
        <v>16.39500013304594</v>
      </c>
      <c r="M66" s="5"/>
      <c r="N66" s="70"/>
      <c r="O66" s="5"/>
      <c r="P66" s="51"/>
      <c r="Q66" s="51"/>
      <c r="R66" s="5"/>
      <c r="S66" s="5"/>
      <c r="T66" s="5"/>
      <c r="U66" s="5"/>
      <c r="V66" s="39"/>
      <c r="W66" s="40"/>
      <c r="X66" s="5"/>
      <c r="Y66" s="6"/>
    </row>
    <row r="67" spans="1:25" ht="15" x14ac:dyDescent="0.2">
      <c r="A67" s="66"/>
      <c r="B67" s="71" t="s">
        <v>124</v>
      </c>
      <c r="C67" s="15">
        <f>COUNTIF(D3:D65,"Monday")</f>
        <v>4</v>
      </c>
      <c r="D67" s="72">
        <f t="shared" ref="D67:D73" si="38">C67/SUM($C$67:$C$73)</f>
        <v>6.6666666666666666E-2</v>
      </c>
      <c r="E67" s="67"/>
      <c r="F67" s="5"/>
      <c r="G67" s="5"/>
      <c r="H67" s="5"/>
      <c r="I67" s="5"/>
      <c r="J67" s="5"/>
      <c r="K67" s="65"/>
      <c r="L67" s="5"/>
      <c r="M67" s="5"/>
      <c r="N67" s="70"/>
      <c r="O67" s="5"/>
      <c r="P67" s="51"/>
      <c r="Q67" s="51"/>
      <c r="R67" s="5"/>
      <c r="S67" s="5"/>
      <c r="T67" s="5"/>
      <c r="U67" s="5"/>
      <c r="V67" s="39"/>
      <c r="W67" s="40"/>
      <c r="X67" s="5"/>
      <c r="Y67" s="6"/>
    </row>
    <row r="68" spans="1:25" ht="15" x14ac:dyDescent="0.2">
      <c r="A68" s="66"/>
      <c r="B68" s="8" t="s">
        <v>125</v>
      </c>
      <c r="C68" s="9">
        <f>COUNTIF(D3:D65,"Tuesday")</f>
        <v>25</v>
      </c>
      <c r="D68" s="73">
        <f t="shared" si="38"/>
        <v>0.41666666666666669</v>
      </c>
      <c r="E68" s="67"/>
      <c r="F68" s="413" t="s">
        <v>126</v>
      </c>
      <c r="G68" s="404"/>
      <c r="H68" s="405"/>
      <c r="I68" s="5"/>
      <c r="J68" s="413" t="s">
        <v>127</v>
      </c>
      <c r="K68" s="404"/>
      <c r="L68" s="405"/>
      <c r="M68" s="5"/>
      <c r="N68" s="5"/>
      <c r="O68" s="74"/>
      <c r="P68" s="51"/>
      <c r="Q68" s="51"/>
      <c r="R68" s="5"/>
      <c r="S68" s="5"/>
      <c r="T68" s="5"/>
      <c r="U68" s="5"/>
      <c r="V68" s="39"/>
      <c r="W68" s="40"/>
      <c r="X68" s="5"/>
      <c r="Y68" s="6"/>
    </row>
    <row r="69" spans="1:25" ht="15" x14ac:dyDescent="0.2">
      <c r="A69" s="66"/>
      <c r="B69" s="71" t="s">
        <v>128</v>
      </c>
      <c r="C69" s="15">
        <f>COUNTIF(D3:D65,"Wednesday")</f>
        <v>18</v>
      </c>
      <c r="D69" s="72">
        <f t="shared" si="38"/>
        <v>0.3</v>
      </c>
      <c r="E69" s="67"/>
      <c r="F69" s="71" t="s">
        <v>129</v>
      </c>
      <c r="G69" s="75">
        <f>AVERAGE(Y13,Y18,Y23,Y28,Y33,Y38,Y43,Y48,Y53,Y58)</f>
        <v>41316.800000000003</v>
      </c>
      <c r="H69" s="76" t="e">
        <f t="shared" ref="H69:H73" ca="1" si="39">IF(M69&gt;=0,M69,M69+365)</f>
        <v>#NAME?</v>
      </c>
      <c r="I69" s="65"/>
      <c r="J69" s="52" t="s">
        <v>129</v>
      </c>
      <c r="K69" s="77">
        <f>FORECAST(T79,O69:O78,T69:T78)</f>
        <v>41327.933333333342</v>
      </c>
      <c r="L69" s="78" t="e">
        <f t="shared" ref="L69:L73" ca="1" si="40">IF(N69&gt;=0,N69,N69+365)</f>
        <v>#NAME?</v>
      </c>
      <c r="M69" s="5" t="e">
        <f t="shared" ref="M69:M72" ca="1" si="41">_xludf.DAYS(G69,TODAY()-365*9-366*3)</f>
        <v>#NAME?</v>
      </c>
      <c r="N69" s="5" t="e">
        <f t="shared" ref="N69:N72" ca="1" si="42">_xludf.DAYS(K69,TODAY()-365*9-366*3)</f>
        <v>#NAME?</v>
      </c>
      <c r="O69" s="79">
        <f>Y13</f>
        <v>41307</v>
      </c>
      <c r="P69" s="79">
        <f>Y14</f>
        <v>41381</v>
      </c>
      <c r="Q69" s="35">
        <f>Y15</f>
        <v>41441</v>
      </c>
      <c r="R69" s="35">
        <f>Y16</f>
        <v>41491</v>
      </c>
      <c r="S69" s="35">
        <f>Y17</f>
        <v>41611</v>
      </c>
      <c r="T69" s="74">
        <v>2015</v>
      </c>
      <c r="U69" s="5"/>
      <c r="V69" s="39"/>
      <c r="W69" s="40"/>
      <c r="X69" s="5"/>
      <c r="Y69" s="6"/>
    </row>
    <row r="70" spans="1:25" ht="15" x14ac:dyDescent="0.2">
      <c r="A70" s="66"/>
      <c r="B70" s="8" t="s">
        <v>130</v>
      </c>
      <c r="C70" s="9">
        <f>COUNTIF(D3:D65,"Thursday")</f>
        <v>12</v>
      </c>
      <c r="D70" s="73">
        <f t="shared" si="38"/>
        <v>0.2</v>
      </c>
      <c r="E70" s="67"/>
      <c r="F70" s="8" t="s">
        <v>131</v>
      </c>
      <c r="G70" s="80">
        <f>AVERAGE(Y29,Y34,Y39,Y44,Y49,Y59)</f>
        <v>41406.166666666664</v>
      </c>
      <c r="H70" s="81" t="e">
        <f t="shared" ca="1" si="39"/>
        <v>#NAME?</v>
      </c>
      <c r="I70" s="65"/>
      <c r="J70" s="8" t="s">
        <v>131</v>
      </c>
      <c r="K70" s="80">
        <f>FORECAST(T79,P71:P78,T71:T78)</f>
        <v>41407.928571428572</v>
      </c>
      <c r="L70" s="82" t="e">
        <f t="shared" ca="1" si="40"/>
        <v>#NAME?</v>
      </c>
      <c r="M70" s="5" t="e">
        <f t="shared" ca="1" si="41"/>
        <v>#NAME?</v>
      </c>
      <c r="N70" s="5" t="e">
        <f t="shared" ca="1" si="42"/>
        <v>#NAME?</v>
      </c>
      <c r="O70" s="79">
        <f>Y18</f>
        <v>41300</v>
      </c>
      <c r="P70" s="79">
        <f>Y19</f>
        <v>41356</v>
      </c>
      <c r="Q70" s="35">
        <f>Y20</f>
        <v>41461</v>
      </c>
      <c r="R70" s="35">
        <f>Y21</f>
        <v>41519</v>
      </c>
      <c r="S70" s="35">
        <f>Y22</f>
        <v>41588</v>
      </c>
      <c r="T70" s="74">
        <v>2016</v>
      </c>
      <c r="U70" s="5"/>
      <c r="V70" s="39"/>
      <c r="W70" s="40"/>
      <c r="X70" s="5"/>
      <c r="Y70" s="6"/>
    </row>
    <row r="71" spans="1:25" ht="15" x14ac:dyDescent="0.2">
      <c r="A71" s="66"/>
      <c r="B71" s="71" t="s">
        <v>132</v>
      </c>
      <c r="C71" s="15">
        <f>COUNTIF(D3:D65,"Friday")</f>
        <v>1</v>
      </c>
      <c r="D71" s="72">
        <f t="shared" si="38"/>
        <v>1.6666666666666666E-2</v>
      </c>
      <c r="E71" s="67"/>
      <c r="F71" s="71" t="s">
        <v>133</v>
      </c>
      <c r="G71" s="75">
        <f>AVERAGE(Y25,Y30,Y35,Y40,Y45,Y50,Y55,Y60)</f>
        <v>41504</v>
      </c>
      <c r="H71" s="76" t="e">
        <f t="shared" ca="1" si="39"/>
        <v>#NAME?</v>
      </c>
      <c r="I71" s="65"/>
      <c r="J71" s="71" t="s">
        <v>133</v>
      </c>
      <c r="K71" s="75">
        <f>FORECAST(T79,Q71:Q78,T71:T78)</f>
        <v>41506.571428571428</v>
      </c>
      <c r="L71" s="78" t="e">
        <f t="shared" ca="1" si="40"/>
        <v>#NAME?</v>
      </c>
      <c r="M71" s="5" t="e">
        <f t="shared" ca="1" si="41"/>
        <v>#NAME?</v>
      </c>
      <c r="N71" s="5" t="e">
        <f t="shared" ca="1" si="42"/>
        <v>#NAME?</v>
      </c>
      <c r="O71" s="79">
        <f>Y23</f>
        <v>41319</v>
      </c>
      <c r="P71" s="79">
        <f>Y24</f>
        <v>41396</v>
      </c>
      <c r="Q71" s="35">
        <f>Y25</f>
        <v>41504</v>
      </c>
      <c r="R71" s="35">
        <f>Y26</f>
        <v>41558</v>
      </c>
      <c r="S71" s="35">
        <f>Y27</f>
        <v>41610</v>
      </c>
      <c r="T71" s="74">
        <v>2017</v>
      </c>
      <c r="U71" s="5"/>
      <c r="V71" s="39"/>
      <c r="W71" s="40"/>
      <c r="X71" s="5"/>
      <c r="Y71" s="6"/>
    </row>
    <row r="72" spans="1:25" ht="15" x14ac:dyDescent="0.2">
      <c r="A72" s="66"/>
      <c r="B72" s="8" t="s">
        <v>134</v>
      </c>
      <c r="C72" s="9">
        <f>COUNTIF(D3:D65,"Saturday")</f>
        <v>0</v>
      </c>
      <c r="D72" s="73">
        <f t="shared" si="38"/>
        <v>0</v>
      </c>
      <c r="E72" s="46"/>
      <c r="F72" s="8" t="s">
        <v>135</v>
      </c>
      <c r="G72" s="80">
        <f>AVERAGE(Y26,Y31,Y36,Y41,Y46,Y51,Y56)</f>
        <v>41559</v>
      </c>
      <c r="H72" s="81" t="e">
        <f t="shared" ca="1" si="39"/>
        <v>#NAME?</v>
      </c>
      <c r="I72" s="65"/>
      <c r="J72" s="8" t="s">
        <v>135</v>
      </c>
      <c r="K72" s="80">
        <f>FORECAST(T78,R71:R77,T71:T77)</f>
        <v>41560.28571428571</v>
      </c>
      <c r="L72" s="82" t="e">
        <f t="shared" ca="1" si="40"/>
        <v>#NAME?</v>
      </c>
      <c r="M72" s="5" t="e">
        <f t="shared" ca="1" si="41"/>
        <v>#NAME?</v>
      </c>
      <c r="N72" s="5" t="e">
        <f t="shared" ca="1" si="42"/>
        <v>#NAME?</v>
      </c>
      <c r="O72" s="79">
        <f>Y28</f>
        <v>41312</v>
      </c>
      <c r="P72" s="79">
        <f>Y29</f>
        <v>41405</v>
      </c>
      <c r="Q72" s="35">
        <f>Y30</f>
        <v>41507</v>
      </c>
      <c r="R72" s="35">
        <f>Y31</f>
        <v>41556</v>
      </c>
      <c r="S72" s="35">
        <f>Y32</f>
        <v>41601</v>
      </c>
      <c r="T72" s="74">
        <v>2018</v>
      </c>
      <c r="U72" s="5"/>
      <c r="V72" s="39"/>
      <c r="W72" s="40"/>
      <c r="X72" s="5"/>
      <c r="Y72" s="6"/>
    </row>
    <row r="73" spans="1:25" ht="15" x14ac:dyDescent="0.2">
      <c r="A73" s="66"/>
      <c r="B73" s="71" t="s">
        <v>136</v>
      </c>
      <c r="C73" s="15">
        <f>COUNTIF(D3:D65,"Sunday")</f>
        <v>0</v>
      </c>
      <c r="D73" s="72">
        <f t="shared" si="38"/>
        <v>0</v>
      </c>
      <c r="E73" s="5"/>
      <c r="F73" s="71" t="s">
        <v>137</v>
      </c>
      <c r="G73" s="75">
        <f>AVERAGE(Y17,Y22,Y27,Y32,Y37,Y42,Y47,Y52,Y57)</f>
        <v>41606.111111111109</v>
      </c>
      <c r="H73" s="76" t="e">
        <f t="shared" ca="1" si="39"/>
        <v>#NAME?</v>
      </c>
      <c r="I73" s="65"/>
      <c r="J73" s="71" t="s">
        <v>137</v>
      </c>
      <c r="K73" s="75">
        <f>FORECAST(T78,S69:S77,T69:T77)</f>
        <v>41611.027777777781</v>
      </c>
      <c r="L73" s="78" t="e">
        <f t="shared" ca="1" si="40"/>
        <v>#NAME?</v>
      </c>
      <c r="M73" s="5" t="e">
        <f ca="1">_xludf.DAYS(G73,TODAY()-365*8-366*3)</f>
        <v>#NAME?</v>
      </c>
      <c r="N73" s="5" t="e">
        <f ca="1">_xludf.DAYS(K73,TODAY()-365*8-366*3)</f>
        <v>#NAME?</v>
      </c>
      <c r="O73" s="79">
        <f>Y33</f>
        <v>41320</v>
      </c>
      <c r="P73" s="35">
        <f>Y34</f>
        <v>41397</v>
      </c>
      <c r="Q73" s="35">
        <f>Y35</f>
        <v>41499</v>
      </c>
      <c r="R73" s="35">
        <f>Y36</f>
        <v>41558</v>
      </c>
      <c r="S73" s="35">
        <f>Y37</f>
        <v>41606</v>
      </c>
      <c r="T73" s="74">
        <v>2019</v>
      </c>
      <c r="U73" s="5"/>
      <c r="V73" s="39"/>
      <c r="W73" s="40"/>
      <c r="X73" s="5"/>
      <c r="Y73" s="6"/>
    </row>
    <row r="74" spans="1:25" ht="15" x14ac:dyDescent="0.2">
      <c r="A74" s="66"/>
      <c r="B74" s="5"/>
      <c r="C74" s="5"/>
      <c r="D74" s="46"/>
      <c r="E74" s="5"/>
      <c r="F74" s="5"/>
      <c r="G74" s="5"/>
      <c r="H74" s="5"/>
      <c r="I74" s="5"/>
      <c r="J74" s="5"/>
      <c r="K74" s="74"/>
      <c r="L74" s="5"/>
      <c r="M74" s="5"/>
      <c r="N74" s="65"/>
      <c r="O74" s="79">
        <f>Y38</f>
        <v>41325</v>
      </c>
      <c r="P74" s="35">
        <f>Y39</f>
        <v>41399</v>
      </c>
      <c r="Q74" s="35">
        <f>Y40</f>
        <v>41500</v>
      </c>
      <c r="R74" s="35">
        <f>Y41</f>
        <v>41567</v>
      </c>
      <c r="S74" s="35">
        <f>Y42</f>
        <v>41615</v>
      </c>
      <c r="T74" s="74">
        <v>2020</v>
      </c>
      <c r="U74" s="5"/>
      <c r="V74" s="39"/>
      <c r="W74" s="40"/>
      <c r="X74" s="5"/>
      <c r="Y74" s="6"/>
    </row>
    <row r="75" spans="1:25" ht="15" x14ac:dyDescent="0.2">
      <c r="A75" s="66"/>
      <c r="B75" s="413" t="s">
        <v>138</v>
      </c>
      <c r="C75" s="404"/>
      <c r="D75" s="405"/>
      <c r="E75" s="5"/>
      <c r="F75" s="413" t="s">
        <v>139</v>
      </c>
      <c r="G75" s="405"/>
      <c r="H75" s="5"/>
      <c r="I75" s="83"/>
      <c r="J75" s="83"/>
      <c r="K75" s="74"/>
      <c r="L75" s="5"/>
      <c r="M75" s="5"/>
      <c r="N75" s="65"/>
      <c r="O75" s="84">
        <f>Y43</f>
        <v>41320</v>
      </c>
      <c r="P75" s="51">
        <f>Y44</f>
        <v>41406</v>
      </c>
      <c r="Q75" s="51">
        <f>Y45</f>
        <v>41504</v>
      </c>
      <c r="R75" s="51">
        <f>Y46</f>
        <v>41555</v>
      </c>
      <c r="S75" s="51">
        <f>Y47</f>
        <v>41608</v>
      </c>
      <c r="T75" s="74">
        <v>2021</v>
      </c>
      <c r="U75" s="5"/>
      <c r="V75" s="39"/>
      <c r="W75" s="40"/>
      <c r="X75" s="5"/>
      <c r="Y75" s="6"/>
    </row>
    <row r="76" spans="1:25" ht="15" x14ac:dyDescent="0.2">
      <c r="A76" s="66"/>
      <c r="B76" s="71" t="s">
        <v>124</v>
      </c>
      <c r="C76" s="15">
        <f>COUNTIF(H3:H65,"Monday")</f>
        <v>5</v>
      </c>
      <c r="D76" s="72">
        <f t="shared" ref="D76:D82" si="43">C76/SUM($C$76:$C$82)</f>
        <v>8.9285714285714288E-2</v>
      </c>
      <c r="E76" s="5"/>
      <c r="F76" s="85" t="s">
        <v>129</v>
      </c>
      <c r="G76" s="86" t="e">
        <f t="shared" ref="G76:G80" ca="1" si="44">IF(M76&gt;=0,M76,M76+365)</f>
        <v>#NAME?</v>
      </c>
      <c r="H76" s="65"/>
      <c r="I76" s="5"/>
      <c r="J76" s="5"/>
      <c r="K76" s="74"/>
      <c r="L76" s="5"/>
      <c r="M76" s="87" t="e">
        <f ca="1">AVERAGE(J13,J18,J23,J28,J33,J38,J43,J53,J58)</f>
        <v>#NAME?</v>
      </c>
      <c r="N76" s="5"/>
      <c r="O76" s="51">
        <f>Y48</f>
        <v>41323</v>
      </c>
      <c r="P76" s="51">
        <f>Y49</f>
        <v>41412</v>
      </c>
      <c r="Q76" s="51">
        <f>Y50</f>
        <v>41502</v>
      </c>
      <c r="R76" s="51">
        <f>Y51</f>
        <v>41559</v>
      </c>
      <c r="S76" s="51">
        <f>Y52</f>
        <v>41607</v>
      </c>
      <c r="T76" s="5">
        <v>2022</v>
      </c>
      <c r="U76" s="5"/>
      <c r="V76" s="39"/>
      <c r="W76" s="40"/>
      <c r="X76" s="5"/>
      <c r="Y76" s="6"/>
    </row>
    <row r="77" spans="1:25" ht="15" x14ac:dyDescent="0.2">
      <c r="A77" s="66"/>
      <c r="B77" s="8" t="s">
        <v>125</v>
      </c>
      <c r="C77" s="9">
        <f>COUNTIF(H3:H65,"Tuesday")</f>
        <v>13</v>
      </c>
      <c r="D77" s="73">
        <f t="shared" si="43"/>
        <v>0.23214285714285715</v>
      </c>
      <c r="E77" s="5"/>
      <c r="F77" s="88" t="s">
        <v>131</v>
      </c>
      <c r="G77" s="89" t="e">
        <f t="shared" ca="1" si="44"/>
        <v>#NAME?</v>
      </c>
      <c r="H77" s="65"/>
      <c r="I77" s="5"/>
      <c r="J77" s="5"/>
      <c r="K77" s="74"/>
      <c r="L77" s="5"/>
      <c r="M77" s="87" t="e">
        <f ca="1">AVERAGE(J24,J29,J34,J39,J44,J49,J54,J59)</f>
        <v>#NAME?</v>
      </c>
      <c r="N77" s="5"/>
      <c r="O77" s="51">
        <f>Y53</f>
        <v>41315</v>
      </c>
      <c r="P77" s="51">
        <f>Y54</f>
        <v>41385</v>
      </c>
      <c r="Q77" s="51">
        <f>Y55</f>
        <v>41507</v>
      </c>
      <c r="R77" s="51">
        <f>Y56</f>
        <v>41560</v>
      </c>
      <c r="S77" s="51">
        <f>Y57</f>
        <v>41609</v>
      </c>
      <c r="T77" s="5">
        <v>2023</v>
      </c>
      <c r="U77" s="5"/>
      <c r="V77" s="39"/>
      <c r="W77" s="40"/>
      <c r="X77" s="5"/>
      <c r="Y77" s="6"/>
    </row>
    <row r="78" spans="1:25" ht="15" x14ac:dyDescent="0.2">
      <c r="A78" s="66"/>
      <c r="B78" s="71" t="s">
        <v>128</v>
      </c>
      <c r="C78" s="15">
        <f>COUNTIF(H3:H65,"Wednesday")</f>
        <v>10</v>
      </c>
      <c r="D78" s="72">
        <f t="shared" si="43"/>
        <v>0.17857142857142858</v>
      </c>
      <c r="E78" s="5"/>
      <c r="F78" s="85" t="s">
        <v>133</v>
      </c>
      <c r="G78" s="86" t="e">
        <f t="shared" ca="1" si="44"/>
        <v>#NAME?</v>
      </c>
      <c r="H78" s="65"/>
      <c r="I78" s="5"/>
      <c r="J78" s="5"/>
      <c r="K78" s="74"/>
      <c r="L78" s="5"/>
      <c r="M78" s="87" t="e">
        <f t="shared" ref="M78:M79" ca="1" si="45">AVERAGE(J20,J25,J30,J35,J40,J45,J50,J55,J60)</f>
        <v>#NAME?</v>
      </c>
      <c r="N78" s="5"/>
      <c r="O78" s="51">
        <f>Y58</f>
        <v>41327</v>
      </c>
      <c r="P78" s="51">
        <f>Y59</f>
        <v>41418</v>
      </c>
      <c r="Q78" s="51">
        <f>Y60</f>
        <v>41509</v>
      </c>
      <c r="R78" s="51">
        <f>Y61</f>
        <v>41562</v>
      </c>
      <c r="S78" s="51">
        <f>Y62</f>
        <v>41613</v>
      </c>
      <c r="T78" s="5">
        <v>2024</v>
      </c>
      <c r="U78" s="5"/>
      <c r="V78" s="39"/>
      <c r="W78" s="40"/>
      <c r="X78" s="5"/>
      <c r="Y78" s="6"/>
    </row>
    <row r="79" spans="1:25" ht="15" x14ac:dyDescent="0.2">
      <c r="A79" s="66"/>
      <c r="B79" s="8" t="s">
        <v>130</v>
      </c>
      <c r="C79" s="9">
        <f>COUNTIF(H3:H65,"Thursday")</f>
        <v>9</v>
      </c>
      <c r="D79" s="73">
        <f t="shared" si="43"/>
        <v>0.16071428571428573</v>
      </c>
      <c r="E79" s="5"/>
      <c r="F79" s="88" t="s">
        <v>135</v>
      </c>
      <c r="G79" s="89" t="e">
        <f t="shared" ca="1" si="44"/>
        <v>#NAME?</v>
      </c>
      <c r="H79" s="65"/>
      <c r="I79" s="5"/>
      <c r="J79" s="5"/>
      <c r="K79" s="74"/>
      <c r="L79" s="5"/>
      <c r="M79" s="87" t="e">
        <f t="shared" ca="1" si="45"/>
        <v>#NAME?</v>
      </c>
      <c r="N79" s="5"/>
      <c r="O79" s="5"/>
      <c r="P79" s="51"/>
      <c r="Q79" s="51"/>
      <c r="R79" s="5"/>
      <c r="S79" s="5"/>
      <c r="T79" s="5">
        <v>2025</v>
      </c>
      <c r="U79" s="5"/>
      <c r="V79" s="39"/>
      <c r="W79" s="40"/>
      <c r="X79" s="5"/>
      <c r="Y79" s="6"/>
    </row>
    <row r="80" spans="1:25" ht="15" x14ac:dyDescent="0.2">
      <c r="A80" s="66"/>
      <c r="B80" s="71" t="s">
        <v>132</v>
      </c>
      <c r="C80" s="15">
        <f>COUNTIF(H3:H65,"Friday")</f>
        <v>18</v>
      </c>
      <c r="D80" s="72">
        <f t="shared" si="43"/>
        <v>0.32142857142857145</v>
      </c>
      <c r="E80" s="5"/>
      <c r="F80" s="85" t="s">
        <v>137</v>
      </c>
      <c r="G80" s="86" t="e">
        <f t="shared" ca="1" si="44"/>
        <v>#NAME?</v>
      </c>
      <c r="H80" s="65"/>
      <c r="I80" s="5"/>
      <c r="J80" s="5"/>
      <c r="K80" s="74"/>
      <c r="L80" s="5"/>
      <c r="M80" s="87" t="e">
        <f ca="1">AVERAGE(J17,J27,J32,J37,J42,J47,J52,J57)</f>
        <v>#NAME?</v>
      </c>
      <c r="N80" s="5"/>
      <c r="O80" s="5"/>
      <c r="P80" s="51"/>
      <c r="Q80" s="51"/>
      <c r="R80" s="5"/>
      <c r="S80" s="5"/>
      <c r="T80" s="5"/>
      <c r="U80" s="5"/>
      <c r="V80" s="39"/>
      <c r="W80" s="40"/>
      <c r="X80" s="5"/>
      <c r="Y80" s="6"/>
    </row>
    <row r="81" spans="1:25" ht="15" x14ac:dyDescent="0.2">
      <c r="A81" s="66"/>
      <c r="B81" s="8" t="s">
        <v>134</v>
      </c>
      <c r="C81" s="9">
        <f>COUNTIF(H3:H65,"Saturday")</f>
        <v>1</v>
      </c>
      <c r="D81" s="73">
        <f t="shared" si="43"/>
        <v>1.7857142857142856E-2</v>
      </c>
      <c r="E81" s="5"/>
      <c r="F81" s="4"/>
      <c r="G81" s="4"/>
      <c r="H81" s="4"/>
      <c r="I81" s="5"/>
      <c r="J81" s="5"/>
      <c r="K81" s="74"/>
      <c r="L81" s="5"/>
      <c r="M81" s="5"/>
      <c r="N81" s="5"/>
      <c r="O81" s="5"/>
      <c r="P81" s="51"/>
      <c r="Q81" s="51"/>
      <c r="R81" s="5"/>
      <c r="S81" s="5"/>
      <c r="T81" s="5"/>
      <c r="U81" s="5"/>
      <c r="V81" s="39"/>
      <c r="W81" s="40"/>
      <c r="X81" s="5"/>
      <c r="Y81" s="6"/>
    </row>
    <row r="82" spans="1:25" ht="15" x14ac:dyDescent="0.2">
      <c r="A82" s="66"/>
      <c r="B82" s="71" t="s">
        <v>136</v>
      </c>
      <c r="C82" s="15">
        <f>COUNTIF(H3:H65,"Sunday")</f>
        <v>0</v>
      </c>
      <c r="D82" s="72">
        <f t="shared" si="43"/>
        <v>0</v>
      </c>
      <c r="E82" s="5"/>
      <c r="F82" s="413" t="s">
        <v>140</v>
      </c>
      <c r="G82" s="404"/>
      <c r="H82" s="405"/>
      <c r="I82" s="5"/>
      <c r="J82" s="413" t="s">
        <v>141</v>
      </c>
      <c r="K82" s="404"/>
      <c r="L82" s="405"/>
      <c r="M82" s="5"/>
      <c r="N82" s="5"/>
      <c r="O82" s="5"/>
      <c r="P82" s="51"/>
      <c r="Q82" s="51"/>
      <c r="R82" s="5"/>
      <c r="S82" s="5"/>
      <c r="T82" s="5"/>
      <c r="U82" s="5"/>
      <c r="V82" s="39"/>
      <c r="W82" s="40"/>
      <c r="X82" s="5"/>
      <c r="Y82" s="6"/>
    </row>
    <row r="83" spans="1:25" ht="15" x14ac:dyDescent="0.2">
      <c r="A83" s="90"/>
      <c r="B83" s="65"/>
      <c r="C83" s="65"/>
      <c r="D83" s="65"/>
      <c r="E83" s="5"/>
      <c r="F83" s="71" t="s">
        <v>129</v>
      </c>
      <c r="G83" s="75">
        <f>AVERAGE(X18,X23,X28,X33,X38,X43,X48,X53,X58)</f>
        <v>41347.111111111109</v>
      </c>
      <c r="H83" s="76" t="e">
        <f t="shared" ref="H83:H87" ca="1" si="46">IF(M83&gt;=0,M83,M83+365)</f>
        <v>#NAME?</v>
      </c>
      <c r="I83" s="65"/>
      <c r="J83" s="71" t="s">
        <v>129</v>
      </c>
      <c r="K83" s="75">
        <f>FORECAST(T93,O84:O92,T84:T92)</f>
        <v>41345.694444444445</v>
      </c>
      <c r="L83" s="76" t="e">
        <f t="shared" ref="L83:L87" ca="1" si="47">IF(N83&gt;=0,N83,N83+365)</f>
        <v>#NAME?</v>
      </c>
      <c r="M83" s="5" t="e">
        <f t="shared" ref="M83:M86" ca="1" si="48">_xludf.DAYS(G83,TODAY()-365*9-366*3)</f>
        <v>#NAME?</v>
      </c>
      <c r="N83" s="5" t="e">
        <f t="shared" ref="N83:N86" ca="1" si="49">_xludf.DAYS(K83,TODAY()-365*9-366*3)</f>
        <v>#NAME?</v>
      </c>
      <c r="O83" s="79">
        <f>X13</f>
        <v>41329</v>
      </c>
      <c r="P83" s="79">
        <f>X14</f>
        <v>41394</v>
      </c>
      <c r="Q83" s="35">
        <f>X15</f>
        <v>41455</v>
      </c>
      <c r="R83" s="35">
        <f>X16</f>
        <v>41583</v>
      </c>
      <c r="S83" s="35">
        <f>X17</f>
        <v>41623</v>
      </c>
      <c r="T83" s="74">
        <v>2015</v>
      </c>
      <c r="U83" s="5"/>
      <c r="V83" s="5"/>
      <c r="W83" s="5"/>
      <c r="X83" s="5"/>
      <c r="Y83" s="5"/>
    </row>
    <row r="84" spans="1:25" ht="15" x14ac:dyDescent="0.2">
      <c r="A84" s="66"/>
      <c r="B84" s="413" t="s">
        <v>142</v>
      </c>
      <c r="C84" s="404"/>
      <c r="D84" s="405"/>
      <c r="E84" s="5"/>
      <c r="F84" s="8" t="s">
        <v>131</v>
      </c>
      <c r="G84" s="91">
        <f t="shared" ref="G84:G85" si="50">AVERAGE(X24,X29,X34,X39,X44,X49,X54,X59)</f>
        <v>41431.125</v>
      </c>
      <c r="H84" s="81" t="e">
        <f t="shared" ca="1" si="46"/>
        <v>#NAME?</v>
      </c>
      <c r="I84" s="65"/>
      <c r="J84" s="8" t="s">
        <v>131</v>
      </c>
      <c r="K84" s="91">
        <f>FORECAST(T93,P84:P92,T84:T92)</f>
        <v>41440.611111111109</v>
      </c>
      <c r="L84" s="81" t="e">
        <f t="shared" ca="1" si="47"/>
        <v>#NAME?</v>
      </c>
      <c r="M84" s="5" t="e">
        <f t="shared" ca="1" si="48"/>
        <v>#NAME?</v>
      </c>
      <c r="N84" s="5" t="e">
        <f t="shared" ca="1" si="49"/>
        <v>#NAME?</v>
      </c>
      <c r="O84" s="79">
        <f>X18</f>
        <v>41348</v>
      </c>
      <c r="P84" s="79">
        <f>X19</f>
        <v>41434</v>
      </c>
      <c r="Q84" s="35">
        <f>X20</f>
        <v>41489</v>
      </c>
      <c r="R84" s="35">
        <f>X21</f>
        <v>41546</v>
      </c>
      <c r="S84" s="35">
        <f>X22</f>
        <v>41628</v>
      </c>
      <c r="T84" s="74">
        <v>2016</v>
      </c>
      <c r="U84" s="5"/>
      <c r="V84" s="5"/>
      <c r="W84" s="5"/>
      <c r="X84" s="5"/>
      <c r="Y84" s="5"/>
    </row>
    <row r="85" spans="1:25" ht="15" x14ac:dyDescent="0.2">
      <c r="A85" s="66"/>
      <c r="B85" s="71" t="s">
        <v>143</v>
      </c>
      <c r="C85" s="15">
        <f>COUNTIF(M25:M65,TRUE)</f>
        <v>12</v>
      </c>
      <c r="D85" s="72">
        <f t="shared" ref="D85:D93" si="51">C85/SUM($C$85:$C$93)</f>
        <v>0.30769230769230771</v>
      </c>
      <c r="E85" s="5"/>
      <c r="F85" s="71" t="s">
        <v>133</v>
      </c>
      <c r="G85" s="77">
        <f t="shared" si="50"/>
        <v>41529.5</v>
      </c>
      <c r="H85" s="76" t="e">
        <f t="shared" ca="1" si="46"/>
        <v>#NAME?</v>
      </c>
      <c r="I85" s="65"/>
      <c r="J85" s="71" t="s">
        <v>133</v>
      </c>
      <c r="K85" s="77">
        <f>FORECAST(T93,Q85:Q92,T85:T92)</f>
        <v>41527.25</v>
      </c>
      <c r="L85" s="76" t="e">
        <f t="shared" ca="1" si="47"/>
        <v>#NAME?</v>
      </c>
      <c r="M85" s="5" t="e">
        <f t="shared" ca="1" si="48"/>
        <v>#NAME?</v>
      </c>
      <c r="N85" s="5" t="e">
        <f t="shared" ca="1" si="49"/>
        <v>#NAME?</v>
      </c>
      <c r="O85" s="79">
        <f>X23</f>
        <v>41349</v>
      </c>
      <c r="P85" s="79">
        <f>X24</f>
        <v>41419</v>
      </c>
      <c r="Q85" s="35">
        <f>X25</f>
        <v>41535</v>
      </c>
      <c r="R85" s="35">
        <f>X26</f>
        <v>41579</v>
      </c>
      <c r="S85" s="35">
        <f>X27</f>
        <v>41627</v>
      </c>
      <c r="T85" s="74">
        <v>2017</v>
      </c>
      <c r="U85" s="5"/>
      <c r="V85" s="5"/>
      <c r="W85" s="5"/>
      <c r="X85" s="5"/>
      <c r="Y85" s="5"/>
    </row>
    <row r="86" spans="1:25" ht="15" x14ac:dyDescent="0.2">
      <c r="A86" s="66"/>
      <c r="B86" s="8" t="s">
        <v>144</v>
      </c>
      <c r="C86" s="9">
        <f>COUNTIF(N25:N65,TRUE)</f>
        <v>8</v>
      </c>
      <c r="D86" s="73">
        <f t="shared" si="51"/>
        <v>0.20512820512820512</v>
      </c>
      <c r="E86" s="5"/>
      <c r="F86" s="8" t="s">
        <v>135</v>
      </c>
      <c r="G86" s="91">
        <f>AVERAGE(X16,X21,X26,X31,X36,X41,X46,X51,X56)</f>
        <v>41575</v>
      </c>
      <c r="H86" s="81" t="e">
        <f t="shared" ca="1" si="46"/>
        <v>#NAME?</v>
      </c>
      <c r="I86" s="65"/>
      <c r="J86" s="8" t="s">
        <v>135</v>
      </c>
      <c r="K86" s="91">
        <f>FORECAST(T92,R83:R91,T83:T91)</f>
        <v>41581.5</v>
      </c>
      <c r="L86" s="81" t="e">
        <f t="shared" ca="1" si="47"/>
        <v>#NAME?</v>
      </c>
      <c r="M86" s="5" t="e">
        <f t="shared" ca="1" si="48"/>
        <v>#NAME?</v>
      </c>
      <c r="N86" s="5" t="e">
        <f t="shared" ca="1" si="49"/>
        <v>#NAME?</v>
      </c>
      <c r="O86" s="79">
        <f>X28</f>
        <v>41347</v>
      </c>
      <c r="P86" s="79">
        <f>X29</f>
        <v>41437</v>
      </c>
      <c r="Q86" s="35">
        <f>X30</f>
        <v>41536</v>
      </c>
      <c r="R86" s="35">
        <f>X31</f>
        <v>41570</v>
      </c>
      <c r="S86" s="35">
        <f>X32</f>
        <v>41625</v>
      </c>
      <c r="T86" s="74">
        <v>2018</v>
      </c>
      <c r="U86" s="5"/>
      <c r="V86" s="5"/>
      <c r="W86" s="5"/>
      <c r="X86" s="5"/>
      <c r="Y86" s="5"/>
    </row>
    <row r="87" spans="1:25" ht="15" x14ac:dyDescent="0.2">
      <c r="A87" s="66"/>
      <c r="B87" s="71" t="s">
        <v>145</v>
      </c>
      <c r="C87" s="15">
        <f>COUNTIF(O25:O65,TRUE)</f>
        <v>4</v>
      </c>
      <c r="D87" s="72">
        <f t="shared" si="51"/>
        <v>0.10256410256410256</v>
      </c>
      <c r="E87" s="5"/>
      <c r="F87" s="71" t="s">
        <v>137</v>
      </c>
      <c r="G87" s="77">
        <f>AVERAGE(X8,X12,X17,X22,X27,X32,X37,X42,X47,X52,X57)</f>
        <v>41625.090909090912</v>
      </c>
      <c r="H87" s="76" t="e">
        <f t="shared" ca="1" si="46"/>
        <v>#NAME?</v>
      </c>
      <c r="I87" s="65"/>
      <c r="J87" s="71" t="s">
        <v>137</v>
      </c>
      <c r="K87" s="77">
        <f>FORECAST(T92,S83:S91,T83:T91)</f>
        <v>41624.027777777774</v>
      </c>
      <c r="L87" s="76" t="e">
        <f t="shared" ca="1" si="47"/>
        <v>#NAME?</v>
      </c>
      <c r="M87" s="5" t="e">
        <f ca="1">_xludf.DAYS(G87,TODAY()-365*8-366*3)</f>
        <v>#NAME?</v>
      </c>
      <c r="N87" s="5" t="e">
        <f ca="1">_xludf.DAYS(K87,TODAY()-365*8-366*3)</f>
        <v>#NAME?</v>
      </c>
      <c r="O87" s="79">
        <f>X33</f>
        <v>41345</v>
      </c>
      <c r="P87" s="35">
        <f>X34</f>
        <v>41423</v>
      </c>
      <c r="Q87" s="35">
        <f>X35</f>
        <v>41528</v>
      </c>
      <c r="R87" s="35">
        <f>X36</f>
        <v>41576</v>
      </c>
      <c r="S87" s="35">
        <f>X37</f>
        <v>41625</v>
      </c>
      <c r="T87" s="74">
        <v>2019</v>
      </c>
      <c r="U87" s="5"/>
      <c r="V87" s="5"/>
      <c r="W87" s="5"/>
      <c r="X87" s="5"/>
      <c r="Y87" s="5"/>
    </row>
    <row r="88" spans="1:25" ht="15" x14ac:dyDescent="0.2">
      <c r="A88" s="66"/>
      <c r="B88" s="8" t="s">
        <v>146</v>
      </c>
      <c r="C88" s="9">
        <f>COUNTIF(P25:P65,TRUE)</f>
        <v>1</v>
      </c>
      <c r="D88" s="73">
        <f t="shared" si="51"/>
        <v>2.564102564102564E-2</v>
      </c>
      <c r="E88" s="5"/>
      <c r="F88" s="5"/>
      <c r="G88" s="5"/>
      <c r="H88" s="92"/>
      <c r="I88" s="93"/>
      <c r="J88" s="93"/>
      <c r="K88" s="65"/>
      <c r="L88" s="74"/>
      <c r="M88" s="5"/>
      <c r="N88" s="5"/>
      <c r="O88" s="79">
        <f>X38</f>
        <v>41349</v>
      </c>
      <c r="P88" s="35">
        <f>X39</f>
        <v>41420</v>
      </c>
      <c r="Q88" s="35">
        <f>X40</f>
        <v>41519</v>
      </c>
      <c r="R88" s="35">
        <f>X41</f>
        <v>41595</v>
      </c>
      <c r="S88" s="51">
        <f>X42</f>
        <v>41626</v>
      </c>
      <c r="T88" s="74">
        <v>2020</v>
      </c>
      <c r="U88" s="5"/>
      <c r="V88" s="5"/>
      <c r="W88" s="5"/>
      <c r="X88" s="5"/>
      <c r="Y88" s="5"/>
    </row>
    <row r="89" spans="1:25" ht="15" x14ac:dyDescent="0.2">
      <c r="A89" s="66"/>
      <c r="B89" s="71" t="s">
        <v>147</v>
      </c>
      <c r="C89" s="15">
        <f>COUNTIF(Q25:Q65,TRUE)</f>
        <v>2</v>
      </c>
      <c r="D89" s="72">
        <f t="shared" si="51"/>
        <v>5.128205128205128E-2</v>
      </c>
      <c r="E89" s="5"/>
      <c r="F89" s="413" t="s">
        <v>148</v>
      </c>
      <c r="G89" s="404"/>
      <c r="H89" s="405"/>
      <c r="I89" s="93"/>
      <c r="J89" s="93"/>
      <c r="K89" s="65"/>
      <c r="L89" s="74"/>
      <c r="M89" s="94"/>
      <c r="N89" s="5"/>
      <c r="O89" s="84">
        <f>X43</f>
        <v>41343</v>
      </c>
      <c r="P89" s="51">
        <f>X44</f>
        <v>41427</v>
      </c>
      <c r="Q89" s="51">
        <f>X45</f>
        <v>41524</v>
      </c>
      <c r="R89" s="51">
        <f>X46</f>
        <v>41575</v>
      </c>
      <c r="S89" s="51">
        <f>X47</f>
        <v>41622</v>
      </c>
      <c r="T89" s="74">
        <v>2021</v>
      </c>
      <c r="U89" s="5"/>
      <c r="V89" s="5"/>
      <c r="W89" s="5"/>
      <c r="X89" s="5"/>
      <c r="Y89" s="5"/>
    </row>
    <row r="90" spans="1:25" ht="15" x14ac:dyDescent="0.2">
      <c r="A90" s="66"/>
      <c r="B90" s="8" t="s">
        <v>149</v>
      </c>
      <c r="C90" s="9">
        <f>COUNTIF(R25:R65,TRUE)</f>
        <v>1</v>
      </c>
      <c r="D90" s="73">
        <f t="shared" si="51"/>
        <v>2.564102564102564E-2</v>
      </c>
      <c r="E90" s="5"/>
      <c r="F90" s="414" t="s">
        <v>129</v>
      </c>
      <c r="G90" s="404"/>
      <c r="H90" s="86" t="e">
        <f t="shared" ref="H90:H94" ca="1" si="52">IF(M90&gt;=0,M90,M90+365)</f>
        <v>#NAME?</v>
      </c>
      <c r="I90" s="93"/>
      <c r="J90" s="93"/>
      <c r="K90" s="65"/>
      <c r="L90" s="74"/>
      <c r="M90" s="87" t="e">
        <f ca="1">AVERAGE(I23,I33,I38,I43,I48,I53,I58)</f>
        <v>#NAME?</v>
      </c>
      <c r="N90" s="5"/>
      <c r="O90" s="51">
        <f>X48</f>
        <v>41357</v>
      </c>
      <c r="P90" s="51">
        <f>X49</f>
        <v>41440</v>
      </c>
      <c r="Q90" s="51">
        <f>X50</f>
        <v>41531</v>
      </c>
      <c r="R90" s="51">
        <f>X51</f>
        <v>41573</v>
      </c>
      <c r="S90" s="51">
        <f>X52</f>
        <v>41628</v>
      </c>
      <c r="T90" s="5">
        <v>2022</v>
      </c>
      <c r="U90" s="5"/>
      <c r="V90" s="5"/>
      <c r="W90" s="5"/>
      <c r="X90" s="5"/>
      <c r="Y90" s="5"/>
    </row>
    <row r="91" spans="1:25" ht="15" x14ac:dyDescent="0.2">
      <c r="A91" s="66"/>
      <c r="B91" s="71" t="s">
        <v>150</v>
      </c>
      <c r="C91" s="15">
        <f>COUNTIF(S25:S65,TRUE)</f>
        <v>5</v>
      </c>
      <c r="D91" s="72">
        <f t="shared" si="51"/>
        <v>0.12820512820512819</v>
      </c>
      <c r="E91" s="5"/>
      <c r="F91" s="415" t="s">
        <v>131</v>
      </c>
      <c r="G91" s="404"/>
      <c r="H91" s="89" t="e">
        <f t="shared" ca="1" si="52"/>
        <v>#NAME?</v>
      </c>
      <c r="I91" s="93"/>
      <c r="J91" s="93"/>
      <c r="K91" s="65"/>
      <c r="L91" s="74"/>
      <c r="M91" s="87" t="e">
        <f ca="1">AVERAGE(I14,I29,I34,I39,I44,I49,I54,I59)</f>
        <v>#NAME?</v>
      </c>
      <c r="N91" s="5"/>
      <c r="O91" s="51">
        <f>X53</f>
        <v>41340</v>
      </c>
      <c r="P91" s="51">
        <f>X54</f>
        <v>41439</v>
      </c>
      <c r="Q91" s="51">
        <f>X55</f>
        <v>41536</v>
      </c>
      <c r="R91" s="51">
        <f>X56</f>
        <v>41578</v>
      </c>
      <c r="S91" s="51">
        <f>X57</f>
        <v>41622</v>
      </c>
      <c r="T91" s="5">
        <v>2023</v>
      </c>
      <c r="U91" s="5"/>
      <c r="V91" s="5"/>
      <c r="W91" s="5"/>
      <c r="X91" s="5"/>
      <c r="Y91" s="5"/>
    </row>
    <row r="92" spans="1:25" ht="15" x14ac:dyDescent="0.2">
      <c r="A92" s="66"/>
      <c r="B92" s="8" t="s">
        <v>151</v>
      </c>
      <c r="C92" s="9">
        <f>COUNTIF(T25:T65,TRUE)</f>
        <v>0</v>
      </c>
      <c r="D92" s="73">
        <f t="shared" si="51"/>
        <v>0</v>
      </c>
      <c r="E92" s="5"/>
      <c r="F92" s="414" t="s">
        <v>133</v>
      </c>
      <c r="G92" s="404"/>
      <c r="H92" s="86" t="e">
        <f t="shared" ca="1" si="52"/>
        <v>#NAME?</v>
      </c>
      <c r="I92" s="93"/>
      <c r="J92" s="93"/>
      <c r="K92" s="65"/>
      <c r="L92" s="74"/>
      <c r="M92" s="87" t="e">
        <f ca="1">AVERAGE(I25,I30,I35,I40,I45,I50,I55,I60)</f>
        <v>#NAME?</v>
      </c>
      <c r="N92" s="5"/>
      <c r="O92" s="51">
        <f>X58</f>
        <v>41346</v>
      </c>
      <c r="P92" s="51">
        <f>X59</f>
        <v>41444</v>
      </c>
      <c r="Q92" s="51">
        <f>X60</f>
        <v>41527</v>
      </c>
      <c r="R92" s="51">
        <f>X61</f>
        <v>41597</v>
      </c>
      <c r="S92" s="5"/>
      <c r="T92" s="5">
        <v>2024</v>
      </c>
      <c r="U92" s="5"/>
      <c r="V92" s="5"/>
      <c r="W92" s="5"/>
      <c r="X92" s="5"/>
      <c r="Y92" s="5"/>
    </row>
    <row r="93" spans="1:25" ht="15" x14ac:dyDescent="0.2">
      <c r="A93" s="66"/>
      <c r="B93" s="71" t="s">
        <v>152</v>
      </c>
      <c r="C93" s="15">
        <f>COUNTIF(U25:U65,TRUE)</f>
        <v>6</v>
      </c>
      <c r="D93" s="72">
        <f t="shared" si="51"/>
        <v>0.15384615384615385</v>
      </c>
      <c r="E93" s="5"/>
      <c r="F93" s="415" t="s">
        <v>135</v>
      </c>
      <c r="G93" s="404"/>
      <c r="H93" s="89" t="e">
        <f t="shared" ca="1" si="52"/>
        <v>#NAME?</v>
      </c>
      <c r="I93" s="93"/>
      <c r="J93" s="93"/>
      <c r="K93" s="65"/>
      <c r="L93" s="74"/>
      <c r="M93" s="87" t="e">
        <f ca="1">AVERAGE(I16,I21,I26,I31,I36,I41,I46,I51,I56,I61)</f>
        <v>#NAME?</v>
      </c>
      <c r="N93" s="5"/>
      <c r="O93" s="5"/>
      <c r="P93" s="5"/>
      <c r="Q93" s="5"/>
      <c r="R93" s="5"/>
      <c r="S93" s="5"/>
      <c r="T93" s="5">
        <v>2025</v>
      </c>
      <c r="U93" s="5"/>
      <c r="V93" s="5"/>
      <c r="W93" s="5"/>
      <c r="X93" s="5"/>
      <c r="Y93" s="5"/>
    </row>
    <row r="94" spans="1:25" ht="15" x14ac:dyDescent="0.2">
      <c r="A94" s="66"/>
      <c r="B94" s="5"/>
      <c r="C94" s="5"/>
      <c r="D94" s="67"/>
      <c r="E94" s="5"/>
      <c r="F94" s="414" t="s">
        <v>137</v>
      </c>
      <c r="G94" s="404"/>
      <c r="H94" s="86" t="e">
        <f t="shared" ca="1" si="52"/>
        <v>#NAME?</v>
      </c>
      <c r="I94" s="93"/>
      <c r="J94" s="93"/>
      <c r="K94" s="65" t="s">
        <v>153</v>
      </c>
      <c r="L94" s="74"/>
      <c r="M94" s="87" t="e">
        <f ca="1">AVERAGE(I17,I22,I27,I32,I37,I42,I47,I52,I57)</f>
        <v>#NAME?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</sheetData>
  <mergeCells count="21">
    <mergeCell ref="F91:G91"/>
    <mergeCell ref="F92:G92"/>
    <mergeCell ref="F93:G93"/>
    <mergeCell ref="F94:G94"/>
    <mergeCell ref="F66:G66"/>
    <mergeCell ref="F68:H68"/>
    <mergeCell ref="F75:G75"/>
    <mergeCell ref="B66:D66"/>
    <mergeCell ref="J66:K66"/>
    <mergeCell ref="F82:H82"/>
    <mergeCell ref="F89:H89"/>
    <mergeCell ref="F90:G90"/>
    <mergeCell ref="J68:L68"/>
    <mergeCell ref="B75:D75"/>
    <mergeCell ref="J82:L82"/>
    <mergeCell ref="B84:D84"/>
    <mergeCell ref="A1:L1"/>
    <mergeCell ref="C2:D2"/>
    <mergeCell ref="G2:H2"/>
    <mergeCell ref="M2:U2"/>
    <mergeCell ref="V2:W2"/>
  </mergeCells>
  <conditionalFormatting sqref="A1:K63 M1:T63 U1:Y94 K66 L66:L67 O66:O67 I66:J68 P66:P68 N66:N73 H66:H75 E66:G94 M66:M94 Q66:T94 A67:D74 K69:K73 L69:L87 O69:O94 P73:P94 I74:J74 A76:D82 I76:I82 J76:J94 N76:N94 H81:H94 K82:K87 A84:D94 I88:I94">
    <cfRule type="cellIs" dxfId="77" priority="1" operator="equal">
      <formula>"Monday"</formula>
    </cfRule>
    <cfRule type="cellIs" dxfId="76" priority="2" operator="equal">
      <formula>"Tuesday"</formula>
    </cfRule>
    <cfRule type="cellIs" dxfId="75" priority="3" operator="equal">
      <formula>"Wednesday"</formula>
    </cfRule>
    <cfRule type="cellIs" dxfId="74" priority="4" operator="equal">
      <formula>"Thursday"</formula>
    </cfRule>
    <cfRule type="cellIs" dxfId="73" priority="5" operator="equal">
      <formula>"Friday"</formula>
    </cfRule>
    <cfRule type="cellIs" dxfId="72" priority="6" operator="equal">
      <formula>"Saturday"</formula>
    </cfRule>
  </conditionalFormatting>
  <hyperlinks>
    <hyperlink ref="E10" r:id="rId1" display="https://old-forum.warthunder.com/index.php?/topic/137467-server-maintenance-0730-gmt-to-1230-gmt/" xr:uid="{00000000-0004-0000-0100-000000000000}"/>
    <hyperlink ref="E11" r:id="rId2" display="https://old-forum.warthunder.com/index.php?/topic/181158-server-maintenance/" xr:uid="{00000000-0004-0000-0100-000001000000}"/>
    <hyperlink ref="E12" r:id="rId3" display="https://old-forum.warthunder.com/index.php?/topic/198458-news-scheduled-server-maintenance/" xr:uid="{00000000-0004-0000-0100-000002000000}"/>
    <hyperlink ref="E13" r:id="rId4" display="https://old-forum.warthunder.com/index.php?/topic/218208-news-scheduled-server-maintenance-24th-of-february-at-0700-gmt-to-1200-gmt/" xr:uid="{00000000-0004-0000-0100-000003000000}"/>
    <hyperlink ref="E14" r:id="rId5" display="https://old-forum.warthunder.com/index.php?/topic/236001-news-scheduled-server-maintenance-30th-of-april-from-730-gmt-to-1000-gmt/" xr:uid="{00000000-0004-0000-0100-000004000000}"/>
    <hyperlink ref="E15" r:id="rId6" location="comment-4822251" display="https://old-forum.warthunder.com/index.php?/topic/250633-maintenance-scheduled-server-maintenance/&amp;tab=comments - comment-4822251" xr:uid="{00000000-0004-0000-0100-000005000000}"/>
    <hyperlink ref="E16" r:id="rId7" location="comment-5370675" display="https://old-forum.warthunder.com/index.php?/topic/252768-future-content-rumour-roundup-currently-153/page/260/&amp;tab=comments - comment-5370675" xr:uid="{00000000-0004-0000-0100-000006000000}"/>
    <hyperlink ref="E17" r:id="rId8" display="https://old-forum.warthunder.com/index.php?/topic/285000-scheduled-server-maintenance-15122015/" xr:uid="{00000000-0004-0000-0100-000007000000}"/>
    <hyperlink ref="E18" r:id="rId9" location="comment-5934853" display="https://old-forum.warthunder.com/index.php?/topic/285382-patch-157-rumor-roundup/page/294/&amp;tab=comments - comment-5934853" xr:uid="{00000000-0004-0000-0100-000008000000}"/>
    <hyperlink ref="E19" r:id="rId10" location="comment-6220360" display="https://old-forum.warthunder.com/index.php?/topic/303630-patch-159-rumor-roundup/page/281/&amp;tab=comments - comment-6220360" xr:uid="{00000000-0004-0000-0100-000009000000}"/>
    <hyperlink ref="E20" r:id="rId11" display="https://old-forum.warthunder.com/index.php?/topic/325105-news-scheduled-server-maintenance-02082016-0800-gmt-utc/" xr:uid="{00000000-0004-0000-0100-00000A000000}"/>
    <hyperlink ref="E21" r:id="rId12" display="https://old-forum.warthunder.com/index.php?/topic/325333-patch-163-rumor-roundup-and-discussion/&amp;do=findComment&amp;comment=6482321" xr:uid="{00000000-0004-0000-0100-00000B000000}"/>
    <hyperlink ref="E22" r:id="rId13" location="comment-6648036" display="https://old-forum.warthunder.com/index.php?/topic/331379-165-rumor-round-up-and-discussion/page/307/&amp;tab=comments - comment-6648036" xr:uid="{00000000-0004-0000-0100-00000C000000}"/>
    <hyperlink ref="E23" r:id="rId14" display="https://old-forum.warthunder.com/index.php?/topic/342835-167-rumor-round-up-and-discussion/&amp;do=findComment&amp;comment=6834319" xr:uid="{00000000-0004-0000-0100-00000D000000}"/>
    <hyperlink ref="E24" r:id="rId15" location="comment-6973584" display="https://old-forum.warthunder.com/index.php?/topic/355719-169-rumor-round-up-and-discussion/page/201/&amp;tab=comments - comment-6973584" xr:uid="{00000000-0004-0000-0100-00000E000000}"/>
    <hyperlink ref="E26" r:id="rId16" display="https://old-forum.warthunder.com/index.php?/topic/385960-planned-technical-works-01112017/" xr:uid="{00000000-0004-0000-0100-00000F000000}"/>
    <hyperlink ref="E27" r:id="rId17" location="comment-7352628" display="https://old-forum.warthunder.com/index.php?/topic/386020-175-rumor-round-up-and-discussion/page/148/&amp;tab=comments - comment-7352628" xr:uid="{00000000-0004-0000-0100-000010000000}"/>
    <hyperlink ref="E28" r:id="rId18" location="comment-7503504" display="https://old-forum.warthunder.com/index.php?/topic/392717-177-rumor-round-up-and-discussion/page/380/&amp;tab=comments - comment-7503504" xr:uid="{00000000-0004-0000-0100-000011000000}"/>
    <hyperlink ref="E29" r:id="rId19" location="comment-7666381" display="https://old-forum.warthunder.com/index.php?/topic/402749-179-rumor-round-up-and-discussion/page/317/&amp;tab=comments - comment-7666381" xr:uid="{00000000-0004-0000-0100-000012000000}"/>
    <hyperlink ref="E30" r:id="rId20" location="comment-7797490" display="https://old-forum.warthunder.com/index.php?/topic/414847-181-rumor-round-up-and-discussion/page/164/&amp;tab=comments - comment-7797490" xr:uid="{00000000-0004-0000-0100-000013000000}"/>
    <hyperlink ref="E31" r:id="rId21" location="comment-7845109" display="https://old-forum.warthunder.com/index.php?/topic/426133-183-rumor-round-up-and-discussion/page/65/&amp;tab=comments - comment-7845109" xr:uid="{00000000-0004-0000-0100-000014000000}"/>
    <hyperlink ref="E32" r:id="rId22" location="comment-7921414" display="https://old-forum.warthunder.com/index.php?/topic/430132-185-rumor-round-up-and-discussion/page/244/&amp;tab=comments - comment-7921414" xr:uid="{00000000-0004-0000-0100-000015000000}"/>
    <hyperlink ref="E33" r:id="rId23" location="comment-8039162" display="https://old-forum.warthunder.com/index.php?/topic/436312-187-rumor-round-up-and-discussion/page/347/&amp;tab=comments - comment-8039162" xr:uid="{00000000-0004-0000-0100-000016000000}"/>
    <hyperlink ref="E34" r:id="rId24" display="https://old-forum.warthunder.com/index.php?/topic/453437-planned-technical-works-29052019/" xr:uid="{00000000-0004-0000-0100-000017000000}"/>
    <hyperlink ref="E35" r:id="rId25" location="comment-8243625" display="https://old-forum.warthunder.com/index.php?/topic/453485-191-rumor-round-up-and-discussion/page/495/&amp;tab=comments - comment-8243625" xr:uid="{00000000-0004-0000-0100-000018000000}"/>
    <hyperlink ref="E36" r:id="rId26" display="https://old-forum.warthunder.com/index.php?/topic/467582-news-planned-technical-works-29102019/" xr:uid="{00000000-0004-0000-0100-000019000000}"/>
    <hyperlink ref="E37" r:id="rId27" display="https://old-forum.warthunder.com/index.php?/topic/471913-planned-technical-works-17122019" xr:uid="{00000000-0004-0000-0100-00001A000000}"/>
    <hyperlink ref="E38" r:id="rId28" location="comment-8438690" display="https://old-forum.warthunder.com/index.php?/topic/471965-197-rumor-round-up-and-discussion/page/474/&amp;tab=comments - comment-8438690" xr:uid="{00000000-0004-0000-0100-00001B000000}"/>
    <hyperlink ref="E39" r:id="rId29" display="https://old-forum.warthunder.com/index.php?/topic/479194-war-thunder-starfighters-rumor-round-up-and-discussion/&amp;do=findComment&amp;comment=8541036" xr:uid="{00000000-0004-0000-0100-00001C000000}"/>
    <hyperlink ref="E40" r:id="rId30" display="https://old-forum.warthunder.com/index.php?/topic/497170-planned-technical-works-02092020" xr:uid="{00000000-0004-0000-0100-00001D000000}"/>
    <hyperlink ref="E41" r:id="rId31" location="comment-8739178" display="https://old-forum.warthunder.com/index.php?/topic/504048-planned-technical-works-17112020/&amp;tab=comments - comment-8739178" xr:uid="{00000000-0004-0000-0100-00001E000000}"/>
    <hyperlink ref="E42" r:id="rId32" display="https://old-forum.warthunder.com/index.php?/topic/509426-planned-technical-works-18122020/" xr:uid="{00000000-0004-0000-0100-00001F000000}"/>
    <hyperlink ref="E43" r:id="rId33" display="https://old-forum.warthunder.com/index.php?/topic/518020-planned-technical-works-10032021" xr:uid="{00000000-0004-0000-0100-000020000000}"/>
    <hyperlink ref="E44" r:id="rId34" display="https://old-forum.warthunder.com/index.php?/topic/525827-planned-technical-works-2062021/" xr:uid="{00000000-0004-0000-0100-000021000000}"/>
    <hyperlink ref="E45" r:id="rId35" location="comment-9102348" display="https://old-forum.warthunder.com/index.php?/topic/525881-next-major-update-direct-hit-rumor-round-up-and-discussion/page/548/&amp;tab=comments - comment-9102348" xr:uid="{00000000-0004-0000-0100-000022000000}"/>
    <hyperlink ref="E46" r:id="rId36" location="comment-9153078" display="https://old-forum.warthunder.com/index.php?/topic/534242-major-update-ground-breaking-rumor-round-up-and-discussion/page/372/&amp;tab=comments - comment-9153078" xr:uid="{00000000-0004-0000-0100-000023000000}"/>
    <hyperlink ref="E47" r:id="rId37" display="https://old-forum.warthunder.com/index.php?/topic/542598-planned-technical-works-14122021/" xr:uid="{00000000-0004-0000-0100-000024000000}"/>
    <hyperlink ref="E48" r:id="rId38" location="comment-9284274" display="https://old-forum.warthunder.com/index.php?/topic/542648-major-update-wind-of-change-rumor-round-up-and-discussion/page/679/&amp;tab=comments - comment-9284274" xr:uid="{00000000-0004-0000-0100-000025000000}"/>
    <hyperlink ref="E49" r:id="rId39" display="https://old-forum.warthunder.com/index.php?/topic/556548-planned-technical-works-15062022-danger-zone-update/" xr:uid="{00000000-0004-0000-0100-000026000000}"/>
    <hyperlink ref="E50" r:id="rId40" display="https://old-forum.warthunder.com/index.php?/topic/556170-major-update-drone-age-rumor-round-up-and-discussion/&amp;do=findComment&amp;comment=9435914" xr:uid="{00000000-0004-0000-0100-000027000000}"/>
    <hyperlink ref="E51" r:id="rId41" display="https://old-forum.warthunder.com/index.php?/topic/566332-planned-technical-works-26102022-fire-and-ice-update/" xr:uid="{00000000-0004-0000-0100-000028000000}"/>
    <hyperlink ref="E52" r:id="rId42" location="comment-9519994" display="https://old-forum.warthunder.com/index.php?/topic/566350-apex-predators-update-rumor-round-up-and-discussion/page/538/&amp;tab=comments - comment-9519994" xr:uid="{00000000-0004-0000-0100-000029000000}"/>
    <hyperlink ref="E53" r:id="rId43" location="comment-9588884" display="https://old-forum.warthunder.com/index.php?/topic/570315-major-update-sky-guardians-rumor-round-up-and-discussion/page/444/&amp;tab=comments - comment-9588884" xr:uid="{00000000-0004-0000-0100-00002A000000}"/>
    <hyperlink ref="E54" r:id="rId44" display="https://old-forum.warthunder.com/index.php?/topic/583238-planned-technical-works-14062023-la-royale-update/" xr:uid="{00000000-0004-0000-0100-00002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K1000"/>
  <sheetViews>
    <sheetView workbookViewId="0"/>
  </sheetViews>
  <sheetFormatPr defaultColWidth="12.5703125" defaultRowHeight="15.75" customHeight="1" x14ac:dyDescent="0.2"/>
  <cols>
    <col min="1" max="1" width="21.5703125" customWidth="1"/>
    <col min="2" max="2" width="12.5703125" customWidth="1"/>
    <col min="3" max="3" width="18.5703125" customWidth="1"/>
    <col min="4" max="4" width="11.85546875" customWidth="1"/>
    <col min="5" max="5" width="14" customWidth="1"/>
    <col min="6" max="8" width="16.5703125" customWidth="1"/>
    <col min="9" max="9" width="14.85546875" customWidth="1"/>
    <col min="10" max="10" width="19.7109375" customWidth="1"/>
    <col min="11" max="13" width="16.5703125" customWidth="1"/>
    <col min="14" max="14" width="14" customWidth="1"/>
    <col min="16" max="16" width="18.5703125" customWidth="1"/>
    <col min="17" max="17" width="11.85546875" customWidth="1"/>
    <col min="18" max="18" width="14" customWidth="1"/>
    <col min="19" max="21" width="16.5703125" customWidth="1"/>
    <col min="22" max="22" width="14.85546875" customWidth="1"/>
    <col min="23" max="23" width="19.7109375" customWidth="1"/>
    <col min="24" max="24" width="16.5703125" customWidth="1"/>
    <col min="25" max="25" width="20" customWidth="1"/>
    <col min="26" max="26" width="16.5703125" customWidth="1"/>
    <col min="27" max="27" width="14" customWidth="1"/>
    <col min="28" max="28" width="12.5703125" customWidth="1"/>
    <col min="29" max="29" width="18.5703125" customWidth="1"/>
    <col min="30" max="30" width="11.42578125" customWidth="1"/>
    <col min="31" max="34" width="19.140625" customWidth="1"/>
    <col min="35" max="35" width="12.5703125" customWidth="1"/>
    <col min="36" max="36" width="18.5703125" customWidth="1"/>
    <col min="37" max="37" width="9.85546875" customWidth="1"/>
    <col min="38" max="38" width="19.140625" customWidth="1"/>
    <col min="39" max="39" width="12" customWidth="1"/>
    <col min="40" max="41" width="19.140625" customWidth="1"/>
    <col min="42" max="42" width="19.28515625" customWidth="1"/>
    <col min="43" max="43" width="19.140625" customWidth="1"/>
    <col min="44" max="44" width="12" customWidth="1"/>
    <col min="45" max="45" width="19.140625" customWidth="1"/>
    <col min="46" max="46" width="12.5703125" customWidth="1"/>
    <col min="47" max="47" width="18.5703125" customWidth="1"/>
    <col min="48" max="48" width="13.85546875" customWidth="1"/>
    <col min="49" max="50" width="16" customWidth="1"/>
    <col min="51" max="51" width="12.5703125" customWidth="1"/>
    <col min="52" max="52" width="14" customWidth="1"/>
    <col min="53" max="53" width="12.5703125" customWidth="1"/>
    <col min="54" max="55" width="16" customWidth="1"/>
    <col min="57" max="57" width="18.5703125" customWidth="1"/>
    <col min="58" max="58" width="5.7109375" customWidth="1"/>
    <col min="59" max="59" width="13.85546875" customWidth="1"/>
    <col min="60" max="60" width="23" customWidth="1"/>
    <col min="61" max="61" width="19.5703125" customWidth="1"/>
    <col min="62" max="62" width="14" customWidth="1"/>
    <col min="63" max="63" width="11.7109375" customWidth="1"/>
    <col min="64" max="64" width="19.28515625" customWidth="1"/>
    <col min="65" max="65" width="14" customWidth="1"/>
    <col min="66" max="66" width="19.5703125" customWidth="1"/>
    <col min="67" max="67" width="23" customWidth="1"/>
    <col min="68" max="68" width="13.85546875" customWidth="1"/>
    <col min="69" max="69" width="12.5703125" customWidth="1"/>
    <col min="70" max="70" width="18.5703125" customWidth="1"/>
    <col min="71" max="71" width="12.28515625" customWidth="1"/>
    <col min="72" max="72" width="18.5703125" customWidth="1"/>
    <col min="73" max="74" width="19" customWidth="1"/>
    <col min="75" max="75" width="19.28515625" customWidth="1"/>
    <col min="76" max="77" width="19" customWidth="1"/>
    <col min="78" max="78" width="18.5703125" customWidth="1"/>
    <col min="79" max="79" width="12.5703125" customWidth="1"/>
    <col min="80" max="80" width="18.5703125" customWidth="1"/>
    <col min="81" max="81" width="13.42578125" customWidth="1"/>
    <col min="82" max="82" width="14.7109375" customWidth="1"/>
    <col min="83" max="83" width="23" customWidth="1"/>
    <col min="84" max="84" width="14.85546875" customWidth="1"/>
    <col min="85" max="85" width="13.85546875" customWidth="1"/>
    <col min="86" max="86" width="14.85546875" customWidth="1"/>
    <col min="87" max="87" width="25.85546875" customWidth="1"/>
    <col min="88" max="88" width="18.5703125" customWidth="1"/>
    <col min="89" max="89" width="12.5703125" customWidth="1"/>
  </cols>
  <sheetData>
    <row r="1" spans="1:89" ht="15.75" customHeight="1" x14ac:dyDescent="0.2">
      <c r="A1" s="95" t="s">
        <v>154</v>
      </c>
      <c r="B1" s="3"/>
      <c r="C1" s="418" t="s">
        <v>155</v>
      </c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96"/>
      <c r="P1" s="418" t="s">
        <v>156</v>
      </c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8"/>
      <c r="AB1" s="3"/>
      <c r="AC1" s="418" t="s">
        <v>157</v>
      </c>
      <c r="AD1" s="397"/>
      <c r="AE1" s="397"/>
      <c r="AF1" s="397"/>
      <c r="AG1" s="397"/>
      <c r="AH1" s="398"/>
      <c r="AI1" s="96"/>
      <c r="AJ1" s="418" t="s">
        <v>158</v>
      </c>
      <c r="AK1" s="397"/>
      <c r="AL1" s="397"/>
      <c r="AM1" s="397"/>
      <c r="AN1" s="397"/>
      <c r="AO1" s="397"/>
      <c r="AP1" s="397"/>
      <c r="AQ1" s="397"/>
      <c r="AR1" s="397"/>
      <c r="AS1" s="398"/>
      <c r="AT1" s="3"/>
      <c r="AU1" s="418" t="s">
        <v>159</v>
      </c>
      <c r="AV1" s="397"/>
      <c r="AW1" s="397"/>
      <c r="AX1" s="397"/>
      <c r="AY1" s="397"/>
      <c r="AZ1" s="397"/>
      <c r="BA1" s="397"/>
      <c r="BB1" s="397"/>
      <c r="BC1" s="398"/>
      <c r="BD1" s="96"/>
      <c r="BE1" s="418" t="s">
        <v>160</v>
      </c>
      <c r="BF1" s="397"/>
      <c r="BG1" s="397"/>
      <c r="BH1" s="397"/>
      <c r="BI1" s="397"/>
      <c r="BJ1" s="397"/>
      <c r="BK1" s="397"/>
      <c r="BL1" s="397"/>
      <c r="BM1" s="397"/>
      <c r="BN1" s="397"/>
      <c r="BO1" s="397"/>
      <c r="BP1" s="398"/>
      <c r="BQ1" s="96"/>
      <c r="BR1" s="418" t="s">
        <v>161</v>
      </c>
      <c r="BS1" s="397"/>
      <c r="BT1" s="397"/>
      <c r="BU1" s="397"/>
      <c r="BV1" s="397"/>
      <c r="BW1" s="397"/>
      <c r="BX1" s="397"/>
      <c r="BY1" s="397"/>
      <c r="BZ1" s="398"/>
      <c r="CA1" s="96"/>
      <c r="CB1" s="418" t="s">
        <v>162</v>
      </c>
      <c r="CC1" s="397"/>
      <c r="CD1" s="397"/>
      <c r="CE1" s="397"/>
      <c r="CF1" s="397"/>
      <c r="CG1" s="397"/>
      <c r="CH1" s="397"/>
      <c r="CI1" s="397"/>
      <c r="CJ1" s="398"/>
      <c r="CK1" s="96"/>
    </row>
    <row r="2" spans="1:89" ht="15.75" customHeight="1" x14ac:dyDescent="0.2">
      <c r="A2" s="97"/>
      <c r="B2" s="5"/>
      <c r="C2" s="411" t="s">
        <v>163</v>
      </c>
      <c r="D2" s="402"/>
      <c r="E2" s="402"/>
      <c r="F2" s="402"/>
      <c r="G2" s="402"/>
      <c r="H2" s="402"/>
      <c r="I2" s="402"/>
      <c r="J2" s="410" t="s">
        <v>164</v>
      </c>
      <c r="K2" s="402"/>
      <c r="L2" s="402"/>
      <c r="M2" s="402"/>
      <c r="N2" s="412"/>
      <c r="O2" s="98"/>
      <c r="P2" s="411" t="s">
        <v>163</v>
      </c>
      <c r="Q2" s="402"/>
      <c r="R2" s="402"/>
      <c r="S2" s="402"/>
      <c r="T2" s="402"/>
      <c r="U2" s="402"/>
      <c r="V2" s="402"/>
      <c r="W2" s="410" t="s">
        <v>164</v>
      </c>
      <c r="X2" s="402"/>
      <c r="Y2" s="402"/>
      <c r="Z2" s="402"/>
      <c r="AA2" s="412"/>
      <c r="AB2" s="5"/>
      <c r="AC2" s="411" t="s">
        <v>165</v>
      </c>
      <c r="AD2" s="402"/>
      <c r="AE2" s="402"/>
      <c r="AF2" s="402"/>
      <c r="AG2" s="410" t="s">
        <v>166</v>
      </c>
      <c r="AH2" s="412"/>
      <c r="AI2" s="83"/>
      <c r="AJ2" s="411" t="s">
        <v>167</v>
      </c>
      <c r="AK2" s="402"/>
      <c r="AL2" s="402"/>
      <c r="AM2" s="402"/>
      <c r="AN2" s="402"/>
      <c r="AO2" s="402"/>
      <c r="AP2" s="410" t="s">
        <v>168</v>
      </c>
      <c r="AQ2" s="402"/>
      <c r="AR2" s="402"/>
      <c r="AS2" s="412"/>
      <c r="AT2" s="99"/>
      <c r="AU2" s="411" t="s">
        <v>169</v>
      </c>
      <c r="AV2" s="402"/>
      <c r="AW2" s="402"/>
      <c r="AX2" s="402"/>
      <c r="AY2" s="402"/>
      <c r="AZ2" s="410" t="s">
        <v>164</v>
      </c>
      <c r="BA2" s="402"/>
      <c r="BB2" s="402"/>
      <c r="BC2" s="412"/>
      <c r="BD2" s="98"/>
      <c r="BE2" s="411" t="s">
        <v>170</v>
      </c>
      <c r="BF2" s="402"/>
      <c r="BG2" s="402"/>
      <c r="BH2" s="402"/>
      <c r="BI2" s="402"/>
      <c r="BJ2" s="402"/>
      <c r="BK2" s="402"/>
      <c r="BL2" s="410" t="s">
        <v>166</v>
      </c>
      <c r="BM2" s="402"/>
      <c r="BN2" s="402"/>
      <c r="BO2" s="402"/>
      <c r="BP2" s="412"/>
      <c r="BQ2" s="83"/>
      <c r="BR2" s="411" t="s">
        <v>167</v>
      </c>
      <c r="BS2" s="402"/>
      <c r="BT2" s="402"/>
      <c r="BU2" s="402"/>
      <c r="BV2" s="402"/>
      <c r="BW2" s="410" t="s">
        <v>166</v>
      </c>
      <c r="BX2" s="402"/>
      <c r="BY2" s="402"/>
      <c r="BZ2" s="412"/>
      <c r="CA2" s="83"/>
      <c r="CB2" s="411" t="s">
        <v>171</v>
      </c>
      <c r="CC2" s="402"/>
      <c r="CD2" s="402"/>
      <c r="CE2" s="402"/>
      <c r="CF2" s="402"/>
      <c r="CG2" s="410" t="s">
        <v>172</v>
      </c>
      <c r="CH2" s="402"/>
      <c r="CI2" s="402"/>
      <c r="CJ2" s="412"/>
      <c r="CK2" s="83"/>
    </row>
    <row r="3" spans="1:89" ht="15.75" customHeight="1" x14ac:dyDescent="0.2">
      <c r="A3" s="97"/>
      <c r="B3" s="5"/>
      <c r="C3" s="411" t="s">
        <v>173</v>
      </c>
      <c r="D3" s="402"/>
      <c r="E3" s="402"/>
      <c r="F3" s="402"/>
      <c r="G3" s="402"/>
      <c r="H3" s="402"/>
      <c r="I3" s="402"/>
      <c r="J3" s="410" t="s">
        <v>174</v>
      </c>
      <c r="K3" s="402"/>
      <c r="L3" s="402"/>
      <c r="M3" s="402"/>
      <c r="N3" s="412"/>
      <c r="O3" s="98"/>
      <c r="P3" s="411" t="s">
        <v>173</v>
      </c>
      <c r="Q3" s="402"/>
      <c r="R3" s="402"/>
      <c r="S3" s="402"/>
      <c r="T3" s="402"/>
      <c r="U3" s="402"/>
      <c r="V3" s="402"/>
      <c r="W3" s="410" t="s">
        <v>174</v>
      </c>
      <c r="X3" s="402"/>
      <c r="Y3" s="402"/>
      <c r="Z3" s="402"/>
      <c r="AA3" s="412"/>
      <c r="AB3" s="5"/>
      <c r="AC3" s="411" t="s">
        <v>175</v>
      </c>
      <c r="AD3" s="402"/>
      <c r="AE3" s="402"/>
      <c r="AF3" s="402"/>
      <c r="AG3" s="410" t="s">
        <v>176</v>
      </c>
      <c r="AH3" s="412"/>
      <c r="AI3" s="83"/>
      <c r="AJ3" s="411" t="s">
        <v>177</v>
      </c>
      <c r="AK3" s="402"/>
      <c r="AL3" s="402"/>
      <c r="AM3" s="402"/>
      <c r="AN3" s="402"/>
      <c r="AO3" s="402"/>
      <c r="AP3" s="410" t="s">
        <v>178</v>
      </c>
      <c r="AQ3" s="402"/>
      <c r="AR3" s="402"/>
      <c r="AS3" s="412"/>
      <c r="AT3" s="99"/>
      <c r="AU3" s="411" t="s">
        <v>177</v>
      </c>
      <c r="AV3" s="402"/>
      <c r="AW3" s="402"/>
      <c r="AX3" s="402"/>
      <c r="AY3" s="402"/>
      <c r="AZ3" s="410" t="s">
        <v>178</v>
      </c>
      <c r="BA3" s="402"/>
      <c r="BB3" s="402"/>
      <c r="BC3" s="412"/>
      <c r="BD3" s="98"/>
      <c r="BE3" s="411" t="s">
        <v>179</v>
      </c>
      <c r="BF3" s="402"/>
      <c r="BG3" s="402"/>
      <c r="BH3" s="402"/>
      <c r="BI3" s="402"/>
      <c r="BJ3" s="402"/>
      <c r="BK3" s="402"/>
      <c r="BL3" s="410" t="s">
        <v>180</v>
      </c>
      <c r="BM3" s="402"/>
      <c r="BN3" s="402"/>
      <c r="BO3" s="402"/>
      <c r="BP3" s="412"/>
      <c r="BQ3" s="83"/>
      <c r="BR3" s="411" t="s">
        <v>177</v>
      </c>
      <c r="BS3" s="402"/>
      <c r="BT3" s="402"/>
      <c r="BU3" s="402"/>
      <c r="BV3" s="402"/>
      <c r="BW3" s="410" t="s">
        <v>178</v>
      </c>
      <c r="BX3" s="402"/>
      <c r="BY3" s="402"/>
      <c r="BZ3" s="412"/>
      <c r="CA3" s="83"/>
      <c r="CB3" s="411" t="s">
        <v>177</v>
      </c>
      <c r="CC3" s="402"/>
      <c r="CD3" s="402"/>
      <c r="CE3" s="402"/>
      <c r="CF3" s="402"/>
      <c r="CG3" s="410" t="s">
        <v>178</v>
      </c>
      <c r="CH3" s="402"/>
      <c r="CI3" s="402"/>
      <c r="CJ3" s="412"/>
      <c r="CK3" s="83"/>
    </row>
    <row r="4" spans="1:89" ht="15.75" customHeight="1" x14ac:dyDescent="0.2">
      <c r="A4" s="97"/>
      <c r="B4" s="99"/>
      <c r="C4" s="100" t="s">
        <v>181</v>
      </c>
      <c r="D4" s="9">
        <v>0</v>
      </c>
      <c r="E4" s="9">
        <v>1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7</v>
      </c>
      <c r="L4" s="9">
        <v>8</v>
      </c>
      <c r="M4" s="9">
        <v>9</v>
      </c>
      <c r="N4" s="101">
        <v>10</v>
      </c>
      <c r="O4" s="98"/>
      <c r="P4" s="100" t="s">
        <v>181</v>
      </c>
      <c r="Q4" s="9">
        <v>0</v>
      </c>
      <c r="R4" s="9">
        <v>1</v>
      </c>
      <c r="S4" s="9">
        <v>2</v>
      </c>
      <c r="T4" s="9">
        <v>3</v>
      </c>
      <c r="U4" s="9">
        <v>4</v>
      </c>
      <c r="V4" s="9">
        <v>5</v>
      </c>
      <c r="W4" s="9">
        <v>6</v>
      </c>
      <c r="X4" s="9">
        <v>7</v>
      </c>
      <c r="Y4" s="9">
        <v>8</v>
      </c>
      <c r="Z4" s="9">
        <v>9</v>
      </c>
      <c r="AA4" s="101">
        <v>10</v>
      </c>
      <c r="AB4" s="5"/>
      <c r="AC4" s="100" t="s">
        <v>181</v>
      </c>
      <c r="AD4" s="9">
        <v>0</v>
      </c>
      <c r="AE4" s="9">
        <v>1</v>
      </c>
      <c r="AF4" s="9">
        <v>2</v>
      </c>
      <c r="AG4" s="9">
        <v>3</v>
      </c>
      <c r="AH4" s="101">
        <v>4</v>
      </c>
      <c r="AI4" s="83"/>
      <c r="AJ4" s="100" t="s">
        <v>181</v>
      </c>
      <c r="AK4" s="9">
        <v>0</v>
      </c>
      <c r="AL4" s="9">
        <v>1</v>
      </c>
      <c r="AM4" s="9">
        <v>2</v>
      </c>
      <c r="AN4" s="9">
        <v>3</v>
      </c>
      <c r="AO4" s="9">
        <v>4</v>
      </c>
      <c r="AP4" s="9">
        <v>5</v>
      </c>
      <c r="AQ4" s="9">
        <v>6</v>
      </c>
      <c r="AR4" s="9">
        <v>7</v>
      </c>
      <c r="AS4" s="101">
        <v>8</v>
      </c>
      <c r="AT4" s="5"/>
      <c r="AU4" s="100" t="s">
        <v>181</v>
      </c>
      <c r="AV4" s="9">
        <v>0</v>
      </c>
      <c r="AW4" s="9">
        <v>1</v>
      </c>
      <c r="AX4" s="9">
        <v>2</v>
      </c>
      <c r="AY4" s="9">
        <v>3</v>
      </c>
      <c r="AZ4" s="9">
        <v>4</v>
      </c>
      <c r="BA4" s="9">
        <v>5</v>
      </c>
      <c r="BB4" s="9">
        <v>6</v>
      </c>
      <c r="BC4" s="101">
        <v>7</v>
      </c>
      <c r="BD4" s="98"/>
      <c r="BE4" s="100" t="s">
        <v>181</v>
      </c>
      <c r="BF4" s="9">
        <v>0</v>
      </c>
      <c r="BG4" s="9">
        <v>1</v>
      </c>
      <c r="BH4" s="9">
        <v>2</v>
      </c>
      <c r="BI4" s="9">
        <v>3</v>
      </c>
      <c r="BJ4" s="9">
        <v>4</v>
      </c>
      <c r="BK4" s="9">
        <v>5</v>
      </c>
      <c r="BL4" s="9">
        <v>6</v>
      </c>
      <c r="BM4" s="9">
        <v>7</v>
      </c>
      <c r="BN4" s="9">
        <v>8</v>
      </c>
      <c r="BO4" s="9">
        <v>9</v>
      </c>
      <c r="BP4" s="101">
        <v>10</v>
      </c>
      <c r="BQ4" s="83"/>
      <c r="BR4" s="100" t="s">
        <v>181</v>
      </c>
      <c r="BS4" s="9">
        <v>0</v>
      </c>
      <c r="BT4" s="9">
        <v>1</v>
      </c>
      <c r="BU4" s="9">
        <v>2</v>
      </c>
      <c r="BV4" s="9">
        <v>3</v>
      </c>
      <c r="BW4" s="9">
        <v>4</v>
      </c>
      <c r="BX4" s="9">
        <v>5</v>
      </c>
      <c r="BY4" s="9">
        <v>6</v>
      </c>
      <c r="BZ4" s="101">
        <v>7</v>
      </c>
      <c r="CA4" s="83"/>
      <c r="CB4" s="100" t="s">
        <v>181</v>
      </c>
      <c r="CC4" s="9">
        <v>0</v>
      </c>
      <c r="CD4" s="9">
        <v>1</v>
      </c>
      <c r="CE4" s="9">
        <v>2</v>
      </c>
      <c r="CF4" s="9">
        <v>3</v>
      </c>
      <c r="CG4" s="9">
        <v>4</v>
      </c>
      <c r="CH4" s="9">
        <v>5</v>
      </c>
      <c r="CI4" s="9">
        <v>6</v>
      </c>
      <c r="CJ4" s="101">
        <v>7</v>
      </c>
      <c r="CK4" s="83"/>
    </row>
    <row r="5" spans="1:89" ht="15.75" customHeight="1" x14ac:dyDescent="0.2">
      <c r="A5" s="97" t="s">
        <v>182</v>
      </c>
      <c r="B5" s="99"/>
      <c r="C5" s="102" t="s">
        <v>183</v>
      </c>
      <c r="D5" s="5" t="s">
        <v>184</v>
      </c>
      <c r="E5" s="5"/>
      <c r="F5" s="5"/>
      <c r="G5" s="5"/>
      <c r="H5" s="5" t="s">
        <v>184</v>
      </c>
      <c r="I5" s="5" t="s">
        <v>184</v>
      </c>
      <c r="J5" s="5" t="s">
        <v>184</v>
      </c>
      <c r="K5" s="5" t="s">
        <v>184</v>
      </c>
      <c r="L5" s="5"/>
      <c r="M5" s="5"/>
      <c r="N5" s="7"/>
      <c r="O5" s="98"/>
      <c r="P5" s="102" t="s">
        <v>183</v>
      </c>
      <c r="Q5" s="5" t="s">
        <v>184</v>
      </c>
      <c r="R5" s="5"/>
      <c r="S5" s="5"/>
      <c r="T5" s="5"/>
      <c r="U5" s="5" t="s">
        <v>184</v>
      </c>
      <c r="V5" s="5" t="s">
        <v>184</v>
      </c>
      <c r="W5" s="5" t="s">
        <v>184</v>
      </c>
      <c r="X5" s="5" t="s">
        <v>184</v>
      </c>
      <c r="Y5" s="5"/>
      <c r="Z5" s="5"/>
      <c r="AA5" s="7"/>
      <c r="AB5" s="5"/>
      <c r="AC5" s="102" t="s">
        <v>183</v>
      </c>
      <c r="AD5" s="5" t="s">
        <v>184</v>
      </c>
      <c r="AE5" s="5"/>
      <c r="AF5" s="5" t="s">
        <v>184</v>
      </c>
      <c r="AG5" s="5" t="s">
        <v>184</v>
      </c>
      <c r="AH5" s="7"/>
      <c r="AI5" s="83"/>
      <c r="AJ5" s="102" t="s">
        <v>183</v>
      </c>
      <c r="AK5" s="5" t="s">
        <v>184</v>
      </c>
      <c r="AL5" s="5"/>
      <c r="AM5" s="5"/>
      <c r="AN5" s="5"/>
      <c r="AO5" s="5" t="s">
        <v>184</v>
      </c>
      <c r="AP5" s="5" t="s">
        <v>184</v>
      </c>
      <c r="AQ5" s="5"/>
      <c r="AR5" s="5"/>
      <c r="AS5" s="7"/>
      <c r="AT5" s="5"/>
      <c r="AU5" s="102" t="s">
        <v>183</v>
      </c>
      <c r="AV5" s="5" t="s">
        <v>184</v>
      </c>
      <c r="AW5" s="5"/>
      <c r="AX5" s="5"/>
      <c r="AY5" s="5"/>
      <c r="AZ5" s="5" t="s">
        <v>184</v>
      </c>
      <c r="BA5" s="5"/>
      <c r="BB5" s="5"/>
      <c r="BC5" s="7"/>
      <c r="BD5" s="98"/>
      <c r="BE5" s="102" t="s">
        <v>183</v>
      </c>
      <c r="BF5" s="5" t="s">
        <v>184</v>
      </c>
      <c r="BG5" s="74"/>
      <c r="BH5" s="5"/>
      <c r="BI5" s="5"/>
      <c r="BJ5" s="5" t="s">
        <v>184</v>
      </c>
      <c r="BK5" s="5" t="s">
        <v>184</v>
      </c>
      <c r="BL5" s="5" t="s">
        <v>184</v>
      </c>
      <c r="BM5" s="5" t="s">
        <v>184</v>
      </c>
      <c r="BN5" s="5"/>
      <c r="BO5" s="5"/>
      <c r="BP5" s="7"/>
      <c r="BQ5" s="83"/>
      <c r="BR5" s="102" t="s">
        <v>183</v>
      </c>
      <c r="BS5" s="5" t="s">
        <v>184</v>
      </c>
      <c r="BT5" s="5"/>
      <c r="BU5" s="5"/>
      <c r="BV5" s="5"/>
      <c r="BW5" s="5" t="s">
        <v>184</v>
      </c>
      <c r="BX5" s="5"/>
      <c r="BY5" s="5"/>
      <c r="BZ5" s="7"/>
      <c r="CA5" s="83"/>
      <c r="CB5" s="102" t="s">
        <v>183</v>
      </c>
      <c r="CC5" s="5" t="s">
        <v>184</v>
      </c>
      <c r="CD5" s="5"/>
      <c r="CE5" s="5"/>
      <c r="CF5" s="5"/>
      <c r="CG5" s="5"/>
      <c r="CH5" s="5"/>
      <c r="CI5" s="5"/>
      <c r="CJ5" s="7"/>
      <c r="CK5" s="83"/>
    </row>
    <row r="6" spans="1:89" ht="15.75" customHeight="1" x14ac:dyDescent="0.2">
      <c r="A6" s="97" t="s">
        <v>185</v>
      </c>
      <c r="B6" s="99"/>
      <c r="C6" s="416" t="s">
        <v>186</v>
      </c>
      <c r="D6" s="103" t="s">
        <v>187</v>
      </c>
      <c r="E6" s="103"/>
      <c r="F6" s="103"/>
      <c r="G6" s="103"/>
      <c r="H6" s="103"/>
      <c r="I6" s="103"/>
      <c r="J6" s="103"/>
      <c r="K6" s="103"/>
      <c r="L6" s="103"/>
      <c r="M6" s="103"/>
      <c r="N6" s="104"/>
      <c r="O6" s="83"/>
      <c r="P6" s="416" t="s">
        <v>186</v>
      </c>
      <c r="Q6" s="103" t="s">
        <v>187</v>
      </c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5"/>
      <c r="AC6" s="416" t="s">
        <v>186</v>
      </c>
      <c r="AD6" s="103" t="s">
        <v>188</v>
      </c>
      <c r="AE6" s="103" t="s">
        <v>188</v>
      </c>
      <c r="AF6" s="105"/>
      <c r="AG6" s="105"/>
      <c r="AH6" s="104" t="s">
        <v>188</v>
      </c>
      <c r="AI6" s="83"/>
      <c r="AJ6" s="416" t="s">
        <v>186</v>
      </c>
      <c r="AK6" s="103" t="s">
        <v>189</v>
      </c>
      <c r="AL6" s="103"/>
      <c r="AM6" s="103"/>
      <c r="AN6" s="103"/>
      <c r="AO6" s="103"/>
      <c r="AP6" s="103"/>
      <c r="AQ6" s="103"/>
      <c r="AR6" s="103"/>
      <c r="AS6" s="104"/>
      <c r="AT6" s="74"/>
      <c r="AU6" s="416" t="s">
        <v>186</v>
      </c>
      <c r="AV6" s="103" t="s">
        <v>190</v>
      </c>
      <c r="AW6" s="103"/>
      <c r="AX6" s="103"/>
      <c r="AY6" s="103"/>
      <c r="AZ6" s="103"/>
      <c r="BA6" s="103"/>
      <c r="BB6" s="103"/>
      <c r="BC6" s="104"/>
      <c r="BD6" s="83"/>
      <c r="BE6" s="416" t="s">
        <v>191</v>
      </c>
      <c r="BF6" s="103" t="s">
        <v>192</v>
      </c>
      <c r="BG6" s="103"/>
      <c r="BH6" s="105"/>
      <c r="BI6" s="103"/>
      <c r="BJ6" s="105"/>
      <c r="BK6" s="103" t="s">
        <v>193</v>
      </c>
      <c r="BL6" s="103"/>
      <c r="BM6" s="105"/>
      <c r="BN6" s="103"/>
      <c r="BO6" s="105"/>
      <c r="BP6" s="106"/>
      <c r="BQ6" s="83"/>
      <c r="BR6" s="416" t="s">
        <v>186</v>
      </c>
      <c r="BS6" s="103" t="s">
        <v>194</v>
      </c>
      <c r="BT6" s="103"/>
      <c r="BU6" s="103"/>
      <c r="BV6" s="103" t="s">
        <v>194</v>
      </c>
      <c r="BW6" s="103"/>
      <c r="BX6" s="103" t="s">
        <v>194</v>
      </c>
      <c r="BY6" s="103"/>
      <c r="BZ6" s="104"/>
      <c r="CA6" s="83"/>
      <c r="CB6" s="416" t="s">
        <v>186</v>
      </c>
      <c r="CC6" s="103" t="s">
        <v>195</v>
      </c>
      <c r="CD6" s="103"/>
      <c r="CE6" s="103"/>
      <c r="CF6" s="103"/>
      <c r="CG6" s="103"/>
      <c r="CH6" s="103"/>
      <c r="CI6" s="103"/>
      <c r="CJ6" s="104"/>
      <c r="CK6" s="83"/>
    </row>
    <row r="7" spans="1:89" ht="15.75" customHeight="1" x14ac:dyDescent="0.2">
      <c r="A7" s="107" t="s">
        <v>155</v>
      </c>
      <c r="B7" s="99"/>
      <c r="C7" s="417"/>
      <c r="D7" s="66" t="s">
        <v>196</v>
      </c>
      <c r="E7" s="5"/>
      <c r="F7" s="5"/>
      <c r="G7" s="5"/>
      <c r="H7" s="5"/>
      <c r="I7" s="5"/>
      <c r="J7" s="5"/>
      <c r="K7" s="5"/>
      <c r="L7" s="5"/>
      <c r="M7" s="5"/>
      <c r="N7" s="7"/>
      <c r="O7" s="83"/>
      <c r="P7" s="417"/>
      <c r="Q7" s="66" t="s">
        <v>196</v>
      </c>
      <c r="R7" s="5"/>
      <c r="S7" s="5"/>
      <c r="T7" s="5"/>
      <c r="U7" s="5"/>
      <c r="V7" s="5"/>
      <c r="W7" s="5"/>
      <c r="X7" s="5"/>
      <c r="Y7" s="5"/>
      <c r="Z7" s="5"/>
      <c r="AA7" s="7"/>
      <c r="AB7" s="5"/>
      <c r="AC7" s="417"/>
      <c r="AD7" s="108" t="s">
        <v>197</v>
      </c>
      <c r="AE7" s="108" t="s">
        <v>197</v>
      </c>
      <c r="AF7" s="74"/>
      <c r="AG7" s="74"/>
      <c r="AH7" s="109" t="s">
        <v>197</v>
      </c>
      <c r="AI7" s="83"/>
      <c r="AJ7" s="417"/>
      <c r="AK7" s="66" t="s">
        <v>198</v>
      </c>
      <c r="AL7" s="66"/>
      <c r="AM7" s="5"/>
      <c r="AN7" s="66"/>
      <c r="AO7" s="5"/>
      <c r="AP7" s="5"/>
      <c r="AQ7" s="66"/>
      <c r="AR7" s="5"/>
      <c r="AS7" s="110"/>
      <c r="AT7" s="74"/>
      <c r="AU7" s="417"/>
      <c r="AV7" s="66" t="s">
        <v>197</v>
      </c>
      <c r="AW7" s="5"/>
      <c r="AX7" s="5"/>
      <c r="AY7" s="5"/>
      <c r="AZ7" s="5"/>
      <c r="BA7" s="5"/>
      <c r="BB7" s="5"/>
      <c r="BC7" s="7"/>
      <c r="BD7" s="83"/>
      <c r="BE7" s="417"/>
      <c r="BF7" s="74"/>
      <c r="BG7" s="74"/>
      <c r="BH7" s="74"/>
      <c r="BI7" s="74"/>
      <c r="BJ7" s="74"/>
      <c r="BK7" s="108" t="s">
        <v>199</v>
      </c>
      <c r="BL7" s="74"/>
      <c r="BM7" s="74"/>
      <c r="BN7" s="74"/>
      <c r="BO7" s="74"/>
      <c r="BP7" s="111"/>
      <c r="BQ7" s="83"/>
      <c r="BR7" s="417"/>
      <c r="BS7" s="66" t="s">
        <v>200</v>
      </c>
      <c r="BT7" s="5"/>
      <c r="BU7" s="5"/>
      <c r="BV7" s="66" t="s">
        <v>200</v>
      </c>
      <c r="BW7" s="5"/>
      <c r="BX7" s="66" t="s">
        <v>200</v>
      </c>
      <c r="BY7" s="5"/>
      <c r="BZ7" s="7"/>
      <c r="CA7" s="83"/>
      <c r="CB7" s="417"/>
      <c r="CC7" s="66" t="s">
        <v>200</v>
      </c>
      <c r="CD7" s="5"/>
      <c r="CE7" s="5"/>
      <c r="CF7" s="66"/>
      <c r="CG7" s="5"/>
      <c r="CH7" s="66"/>
      <c r="CI7" s="5"/>
      <c r="CJ7" s="7"/>
      <c r="CK7" s="83"/>
    </row>
    <row r="8" spans="1:89" ht="15.75" customHeight="1" x14ac:dyDescent="0.2">
      <c r="A8" s="107" t="s">
        <v>156</v>
      </c>
      <c r="B8" s="99"/>
      <c r="C8" s="417"/>
      <c r="D8" s="5" t="s">
        <v>201</v>
      </c>
      <c r="E8" s="5"/>
      <c r="F8" s="5"/>
      <c r="G8" s="5"/>
      <c r="H8" s="5"/>
      <c r="I8" s="5"/>
      <c r="J8" s="5"/>
      <c r="K8" s="5"/>
      <c r="L8" s="5"/>
      <c r="M8" s="5"/>
      <c r="N8" s="7"/>
      <c r="O8" s="83"/>
      <c r="P8" s="417"/>
      <c r="Q8" s="5" t="s">
        <v>201</v>
      </c>
      <c r="R8" s="5"/>
      <c r="S8" s="5"/>
      <c r="T8" s="5"/>
      <c r="U8" s="5"/>
      <c r="V8" s="5"/>
      <c r="W8" s="5"/>
      <c r="X8" s="5"/>
      <c r="Y8" s="5"/>
      <c r="Z8" s="5"/>
      <c r="AA8" s="7"/>
      <c r="AB8" s="5"/>
      <c r="AC8" s="417"/>
      <c r="AD8" s="5" t="s">
        <v>202</v>
      </c>
      <c r="AE8" s="5"/>
      <c r="AF8" s="74"/>
      <c r="AG8" s="74"/>
      <c r="AH8" s="111"/>
      <c r="AI8" s="83"/>
      <c r="AJ8" s="417"/>
      <c r="AK8" s="5" t="s">
        <v>203</v>
      </c>
      <c r="AL8" s="5"/>
      <c r="AM8" s="5"/>
      <c r="AN8" s="5"/>
      <c r="AO8" s="5"/>
      <c r="AP8" s="5"/>
      <c r="AQ8" s="5"/>
      <c r="AR8" s="5"/>
      <c r="AS8" s="7"/>
      <c r="AT8" s="74"/>
      <c r="AU8" s="417"/>
      <c r="AV8" s="5" t="s">
        <v>204</v>
      </c>
      <c r="AW8" s="5"/>
      <c r="AX8" s="5"/>
      <c r="AY8" s="5"/>
      <c r="AZ8" s="5"/>
      <c r="BA8" s="5"/>
      <c r="BB8" s="5"/>
      <c r="BC8" s="7"/>
      <c r="BD8" s="83"/>
      <c r="BE8" s="417"/>
      <c r="BF8" s="5" t="s">
        <v>205</v>
      </c>
      <c r="BG8" s="74"/>
      <c r="BH8" s="74"/>
      <c r="BI8" s="5"/>
      <c r="BJ8" s="74"/>
      <c r="BK8" s="5"/>
      <c r="BL8" s="5"/>
      <c r="BM8" s="74"/>
      <c r="BN8" s="5"/>
      <c r="BO8" s="74"/>
      <c r="BP8" s="111"/>
      <c r="BQ8" s="83"/>
      <c r="BR8" s="417"/>
      <c r="BS8" s="5" t="s">
        <v>206</v>
      </c>
      <c r="BT8" s="5"/>
      <c r="BU8" s="5"/>
      <c r="BV8" s="5"/>
      <c r="BW8" s="5"/>
      <c r="BX8" s="5"/>
      <c r="BY8" s="5"/>
      <c r="BZ8" s="7"/>
      <c r="CA8" s="83"/>
      <c r="CB8" s="417"/>
      <c r="CC8" s="5" t="s">
        <v>207</v>
      </c>
      <c r="CD8" s="5"/>
      <c r="CE8" s="5"/>
      <c r="CF8" s="5"/>
      <c r="CG8" s="5"/>
      <c r="CH8" s="5"/>
      <c r="CI8" s="5"/>
      <c r="CJ8" s="7"/>
      <c r="CK8" s="83"/>
    </row>
    <row r="9" spans="1:89" ht="15.75" customHeight="1" x14ac:dyDescent="0.2">
      <c r="A9" s="83" t="s">
        <v>208</v>
      </c>
      <c r="B9" s="99"/>
      <c r="C9" s="417"/>
      <c r="D9" s="66" t="s">
        <v>196</v>
      </c>
      <c r="E9" s="5"/>
      <c r="F9" s="5"/>
      <c r="G9" s="5"/>
      <c r="H9" s="5"/>
      <c r="I9" s="5"/>
      <c r="J9" s="5"/>
      <c r="K9" s="5"/>
      <c r="L9" s="5"/>
      <c r="M9" s="5"/>
      <c r="N9" s="7"/>
      <c r="O9" s="83"/>
      <c r="P9" s="417"/>
      <c r="Q9" s="66" t="s">
        <v>196</v>
      </c>
      <c r="R9" s="5"/>
      <c r="S9" s="5"/>
      <c r="T9" s="5"/>
      <c r="U9" s="5"/>
      <c r="V9" s="5"/>
      <c r="W9" s="5"/>
      <c r="X9" s="5"/>
      <c r="Y9" s="5"/>
      <c r="Z9" s="5"/>
      <c r="AA9" s="7"/>
      <c r="AB9" s="5"/>
      <c r="AC9" s="396"/>
      <c r="AD9" s="112" t="s">
        <v>197</v>
      </c>
      <c r="AE9" s="113"/>
      <c r="AF9" s="113"/>
      <c r="AG9" s="113"/>
      <c r="AH9" s="114"/>
      <c r="AI9" s="83"/>
      <c r="AJ9" s="417"/>
      <c r="AK9" s="66" t="s">
        <v>198</v>
      </c>
      <c r="AL9" s="5"/>
      <c r="AM9" s="5"/>
      <c r="AN9" s="5"/>
      <c r="AO9" s="5"/>
      <c r="AP9" s="5"/>
      <c r="AQ9" s="5"/>
      <c r="AR9" s="5"/>
      <c r="AS9" s="7"/>
      <c r="AT9" s="74"/>
      <c r="AU9" s="396"/>
      <c r="AV9" s="115" t="s">
        <v>197</v>
      </c>
      <c r="AW9" s="59"/>
      <c r="AX9" s="59"/>
      <c r="AY9" s="59"/>
      <c r="AZ9" s="59"/>
      <c r="BA9" s="59"/>
      <c r="BB9" s="59"/>
      <c r="BC9" s="116"/>
      <c r="BD9" s="83"/>
      <c r="BE9" s="417"/>
      <c r="BF9" s="74"/>
      <c r="BG9" s="74"/>
      <c r="BH9" s="74"/>
      <c r="BI9" s="74"/>
      <c r="BJ9" s="74"/>
      <c r="BK9" s="117" t="s">
        <v>209</v>
      </c>
      <c r="BL9" s="74"/>
      <c r="BM9" s="74"/>
      <c r="BN9" s="74"/>
      <c r="BO9" s="74"/>
      <c r="BP9" s="111"/>
      <c r="BQ9" s="83"/>
      <c r="BR9" s="396"/>
      <c r="BS9" s="115" t="s">
        <v>200</v>
      </c>
      <c r="BT9" s="59"/>
      <c r="BU9" s="59"/>
      <c r="BV9" s="59"/>
      <c r="BW9" s="59"/>
      <c r="BX9" s="59"/>
      <c r="BY9" s="59"/>
      <c r="BZ9" s="116"/>
      <c r="CA9" s="83"/>
      <c r="CB9" s="417"/>
      <c r="CC9" s="66" t="s">
        <v>200</v>
      </c>
      <c r="CD9" s="5"/>
      <c r="CE9" s="5"/>
      <c r="CF9" s="5"/>
      <c r="CG9" s="5"/>
      <c r="CH9" s="5"/>
      <c r="CI9" s="5"/>
      <c r="CJ9" s="7"/>
      <c r="CK9" s="83"/>
    </row>
    <row r="10" spans="1:89" ht="15.75" customHeight="1" x14ac:dyDescent="0.2">
      <c r="A10" s="83" t="s">
        <v>210</v>
      </c>
      <c r="B10" s="99"/>
      <c r="C10" s="417"/>
      <c r="D10" s="74"/>
      <c r="E10" s="74"/>
      <c r="F10" s="74"/>
      <c r="G10" s="74"/>
      <c r="H10" s="74"/>
      <c r="I10" s="5" t="s">
        <v>193</v>
      </c>
      <c r="J10" s="5" t="s">
        <v>193</v>
      </c>
      <c r="K10" s="74"/>
      <c r="L10" s="74"/>
      <c r="M10" s="74"/>
      <c r="N10" s="111"/>
      <c r="O10" s="83"/>
      <c r="P10" s="416" t="s">
        <v>211</v>
      </c>
      <c r="Q10" s="103"/>
      <c r="R10" s="103"/>
      <c r="S10" s="103" t="s">
        <v>212</v>
      </c>
      <c r="T10" s="103" t="s">
        <v>212</v>
      </c>
      <c r="U10" s="103" t="s">
        <v>212</v>
      </c>
      <c r="V10" s="103"/>
      <c r="W10" s="103"/>
      <c r="X10" s="103" t="s">
        <v>212</v>
      </c>
      <c r="Y10" s="103" t="s">
        <v>212</v>
      </c>
      <c r="Z10" s="103" t="s">
        <v>212</v>
      </c>
      <c r="AA10" s="104"/>
      <c r="AB10" s="5"/>
      <c r="AC10" s="419" t="s">
        <v>211</v>
      </c>
      <c r="AD10" s="74"/>
      <c r="AE10" s="74" t="s">
        <v>213</v>
      </c>
      <c r="AF10" s="74" t="s">
        <v>213</v>
      </c>
      <c r="AG10" s="74" t="s">
        <v>213</v>
      </c>
      <c r="AH10" s="111" t="s">
        <v>213</v>
      </c>
      <c r="AI10" s="83"/>
      <c r="AJ10" s="417"/>
      <c r="AK10" s="74"/>
      <c r="AL10" s="5"/>
      <c r="AM10" s="5"/>
      <c r="AN10" s="5" t="s">
        <v>188</v>
      </c>
      <c r="AO10" s="5"/>
      <c r="AP10" s="5"/>
      <c r="AQ10" s="5" t="s">
        <v>188</v>
      </c>
      <c r="AR10" s="5"/>
      <c r="AS10" s="7"/>
      <c r="AT10" s="74"/>
      <c r="AU10" s="419" t="s">
        <v>211</v>
      </c>
      <c r="AV10" s="5"/>
      <c r="AW10" s="5" t="s">
        <v>214</v>
      </c>
      <c r="AX10" s="5" t="s">
        <v>214</v>
      </c>
      <c r="AY10" s="5"/>
      <c r="AZ10" s="5"/>
      <c r="BA10" s="5"/>
      <c r="BB10" s="5" t="s">
        <v>214</v>
      </c>
      <c r="BC10" s="7" t="s">
        <v>214</v>
      </c>
      <c r="BD10" s="83"/>
      <c r="BE10" s="396"/>
      <c r="BF10" s="59"/>
      <c r="BG10" s="113"/>
      <c r="BH10" s="113"/>
      <c r="BI10" s="59"/>
      <c r="BJ10" s="113"/>
      <c r="BK10" s="118" t="s">
        <v>215</v>
      </c>
      <c r="BL10" s="59"/>
      <c r="BM10" s="113"/>
      <c r="BN10" s="59"/>
      <c r="BO10" s="113"/>
      <c r="BP10" s="114"/>
      <c r="BQ10" s="83"/>
      <c r="BR10" s="419" t="s">
        <v>211</v>
      </c>
      <c r="BS10" s="5"/>
      <c r="BT10" s="5"/>
      <c r="BU10" s="5" t="s">
        <v>216</v>
      </c>
      <c r="BV10" s="5" t="s">
        <v>216</v>
      </c>
      <c r="BW10" s="5"/>
      <c r="BX10" s="5" t="s">
        <v>216</v>
      </c>
      <c r="BY10" s="5" t="s">
        <v>216</v>
      </c>
      <c r="BZ10" s="7"/>
      <c r="CA10" s="83"/>
      <c r="CB10" s="417"/>
      <c r="CC10" s="5"/>
      <c r="CD10" s="5"/>
      <c r="CE10" s="5" t="s">
        <v>193</v>
      </c>
      <c r="CF10" s="5"/>
      <c r="CG10" s="5"/>
      <c r="CH10" s="5"/>
      <c r="CI10" s="5" t="s">
        <v>193</v>
      </c>
      <c r="CJ10" s="7"/>
      <c r="CK10" s="83"/>
    </row>
    <row r="11" spans="1:89" ht="15.75" customHeight="1" x14ac:dyDescent="0.2">
      <c r="A11" s="83" t="s">
        <v>217</v>
      </c>
      <c r="B11" s="99"/>
      <c r="C11" s="396"/>
      <c r="D11" s="74"/>
      <c r="E11" s="74"/>
      <c r="F11" s="74"/>
      <c r="G11" s="74"/>
      <c r="H11" s="74"/>
      <c r="I11" s="5" t="s">
        <v>199</v>
      </c>
      <c r="J11" s="5" t="s">
        <v>199</v>
      </c>
      <c r="K11" s="74"/>
      <c r="L11" s="74"/>
      <c r="M11" s="74"/>
      <c r="N11" s="111"/>
      <c r="O11" s="83"/>
      <c r="P11" s="417"/>
      <c r="Q11" s="5"/>
      <c r="R11" s="5"/>
      <c r="S11" s="5" t="s">
        <v>218</v>
      </c>
      <c r="T11" s="5" t="s">
        <v>218</v>
      </c>
      <c r="U11" s="5" t="s">
        <v>218</v>
      </c>
      <c r="V11" s="5"/>
      <c r="W11" s="5"/>
      <c r="X11" s="5" t="s">
        <v>218</v>
      </c>
      <c r="Y11" s="5" t="s">
        <v>218</v>
      </c>
      <c r="Z11" s="5" t="s">
        <v>218</v>
      </c>
      <c r="AA11" s="7"/>
      <c r="AB11" s="5"/>
      <c r="AC11" s="417"/>
      <c r="AD11" s="74"/>
      <c r="AE11" s="108" t="s">
        <v>219</v>
      </c>
      <c r="AF11" s="108" t="s">
        <v>219</v>
      </c>
      <c r="AG11" s="108" t="s">
        <v>219</v>
      </c>
      <c r="AH11" s="109" t="s">
        <v>219</v>
      </c>
      <c r="AI11" s="83"/>
      <c r="AJ11" s="417"/>
      <c r="AK11" s="74"/>
      <c r="AL11" s="66"/>
      <c r="AM11" s="5"/>
      <c r="AN11" s="66" t="s">
        <v>197</v>
      </c>
      <c r="AO11" s="5"/>
      <c r="AP11" s="5"/>
      <c r="AQ11" s="66" t="s">
        <v>197</v>
      </c>
      <c r="AR11" s="5"/>
      <c r="AS11" s="110"/>
      <c r="AT11" s="74"/>
      <c r="AU11" s="417"/>
      <c r="AV11" s="5"/>
      <c r="AW11" s="66" t="s">
        <v>220</v>
      </c>
      <c r="AX11" s="66" t="s">
        <v>220</v>
      </c>
      <c r="AY11" s="5"/>
      <c r="AZ11" s="5"/>
      <c r="BA11" s="5"/>
      <c r="BB11" s="66" t="s">
        <v>220</v>
      </c>
      <c r="BC11" s="7" t="s">
        <v>220</v>
      </c>
      <c r="BD11" s="83"/>
      <c r="BE11" s="416" t="s">
        <v>211</v>
      </c>
      <c r="BF11" s="105"/>
      <c r="BG11" s="105"/>
      <c r="BH11" s="105" t="s">
        <v>221</v>
      </c>
      <c r="BI11" s="105" t="s">
        <v>221</v>
      </c>
      <c r="BJ11" s="105"/>
      <c r="BK11" s="105"/>
      <c r="BL11" s="105"/>
      <c r="BM11" s="105"/>
      <c r="BN11" s="105" t="s">
        <v>221</v>
      </c>
      <c r="BO11" s="105" t="s">
        <v>221</v>
      </c>
      <c r="BP11" s="106"/>
      <c r="BQ11" s="83"/>
      <c r="BR11" s="417"/>
      <c r="BS11" s="5"/>
      <c r="BT11" s="5"/>
      <c r="BU11" s="66" t="s">
        <v>222</v>
      </c>
      <c r="BV11" s="66" t="s">
        <v>222</v>
      </c>
      <c r="BW11" s="66"/>
      <c r="BX11" s="66" t="s">
        <v>222</v>
      </c>
      <c r="BY11" s="66" t="s">
        <v>222</v>
      </c>
      <c r="BZ11" s="7"/>
      <c r="CA11" s="83"/>
      <c r="CB11" s="396"/>
      <c r="CC11" s="115"/>
      <c r="CD11" s="59"/>
      <c r="CE11" s="59" t="s">
        <v>199</v>
      </c>
      <c r="CF11" s="59"/>
      <c r="CG11" s="59"/>
      <c r="CH11" s="59"/>
      <c r="CI11" s="59" t="s">
        <v>199</v>
      </c>
      <c r="CJ11" s="116"/>
      <c r="CK11" s="83"/>
    </row>
    <row r="12" spans="1:89" ht="15.75" customHeight="1" x14ac:dyDescent="0.2">
      <c r="A12" s="83" t="s">
        <v>223</v>
      </c>
      <c r="B12" s="99"/>
      <c r="C12" s="416" t="s">
        <v>211</v>
      </c>
      <c r="D12" s="103"/>
      <c r="E12" s="103"/>
      <c r="F12" s="103" t="s">
        <v>212</v>
      </c>
      <c r="G12" s="103" t="s">
        <v>212</v>
      </c>
      <c r="H12" s="103" t="s">
        <v>212</v>
      </c>
      <c r="I12" s="103"/>
      <c r="J12" s="103"/>
      <c r="K12" s="103" t="s">
        <v>212</v>
      </c>
      <c r="L12" s="103" t="s">
        <v>212</v>
      </c>
      <c r="M12" s="103" t="s">
        <v>212</v>
      </c>
      <c r="N12" s="104"/>
      <c r="O12" s="83"/>
      <c r="P12" s="417"/>
      <c r="Q12" s="5"/>
      <c r="R12" s="5"/>
      <c r="S12" s="5"/>
      <c r="T12" s="5" t="s">
        <v>224</v>
      </c>
      <c r="U12" s="5" t="s">
        <v>224</v>
      </c>
      <c r="V12" s="5"/>
      <c r="W12" s="5"/>
      <c r="X12" s="5" t="s">
        <v>224</v>
      </c>
      <c r="Y12" s="5" t="s">
        <v>224</v>
      </c>
      <c r="Z12" s="5"/>
      <c r="AA12" s="7"/>
      <c r="AB12" s="5"/>
      <c r="AC12" s="417"/>
      <c r="AD12" s="5"/>
      <c r="AE12" s="5" t="s">
        <v>225</v>
      </c>
      <c r="AF12" s="74"/>
      <c r="AG12" s="74"/>
      <c r="AH12" s="7" t="s">
        <v>225</v>
      </c>
      <c r="AI12" s="83"/>
      <c r="AJ12" s="416" t="s">
        <v>211</v>
      </c>
      <c r="AK12" s="103"/>
      <c r="AL12" s="103" t="s">
        <v>226</v>
      </c>
      <c r="AM12" s="103"/>
      <c r="AN12" s="103"/>
      <c r="AO12" s="103" t="s">
        <v>226</v>
      </c>
      <c r="AP12" s="103" t="s">
        <v>226</v>
      </c>
      <c r="AQ12" s="103"/>
      <c r="AR12" s="103"/>
      <c r="AS12" s="104" t="s">
        <v>226</v>
      </c>
      <c r="AT12" s="74"/>
      <c r="AU12" s="416" t="s">
        <v>227</v>
      </c>
      <c r="AV12" s="103"/>
      <c r="AW12" s="103"/>
      <c r="AX12" s="103" t="s">
        <v>228</v>
      </c>
      <c r="AY12" s="103"/>
      <c r="AZ12" s="103"/>
      <c r="BA12" s="103"/>
      <c r="BB12" s="103" t="s">
        <v>228</v>
      </c>
      <c r="BC12" s="104"/>
      <c r="BD12" s="83"/>
      <c r="BE12" s="417"/>
      <c r="BF12" s="74"/>
      <c r="BG12" s="74"/>
      <c r="BH12" s="108" t="s">
        <v>229</v>
      </c>
      <c r="BI12" s="108" t="s">
        <v>229</v>
      </c>
      <c r="BJ12" s="74"/>
      <c r="BK12" s="74"/>
      <c r="BL12" s="74"/>
      <c r="BM12" s="74"/>
      <c r="BN12" s="108" t="s">
        <v>229</v>
      </c>
      <c r="BO12" s="108" t="s">
        <v>229</v>
      </c>
      <c r="BP12" s="111"/>
      <c r="BQ12" s="83"/>
      <c r="BR12" s="417"/>
      <c r="BS12" s="5"/>
      <c r="BT12" s="5"/>
      <c r="BU12" s="5" t="s">
        <v>230</v>
      </c>
      <c r="BV12" s="5" t="s">
        <v>230</v>
      </c>
      <c r="BW12" s="5"/>
      <c r="BX12" s="5" t="s">
        <v>230</v>
      </c>
      <c r="BY12" s="5" t="s">
        <v>230</v>
      </c>
      <c r="BZ12" s="7"/>
      <c r="CA12" s="83"/>
      <c r="CB12" s="419" t="s">
        <v>211</v>
      </c>
      <c r="CC12" s="5"/>
      <c r="CD12" s="5"/>
      <c r="CE12" s="5" t="s">
        <v>231</v>
      </c>
      <c r="CF12" s="5"/>
      <c r="CG12" s="5"/>
      <c r="CH12" s="5"/>
      <c r="CI12" s="5" t="s">
        <v>231</v>
      </c>
      <c r="CJ12" s="7"/>
      <c r="CK12" s="83"/>
    </row>
    <row r="13" spans="1:89" ht="15.75" customHeight="1" x14ac:dyDescent="0.2">
      <c r="A13" s="119"/>
      <c r="B13" s="99"/>
      <c r="C13" s="417"/>
      <c r="D13" s="5"/>
      <c r="E13" s="5"/>
      <c r="F13" s="5" t="s">
        <v>218</v>
      </c>
      <c r="G13" s="5" t="s">
        <v>218</v>
      </c>
      <c r="H13" s="5" t="s">
        <v>218</v>
      </c>
      <c r="I13" s="5"/>
      <c r="J13" s="5"/>
      <c r="K13" s="5" t="s">
        <v>218</v>
      </c>
      <c r="L13" s="5" t="s">
        <v>218</v>
      </c>
      <c r="M13" s="5" t="s">
        <v>218</v>
      </c>
      <c r="N13" s="7"/>
      <c r="O13" s="83"/>
      <c r="P13" s="417"/>
      <c r="Q13" s="5"/>
      <c r="R13" s="5"/>
      <c r="S13" s="5"/>
      <c r="T13" s="5" t="s">
        <v>232</v>
      </c>
      <c r="U13" s="5" t="s">
        <v>232</v>
      </c>
      <c r="V13" s="5"/>
      <c r="W13" s="5"/>
      <c r="X13" s="5" t="s">
        <v>232</v>
      </c>
      <c r="Y13" s="5" t="s">
        <v>232</v>
      </c>
      <c r="Z13" s="5"/>
      <c r="AA13" s="7"/>
      <c r="AB13" s="5"/>
      <c r="AC13" s="417"/>
      <c r="AD13" s="74"/>
      <c r="AE13" s="108" t="s">
        <v>233</v>
      </c>
      <c r="AF13" s="74"/>
      <c r="AG13" s="74"/>
      <c r="AH13" s="109" t="s">
        <v>233</v>
      </c>
      <c r="AI13" s="83"/>
      <c r="AJ13" s="417"/>
      <c r="AK13" s="5"/>
      <c r="AL13" s="66" t="s">
        <v>234</v>
      </c>
      <c r="AM13" s="5"/>
      <c r="AN13" s="5"/>
      <c r="AO13" s="66" t="s">
        <v>234</v>
      </c>
      <c r="AP13" s="66" t="s">
        <v>234</v>
      </c>
      <c r="AQ13" s="5"/>
      <c r="AR13" s="5"/>
      <c r="AS13" s="110" t="s">
        <v>234</v>
      </c>
      <c r="AT13" s="74"/>
      <c r="AU13" s="417"/>
      <c r="AV13" s="5"/>
      <c r="AW13" s="5"/>
      <c r="AX13" s="66" t="s">
        <v>235</v>
      </c>
      <c r="AY13" s="5"/>
      <c r="AZ13" s="66"/>
      <c r="BA13" s="5"/>
      <c r="BB13" s="66" t="s">
        <v>235</v>
      </c>
      <c r="BC13" s="7"/>
      <c r="BD13" s="83"/>
      <c r="BE13" s="417"/>
      <c r="BF13" s="74"/>
      <c r="BG13" s="74"/>
      <c r="BH13" s="5" t="s">
        <v>236</v>
      </c>
      <c r="BI13" s="74"/>
      <c r="BJ13" s="74"/>
      <c r="BK13" s="74"/>
      <c r="BL13" s="74"/>
      <c r="BM13" s="74"/>
      <c r="BN13" s="74"/>
      <c r="BO13" s="5" t="s">
        <v>236</v>
      </c>
      <c r="BP13" s="111"/>
      <c r="BQ13" s="83"/>
      <c r="BR13" s="417"/>
      <c r="BS13" s="5"/>
      <c r="BT13" s="5"/>
      <c r="BU13" s="66" t="s">
        <v>237</v>
      </c>
      <c r="BV13" s="66" t="s">
        <v>237</v>
      </c>
      <c r="BW13" s="66"/>
      <c r="BX13" s="66" t="s">
        <v>237</v>
      </c>
      <c r="BY13" s="66" t="s">
        <v>237</v>
      </c>
      <c r="BZ13" s="7"/>
      <c r="CA13" s="83"/>
      <c r="CB13" s="417"/>
      <c r="CC13" s="5"/>
      <c r="CD13" s="5"/>
      <c r="CE13" s="66" t="s">
        <v>238</v>
      </c>
      <c r="CF13" s="66"/>
      <c r="CG13" s="66"/>
      <c r="CH13" s="66"/>
      <c r="CI13" s="66" t="s">
        <v>238</v>
      </c>
      <c r="CJ13" s="7"/>
      <c r="CK13" s="83"/>
    </row>
    <row r="14" spans="1:89" ht="15.75" customHeight="1" x14ac:dyDescent="0.2">
      <c r="A14" s="97" t="s">
        <v>239</v>
      </c>
      <c r="B14" s="83"/>
      <c r="C14" s="417"/>
      <c r="D14" s="5"/>
      <c r="E14" s="5"/>
      <c r="F14" s="5"/>
      <c r="G14" s="5" t="s">
        <v>224</v>
      </c>
      <c r="H14" s="5" t="s">
        <v>224</v>
      </c>
      <c r="I14" s="5"/>
      <c r="J14" s="5"/>
      <c r="K14" s="5" t="s">
        <v>224</v>
      </c>
      <c r="L14" s="5" t="s">
        <v>224</v>
      </c>
      <c r="M14" s="5"/>
      <c r="N14" s="7"/>
      <c r="O14" s="83"/>
      <c r="P14" s="416" t="s">
        <v>227</v>
      </c>
      <c r="Q14" s="103"/>
      <c r="R14" s="103" t="s">
        <v>228</v>
      </c>
      <c r="S14" s="103" t="s">
        <v>228</v>
      </c>
      <c r="T14" s="103" t="s">
        <v>228</v>
      </c>
      <c r="U14" s="103" t="s">
        <v>228</v>
      </c>
      <c r="V14" s="103" t="s">
        <v>228</v>
      </c>
      <c r="W14" s="103" t="s">
        <v>228</v>
      </c>
      <c r="X14" s="103" t="s">
        <v>228</v>
      </c>
      <c r="Y14" s="103" t="s">
        <v>228</v>
      </c>
      <c r="Z14" s="103" t="s">
        <v>228</v>
      </c>
      <c r="AA14" s="104" t="s">
        <v>228</v>
      </c>
      <c r="AB14" s="5"/>
      <c r="AC14" s="417"/>
      <c r="AD14" s="5"/>
      <c r="AE14" s="5" t="s">
        <v>240</v>
      </c>
      <c r="AF14" s="74"/>
      <c r="AG14" s="74"/>
      <c r="AH14" s="7" t="s">
        <v>240</v>
      </c>
      <c r="AI14" s="83"/>
      <c r="AJ14" s="417"/>
      <c r="AK14" s="5"/>
      <c r="AL14" s="5" t="s">
        <v>225</v>
      </c>
      <c r="AM14" s="5"/>
      <c r="AN14" s="5" t="s">
        <v>225</v>
      </c>
      <c r="AO14" s="5"/>
      <c r="AP14" s="5"/>
      <c r="AQ14" s="5" t="s">
        <v>225</v>
      </c>
      <c r="AR14" s="5"/>
      <c r="AS14" s="7" t="s">
        <v>225</v>
      </c>
      <c r="AT14" s="74"/>
      <c r="AU14" s="417"/>
      <c r="AV14" s="5"/>
      <c r="AW14" s="5"/>
      <c r="AX14" s="5"/>
      <c r="AY14" s="5"/>
      <c r="AZ14" s="5" t="s">
        <v>241</v>
      </c>
      <c r="BA14" s="5"/>
      <c r="BB14" s="5"/>
      <c r="BC14" s="7"/>
      <c r="BD14" s="83"/>
      <c r="BE14" s="396"/>
      <c r="BF14" s="113"/>
      <c r="BG14" s="113"/>
      <c r="BH14" s="112" t="s">
        <v>242</v>
      </c>
      <c r="BI14" s="113"/>
      <c r="BJ14" s="113"/>
      <c r="BK14" s="113"/>
      <c r="BL14" s="113"/>
      <c r="BM14" s="113"/>
      <c r="BN14" s="113"/>
      <c r="BO14" s="112" t="s">
        <v>242</v>
      </c>
      <c r="BP14" s="114"/>
      <c r="BQ14" s="83"/>
      <c r="BR14" s="416" t="s">
        <v>227</v>
      </c>
      <c r="BS14" s="103"/>
      <c r="BT14" s="103"/>
      <c r="BU14" s="103" t="s">
        <v>243</v>
      </c>
      <c r="BV14" s="103" t="s">
        <v>243</v>
      </c>
      <c r="BW14" s="103" t="s">
        <v>243</v>
      </c>
      <c r="BX14" s="103" t="s">
        <v>243</v>
      </c>
      <c r="BY14" s="103" t="s">
        <v>243</v>
      </c>
      <c r="BZ14" s="104"/>
      <c r="CA14" s="83"/>
      <c r="CB14" s="417"/>
      <c r="CC14" s="5"/>
      <c r="CD14" s="5"/>
      <c r="CE14" s="5" t="s">
        <v>244</v>
      </c>
      <c r="CF14" s="5"/>
      <c r="CG14" s="5"/>
      <c r="CH14" s="5"/>
      <c r="CI14" s="5" t="s">
        <v>244</v>
      </c>
      <c r="CJ14" s="7"/>
      <c r="CK14" s="83"/>
    </row>
    <row r="15" spans="1:89" ht="15.75" customHeight="1" x14ac:dyDescent="0.2">
      <c r="A15" s="83" t="s">
        <v>245</v>
      </c>
      <c r="B15" s="83"/>
      <c r="C15" s="417"/>
      <c r="D15" s="5"/>
      <c r="E15" s="5"/>
      <c r="F15" s="5"/>
      <c r="G15" s="5" t="s">
        <v>232</v>
      </c>
      <c r="H15" s="5" t="s">
        <v>232</v>
      </c>
      <c r="I15" s="5"/>
      <c r="J15" s="5"/>
      <c r="K15" s="5" t="s">
        <v>232</v>
      </c>
      <c r="L15" s="5" t="s">
        <v>232</v>
      </c>
      <c r="M15" s="5"/>
      <c r="N15" s="7"/>
      <c r="O15" s="83"/>
      <c r="P15" s="417"/>
      <c r="Q15" s="5"/>
      <c r="R15" s="5" t="s">
        <v>235</v>
      </c>
      <c r="S15" s="5" t="s">
        <v>235</v>
      </c>
      <c r="T15" s="5" t="s">
        <v>235</v>
      </c>
      <c r="U15" s="5" t="s">
        <v>235</v>
      </c>
      <c r="V15" s="5" t="s">
        <v>235</v>
      </c>
      <c r="W15" s="5" t="s">
        <v>235</v>
      </c>
      <c r="X15" s="5" t="s">
        <v>235</v>
      </c>
      <c r="Y15" s="5" t="s">
        <v>235</v>
      </c>
      <c r="Z15" s="5" t="s">
        <v>235</v>
      </c>
      <c r="AA15" s="7" t="s">
        <v>235</v>
      </c>
      <c r="AB15" s="5"/>
      <c r="AC15" s="417"/>
      <c r="AD15" s="74"/>
      <c r="AE15" s="108" t="s">
        <v>246</v>
      </c>
      <c r="AF15" s="74"/>
      <c r="AG15" s="74"/>
      <c r="AH15" s="109" t="s">
        <v>246</v>
      </c>
      <c r="AI15" s="83"/>
      <c r="AJ15" s="417"/>
      <c r="AK15" s="5"/>
      <c r="AL15" s="66" t="s">
        <v>233</v>
      </c>
      <c r="AM15" s="5"/>
      <c r="AN15" s="66" t="s">
        <v>233</v>
      </c>
      <c r="AO15" s="5"/>
      <c r="AP15" s="5"/>
      <c r="AQ15" s="66" t="s">
        <v>233</v>
      </c>
      <c r="AR15" s="5"/>
      <c r="AS15" s="110" t="s">
        <v>233</v>
      </c>
      <c r="AT15" s="5"/>
      <c r="AU15" s="396"/>
      <c r="AV15" s="59"/>
      <c r="AW15" s="59"/>
      <c r="AX15" s="115"/>
      <c r="AY15" s="59"/>
      <c r="AZ15" s="59" t="s">
        <v>247</v>
      </c>
      <c r="BA15" s="59"/>
      <c r="BB15" s="115"/>
      <c r="BC15" s="116"/>
      <c r="BD15" s="83"/>
      <c r="BE15" s="416" t="s">
        <v>227</v>
      </c>
      <c r="BF15" s="105"/>
      <c r="BG15" s="105"/>
      <c r="BH15" s="105" t="s">
        <v>228</v>
      </c>
      <c r="BI15" s="105" t="s">
        <v>228</v>
      </c>
      <c r="BJ15" s="105" t="s">
        <v>228</v>
      </c>
      <c r="BK15" s="105"/>
      <c r="BL15" s="105"/>
      <c r="BM15" s="105" t="s">
        <v>228</v>
      </c>
      <c r="BN15" s="105" t="s">
        <v>228</v>
      </c>
      <c r="BO15" s="105" t="s">
        <v>228</v>
      </c>
      <c r="BP15" s="106"/>
      <c r="BQ15" s="5"/>
      <c r="BR15" s="417"/>
      <c r="BS15" s="5"/>
      <c r="BT15" s="5"/>
      <c r="BU15" s="66" t="s">
        <v>248</v>
      </c>
      <c r="BV15" s="66" t="s">
        <v>248</v>
      </c>
      <c r="BW15" s="66" t="s">
        <v>248</v>
      </c>
      <c r="BX15" s="66" t="s">
        <v>248</v>
      </c>
      <c r="BY15" s="66" t="s">
        <v>248</v>
      </c>
      <c r="BZ15" s="7"/>
      <c r="CA15" s="5"/>
      <c r="CB15" s="417"/>
      <c r="CC15" s="5"/>
      <c r="CD15" s="5"/>
      <c r="CE15" s="66" t="s">
        <v>249</v>
      </c>
      <c r="CF15" s="66"/>
      <c r="CG15" s="66"/>
      <c r="CH15" s="66"/>
      <c r="CI15" s="66" t="s">
        <v>249</v>
      </c>
      <c r="CJ15" s="7"/>
      <c r="CK15" s="83"/>
    </row>
    <row r="16" spans="1:89" ht="15.75" customHeight="1" x14ac:dyDescent="0.2">
      <c r="A16" s="83" t="s">
        <v>250</v>
      </c>
      <c r="B16" s="83"/>
      <c r="C16" s="416" t="s">
        <v>227</v>
      </c>
      <c r="D16" s="103"/>
      <c r="E16" s="103" t="s">
        <v>228</v>
      </c>
      <c r="F16" s="103" t="s">
        <v>228</v>
      </c>
      <c r="G16" s="103" t="s">
        <v>228</v>
      </c>
      <c r="H16" s="103" t="s">
        <v>228</v>
      </c>
      <c r="I16" s="103" t="s">
        <v>228</v>
      </c>
      <c r="J16" s="103" t="s">
        <v>228</v>
      </c>
      <c r="K16" s="103" t="s">
        <v>228</v>
      </c>
      <c r="L16" s="103" t="s">
        <v>228</v>
      </c>
      <c r="M16" s="103" t="s">
        <v>228</v>
      </c>
      <c r="N16" s="104" t="s">
        <v>228</v>
      </c>
      <c r="O16" s="83"/>
      <c r="P16" s="417"/>
      <c r="Q16" s="5"/>
      <c r="R16" s="5"/>
      <c r="S16" s="5"/>
      <c r="T16" s="5" t="s">
        <v>251</v>
      </c>
      <c r="U16" s="5" t="s">
        <v>251</v>
      </c>
      <c r="V16" s="5"/>
      <c r="W16" s="5"/>
      <c r="X16" s="5" t="s">
        <v>251</v>
      </c>
      <c r="Y16" s="5" t="s">
        <v>251</v>
      </c>
      <c r="Z16" s="5"/>
      <c r="AA16" s="7"/>
      <c r="AB16" s="5"/>
      <c r="AC16" s="417"/>
      <c r="AD16" s="5"/>
      <c r="AE16" s="5" t="s">
        <v>252</v>
      </c>
      <c r="AF16" s="5" t="s">
        <v>252</v>
      </c>
      <c r="AG16" s="5" t="s">
        <v>252</v>
      </c>
      <c r="AH16" s="7" t="s">
        <v>252</v>
      </c>
      <c r="AI16" s="83"/>
      <c r="AJ16" s="417"/>
      <c r="AK16" s="5"/>
      <c r="AL16" s="5" t="s">
        <v>240</v>
      </c>
      <c r="AM16" s="5"/>
      <c r="AN16" s="5" t="s">
        <v>240</v>
      </c>
      <c r="AO16" s="5"/>
      <c r="AP16" s="5"/>
      <c r="AQ16" s="5" t="s">
        <v>240</v>
      </c>
      <c r="AR16" s="5"/>
      <c r="AS16" s="7" t="s">
        <v>240</v>
      </c>
      <c r="AT16" s="74"/>
      <c r="AU16" s="419" t="s">
        <v>253</v>
      </c>
      <c r="AV16" s="5"/>
      <c r="AW16" s="5"/>
      <c r="AX16" s="5" t="s">
        <v>254</v>
      </c>
      <c r="AY16" s="5" t="s">
        <v>255</v>
      </c>
      <c r="AZ16" s="5"/>
      <c r="BA16" s="5" t="s">
        <v>255</v>
      </c>
      <c r="BB16" s="5" t="s">
        <v>254</v>
      </c>
      <c r="BC16" s="7"/>
      <c r="BD16" s="83"/>
      <c r="BE16" s="417"/>
      <c r="BF16" s="74"/>
      <c r="BG16" s="74"/>
      <c r="BH16" s="108" t="s">
        <v>235</v>
      </c>
      <c r="BI16" s="108" t="s">
        <v>235</v>
      </c>
      <c r="BJ16" s="108" t="s">
        <v>235</v>
      </c>
      <c r="BK16" s="74"/>
      <c r="BL16" s="74"/>
      <c r="BM16" s="108" t="s">
        <v>235</v>
      </c>
      <c r="BN16" s="108" t="s">
        <v>235</v>
      </c>
      <c r="BO16" s="108" t="s">
        <v>235</v>
      </c>
      <c r="BP16" s="111"/>
      <c r="BQ16" s="5"/>
      <c r="BR16" s="417"/>
      <c r="BS16" s="5"/>
      <c r="BT16" s="5"/>
      <c r="BU16" s="5" t="s">
        <v>228</v>
      </c>
      <c r="BV16" s="5" t="s">
        <v>228</v>
      </c>
      <c r="BW16" s="5" t="s">
        <v>228</v>
      </c>
      <c r="BX16" s="5" t="s">
        <v>228</v>
      </c>
      <c r="BY16" s="5" t="s">
        <v>228</v>
      </c>
      <c r="BZ16" s="7"/>
      <c r="CA16" s="5"/>
      <c r="CB16" s="416" t="s">
        <v>227</v>
      </c>
      <c r="CC16" s="103"/>
      <c r="CD16" s="103"/>
      <c r="CE16" s="103" t="s">
        <v>256</v>
      </c>
      <c r="CF16" s="103" t="s">
        <v>256</v>
      </c>
      <c r="CG16" s="103"/>
      <c r="CH16" s="103" t="s">
        <v>256</v>
      </c>
      <c r="CI16" s="103" t="s">
        <v>256</v>
      </c>
      <c r="CJ16" s="104"/>
      <c r="CK16" s="83"/>
    </row>
    <row r="17" spans="1:89" ht="15.75" customHeight="1" x14ac:dyDescent="0.2">
      <c r="A17" s="83" t="s">
        <v>257</v>
      </c>
      <c r="B17" s="83"/>
      <c r="C17" s="417"/>
      <c r="D17" s="5"/>
      <c r="E17" s="5" t="s">
        <v>235</v>
      </c>
      <c r="F17" s="5" t="s">
        <v>235</v>
      </c>
      <c r="G17" s="5" t="s">
        <v>235</v>
      </c>
      <c r="H17" s="5" t="s">
        <v>235</v>
      </c>
      <c r="I17" s="5" t="s">
        <v>235</v>
      </c>
      <c r="J17" s="5" t="s">
        <v>235</v>
      </c>
      <c r="K17" s="5" t="s">
        <v>235</v>
      </c>
      <c r="L17" s="5" t="s">
        <v>235</v>
      </c>
      <c r="M17" s="5" t="s">
        <v>235</v>
      </c>
      <c r="N17" s="7" t="s">
        <v>235</v>
      </c>
      <c r="O17" s="83"/>
      <c r="P17" s="417"/>
      <c r="Q17" s="5"/>
      <c r="R17" s="5"/>
      <c r="S17" s="5"/>
      <c r="T17" s="5" t="s">
        <v>258</v>
      </c>
      <c r="U17" s="5" t="s">
        <v>258</v>
      </c>
      <c r="V17" s="5"/>
      <c r="W17" s="5"/>
      <c r="X17" s="5" t="s">
        <v>258</v>
      </c>
      <c r="Y17" s="5" t="s">
        <v>258</v>
      </c>
      <c r="Z17" s="5"/>
      <c r="AA17" s="7"/>
      <c r="AB17" s="66"/>
      <c r="AC17" s="417"/>
      <c r="AD17" s="74"/>
      <c r="AE17" s="108" t="s">
        <v>259</v>
      </c>
      <c r="AF17" s="108" t="s">
        <v>259</v>
      </c>
      <c r="AG17" s="108" t="s">
        <v>259</v>
      </c>
      <c r="AH17" s="109" t="s">
        <v>259</v>
      </c>
      <c r="AI17" s="83"/>
      <c r="AJ17" s="417"/>
      <c r="AK17" s="5"/>
      <c r="AL17" s="66" t="s">
        <v>246</v>
      </c>
      <c r="AM17" s="5"/>
      <c r="AN17" s="66" t="s">
        <v>246</v>
      </c>
      <c r="AO17" s="5"/>
      <c r="AP17" s="5"/>
      <c r="AQ17" s="66" t="s">
        <v>246</v>
      </c>
      <c r="AR17" s="5"/>
      <c r="AS17" s="110" t="s">
        <v>246</v>
      </c>
      <c r="AT17" s="74"/>
      <c r="AU17" s="417"/>
      <c r="AV17" s="5"/>
      <c r="AW17" s="66"/>
      <c r="AX17" s="66" t="s">
        <v>260</v>
      </c>
      <c r="AY17" s="66" t="s">
        <v>260</v>
      </c>
      <c r="AZ17" s="5"/>
      <c r="BA17" s="66" t="s">
        <v>260</v>
      </c>
      <c r="BB17" s="66" t="s">
        <v>260</v>
      </c>
      <c r="BC17" s="110"/>
      <c r="BD17" s="83"/>
      <c r="BE17" s="417"/>
      <c r="BF17" s="5"/>
      <c r="BG17" s="5"/>
      <c r="BH17" s="5" t="s">
        <v>261</v>
      </c>
      <c r="BI17" s="5" t="s">
        <v>261</v>
      </c>
      <c r="BJ17" s="5" t="s">
        <v>261</v>
      </c>
      <c r="BK17" s="5"/>
      <c r="BL17" s="5"/>
      <c r="BM17" s="5" t="s">
        <v>261</v>
      </c>
      <c r="BN17" s="5" t="s">
        <v>261</v>
      </c>
      <c r="BO17" s="5" t="s">
        <v>261</v>
      </c>
      <c r="BP17" s="7"/>
      <c r="BQ17" s="83"/>
      <c r="BR17" s="417"/>
      <c r="BS17" s="5"/>
      <c r="BT17" s="5"/>
      <c r="BU17" s="66" t="s">
        <v>262</v>
      </c>
      <c r="BV17" s="66" t="s">
        <v>262</v>
      </c>
      <c r="BW17" s="66" t="s">
        <v>262</v>
      </c>
      <c r="BX17" s="66" t="s">
        <v>262</v>
      </c>
      <c r="BY17" s="66" t="s">
        <v>262</v>
      </c>
      <c r="BZ17" s="7"/>
      <c r="CA17" s="83"/>
      <c r="CB17" s="417"/>
      <c r="CC17" s="5"/>
      <c r="CD17" s="5"/>
      <c r="CE17" s="66" t="s">
        <v>263</v>
      </c>
      <c r="CF17" s="66" t="s">
        <v>263</v>
      </c>
      <c r="CG17" s="66"/>
      <c r="CH17" s="66" t="s">
        <v>263</v>
      </c>
      <c r="CI17" s="66" t="s">
        <v>263</v>
      </c>
      <c r="CJ17" s="7"/>
      <c r="CK17" s="83"/>
    </row>
    <row r="18" spans="1:89" ht="15.75" customHeight="1" x14ac:dyDescent="0.2">
      <c r="A18" s="107" t="s">
        <v>157</v>
      </c>
      <c r="B18" s="83"/>
      <c r="C18" s="417"/>
      <c r="D18" s="5"/>
      <c r="E18" s="5"/>
      <c r="F18" s="5"/>
      <c r="G18" s="5" t="s">
        <v>251</v>
      </c>
      <c r="H18" s="5" t="s">
        <v>251</v>
      </c>
      <c r="I18" s="5"/>
      <c r="J18" s="5"/>
      <c r="K18" s="5" t="s">
        <v>251</v>
      </c>
      <c r="L18" s="5" t="s">
        <v>251</v>
      </c>
      <c r="M18" s="5"/>
      <c r="N18" s="7"/>
      <c r="O18" s="83"/>
      <c r="P18" s="417"/>
      <c r="Q18" s="5"/>
      <c r="R18" s="5"/>
      <c r="S18" s="5"/>
      <c r="T18" s="5" t="s">
        <v>264</v>
      </c>
      <c r="U18" s="5" t="s">
        <v>264</v>
      </c>
      <c r="V18" s="5" t="s">
        <v>264</v>
      </c>
      <c r="W18" s="5" t="s">
        <v>264</v>
      </c>
      <c r="X18" s="5" t="s">
        <v>264</v>
      </c>
      <c r="Y18" s="5" t="s">
        <v>264</v>
      </c>
      <c r="Z18" s="5"/>
      <c r="AA18" s="7"/>
      <c r="AB18" s="5"/>
      <c r="AC18" s="416" t="s">
        <v>227</v>
      </c>
      <c r="AD18" s="105"/>
      <c r="AE18" s="105" t="s">
        <v>265</v>
      </c>
      <c r="AF18" s="105" t="s">
        <v>265</v>
      </c>
      <c r="AG18" s="105" t="s">
        <v>265</v>
      </c>
      <c r="AH18" s="106" t="s">
        <v>265</v>
      </c>
      <c r="AI18" s="83"/>
      <c r="AJ18" s="417"/>
      <c r="AK18" s="5"/>
      <c r="AL18" s="5" t="s">
        <v>252</v>
      </c>
      <c r="AM18" s="5"/>
      <c r="AN18" s="5" t="s">
        <v>252</v>
      </c>
      <c r="AO18" s="5" t="s">
        <v>252</v>
      </c>
      <c r="AP18" s="5" t="s">
        <v>252</v>
      </c>
      <c r="AQ18" s="5" t="s">
        <v>252</v>
      </c>
      <c r="AR18" s="5"/>
      <c r="AS18" s="7" t="s">
        <v>252</v>
      </c>
      <c r="AT18" s="74"/>
      <c r="AU18" s="417"/>
      <c r="AV18" s="5"/>
      <c r="AW18" s="5"/>
      <c r="AX18" s="5" t="s">
        <v>266</v>
      </c>
      <c r="AY18" s="5"/>
      <c r="AZ18" s="5"/>
      <c r="BA18" s="5"/>
      <c r="BB18" s="5" t="s">
        <v>266</v>
      </c>
      <c r="BC18" s="7"/>
      <c r="BD18" s="83"/>
      <c r="BE18" s="417"/>
      <c r="BF18" s="74"/>
      <c r="BG18" s="74"/>
      <c r="BH18" s="108" t="s">
        <v>267</v>
      </c>
      <c r="BI18" s="108" t="s">
        <v>267</v>
      </c>
      <c r="BJ18" s="108" t="s">
        <v>267</v>
      </c>
      <c r="BK18" s="74"/>
      <c r="BL18" s="74"/>
      <c r="BM18" s="108" t="s">
        <v>267</v>
      </c>
      <c r="BN18" s="108" t="s">
        <v>267</v>
      </c>
      <c r="BO18" s="108" t="s">
        <v>267</v>
      </c>
      <c r="BP18" s="111"/>
      <c r="BQ18" s="83"/>
      <c r="BR18" s="417"/>
      <c r="BS18" s="5"/>
      <c r="BT18" s="5"/>
      <c r="BU18" s="5" t="s">
        <v>268</v>
      </c>
      <c r="BV18" s="5" t="s">
        <v>268</v>
      </c>
      <c r="BW18" s="5" t="s">
        <v>268</v>
      </c>
      <c r="BX18" s="5" t="s">
        <v>268</v>
      </c>
      <c r="BY18" s="5" t="s">
        <v>268</v>
      </c>
      <c r="BZ18" s="7"/>
      <c r="CA18" s="83"/>
      <c r="CB18" s="417"/>
      <c r="CC18" s="5"/>
      <c r="CD18" s="5"/>
      <c r="CE18" s="5" t="s">
        <v>251</v>
      </c>
      <c r="CF18" s="5"/>
      <c r="CG18" s="5"/>
      <c r="CH18" s="5"/>
      <c r="CI18" s="5" t="s">
        <v>251</v>
      </c>
      <c r="CJ18" s="7"/>
      <c r="CK18" s="83"/>
    </row>
    <row r="19" spans="1:89" ht="15.75" customHeight="1" x14ac:dyDescent="0.2">
      <c r="A19" s="107" t="s">
        <v>158</v>
      </c>
      <c r="B19" s="83"/>
      <c r="C19" s="417"/>
      <c r="D19" s="5"/>
      <c r="E19" s="5"/>
      <c r="F19" s="5"/>
      <c r="G19" s="5" t="s">
        <v>258</v>
      </c>
      <c r="H19" s="5" t="s">
        <v>258</v>
      </c>
      <c r="I19" s="5"/>
      <c r="J19" s="5"/>
      <c r="K19" s="5" t="s">
        <v>258</v>
      </c>
      <c r="L19" s="5" t="s">
        <v>258</v>
      </c>
      <c r="M19" s="5"/>
      <c r="N19" s="7"/>
      <c r="O19" s="83"/>
      <c r="P19" s="396"/>
      <c r="Q19" s="59"/>
      <c r="R19" s="59"/>
      <c r="S19" s="59"/>
      <c r="T19" s="59" t="s">
        <v>269</v>
      </c>
      <c r="U19" s="59" t="s">
        <v>269</v>
      </c>
      <c r="V19" s="59" t="s">
        <v>269</v>
      </c>
      <c r="W19" s="59" t="s">
        <v>269</v>
      </c>
      <c r="X19" s="59" t="s">
        <v>269</v>
      </c>
      <c r="Y19" s="59" t="s">
        <v>269</v>
      </c>
      <c r="Z19" s="59"/>
      <c r="AA19" s="116"/>
      <c r="AB19" s="5"/>
      <c r="AC19" s="417"/>
      <c r="AD19" s="74"/>
      <c r="AE19" s="108" t="s">
        <v>270</v>
      </c>
      <c r="AF19" s="108" t="s">
        <v>270</v>
      </c>
      <c r="AG19" s="108" t="s">
        <v>270</v>
      </c>
      <c r="AH19" s="109" t="s">
        <v>270</v>
      </c>
      <c r="AI19" s="83"/>
      <c r="AJ19" s="417"/>
      <c r="AK19" s="5"/>
      <c r="AL19" s="66" t="s">
        <v>259</v>
      </c>
      <c r="AM19" s="5"/>
      <c r="AN19" s="66" t="s">
        <v>259</v>
      </c>
      <c r="AO19" s="66" t="s">
        <v>259</v>
      </c>
      <c r="AP19" s="66" t="s">
        <v>259</v>
      </c>
      <c r="AQ19" s="66" t="s">
        <v>259</v>
      </c>
      <c r="AR19" s="5"/>
      <c r="AS19" s="110" t="s">
        <v>259</v>
      </c>
      <c r="AT19" s="74"/>
      <c r="AU19" s="396"/>
      <c r="AV19" s="59"/>
      <c r="AW19" s="59"/>
      <c r="AX19" s="115" t="s">
        <v>271</v>
      </c>
      <c r="AY19" s="59"/>
      <c r="AZ19" s="59"/>
      <c r="BA19" s="59"/>
      <c r="BB19" s="115" t="s">
        <v>271</v>
      </c>
      <c r="BC19" s="116"/>
      <c r="BD19" s="83"/>
      <c r="BE19" s="417"/>
      <c r="BF19" s="74"/>
      <c r="BG19" s="74"/>
      <c r="BH19" s="74"/>
      <c r="BI19" s="5" t="s">
        <v>272</v>
      </c>
      <c r="BJ19" s="74"/>
      <c r="BK19" s="74"/>
      <c r="BL19" s="74"/>
      <c r="BM19" s="74"/>
      <c r="BN19" s="5" t="s">
        <v>272</v>
      </c>
      <c r="BO19" s="74"/>
      <c r="BP19" s="111"/>
      <c r="BQ19" s="83"/>
      <c r="BR19" s="417"/>
      <c r="BS19" s="5"/>
      <c r="BT19" s="5"/>
      <c r="BU19" s="66" t="s">
        <v>273</v>
      </c>
      <c r="BV19" s="66" t="s">
        <v>273</v>
      </c>
      <c r="BW19" s="66" t="s">
        <v>273</v>
      </c>
      <c r="BX19" s="66" t="s">
        <v>273</v>
      </c>
      <c r="BY19" s="66" t="s">
        <v>273</v>
      </c>
      <c r="BZ19" s="7"/>
      <c r="CA19" s="83"/>
      <c r="CB19" s="417"/>
      <c r="CC19" s="5"/>
      <c r="CD19" s="5"/>
      <c r="CE19" s="66" t="s">
        <v>258</v>
      </c>
      <c r="CF19" s="66"/>
      <c r="CG19" s="66"/>
      <c r="CH19" s="66"/>
      <c r="CI19" s="66" t="s">
        <v>258</v>
      </c>
      <c r="CJ19" s="7"/>
      <c r="CK19" s="83"/>
    </row>
    <row r="20" spans="1:89" ht="15.75" customHeight="1" x14ac:dyDescent="0.2">
      <c r="A20" s="97"/>
      <c r="B20" s="99"/>
      <c r="C20" s="417"/>
      <c r="D20" s="5"/>
      <c r="E20" s="5"/>
      <c r="F20" s="5"/>
      <c r="G20" s="5" t="s">
        <v>264</v>
      </c>
      <c r="H20" s="5" t="s">
        <v>264</v>
      </c>
      <c r="I20" s="5" t="s">
        <v>264</v>
      </c>
      <c r="J20" s="5" t="s">
        <v>264</v>
      </c>
      <c r="K20" s="5" t="s">
        <v>264</v>
      </c>
      <c r="L20" s="5" t="s">
        <v>264</v>
      </c>
      <c r="M20" s="5"/>
      <c r="N20" s="7"/>
      <c r="O20" s="83"/>
      <c r="P20" s="419" t="s">
        <v>274</v>
      </c>
      <c r="Q20" s="5"/>
      <c r="R20" s="5"/>
      <c r="S20" s="5"/>
      <c r="T20" s="5" t="s">
        <v>275</v>
      </c>
      <c r="U20" s="5"/>
      <c r="V20" s="5"/>
      <c r="W20" s="5"/>
      <c r="X20" s="5"/>
      <c r="Y20" s="5" t="s">
        <v>275</v>
      </c>
      <c r="Z20" s="5"/>
      <c r="AA20" s="7"/>
      <c r="AB20" s="5"/>
      <c r="AC20" s="417"/>
      <c r="AD20" s="5"/>
      <c r="AE20" s="5" t="s">
        <v>276</v>
      </c>
      <c r="AF20" s="5" t="s">
        <v>276</v>
      </c>
      <c r="AG20" s="5" t="s">
        <v>276</v>
      </c>
      <c r="AH20" s="7" t="s">
        <v>276</v>
      </c>
      <c r="AI20" s="83"/>
      <c r="AJ20" s="417"/>
      <c r="AK20" s="5"/>
      <c r="AL20" s="5" t="s">
        <v>277</v>
      </c>
      <c r="AM20" s="5"/>
      <c r="AN20" s="5"/>
      <c r="AO20" s="5"/>
      <c r="AP20" s="5"/>
      <c r="AQ20" s="5"/>
      <c r="AR20" s="5"/>
      <c r="AS20" s="7" t="s">
        <v>277</v>
      </c>
      <c r="AT20" s="74"/>
      <c r="AU20" s="83"/>
      <c r="AV20" s="5"/>
      <c r="AW20" s="5"/>
      <c r="AX20" s="5"/>
      <c r="AY20" s="5"/>
      <c r="AZ20" s="5"/>
      <c r="BA20" s="5"/>
      <c r="BB20" s="5"/>
      <c r="BC20" s="5"/>
      <c r="BD20" s="83"/>
      <c r="BE20" s="417"/>
      <c r="BF20" s="74"/>
      <c r="BG20" s="74"/>
      <c r="BH20" s="74"/>
      <c r="BI20" s="108" t="s">
        <v>278</v>
      </c>
      <c r="BJ20" s="74"/>
      <c r="BK20" s="74"/>
      <c r="BL20" s="74"/>
      <c r="BM20" s="74"/>
      <c r="BN20" s="108" t="s">
        <v>278</v>
      </c>
      <c r="BO20" s="74"/>
      <c r="BP20" s="111"/>
      <c r="BQ20" s="83"/>
      <c r="BR20" s="417"/>
      <c r="BS20" s="5"/>
      <c r="BT20" s="5"/>
      <c r="BU20" s="5" t="s">
        <v>272</v>
      </c>
      <c r="BV20" s="5" t="s">
        <v>272</v>
      </c>
      <c r="BW20" s="5" t="s">
        <v>272</v>
      </c>
      <c r="BX20" s="5" t="s">
        <v>272</v>
      </c>
      <c r="BY20" s="5" t="s">
        <v>272</v>
      </c>
      <c r="BZ20" s="7"/>
      <c r="CA20" s="83"/>
      <c r="CB20" s="417"/>
      <c r="CC20" s="5"/>
      <c r="CD20" s="5"/>
      <c r="CE20" s="5"/>
      <c r="CF20" s="5"/>
      <c r="CG20" s="5" t="s">
        <v>279</v>
      </c>
      <c r="CH20" s="5"/>
      <c r="CI20" s="5"/>
      <c r="CJ20" s="7"/>
      <c r="CK20" s="83"/>
    </row>
    <row r="21" spans="1:89" ht="15.75" customHeight="1" x14ac:dyDescent="0.2">
      <c r="A21" s="119" t="s">
        <v>280</v>
      </c>
      <c r="B21" s="83"/>
      <c r="C21" s="396"/>
      <c r="D21" s="59"/>
      <c r="E21" s="59"/>
      <c r="F21" s="59"/>
      <c r="G21" s="59" t="s">
        <v>269</v>
      </c>
      <c r="H21" s="59" t="s">
        <v>269</v>
      </c>
      <c r="I21" s="59" t="s">
        <v>269</v>
      </c>
      <c r="J21" s="59" t="s">
        <v>269</v>
      </c>
      <c r="K21" s="59" t="s">
        <v>269</v>
      </c>
      <c r="L21" s="59" t="s">
        <v>269</v>
      </c>
      <c r="M21" s="59"/>
      <c r="N21" s="116"/>
      <c r="O21" s="83"/>
      <c r="P21" s="417"/>
      <c r="Q21" s="5"/>
      <c r="R21" s="5"/>
      <c r="S21" s="5"/>
      <c r="T21" s="5" t="s">
        <v>281</v>
      </c>
      <c r="U21" s="5"/>
      <c r="V21" s="5"/>
      <c r="W21" s="5"/>
      <c r="X21" s="5"/>
      <c r="Y21" s="5" t="s">
        <v>281</v>
      </c>
      <c r="Z21" s="5"/>
      <c r="AA21" s="7"/>
      <c r="AB21" s="120"/>
      <c r="AC21" s="417"/>
      <c r="AD21" s="74"/>
      <c r="AE21" s="108" t="s">
        <v>282</v>
      </c>
      <c r="AF21" s="108" t="s">
        <v>282</v>
      </c>
      <c r="AG21" s="108" t="s">
        <v>282</v>
      </c>
      <c r="AH21" s="109" t="s">
        <v>282</v>
      </c>
      <c r="AI21" s="83"/>
      <c r="AJ21" s="417"/>
      <c r="AK21" s="5"/>
      <c r="AL21" s="66" t="s">
        <v>283</v>
      </c>
      <c r="AM21" s="5"/>
      <c r="AN21" s="5"/>
      <c r="AO21" s="5"/>
      <c r="AP21" s="5"/>
      <c r="AQ21" s="5"/>
      <c r="AR21" s="5"/>
      <c r="AS21" s="110" t="s">
        <v>283</v>
      </c>
      <c r="AT21" s="74"/>
      <c r="AU21" s="83"/>
      <c r="AV21" s="83"/>
      <c r="AW21" s="83"/>
      <c r="AX21" s="83"/>
      <c r="AY21" s="83"/>
      <c r="AZ21" s="83"/>
      <c r="BA21" s="83"/>
      <c r="BB21" s="83"/>
      <c r="BC21" s="120"/>
      <c r="BD21" s="83"/>
      <c r="BE21" s="417"/>
      <c r="BF21" s="74"/>
      <c r="BG21" s="74"/>
      <c r="BH21" s="74"/>
      <c r="BI21" s="74"/>
      <c r="BJ21" s="74"/>
      <c r="BK21" s="74"/>
      <c r="BL21" s="5" t="s">
        <v>264</v>
      </c>
      <c r="BM21" s="74"/>
      <c r="BN21" s="74"/>
      <c r="BO21" s="74"/>
      <c r="BP21" s="111"/>
      <c r="BQ21" s="83"/>
      <c r="BR21" s="417"/>
      <c r="BS21" s="5"/>
      <c r="BT21" s="5"/>
      <c r="BU21" s="66" t="s">
        <v>284</v>
      </c>
      <c r="BV21" s="66" t="s">
        <v>284</v>
      </c>
      <c r="BW21" s="66" t="s">
        <v>284</v>
      </c>
      <c r="BX21" s="66" t="s">
        <v>284</v>
      </c>
      <c r="BY21" s="66" t="s">
        <v>284</v>
      </c>
      <c r="BZ21" s="7"/>
      <c r="CA21" s="83"/>
      <c r="CB21" s="417"/>
      <c r="CC21" s="5"/>
      <c r="CD21" s="5"/>
      <c r="CE21" s="66"/>
      <c r="CF21" s="66"/>
      <c r="CG21" s="66" t="s">
        <v>285</v>
      </c>
      <c r="CH21" s="66"/>
      <c r="CI21" s="66"/>
      <c r="CJ21" s="7"/>
      <c r="CK21" s="83"/>
    </row>
    <row r="22" spans="1:89" ht="15.75" customHeight="1" x14ac:dyDescent="0.2">
      <c r="A22" s="83" t="s">
        <v>286</v>
      </c>
      <c r="B22" s="99"/>
      <c r="C22" s="420" t="s">
        <v>287</v>
      </c>
      <c r="D22" s="103"/>
      <c r="E22" s="103"/>
      <c r="F22" s="103"/>
      <c r="G22" s="103" t="s">
        <v>288</v>
      </c>
      <c r="H22" s="103" t="s">
        <v>288</v>
      </c>
      <c r="I22" s="103"/>
      <c r="J22" s="103"/>
      <c r="K22" s="103" t="s">
        <v>288</v>
      </c>
      <c r="L22" s="103" t="s">
        <v>288</v>
      </c>
      <c r="M22" s="103"/>
      <c r="N22" s="104"/>
      <c r="O22" s="83"/>
      <c r="P22" s="416" t="s">
        <v>253</v>
      </c>
      <c r="Q22" s="103"/>
      <c r="R22" s="103" t="s">
        <v>289</v>
      </c>
      <c r="S22" s="103"/>
      <c r="T22" s="103"/>
      <c r="U22" s="103"/>
      <c r="V22" s="103"/>
      <c r="W22" s="103"/>
      <c r="X22" s="103"/>
      <c r="Y22" s="103"/>
      <c r="Z22" s="103"/>
      <c r="AA22" s="104" t="s">
        <v>289</v>
      </c>
      <c r="AB22" s="108"/>
      <c r="AC22" s="417"/>
      <c r="AD22" s="74"/>
      <c r="AE22" s="74" t="s">
        <v>290</v>
      </c>
      <c r="AF22" s="74"/>
      <c r="AG22" s="74"/>
      <c r="AH22" s="111" t="s">
        <v>290</v>
      </c>
      <c r="AI22" s="83"/>
      <c r="AJ22" s="416" t="s">
        <v>227</v>
      </c>
      <c r="AK22" s="103"/>
      <c r="AL22" s="103"/>
      <c r="AM22" s="103"/>
      <c r="AN22" s="103" t="s">
        <v>291</v>
      </c>
      <c r="AO22" s="103"/>
      <c r="AP22" s="103"/>
      <c r="AQ22" s="103" t="s">
        <v>291</v>
      </c>
      <c r="AR22" s="103"/>
      <c r="AS22" s="104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83"/>
      <c r="BE22" s="396"/>
      <c r="BF22" s="113"/>
      <c r="BG22" s="113"/>
      <c r="BH22" s="113"/>
      <c r="BI22" s="113"/>
      <c r="BJ22" s="113"/>
      <c r="BK22" s="113"/>
      <c r="BL22" s="112" t="s">
        <v>269</v>
      </c>
      <c r="BM22" s="113"/>
      <c r="BN22" s="113"/>
      <c r="BO22" s="113"/>
      <c r="BP22" s="114"/>
      <c r="BQ22" s="83"/>
      <c r="BR22" s="417"/>
      <c r="BS22" s="5"/>
      <c r="BT22" s="5"/>
      <c r="BU22" s="5"/>
      <c r="BV22" s="5" t="s">
        <v>264</v>
      </c>
      <c r="BW22" s="5" t="s">
        <v>264</v>
      </c>
      <c r="BX22" s="5" t="s">
        <v>264</v>
      </c>
      <c r="BY22" s="5"/>
      <c r="BZ22" s="7"/>
      <c r="CA22" s="83"/>
      <c r="CB22" s="417"/>
      <c r="CC22" s="5"/>
      <c r="CD22" s="5"/>
      <c r="CE22" s="5" t="s">
        <v>292</v>
      </c>
      <c r="CF22" s="5" t="s">
        <v>292</v>
      </c>
      <c r="CG22" s="5"/>
      <c r="CH22" s="5" t="s">
        <v>292</v>
      </c>
      <c r="CI22" s="5" t="s">
        <v>292</v>
      </c>
      <c r="CJ22" s="7"/>
      <c r="CK22" s="83"/>
    </row>
    <row r="23" spans="1:89" ht="15.75" customHeight="1" x14ac:dyDescent="0.2">
      <c r="A23" s="83" t="s">
        <v>293</v>
      </c>
      <c r="B23" s="99"/>
      <c r="C23" s="417"/>
      <c r="D23" s="74"/>
      <c r="E23" s="74"/>
      <c r="F23" s="74"/>
      <c r="G23" s="74" t="s">
        <v>294</v>
      </c>
      <c r="H23" s="74" t="s">
        <v>294</v>
      </c>
      <c r="I23" s="74"/>
      <c r="J23" s="74"/>
      <c r="K23" s="74" t="s">
        <v>294</v>
      </c>
      <c r="L23" s="74" t="s">
        <v>294</v>
      </c>
      <c r="M23" s="74"/>
      <c r="N23" s="111"/>
      <c r="O23" s="83"/>
      <c r="P23" s="417"/>
      <c r="Q23" s="5"/>
      <c r="R23" s="66" t="s">
        <v>295</v>
      </c>
      <c r="S23" s="5"/>
      <c r="T23" s="5"/>
      <c r="U23" s="5"/>
      <c r="V23" s="5"/>
      <c r="W23" s="5"/>
      <c r="X23" s="5"/>
      <c r="Y23" s="5"/>
      <c r="Z23" s="5"/>
      <c r="AA23" s="110" t="s">
        <v>295</v>
      </c>
      <c r="AB23" s="5"/>
      <c r="AC23" s="396"/>
      <c r="AD23" s="113"/>
      <c r="AE23" s="112" t="s">
        <v>296</v>
      </c>
      <c r="AF23" s="113"/>
      <c r="AG23" s="113"/>
      <c r="AH23" s="121" t="s">
        <v>296</v>
      </c>
      <c r="AI23" s="83"/>
      <c r="AJ23" s="417"/>
      <c r="AK23" s="5"/>
      <c r="AL23" s="66"/>
      <c r="AM23" s="5"/>
      <c r="AN23" s="66" t="s">
        <v>297</v>
      </c>
      <c r="AO23" s="66"/>
      <c r="AP23" s="66"/>
      <c r="AQ23" s="66" t="s">
        <v>297</v>
      </c>
      <c r="AR23" s="5"/>
      <c r="AS23" s="7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83"/>
      <c r="BE23" s="416" t="s">
        <v>253</v>
      </c>
      <c r="BF23" s="105"/>
      <c r="BG23" s="105" t="s">
        <v>289</v>
      </c>
      <c r="BH23" s="105" t="s">
        <v>298</v>
      </c>
      <c r="BI23" s="105"/>
      <c r="BJ23" s="105"/>
      <c r="BK23" s="105"/>
      <c r="BL23" s="105"/>
      <c r="BM23" s="105"/>
      <c r="BN23" s="105"/>
      <c r="BO23" s="105" t="s">
        <v>298</v>
      </c>
      <c r="BP23" s="106" t="s">
        <v>289</v>
      </c>
      <c r="BQ23" s="83"/>
      <c r="BR23" s="396"/>
      <c r="BS23" s="59"/>
      <c r="BT23" s="59"/>
      <c r="BU23" s="59"/>
      <c r="BV23" s="115" t="s">
        <v>299</v>
      </c>
      <c r="BW23" s="115" t="s">
        <v>299</v>
      </c>
      <c r="BX23" s="115" t="s">
        <v>299</v>
      </c>
      <c r="BY23" s="59"/>
      <c r="BZ23" s="116"/>
      <c r="CA23" s="83"/>
      <c r="CB23" s="417"/>
      <c r="CC23" s="5"/>
      <c r="CD23" s="5"/>
      <c r="CE23" s="66" t="s">
        <v>300</v>
      </c>
      <c r="CF23" s="66" t="s">
        <v>300</v>
      </c>
      <c r="CG23" s="66"/>
      <c r="CH23" s="66" t="s">
        <v>300</v>
      </c>
      <c r="CI23" s="66" t="s">
        <v>300</v>
      </c>
      <c r="CJ23" s="7"/>
      <c r="CK23" s="83"/>
    </row>
    <row r="24" spans="1:89" ht="30" x14ac:dyDescent="0.2">
      <c r="A24" s="83" t="s">
        <v>301</v>
      </c>
      <c r="B24" s="83"/>
      <c r="C24" s="416" t="s">
        <v>274</v>
      </c>
      <c r="D24" s="103"/>
      <c r="E24" s="103"/>
      <c r="F24" s="103"/>
      <c r="G24" s="103" t="s">
        <v>302</v>
      </c>
      <c r="H24" s="103"/>
      <c r="I24" s="103"/>
      <c r="J24" s="103"/>
      <c r="K24" s="103"/>
      <c r="L24" s="103" t="s">
        <v>302</v>
      </c>
      <c r="M24" s="103"/>
      <c r="N24" s="104"/>
      <c r="O24" s="83"/>
      <c r="P24" s="417"/>
      <c r="Q24" s="83"/>
      <c r="R24" s="5" t="s">
        <v>303</v>
      </c>
      <c r="S24" s="83"/>
      <c r="T24" s="83"/>
      <c r="U24" s="83"/>
      <c r="V24" s="83"/>
      <c r="W24" s="83"/>
      <c r="X24" s="83"/>
      <c r="Y24" s="83"/>
      <c r="Z24" s="83"/>
      <c r="AA24" s="7" t="s">
        <v>303</v>
      </c>
      <c r="AB24" s="74"/>
      <c r="AC24" s="419" t="s">
        <v>304</v>
      </c>
      <c r="AD24" s="74"/>
      <c r="AE24" s="74"/>
      <c r="AF24" s="74"/>
      <c r="AG24" s="74" t="s">
        <v>305</v>
      </c>
      <c r="AH24" s="111"/>
      <c r="AI24" s="83"/>
      <c r="AJ24" s="417"/>
      <c r="AK24" s="5"/>
      <c r="AL24" s="5"/>
      <c r="AM24" s="5"/>
      <c r="AN24" s="5"/>
      <c r="AO24" s="5" t="s">
        <v>265</v>
      </c>
      <c r="AP24" s="5" t="s">
        <v>265</v>
      </c>
      <c r="AQ24" s="5"/>
      <c r="AR24" s="5"/>
      <c r="AS24" s="7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83"/>
      <c r="BE24" s="417"/>
      <c r="BF24" s="74"/>
      <c r="BG24" s="108" t="s">
        <v>295</v>
      </c>
      <c r="BH24" s="108" t="s">
        <v>295</v>
      </c>
      <c r="BI24" s="74"/>
      <c r="BJ24" s="74"/>
      <c r="BK24" s="74"/>
      <c r="BL24" s="74"/>
      <c r="BM24" s="74"/>
      <c r="BN24" s="74"/>
      <c r="BO24" s="108" t="s">
        <v>295</v>
      </c>
      <c r="BP24" s="109" t="s">
        <v>295</v>
      </c>
      <c r="BQ24" s="83"/>
      <c r="BR24" s="419" t="s">
        <v>253</v>
      </c>
      <c r="BS24" s="5"/>
      <c r="BT24" s="5"/>
      <c r="BU24" s="5"/>
      <c r="BV24" s="5" t="s">
        <v>306</v>
      </c>
      <c r="BW24" s="5" t="s">
        <v>306</v>
      </c>
      <c r="BX24" s="5" t="s">
        <v>306</v>
      </c>
      <c r="BY24" s="5"/>
      <c r="BZ24" s="7"/>
      <c r="CA24" s="83"/>
      <c r="CB24" s="417"/>
      <c r="CC24" s="5"/>
      <c r="CD24" s="5"/>
      <c r="CE24" s="5" t="s">
        <v>307</v>
      </c>
      <c r="CF24" s="5" t="s">
        <v>307</v>
      </c>
      <c r="CG24" s="5"/>
      <c r="CH24" s="5" t="s">
        <v>307</v>
      </c>
      <c r="CI24" s="5" t="s">
        <v>307</v>
      </c>
      <c r="CJ24" s="7"/>
      <c r="CK24" s="83"/>
    </row>
    <row r="25" spans="1:89" ht="15" x14ac:dyDescent="0.2">
      <c r="A25" s="83" t="s">
        <v>308</v>
      </c>
      <c r="B25" s="83"/>
      <c r="C25" s="417"/>
      <c r="D25" s="5"/>
      <c r="E25" s="5"/>
      <c r="F25" s="5"/>
      <c r="G25" s="5" t="s">
        <v>309</v>
      </c>
      <c r="H25" s="5"/>
      <c r="I25" s="5"/>
      <c r="J25" s="5"/>
      <c r="K25" s="5"/>
      <c r="L25" s="5" t="s">
        <v>309</v>
      </c>
      <c r="M25" s="5"/>
      <c r="N25" s="7"/>
      <c r="O25" s="83"/>
      <c r="P25" s="417"/>
      <c r="Q25" s="83"/>
      <c r="R25" s="66" t="s">
        <v>310</v>
      </c>
      <c r="S25" s="83"/>
      <c r="T25" s="83"/>
      <c r="U25" s="83"/>
      <c r="V25" s="83"/>
      <c r="W25" s="83"/>
      <c r="X25" s="83"/>
      <c r="Y25" s="83"/>
      <c r="Z25" s="83"/>
      <c r="AA25" s="110" t="s">
        <v>310</v>
      </c>
      <c r="AB25" s="83"/>
      <c r="AC25" s="417"/>
      <c r="AD25" s="74"/>
      <c r="AE25" s="112"/>
      <c r="AF25" s="113"/>
      <c r="AG25" s="113" t="s">
        <v>215</v>
      </c>
      <c r="AH25" s="121"/>
      <c r="AI25" s="83"/>
      <c r="AJ25" s="417"/>
      <c r="AK25" s="5"/>
      <c r="AL25" s="5"/>
      <c r="AM25" s="5"/>
      <c r="AN25" s="5"/>
      <c r="AO25" s="66" t="s">
        <v>270</v>
      </c>
      <c r="AP25" s="66" t="s">
        <v>270</v>
      </c>
      <c r="AQ25" s="5"/>
      <c r="AR25" s="5"/>
      <c r="AS25" s="7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417"/>
      <c r="BF25" s="5"/>
      <c r="BG25" s="5"/>
      <c r="BH25" s="122" t="s">
        <v>266</v>
      </c>
      <c r="BI25" s="5"/>
      <c r="BJ25" s="5"/>
      <c r="BK25" s="5"/>
      <c r="BL25" s="5"/>
      <c r="BM25" s="5"/>
      <c r="BN25" s="5"/>
      <c r="BO25" s="122" t="s">
        <v>266</v>
      </c>
      <c r="BP25" s="7"/>
      <c r="BQ25" s="83"/>
      <c r="BR25" s="417"/>
      <c r="BS25" s="5"/>
      <c r="BT25" s="5"/>
      <c r="BU25" s="5"/>
      <c r="BV25" s="66" t="s">
        <v>311</v>
      </c>
      <c r="BW25" s="66" t="s">
        <v>311</v>
      </c>
      <c r="BX25" s="66" t="s">
        <v>311</v>
      </c>
      <c r="BY25" s="5"/>
      <c r="BZ25" s="7"/>
      <c r="CA25" s="83"/>
      <c r="CB25" s="417"/>
      <c r="CC25" s="5"/>
      <c r="CD25" s="5"/>
      <c r="CE25" s="66" t="s">
        <v>269</v>
      </c>
      <c r="CF25" s="66" t="s">
        <v>269</v>
      </c>
      <c r="CG25" s="66"/>
      <c r="CH25" s="66" t="s">
        <v>269</v>
      </c>
      <c r="CI25" s="66" t="s">
        <v>269</v>
      </c>
      <c r="CJ25" s="7"/>
      <c r="CK25" s="83"/>
    </row>
    <row r="26" spans="1:89" ht="30" x14ac:dyDescent="0.2">
      <c r="A26" s="83" t="s">
        <v>312</v>
      </c>
      <c r="B26" s="83"/>
      <c r="C26" s="416" t="s">
        <v>253</v>
      </c>
      <c r="D26" s="103"/>
      <c r="E26" s="103" t="s">
        <v>298</v>
      </c>
      <c r="F26" s="103"/>
      <c r="G26" s="103"/>
      <c r="H26" s="103"/>
      <c r="I26" s="103"/>
      <c r="J26" s="103"/>
      <c r="K26" s="103"/>
      <c r="L26" s="103"/>
      <c r="M26" s="103"/>
      <c r="N26" s="104" t="s">
        <v>298</v>
      </c>
      <c r="O26" s="83"/>
      <c r="P26" s="12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20"/>
      <c r="AC26" s="416" t="s">
        <v>274</v>
      </c>
      <c r="AD26" s="105"/>
      <c r="AE26" s="117" t="s">
        <v>313</v>
      </c>
      <c r="AF26" s="105" t="s">
        <v>314</v>
      </c>
      <c r="AG26" s="105" t="s">
        <v>314</v>
      </c>
      <c r="AH26" s="124" t="s">
        <v>313</v>
      </c>
      <c r="AI26" s="83"/>
      <c r="AJ26" s="417"/>
      <c r="AK26" s="5"/>
      <c r="AL26" s="5" t="s">
        <v>315</v>
      </c>
      <c r="AM26" s="5"/>
      <c r="AN26" s="5"/>
      <c r="AO26" s="5"/>
      <c r="AP26" s="5"/>
      <c r="AQ26" s="5"/>
      <c r="AR26" s="5"/>
      <c r="AS26" s="7" t="s">
        <v>315</v>
      </c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83"/>
      <c r="BE26" s="417"/>
      <c r="BF26" s="5"/>
      <c r="BG26" s="5"/>
      <c r="BH26" s="125" t="s">
        <v>271</v>
      </c>
      <c r="BI26" s="74"/>
      <c r="BJ26" s="5"/>
      <c r="BK26" s="5"/>
      <c r="BL26" s="5"/>
      <c r="BM26" s="74"/>
      <c r="BN26" s="5"/>
      <c r="BO26" s="125" t="s">
        <v>271</v>
      </c>
      <c r="BP26" s="111"/>
      <c r="BQ26" s="83"/>
      <c r="BR26" s="417"/>
      <c r="BS26" s="5"/>
      <c r="BT26" s="5" t="s">
        <v>316</v>
      </c>
      <c r="BU26" s="5"/>
      <c r="BV26" s="5"/>
      <c r="BW26" s="5"/>
      <c r="BX26" s="5"/>
      <c r="BY26" s="5"/>
      <c r="BZ26" s="7" t="s">
        <v>316</v>
      </c>
      <c r="CA26" s="83"/>
      <c r="CB26" s="417"/>
      <c r="CC26" s="5"/>
      <c r="CD26" s="5"/>
      <c r="CE26" s="5" t="s">
        <v>264</v>
      </c>
      <c r="CF26" s="5"/>
      <c r="CG26" s="5"/>
      <c r="CH26" s="5"/>
      <c r="CI26" s="5" t="s">
        <v>264</v>
      </c>
      <c r="CJ26" s="7"/>
      <c r="CK26" s="83"/>
    </row>
    <row r="27" spans="1:89" ht="15" x14ac:dyDescent="0.2">
      <c r="A27" s="83"/>
      <c r="B27" s="83"/>
      <c r="C27" s="417"/>
      <c r="D27" s="5"/>
      <c r="E27" s="66" t="s">
        <v>295</v>
      </c>
      <c r="F27" s="5"/>
      <c r="G27" s="5"/>
      <c r="H27" s="5"/>
      <c r="I27" s="5"/>
      <c r="J27" s="5"/>
      <c r="K27" s="5"/>
      <c r="L27" s="5"/>
      <c r="M27" s="5"/>
      <c r="N27" s="110" t="s">
        <v>295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120"/>
      <c r="AB27" s="83"/>
      <c r="AC27" s="417"/>
      <c r="AD27" s="74"/>
      <c r="AE27" s="125" t="s">
        <v>317</v>
      </c>
      <c r="AF27" s="74"/>
      <c r="AG27" s="74"/>
      <c r="AH27" s="126" t="s">
        <v>317</v>
      </c>
      <c r="AI27" s="83"/>
      <c r="AJ27" s="417"/>
      <c r="AK27" s="5"/>
      <c r="AL27" s="66" t="s">
        <v>318</v>
      </c>
      <c r="AM27" s="5"/>
      <c r="AN27" s="5"/>
      <c r="AO27" s="5"/>
      <c r="AP27" s="5"/>
      <c r="AQ27" s="5"/>
      <c r="AR27" s="5"/>
      <c r="AS27" s="110" t="s">
        <v>318</v>
      </c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83"/>
      <c r="BR27" s="417"/>
      <c r="BS27" s="5"/>
      <c r="BT27" s="66" t="s">
        <v>319</v>
      </c>
      <c r="BU27" s="5"/>
      <c r="BV27" s="5"/>
      <c r="BW27" s="5"/>
      <c r="BX27" s="5"/>
      <c r="BY27" s="5"/>
      <c r="BZ27" s="110" t="s">
        <v>319</v>
      </c>
      <c r="CA27" s="83"/>
      <c r="CB27" s="396"/>
      <c r="CC27" s="59"/>
      <c r="CD27" s="59"/>
      <c r="CE27" s="66" t="s">
        <v>269</v>
      </c>
      <c r="CF27" s="66"/>
      <c r="CG27" s="115"/>
      <c r="CH27" s="66"/>
      <c r="CI27" s="66" t="s">
        <v>269</v>
      </c>
      <c r="CJ27" s="116"/>
      <c r="CK27" s="83"/>
    </row>
    <row r="28" spans="1:89" ht="30" x14ac:dyDescent="0.2">
      <c r="A28" s="119" t="s">
        <v>320</v>
      </c>
      <c r="B28" s="83"/>
      <c r="C28" s="12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416" t="s">
        <v>253</v>
      </c>
      <c r="AD28" s="105"/>
      <c r="AE28" s="103" t="s">
        <v>321</v>
      </c>
      <c r="AF28" s="105" t="s">
        <v>314</v>
      </c>
      <c r="AG28" s="105" t="s">
        <v>314</v>
      </c>
      <c r="AH28" s="104" t="s">
        <v>321</v>
      </c>
      <c r="AI28" s="83"/>
      <c r="AJ28" s="417"/>
      <c r="AK28" s="5"/>
      <c r="AL28" s="5" t="s">
        <v>322</v>
      </c>
      <c r="AM28" s="5"/>
      <c r="AN28" s="5" t="s">
        <v>322</v>
      </c>
      <c r="AO28" s="5"/>
      <c r="AP28" s="5"/>
      <c r="AQ28" s="5" t="s">
        <v>322</v>
      </c>
      <c r="AR28" s="5"/>
      <c r="AS28" s="7" t="s">
        <v>322</v>
      </c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417"/>
      <c r="BS28" s="5"/>
      <c r="BT28" s="5" t="s">
        <v>323</v>
      </c>
      <c r="BU28" s="5"/>
      <c r="BV28" s="5"/>
      <c r="BW28" s="5"/>
      <c r="BX28" s="5"/>
      <c r="BY28" s="5"/>
      <c r="BZ28" s="7" t="s">
        <v>323</v>
      </c>
      <c r="CA28" s="83"/>
      <c r="CB28" s="416" t="s">
        <v>253</v>
      </c>
      <c r="CC28" s="123"/>
      <c r="CD28" s="103" t="s">
        <v>324</v>
      </c>
      <c r="CE28" s="123"/>
      <c r="CF28" s="103"/>
      <c r="CG28" s="5"/>
      <c r="CH28" s="103"/>
      <c r="CI28" s="123"/>
      <c r="CJ28" s="104" t="s">
        <v>324</v>
      </c>
      <c r="CK28" s="83"/>
    </row>
    <row r="29" spans="1:89" ht="15" x14ac:dyDescent="0.2">
      <c r="A29" s="83" t="s">
        <v>325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120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120"/>
      <c r="AB29" s="83"/>
      <c r="AC29" s="417"/>
      <c r="AD29" s="74"/>
      <c r="AE29" s="108" t="s">
        <v>326</v>
      </c>
      <c r="AF29" s="108" t="s">
        <v>326</v>
      </c>
      <c r="AG29" s="108" t="s">
        <v>326</v>
      </c>
      <c r="AH29" s="109" t="s">
        <v>326</v>
      </c>
      <c r="AI29" s="83"/>
      <c r="AJ29" s="417"/>
      <c r="AK29" s="5"/>
      <c r="AL29" s="66" t="s">
        <v>262</v>
      </c>
      <c r="AM29" s="5"/>
      <c r="AN29" s="66" t="s">
        <v>262</v>
      </c>
      <c r="AO29" s="5"/>
      <c r="AP29" s="5"/>
      <c r="AQ29" s="66" t="s">
        <v>262</v>
      </c>
      <c r="AR29" s="5"/>
      <c r="AS29" s="110" t="s">
        <v>262</v>
      </c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417"/>
      <c r="BS29" s="5"/>
      <c r="BT29" s="66" t="s">
        <v>319</v>
      </c>
      <c r="BU29" s="5"/>
      <c r="BV29" s="66"/>
      <c r="BW29" s="66"/>
      <c r="BX29" s="66"/>
      <c r="BY29" s="5"/>
      <c r="BZ29" s="110" t="s">
        <v>319</v>
      </c>
      <c r="CA29" s="83"/>
      <c r="CB29" s="417"/>
      <c r="CC29" s="83"/>
      <c r="CD29" s="5" t="s">
        <v>327</v>
      </c>
      <c r="CE29" s="83"/>
      <c r="CF29" s="66"/>
      <c r="CG29" s="66"/>
      <c r="CH29" s="66"/>
      <c r="CI29" s="83"/>
      <c r="CJ29" s="7" t="s">
        <v>327</v>
      </c>
      <c r="CK29" s="83"/>
    </row>
    <row r="30" spans="1:89" ht="30" x14ac:dyDescent="0.2">
      <c r="A30" s="83" t="s">
        <v>328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417"/>
      <c r="AD30" s="74"/>
      <c r="AE30" s="74" t="s">
        <v>329</v>
      </c>
      <c r="AF30" s="5" t="s">
        <v>330</v>
      </c>
      <c r="AG30" s="5" t="s">
        <v>330</v>
      </c>
      <c r="AH30" s="111" t="s">
        <v>329</v>
      </c>
      <c r="AI30" s="83"/>
      <c r="AJ30" s="417"/>
      <c r="AK30" s="5"/>
      <c r="AL30" s="5"/>
      <c r="AM30" s="5"/>
      <c r="AN30" s="5"/>
      <c r="AO30" s="5" t="s">
        <v>331</v>
      </c>
      <c r="AP30" s="5" t="s">
        <v>331</v>
      </c>
      <c r="AQ30" s="5"/>
      <c r="AR30" s="5"/>
      <c r="AS30" s="7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417"/>
      <c r="BS30" s="5"/>
      <c r="BT30" s="5"/>
      <c r="BU30" s="5"/>
      <c r="BV30" s="5" t="s">
        <v>332</v>
      </c>
      <c r="BW30" s="5" t="s">
        <v>332</v>
      </c>
      <c r="BX30" s="5" t="s">
        <v>332</v>
      </c>
      <c r="BY30" s="5"/>
      <c r="BZ30" s="7"/>
      <c r="CA30" s="83"/>
      <c r="CB30" s="417"/>
      <c r="CC30" s="83"/>
      <c r="CD30" s="5" t="s">
        <v>333</v>
      </c>
      <c r="CE30" s="83"/>
      <c r="CF30" s="83"/>
      <c r="CG30" s="83"/>
      <c r="CH30" s="83"/>
      <c r="CI30" s="83"/>
      <c r="CJ30" s="7" t="s">
        <v>333</v>
      </c>
      <c r="CK30" s="83"/>
    </row>
    <row r="31" spans="1:89" ht="15" x14ac:dyDescent="0.2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417"/>
      <c r="AD31" s="74"/>
      <c r="AE31" s="108" t="s">
        <v>334</v>
      </c>
      <c r="AF31" s="66" t="s">
        <v>335</v>
      </c>
      <c r="AG31" s="66" t="s">
        <v>335</v>
      </c>
      <c r="AH31" s="109" t="s">
        <v>334</v>
      </c>
      <c r="AI31" s="83"/>
      <c r="AJ31" s="417"/>
      <c r="AK31" s="5"/>
      <c r="AL31" s="5"/>
      <c r="AM31" s="5"/>
      <c r="AN31" s="5"/>
      <c r="AO31" s="66" t="s">
        <v>336</v>
      </c>
      <c r="AP31" s="66" t="s">
        <v>336</v>
      </c>
      <c r="AQ31" s="5"/>
      <c r="AR31" s="5"/>
      <c r="AS31" s="7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417"/>
      <c r="BS31" s="5"/>
      <c r="BT31" s="5"/>
      <c r="BU31" s="5"/>
      <c r="BV31" s="66" t="s">
        <v>311</v>
      </c>
      <c r="BW31" s="66" t="s">
        <v>311</v>
      </c>
      <c r="BX31" s="66" t="s">
        <v>311</v>
      </c>
      <c r="BY31" s="5"/>
      <c r="BZ31" s="7"/>
      <c r="CA31" s="83"/>
      <c r="CB31" s="417"/>
      <c r="CC31" s="83"/>
      <c r="CD31" s="66" t="s">
        <v>337</v>
      </c>
      <c r="CE31" s="83"/>
      <c r="CF31" s="83"/>
      <c r="CG31" s="83"/>
      <c r="CH31" s="83"/>
      <c r="CI31" s="83"/>
      <c r="CJ31" s="110" t="s">
        <v>337</v>
      </c>
      <c r="CK31" s="83"/>
    </row>
    <row r="32" spans="1:89" ht="30" x14ac:dyDescent="0.2">
      <c r="A32" s="119" t="s">
        <v>338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417"/>
      <c r="AD32" s="74"/>
      <c r="AE32" s="74" t="s">
        <v>339</v>
      </c>
      <c r="AF32" s="74"/>
      <c r="AG32" s="74"/>
      <c r="AH32" s="111" t="s">
        <v>339</v>
      </c>
      <c r="AI32" s="83"/>
      <c r="AJ32" s="417"/>
      <c r="AK32" s="5"/>
      <c r="AL32" s="5" t="s">
        <v>290</v>
      </c>
      <c r="AM32" s="5"/>
      <c r="AN32" s="5"/>
      <c r="AO32" s="5"/>
      <c r="AP32" s="5"/>
      <c r="AQ32" s="5"/>
      <c r="AR32" s="5"/>
      <c r="AS32" s="7" t="s">
        <v>290</v>
      </c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417"/>
      <c r="BS32" s="5"/>
      <c r="BT32" s="5"/>
      <c r="BU32" s="5"/>
      <c r="BV32" s="5" t="s">
        <v>340</v>
      </c>
      <c r="BW32" s="5"/>
      <c r="BX32" s="5" t="s">
        <v>340</v>
      </c>
      <c r="BY32" s="5"/>
      <c r="BZ32" s="7"/>
      <c r="CA32" s="83"/>
      <c r="CB32" s="417"/>
      <c r="CC32" s="83"/>
      <c r="CD32" s="5" t="s">
        <v>341</v>
      </c>
      <c r="CE32" s="83"/>
      <c r="CF32" s="5"/>
      <c r="CG32" s="5"/>
      <c r="CH32" s="5"/>
      <c r="CI32" s="83"/>
      <c r="CJ32" s="7" t="s">
        <v>341</v>
      </c>
      <c r="CK32" s="83"/>
    </row>
    <row r="33" spans="1:89" ht="15" x14ac:dyDescent="0.2">
      <c r="A33" s="119" t="s">
        <v>342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417"/>
      <c r="AD33" s="74"/>
      <c r="AE33" s="108" t="s">
        <v>343</v>
      </c>
      <c r="AF33" s="74"/>
      <c r="AG33" s="74"/>
      <c r="AH33" s="109" t="s">
        <v>343</v>
      </c>
      <c r="AI33" s="83"/>
      <c r="AJ33" s="417"/>
      <c r="AK33" s="5"/>
      <c r="AL33" s="66" t="s">
        <v>296</v>
      </c>
      <c r="AM33" s="5"/>
      <c r="AN33" s="66"/>
      <c r="AO33" s="5"/>
      <c r="AP33" s="5"/>
      <c r="AQ33" s="66"/>
      <c r="AR33" s="5"/>
      <c r="AS33" s="110" t="s">
        <v>296</v>
      </c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396"/>
      <c r="BS33" s="59"/>
      <c r="BT33" s="59"/>
      <c r="BU33" s="59"/>
      <c r="BV33" s="59" t="s">
        <v>344</v>
      </c>
      <c r="BW33" s="59"/>
      <c r="BX33" s="59" t="s">
        <v>344</v>
      </c>
      <c r="BY33" s="59"/>
      <c r="BZ33" s="116"/>
      <c r="CA33" s="83"/>
      <c r="CB33" s="396"/>
      <c r="CC33" s="127"/>
      <c r="CD33" s="115" t="s">
        <v>337</v>
      </c>
      <c r="CE33" s="127"/>
      <c r="CF33" s="59"/>
      <c r="CG33" s="59"/>
      <c r="CH33" s="59"/>
      <c r="CI33" s="127"/>
      <c r="CJ33" s="128" t="s">
        <v>337</v>
      </c>
      <c r="CK33" s="83"/>
    </row>
    <row r="34" spans="1:89" ht="30" x14ac:dyDescent="0.2">
      <c r="A34" s="129" t="s">
        <v>345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417"/>
      <c r="AD34" s="74"/>
      <c r="AE34" s="74" t="s">
        <v>346</v>
      </c>
      <c r="AF34" s="74"/>
      <c r="AG34" s="74"/>
      <c r="AH34" s="111" t="s">
        <v>346</v>
      </c>
      <c r="AI34" s="83"/>
      <c r="AJ34" s="417"/>
      <c r="AK34" s="5"/>
      <c r="AL34" s="5"/>
      <c r="AM34" s="5"/>
      <c r="AN34" s="5"/>
      <c r="AO34" s="5" t="s">
        <v>347</v>
      </c>
      <c r="AP34" s="5" t="s">
        <v>347</v>
      </c>
      <c r="AQ34" s="5"/>
      <c r="AR34" s="5"/>
      <c r="AS34" s="7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130"/>
      <c r="CC34" s="130"/>
      <c r="CD34" s="130"/>
      <c r="CE34" s="130"/>
      <c r="CF34" s="130"/>
      <c r="CG34" s="130"/>
      <c r="CH34" s="130"/>
      <c r="CI34" s="130"/>
      <c r="CJ34" s="130"/>
      <c r="CK34" s="83"/>
    </row>
    <row r="35" spans="1:89" ht="15" x14ac:dyDescent="0.2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417"/>
      <c r="AD35" s="74"/>
      <c r="AE35" s="108" t="s">
        <v>348</v>
      </c>
      <c r="AF35" s="74"/>
      <c r="AG35" s="74"/>
      <c r="AH35" s="109" t="s">
        <v>348</v>
      </c>
      <c r="AI35" s="83"/>
      <c r="AJ35" s="396"/>
      <c r="AK35" s="59"/>
      <c r="AL35" s="59"/>
      <c r="AM35" s="59"/>
      <c r="AN35" s="59"/>
      <c r="AO35" s="115" t="s">
        <v>349</v>
      </c>
      <c r="AP35" s="115" t="s">
        <v>349</v>
      </c>
      <c r="AQ35" s="59"/>
      <c r="AR35" s="59"/>
      <c r="AS35" s="116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83"/>
      <c r="CB35" s="130"/>
      <c r="CC35" s="130"/>
      <c r="CD35" s="130"/>
      <c r="CE35" s="130"/>
      <c r="CF35" s="130"/>
      <c r="CG35" s="130"/>
      <c r="CH35" s="130"/>
      <c r="CI35" s="130"/>
      <c r="CJ35" s="130"/>
      <c r="CK35" s="83"/>
    </row>
    <row r="36" spans="1:89" ht="15" x14ac:dyDescent="0.2">
      <c r="A36" s="97" t="s">
        <v>350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417"/>
      <c r="AD36" s="74"/>
      <c r="AE36" s="74" t="s">
        <v>351</v>
      </c>
      <c r="AF36" s="74"/>
      <c r="AG36" s="74"/>
      <c r="AH36" s="111" t="s">
        <v>351</v>
      </c>
      <c r="AI36" s="83"/>
      <c r="AJ36" s="419" t="s">
        <v>352</v>
      </c>
      <c r="AK36" s="5"/>
      <c r="AL36" s="5"/>
      <c r="AM36" s="5"/>
      <c r="AN36" s="5"/>
      <c r="AO36" s="5"/>
      <c r="AP36" s="5"/>
      <c r="AQ36" s="122" t="s">
        <v>305</v>
      </c>
      <c r="AR36" s="5"/>
      <c r="AS36" s="7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</row>
    <row r="37" spans="1:89" ht="15" x14ac:dyDescent="0.2">
      <c r="A37" s="131" t="s">
        <v>159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417"/>
      <c r="AD37" s="74"/>
      <c r="AE37" s="108" t="s">
        <v>353</v>
      </c>
      <c r="AF37" s="74"/>
      <c r="AG37" s="74"/>
      <c r="AH37" s="109" t="s">
        <v>353</v>
      </c>
      <c r="AI37" s="83"/>
      <c r="AJ37" s="396"/>
      <c r="AK37" s="59"/>
      <c r="AL37" s="115"/>
      <c r="AM37" s="59"/>
      <c r="AN37" s="59"/>
      <c r="AO37" s="59"/>
      <c r="AP37" s="59"/>
      <c r="AQ37" s="132" t="s">
        <v>215</v>
      </c>
      <c r="AR37" s="59"/>
      <c r="AS37" s="128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</row>
    <row r="38" spans="1:89" ht="15" x14ac:dyDescent="0.2">
      <c r="A38" s="97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417"/>
      <c r="AD38" s="74"/>
      <c r="AE38" s="74" t="s">
        <v>354</v>
      </c>
      <c r="AF38" s="74"/>
      <c r="AG38" s="74"/>
      <c r="AH38" s="111" t="s">
        <v>354</v>
      </c>
      <c r="AI38" s="83"/>
      <c r="AJ38" s="419" t="s">
        <v>274</v>
      </c>
      <c r="AK38" s="5"/>
      <c r="AL38" s="5" t="s">
        <v>355</v>
      </c>
      <c r="AM38" s="5"/>
      <c r="AN38" s="5"/>
      <c r="AO38" s="5"/>
      <c r="AP38" s="5"/>
      <c r="AQ38" s="5"/>
      <c r="AR38" s="5"/>
      <c r="AS38" s="7" t="s">
        <v>355</v>
      </c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</row>
    <row r="39" spans="1:89" ht="15" x14ac:dyDescent="0.2">
      <c r="A39" s="97" t="s">
        <v>356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417"/>
      <c r="AD39" s="74"/>
      <c r="AE39" s="108" t="s">
        <v>357</v>
      </c>
      <c r="AF39" s="74"/>
      <c r="AG39" s="74"/>
      <c r="AH39" s="109" t="s">
        <v>357</v>
      </c>
      <c r="AI39" s="83"/>
      <c r="AJ39" s="417"/>
      <c r="AK39" s="5"/>
      <c r="AL39" s="66" t="s">
        <v>358</v>
      </c>
      <c r="AM39" s="5"/>
      <c r="AN39" s="5"/>
      <c r="AO39" s="5"/>
      <c r="AP39" s="5"/>
      <c r="AQ39" s="5"/>
      <c r="AR39" s="5"/>
      <c r="AS39" s="110" t="s">
        <v>358</v>
      </c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</row>
    <row r="40" spans="1:89" ht="15" x14ac:dyDescent="0.2">
      <c r="A40" s="131" t="s">
        <v>160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123"/>
      <c r="AD40" s="105"/>
      <c r="AE40" s="105"/>
      <c r="AF40" s="105"/>
      <c r="AG40" s="105"/>
      <c r="AH40" s="105"/>
      <c r="AI40" s="83"/>
      <c r="AJ40" s="417"/>
      <c r="AK40" s="5"/>
      <c r="AL40" s="122" t="s">
        <v>313</v>
      </c>
      <c r="AM40" s="5"/>
      <c r="AN40" s="5"/>
      <c r="AO40" s="5"/>
      <c r="AP40" s="5"/>
      <c r="AQ40" s="5"/>
      <c r="AR40" s="5"/>
      <c r="AS40" s="133" t="s">
        <v>313</v>
      </c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</row>
    <row r="41" spans="1:89" ht="15" x14ac:dyDescent="0.2">
      <c r="A41" s="119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417"/>
      <c r="AK41" s="5"/>
      <c r="AL41" s="134" t="s">
        <v>317</v>
      </c>
      <c r="AM41" s="5"/>
      <c r="AN41" s="5"/>
      <c r="AO41" s="5"/>
      <c r="AP41" s="5"/>
      <c r="AQ41" s="5"/>
      <c r="AR41" s="5"/>
      <c r="AS41" s="135" t="s">
        <v>317</v>
      </c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</row>
    <row r="42" spans="1:89" ht="15" x14ac:dyDescent="0.2">
      <c r="A42" s="119" t="s">
        <v>359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417"/>
      <c r="AK42" s="5"/>
      <c r="AL42" s="5" t="s">
        <v>360</v>
      </c>
      <c r="AM42" s="5"/>
      <c r="AN42" s="5"/>
      <c r="AO42" s="5" t="s">
        <v>360</v>
      </c>
      <c r="AP42" s="5" t="s">
        <v>360</v>
      </c>
      <c r="AQ42" s="5"/>
      <c r="AR42" s="5"/>
      <c r="AS42" s="7" t="s">
        <v>360</v>
      </c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</row>
    <row r="43" spans="1:89" ht="15" x14ac:dyDescent="0.2">
      <c r="A43" s="83" t="s">
        <v>361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417"/>
      <c r="AK43" s="5"/>
      <c r="AL43" s="66" t="s">
        <v>362</v>
      </c>
      <c r="AM43" s="5"/>
      <c r="AN43" s="5"/>
      <c r="AO43" s="66" t="s">
        <v>362</v>
      </c>
      <c r="AP43" s="66" t="s">
        <v>362</v>
      </c>
      <c r="AQ43" s="5"/>
      <c r="AR43" s="5"/>
      <c r="AS43" s="110" t="s">
        <v>362</v>
      </c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</row>
    <row r="44" spans="1:89" ht="15" x14ac:dyDescent="0.2">
      <c r="A44" s="131" t="s">
        <v>161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417"/>
      <c r="AK44" s="5"/>
      <c r="AL44" s="5"/>
      <c r="AM44" s="5"/>
      <c r="AN44" s="5"/>
      <c r="AO44" s="5" t="s">
        <v>363</v>
      </c>
      <c r="AP44" s="5" t="s">
        <v>363</v>
      </c>
      <c r="AQ44" s="5"/>
      <c r="AR44" s="5"/>
      <c r="AS44" s="7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</row>
    <row r="45" spans="1:89" ht="15" x14ac:dyDescent="0.2">
      <c r="A45" s="119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417"/>
      <c r="AK45" s="5"/>
      <c r="AL45" s="5"/>
      <c r="AM45" s="5"/>
      <c r="AN45" s="5"/>
      <c r="AO45" s="66" t="s">
        <v>364</v>
      </c>
      <c r="AP45" s="66" t="s">
        <v>364</v>
      </c>
      <c r="AQ45" s="5"/>
      <c r="AR45" s="5"/>
      <c r="AS45" s="7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</row>
    <row r="46" spans="1:89" ht="30" x14ac:dyDescent="0.2">
      <c r="A46" s="119" t="s">
        <v>365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416" t="s">
        <v>253</v>
      </c>
      <c r="AK46" s="103"/>
      <c r="AL46" s="103"/>
      <c r="AM46" s="103" t="s">
        <v>366</v>
      </c>
      <c r="AN46" s="103"/>
      <c r="AO46" s="103"/>
      <c r="AP46" s="103"/>
      <c r="AQ46" s="103"/>
      <c r="AR46" s="103" t="s">
        <v>366</v>
      </c>
      <c r="AS46" s="104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</row>
    <row r="47" spans="1:89" ht="15" x14ac:dyDescent="0.2">
      <c r="A47" s="119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417"/>
      <c r="AK47" s="5"/>
      <c r="AL47" s="5"/>
      <c r="AM47" s="66" t="s">
        <v>334</v>
      </c>
      <c r="AN47" s="5"/>
      <c r="AO47" s="5"/>
      <c r="AP47" s="5"/>
      <c r="AQ47" s="5"/>
      <c r="AR47" s="66" t="s">
        <v>334</v>
      </c>
      <c r="AS47" s="7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</row>
    <row r="48" spans="1:89" ht="15" x14ac:dyDescent="0.2">
      <c r="A48" s="119" t="s">
        <v>367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417"/>
      <c r="AK48" s="5"/>
      <c r="AL48" s="5"/>
      <c r="AM48" s="5"/>
      <c r="AN48" s="5" t="s">
        <v>330</v>
      </c>
      <c r="AO48" s="5"/>
      <c r="AP48" s="5"/>
      <c r="AQ48" s="5" t="s">
        <v>330</v>
      </c>
      <c r="AR48" s="5"/>
      <c r="AS48" s="7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</row>
    <row r="49" spans="1:89" ht="15" x14ac:dyDescent="0.2">
      <c r="A49" s="131" t="s">
        <v>162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396"/>
      <c r="AK49" s="59"/>
      <c r="AL49" s="59"/>
      <c r="AM49" s="59"/>
      <c r="AN49" s="115" t="s">
        <v>335</v>
      </c>
      <c r="AO49" s="115"/>
      <c r="AP49" s="115"/>
      <c r="AQ49" s="115" t="s">
        <v>335</v>
      </c>
      <c r="AR49" s="59"/>
      <c r="AS49" s="116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</row>
    <row r="50" spans="1:89" ht="15" x14ac:dyDescent="0.2">
      <c r="A50" s="119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5"/>
      <c r="AL50" s="5"/>
      <c r="AM50" s="5"/>
      <c r="AN50" s="5"/>
      <c r="AO50" s="5"/>
      <c r="AP50" s="5"/>
      <c r="AQ50" s="5"/>
      <c r="AR50" s="5"/>
      <c r="AS50" s="5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</row>
    <row r="51" spans="1:89" ht="15" x14ac:dyDescent="0.2">
      <c r="A51" s="119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120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</row>
    <row r="52" spans="1:89" ht="15" x14ac:dyDescent="0.2">
      <c r="A52" s="119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</row>
    <row r="53" spans="1:89" ht="15" x14ac:dyDescent="0.2">
      <c r="A53" s="119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</row>
    <row r="54" spans="1:89" ht="15" x14ac:dyDescent="0.2">
      <c r="A54" s="119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</row>
    <row r="55" spans="1:89" ht="15" x14ac:dyDescent="0.2">
      <c r="A55" s="119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</row>
    <row r="56" spans="1:89" ht="15" x14ac:dyDescent="0.2">
      <c r="A56" s="119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</row>
    <row r="57" spans="1:89" ht="15" x14ac:dyDescent="0.2">
      <c r="A57" s="119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</row>
    <row r="58" spans="1:89" ht="15" x14ac:dyDescent="0.2">
      <c r="A58" s="119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</row>
    <row r="59" spans="1:89" ht="15" x14ac:dyDescent="0.2">
      <c r="A59" s="119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</row>
    <row r="60" spans="1:89" ht="15" x14ac:dyDescent="0.2">
      <c r="A60" s="119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</row>
    <row r="61" spans="1:89" ht="15" x14ac:dyDescent="0.2">
      <c r="A61" s="119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</row>
    <row r="62" spans="1:89" ht="15" x14ac:dyDescent="0.2">
      <c r="A62" s="119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</row>
    <row r="63" spans="1:89" ht="15" x14ac:dyDescent="0.2">
      <c r="A63" s="119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</row>
    <row r="64" spans="1:89" ht="15" x14ac:dyDescent="0.2">
      <c r="A64" s="119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</row>
    <row r="65" spans="1:89" ht="15" x14ac:dyDescent="0.2">
      <c r="A65" s="119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</row>
    <row r="66" spans="1:89" ht="15" x14ac:dyDescent="0.2">
      <c r="A66" s="119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</row>
    <row r="67" spans="1:89" ht="15" x14ac:dyDescent="0.2">
      <c r="A67" s="119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</row>
    <row r="68" spans="1:89" ht="15" x14ac:dyDescent="0.2">
      <c r="A68" s="119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</row>
    <row r="69" spans="1:89" ht="15" x14ac:dyDescent="0.2">
      <c r="A69" s="119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</row>
    <row r="70" spans="1:89" ht="15" x14ac:dyDescent="0.2">
      <c r="A70" s="119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</row>
    <row r="71" spans="1:89" ht="15" x14ac:dyDescent="0.2">
      <c r="A71" s="119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</row>
    <row r="72" spans="1:89" ht="15" x14ac:dyDescent="0.2">
      <c r="A72" s="119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</row>
    <row r="73" spans="1:89" ht="15" x14ac:dyDescent="0.2">
      <c r="A73" s="119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</row>
    <row r="74" spans="1:89" ht="15" x14ac:dyDescent="0.2">
      <c r="A74" s="11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</row>
    <row r="75" spans="1:89" ht="15" x14ac:dyDescent="0.2">
      <c r="A75" s="11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</row>
    <row r="76" spans="1:89" ht="15" x14ac:dyDescent="0.2">
      <c r="A76" s="11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</row>
    <row r="77" spans="1:89" ht="15" x14ac:dyDescent="0.2">
      <c r="A77" s="11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</row>
    <row r="78" spans="1:89" ht="15" x14ac:dyDescent="0.2">
      <c r="A78" s="11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</row>
    <row r="79" spans="1:89" ht="15" x14ac:dyDescent="0.2">
      <c r="A79" s="11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</row>
    <row r="80" spans="1:89" ht="15" x14ac:dyDescent="0.2">
      <c r="A80" s="11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</row>
    <row r="81" spans="1:89" ht="15" x14ac:dyDescent="0.2">
      <c r="A81" s="11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</row>
    <row r="82" spans="1:89" ht="15" x14ac:dyDescent="0.2">
      <c r="A82" s="119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</row>
    <row r="83" spans="1:89" ht="15" x14ac:dyDescent="0.2">
      <c r="A83" s="119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</row>
    <row r="84" spans="1:89" ht="15" x14ac:dyDescent="0.2">
      <c r="A84" s="119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</row>
    <row r="85" spans="1:89" ht="15" x14ac:dyDescent="0.2">
      <c r="A85" s="119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</row>
    <row r="86" spans="1:89" ht="15" x14ac:dyDescent="0.2">
      <c r="A86" s="119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</row>
    <row r="87" spans="1:89" ht="15" x14ac:dyDescent="0.2">
      <c r="A87" s="119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</row>
    <row r="88" spans="1:89" ht="15" x14ac:dyDescent="0.2">
      <c r="A88" s="11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</row>
    <row r="89" spans="1:89" ht="15" x14ac:dyDescent="0.2">
      <c r="A89" s="119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</row>
    <row r="90" spans="1:89" ht="15" x14ac:dyDescent="0.2">
      <c r="A90" s="119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</row>
    <row r="91" spans="1:89" ht="15" x14ac:dyDescent="0.2">
      <c r="A91" s="119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</row>
    <row r="92" spans="1:89" ht="15" x14ac:dyDescent="0.2">
      <c r="A92" s="119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</row>
    <row r="93" spans="1:89" ht="15" x14ac:dyDescent="0.2">
      <c r="A93" s="119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</row>
    <row r="94" spans="1:89" ht="15" x14ac:dyDescent="0.2">
      <c r="A94" s="119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</row>
    <row r="95" spans="1:89" ht="15" x14ac:dyDescent="0.2">
      <c r="A95" s="119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</row>
    <row r="96" spans="1:89" ht="15" x14ac:dyDescent="0.2">
      <c r="A96" s="119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</row>
    <row r="97" spans="1:89" ht="15" x14ac:dyDescent="0.2">
      <c r="A97" s="119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</row>
    <row r="98" spans="1:89" ht="15" x14ac:dyDescent="0.2">
      <c r="A98" s="119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</row>
    <row r="99" spans="1:89" ht="15" x14ac:dyDescent="0.2">
      <c r="A99" s="119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</row>
    <row r="100" spans="1:89" ht="15" x14ac:dyDescent="0.2">
      <c r="A100" s="119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</row>
    <row r="101" spans="1:89" ht="15" x14ac:dyDescent="0.2">
      <c r="A101" s="119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</row>
    <row r="102" spans="1:89" ht="15" x14ac:dyDescent="0.2">
      <c r="A102" s="119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</row>
    <row r="103" spans="1:89" ht="15" x14ac:dyDescent="0.2">
      <c r="A103" s="119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</row>
    <row r="104" spans="1:89" ht="15" x14ac:dyDescent="0.2">
      <c r="A104" s="119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</row>
    <row r="105" spans="1:89" ht="15" x14ac:dyDescent="0.2">
      <c r="A105" s="119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</row>
    <row r="106" spans="1:89" ht="15" x14ac:dyDescent="0.2">
      <c r="A106" s="119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</row>
    <row r="107" spans="1:89" ht="15" x14ac:dyDescent="0.2">
      <c r="A107" s="119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</row>
    <row r="108" spans="1:89" ht="15" x14ac:dyDescent="0.2">
      <c r="A108" s="119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</row>
    <row r="109" spans="1:89" ht="15" x14ac:dyDescent="0.2">
      <c r="A109" s="119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</row>
    <row r="110" spans="1:89" ht="15" x14ac:dyDescent="0.2">
      <c r="A110" s="119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</row>
    <row r="111" spans="1:89" ht="15" x14ac:dyDescent="0.2">
      <c r="A111" s="119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</row>
    <row r="112" spans="1:89" ht="15" x14ac:dyDescent="0.2">
      <c r="A112" s="119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</row>
    <row r="113" spans="1:89" ht="15" x14ac:dyDescent="0.2">
      <c r="A113" s="119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</row>
    <row r="114" spans="1:89" ht="15" x14ac:dyDescent="0.2">
      <c r="A114" s="119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</row>
    <row r="115" spans="1:89" ht="15" x14ac:dyDescent="0.2">
      <c r="A115" s="119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</row>
    <row r="116" spans="1:89" ht="15" x14ac:dyDescent="0.2">
      <c r="A116" s="119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</row>
    <row r="117" spans="1:89" ht="15" x14ac:dyDescent="0.2">
      <c r="A117" s="119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</row>
    <row r="118" spans="1:89" ht="15" x14ac:dyDescent="0.2">
      <c r="A118" s="119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</row>
    <row r="119" spans="1:89" ht="15" x14ac:dyDescent="0.2">
      <c r="A119" s="119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</row>
    <row r="120" spans="1:89" ht="15" x14ac:dyDescent="0.2">
      <c r="A120" s="119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</row>
    <row r="121" spans="1:89" ht="15" x14ac:dyDescent="0.2">
      <c r="A121" s="119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</row>
    <row r="122" spans="1:89" ht="15" x14ac:dyDescent="0.2">
      <c r="A122" s="119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</row>
    <row r="123" spans="1:89" ht="15" x14ac:dyDescent="0.2">
      <c r="A123" s="119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</row>
    <row r="124" spans="1:89" ht="15" x14ac:dyDescent="0.2">
      <c r="A124" s="119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</row>
    <row r="125" spans="1:89" ht="15" x14ac:dyDescent="0.2">
      <c r="A125" s="119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</row>
    <row r="126" spans="1:89" ht="15" x14ac:dyDescent="0.2">
      <c r="A126" s="119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</row>
    <row r="127" spans="1:89" ht="15" x14ac:dyDescent="0.2">
      <c r="A127" s="119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</row>
    <row r="128" spans="1:89" ht="15" x14ac:dyDescent="0.2">
      <c r="A128" s="119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</row>
    <row r="129" spans="1:89" ht="15" x14ac:dyDescent="0.2">
      <c r="A129" s="119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</row>
    <row r="130" spans="1:89" ht="15" x14ac:dyDescent="0.2">
      <c r="A130" s="119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</row>
    <row r="131" spans="1:89" ht="15" x14ac:dyDescent="0.2">
      <c r="A131" s="119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</row>
    <row r="132" spans="1:89" ht="15" x14ac:dyDescent="0.2">
      <c r="A132" s="119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</row>
    <row r="133" spans="1:89" ht="15" x14ac:dyDescent="0.2">
      <c r="A133" s="119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8"/>
      <c r="CI133" s="98"/>
      <c r="CJ133" s="98"/>
      <c r="CK133" s="98"/>
    </row>
    <row r="134" spans="1:89" ht="15" x14ac:dyDescent="0.2">
      <c r="A134" s="119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8"/>
      <c r="CI134" s="98"/>
      <c r="CJ134" s="98"/>
      <c r="CK134" s="98"/>
    </row>
    <row r="135" spans="1:89" ht="15" x14ac:dyDescent="0.2">
      <c r="A135" s="119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</row>
    <row r="136" spans="1:89" ht="15" x14ac:dyDescent="0.2">
      <c r="A136" s="119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</row>
    <row r="137" spans="1:89" ht="15" x14ac:dyDescent="0.2">
      <c r="A137" s="119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8"/>
      <c r="CI137" s="98"/>
      <c r="CJ137" s="98"/>
      <c r="CK137" s="98"/>
    </row>
    <row r="138" spans="1:89" ht="15" x14ac:dyDescent="0.2">
      <c r="A138" s="119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8"/>
      <c r="CI138" s="98"/>
      <c r="CJ138" s="98"/>
      <c r="CK138" s="98"/>
    </row>
    <row r="139" spans="1:89" ht="15" x14ac:dyDescent="0.2">
      <c r="A139" s="119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8"/>
      <c r="CI139" s="98"/>
      <c r="CJ139" s="98"/>
      <c r="CK139" s="98"/>
    </row>
    <row r="140" spans="1:89" ht="15" x14ac:dyDescent="0.2">
      <c r="A140" s="119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</row>
    <row r="141" spans="1:89" ht="15" x14ac:dyDescent="0.2">
      <c r="A141" s="119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</row>
    <row r="142" spans="1:89" ht="15" x14ac:dyDescent="0.2">
      <c r="A142" s="119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</row>
    <row r="143" spans="1:89" ht="15" x14ac:dyDescent="0.2">
      <c r="A143" s="119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</row>
    <row r="144" spans="1:89" ht="15" x14ac:dyDescent="0.2">
      <c r="A144" s="119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</row>
    <row r="145" spans="1:89" ht="15" x14ac:dyDescent="0.2">
      <c r="A145" s="119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98"/>
      <c r="CK145" s="98"/>
    </row>
    <row r="146" spans="1:89" ht="15" x14ac:dyDescent="0.2">
      <c r="A146" s="119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8"/>
      <c r="CI146" s="98"/>
      <c r="CJ146" s="98"/>
      <c r="CK146" s="98"/>
    </row>
    <row r="147" spans="1:89" ht="15" x14ac:dyDescent="0.2">
      <c r="A147" s="119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8"/>
      <c r="CI147" s="98"/>
      <c r="CJ147" s="98"/>
      <c r="CK147" s="98"/>
    </row>
    <row r="148" spans="1:89" ht="15" x14ac:dyDescent="0.2">
      <c r="A148" s="119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</row>
    <row r="149" spans="1:89" ht="15" x14ac:dyDescent="0.2">
      <c r="A149" s="119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8"/>
      <c r="CI149" s="98"/>
      <c r="CJ149" s="98"/>
      <c r="CK149" s="98"/>
    </row>
    <row r="150" spans="1:89" ht="15" x14ac:dyDescent="0.2">
      <c r="A150" s="119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</row>
    <row r="151" spans="1:89" ht="15" x14ac:dyDescent="0.2">
      <c r="A151" s="119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8"/>
      <c r="CI151" s="98"/>
      <c r="CJ151" s="98"/>
      <c r="CK151" s="98"/>
    </row>
    <row r="152" spans="1:89" ht="15" x14ac:dyDescent="0.2">
      <c r="A152" s="119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</row>
    <row r="153" spans="1:89" ht="15" x14ac:dyDescent="0.2">
      <c r="A153" s="119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8"/>
      <c r="CI153" s="98"/>
      <c r="CJ153" s="98"/>
      <c r="CK153" s="98"/>
    </row>
    <row r="154" spans="1:89" ht="15" x14ac:dyDescent="0.2">
      <c r="A154" s="119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8"/>
      <c r="CI154" s="98"/>
      <c r="CJ154" s="98"/>
      <c r="CK154" s="98"/>
    </row>
    <row r="155" spans="1:89" ht="15" x14ac:dyDescent="0.2">
      <c r="A155" s="119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8"/>
      <c r="CI155" s="98"/>
      <c r="CJ155" s="98"/>
      <c r="CK155" s="98"/>
    </row>
    <row r="156" spans="1:89" ht="15" x14ac:dyDescent="0.2">
      <c r="A156" s="119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  <c r="BY156" s="98"/>
      <c r="BZ156" s="98"/>
      <c r="CA156" s="98"/>
      <c r="CB156" s="98"/>
      <c r="CC156" s="98"/>
      <c r="CD156" s="98"/>
      <c r="CE156" s="98"/>
      <c r="CF156" s="98"/>
      <c r="CG156" s="98"/>
      <c r="CH156" s="98"/>
      <c r="CI156" s="98"/>
      <c r="CJ156" s="98"/>
      <c r="CK156" s="98"/>
    </row>
    <row r="157" spans="1:89" ht="15" x14ac:dyDescent="0.2">
      <c r="A157" s="119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</row>
    <row r="158" spans="1:89" ht="15" x14ac:dyDescent="0.2">
      <c r="A158" s="119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</row>
    <row r="159" spans="1:89" ht="15" x14ac:dyDescent="0.2">
      <c r="A159" s="119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</row>
    <row r="160" spans="1:89" ht="15" x14ac:dyDescent="0.2">
      <c r="A160" s="119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</row>
    <row r="161" spans="1:89" ht="15" x14ac:dyDescent="0.2">
      <c r="A161" s="119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</row>
    <row r="162" spans="1:89" ht="15" x14ac:dyDescent="0.2">
      <c r="A162" s="119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8"/>
      <c r="CI162" s="98"/>
      <c r="CJ162" s="98"/>
      <c r="CK162" s="98"/>
    </row>
    <row r="163" spans="1:89" ht="15" x14ac:dyDescent="0.2">
      <c r="A163" s="119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8"/>
      <c r="CI163" s="98"/>
      <c r="CJ163" s="98"/>
      <c r="CK163" s="98"/>
    </row>
    <row r="164" spans="1:89" ht="15" x14ac:dyDescent="0.2">
      <c r="A164" s="119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  <c r="AO164" s="98"/>
      <c r="AP164" s="98"/>
      <c r="AQ164" s="98"/>
      <c r="AR164" s="98"/>
      <c r="AS164" s="98"/>
      <c r="AT164" s="98"/>
      <c r="AU164" s="98"/>
      <c r="AV164" s="98"/>
      <c r="AW164" s="98"/>
      <c r="AX164" s="98"/>
      <c r="AY164" s="98"/>
      <c r="AZ164" s="98"/>
      <c r="BA164" s="98"/>
      <c r="BB164" s="98"/>
      <c r="BC164" s="98"/>
      <c r="BD164" s="98"/>
      <c r="BE164" s="98"/>
      <c r="BF164" s="98"/>
      <c r="BG164" s="98"/>
      <c r="BH164" s="98"/>
      <c r="BI164" s="98"/>
      <c r="BJ164" s="98"/>
      <c r="BK164" s="98"/>
      <c r="BL164" s="98"/>
      <c r="BM164" s="98"/>
      <c r="BN164" s="98"/>
      <c r="BO164" s="98"/>
      <c r="BP164" s="98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8"/>
      <c r="CC164" s="98"/>
      <c r="CD164" s="98"/>
      <c r="CE164" s="98"/>
      <c r="CF164" s="98"/>
      <c r="CG164" s="98"/>
      <c r="CH164" s="98"/>
      <c r="CI164" s="98"/>
      <c r="CJ164" s="98"/>
      <c r="CK164" s="98"/>
    </row>
    <row r="165" spans="1:89" ht="15" x14ac:dyDescent="0.2">
      <c r="A165" s="119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8"/>
      <c r="CI165" s="98"/>
      <c r="CJ165" s="98"/>
      <c r="CK165" s="98"/>
    </row>
    <row r="166" spans="1:89" ht="15" x14ac:dyDescent="0.2">
      <c r="A166" s="119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</row>
    <row r="167" spans="1:89" ht="15" x14ac:dyDescent="0.2">
      <c r="A167" s="119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</row>
    <row r="168" spans="1:89" ht="15" x14ac:dyDescent="0.2">
      <c r="A168" s="119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</row>
    <row r="169" spans="1:89" ht="15" x14ac:dyDescent="0.2">
      <c r="A169" s="119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</row>
    <row r="170" spans="1:89" ht="15" x14ac:dyDescent="0.2">
      <c r="A170" s="119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8"/>
      <c r="CI170" s="98"/>
      <c r="CJ170" s="98"/>
      <c r="CK170" s="98"/>
    </row>
    <row r="171" spans="1:89" ht="15" x14ac:dyDescent="0.2">
      <c r="A171" s="119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</row>
    <row r="172" spans="1:89" ht="15" x14ac:dyDescent="0.2">
      <c r="A172" s="119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</row>
    <row r="173" spans="1:89" ht="15" x14ac:dyDescent="0.2">
      <c r="A173" s="119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</row>
    <row r="174" spans="1:89" ht="15" x14ac:dyDescent="0.2">
      <c r="A174" s="119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</row>
    <row r="175" spans="1:89" ht="15" x14ac:dyDescent="0.2">
      <c r="A175" s="119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</row>
    <row r="176" spans="1:89" ht="15" x14ac:dyDescent="0.2">
      <c r="A176" s="119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</row>
    <row r="177" spans="1:89" ht="15" x14ac:dyDescent="0.2">
      <c r="A177" s="119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</row>
    <row r="178" spans="1:89" ht="15" x14ac:dyDescent="0.2">
      <c r="A178" s="119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</row>
    <row r="179" spans="1:89" ht="15" x14ac:dyDescent="0.2">
      <c r="A179" s="119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</row>
    <row r="180" spans="1:89" ht="15" x14ac:dyDescent="0.2">
      <c r="A180" s="119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98"/>
      <c r="CE180" s="98"/>
      <c r="CF180" s="98"/>
      <c r="CG180" s="98"/>
      <c r="CH180" s="98"/>
      <c r="CI180" s="98"/>
      <c r="CJ180" s="98"/>
      <c r="CK180" s="98"/>
    </row>
    <row r="181" spans="1:89" ht="15" x14ac:dyDescent="0.2">
      <c r="A181" s="119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</row>
    <row r="182" spans="1:89" ht="15" x14ac:dyDescent="0.2">
      <c r="A182" s="119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8"/>
      <c r="CI182" s="98"/>
      <c r="CJ182" s="98"/>
      <c r="CK182" s="98"/>
    </row>
    <row r="183" spans="1:89" ht="15" x14ac:dyDescent="0.2">
      <c r="A183" s="119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</row>
    <row r="184" spans="1:89" ht="15" x14ac:dyDescent="0.2">
      <c r="A184" s="119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</row>
    <row r="185" spans="1:89" ht="15" x14ac:dyDescent="0.2">
      <c r="A185" s="119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</row>
    <row r="186" spans="1:89" ht="15" x14ac:dyDescent="0.2">
      <c r="A186" s="119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8"/>
      <c r="CI186" s="98"/>
      <c r="CJ186" s="98"/>
      <c r="CK186" s="98"/>
    </row>
    <row r="187" spans="1:89" ht="15" x14ac:dyDescent="0.2">
      <c r="A187" s="119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8"/>
      <c r="CI187" s="98"/>
      <c r="CJ187" s="98"/>
      <c r="CK187" s="98"/>
    </row>
    <row r="188" spans="1:89" ht="15" x14ac:dyDescent="0.2">
      <c r="A188" s="119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</row>
    <row r="189" spans="1:89" ht="15" x14ac:dyDescent="0.2">
      <c r="A189" s="119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</row>
    <row r="190" spans="1:89" ht="15" x14ac:dyDescent="0.2">
      <c r="A190" s="119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</row>
    <row r="191" spans="1:89" ht="15" x14ac:dyDescent="0.2">
      <c r="A191" s="119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</row>
    <row r="192" spans="1:89" ht="15" x14ac:dyDescent="0.2">
      <c r="A192" s="119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</row>
    <row r="193" spans="1:89" ht="15" x14ac:dyDescent="0.2">
      <c r="A193" s="119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</row>
    <row r="194" spans="1:89" ht="15" x14ac:dyDescent="0.2">
      <c r="A194" s="119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</row>
    <row r="195" spans="1:89" ht="15" x14ac:dyDescent="0.2">
      <c r="A195" s="119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</row>
    <row r="196" spans="1:89" ht="15" x14ac:dyDescent="0.2">
      <c r="A196" s="119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</row>
    <row r="197" spans="1:89" ht="15" x14ac:dyDescent="0.2">
      <c r="A197" s="119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</row>
    <row r="198" spans="1:89" ht="15" x14ac:dyDescent="0.2">
      <c r="A198" s="119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</row>
    <row r="199" spans="1:89" ht="15" x14ac:dyDescent="0.2">
      <c r="A199" s="119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</row>
    <row r="200" spans="1:89" ht="15" x14ac:dyDescent="0.2">
      <c r="A200" s="119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</row>
    <row r="201" spans="1:89" ht="15" x14ac:dyDescent="0.2">
      <c r="A201" s="119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</row>
    <row r="202" spans="1:89" ht="15" x14ac:dyDescent="0.2">
      <c r="A202" s="119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</row>
    <row r="203" spans="1:89" ht="15" x14ac:dyDescent="0.2">
      <c r="A203" s="119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</row>
    <row r="204" spans="1:89" ht="15" x14ac:dyDescent="0.2">
      <c r="A204" s="119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</row>
    <row r="205" spans="1:89" ht="15" x14ac:dyDescent="0.2">
      <c r="A205" s="119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</row>
    <row r="206" spans="1:89" ht="15" x14ac:dyDescent="0.2">
      <c r="A206" s="119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</row>
    <row r="207" spans="1:89" ht="15" x14ac:dyDescent="0.2">
      <c r="A207" s="119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</row>
    <row r="208" spans="1:89" ht="15" x14ac:dyDescent="0.2">
      <c r="A208" s="119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</row>
    <row r="209" spans="1:89" ht="15" x14ac:dyDescent="0.2">
      <c r="A209" s="119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</row>
    <row r="210" spans="1:89" ht="15" x14ac:dyDescent="0.2">
      <c r="A210" s="119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</row>
    <row r="211" spans="1:89" ht="15" x14ac:dyDescent="0.2">
      <c r="A211" s="119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</row>
    <row r="212" spans="1:89" ht="15" x14ac:dyDescent="0.2">
      <c r="A212" s="119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</row>
    <row r="213" spans="1:89" ht="15" x14ac:dyDescent="0.2">
      <c r="A213" s="119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</row>
    <row r="214" spans="1:89" ht="15" x14ac:dyDescent="0.2">
      <c r="A214" s="119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</row>
    <row r="215" spans="1:89" ht="15" x14ac:dyDescent="0.2">
      <c r="A215" s="119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</row>
    <row r="216" spans="1:89" ht="15" x14ac:dyDescent="0.2">
      <c r="A216" s="119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</row>
    <row r="217" spans="1:89" ht="15" x14ac:dyDescent="0.2">
      <c r="A217" s="119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</row>
    <row r="218" spans="1:89" ht="15" x14ac:dyDescent="0.2">
      <c r="A218" s="119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</row>
    <row r="219" spans="1:89" ht="15" x14ac:dyDescent="0.2">
      <c r="A219" s="119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</row>
    <row r="220" spans="1:89" ht="15" x14ac:dyDescent="0.2">
      <c r="A220" s="119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</row>
    <row r="221" spans="1:89" ht="15" x14ac:dyDescent="0.2">
      <c r="A221" s="119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</row>
    <row r="222" spans="1:89" ht="15" x14ac:dyDescent="0.2">
      <c r="A222" s="119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</row>
    <row r="223" spans="1:89" ht="15" x14ac:dyDescent="0.2">
      <c r="A223" s="119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</row>
    <row r="224" spans="1:89" ht="15" x14ac:dyDescent="0.2">
      <c r="A224" s="119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</row>
    <row r="225" spans="1:89" ht="15" x14ac:dyDescent="0.2">
      <c r="A225" s="119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</row>
    <row r="226" spans="1:89" ht="15" x14ac:dyDescent="0.2">
      <c r="A226" s="119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</row>
    <row r="227" spans="1:89" ht="15" x14ac:dyDescent="0.2">
      <c r="A227" s="119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</row>
    <row r="228" spans="1:89" ht="15" x14ac:dyDescent="0.2">
      <c r="A228" s="119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</row>
    <row r="229" spans="1:89" ht="15" x14ac:dyDescent="0.2">
      <c r="A229" s="119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</row>
    <row r="230" spans="1:89" ht="15" x14ac:dyDescent="0.2">
      <c r="A230" s="119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</row>
    <row r="231" spans="1:89" ht="15" x14ac:dyDescent="0.2">
      <c r="A231" s="119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8"/>
      <c r="CI231" s="98"/>
      <c r="CJ231" s="98"/>
      <c r="CK231" s="98"/>
    </row>
    <row r="232" spans="1:89" ht="15" x14ac:dyDescent="0.2">
      <c r="A232" s="119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</row>
    <row r="233" spans="1:89" ht="15" x14ac:dyDescent="0.2">
      <c r="A233" s="119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</row>
    <row r="234" spans="1:89" ht="15" x14ac:dyDescent="0.2">
      <c r="A234" s="119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</row>
    <row r="235" spans="1:89" ht="15" x14ac:dyDescent="0.2">
      <c r="A235" s="119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</row>
    <row r="236" spans="1:89" ht="15" x14ac:dyDescent="0.2">
      <c r="A236" s="119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98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</row>
    <row r="237" spans="1:89" ht="15" x14ac:dyDescent="0.2">
      <c r="A237" s="119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</row>
    <row r="238" spans="1:89" ht="15" x14ac:dyDescent="0.2">
      <c r="A238" s="119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</row>
    <row r="239" spans="1:89" ht="15" x14ac:dyDescent="0.2">
      <c r="A239" s="119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</row>
    <row r="240" spans="1:89" ht="15" x14ac:dyDescent="0.2">
      <c r="A240" s="119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</row>
    <row r="241" spans="1:89" ht="15" x14ac:dyDescent="0.2">
      <c r="A241" s="119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</row>
    <row r="242" spans="1:89" ht="15" x14ac:dyDescent="0.2">
      <c r="A242" s="119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</row>
    <row r="243" spans="1:89" ht="15" x14ac:dyDescent="0.2">
      <c r="A243" s="119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</row>
    <row r="244" spans="1:89" ht="15" x14ac:dyDescent="0.2">
      <c r="A244" s="119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</row>
    <row r="245" spans="1:89" ht="15" x14ac:dyDescent="0.2">
      <c r="A245" s="119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</row>
    <row r="246" spans="1:89" ht="15" x14ac:dyDescent="0.2">
      <c r="A246" s="119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</row>
    <row r="247" spans="1:89" ht="15" x14ac:dyDescent="0.2">
      <c r="A247" s="119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</row>
    <row r="248" spans="1:89" ht="15" x14ac:dyDescent="0.2">
      <c r="A248" s="119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</row>
    <row r="249" spans="1:89" ht="15" x14ac:dyDescent="0.2">
      <c r="A249" s="119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</row>
    <row r="250" spans="1:89" ht="15" x14ac:dyDescent="0.2">
      <c r="A250" s="119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</row>
    <row r="251" spans="1:89" ht="15" x14ac:dyDescent="0.2">
      <c r="A251" s="119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</row>
    <row r="252" spans="1:89" ht="15" x14ac:dyDescent="0.2">
      <c r="A252" s="119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</row>
    <row r="253" spans="1:89" ht="15" x14ac:dyDescent="0.2">
      <c r="A253" s="119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</row>
    <row r="254" spans="1:89" ht="15" x14ac:dyDescent="0.2">
      <c r="A254" s="119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</row>
    <row r="255" spans="1:89" ht="15" x14ac:dyDescent="0.2">
      <c r="A255" s="119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</row>
    <row r="256" spans="1:89" ht="15" x14ac:dyDescent="0.2">
      <c r="A256" s="119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</row>
    <row r="257" spans="1:89" ht="15" x14ac:dyDescent="0.2">
      <c r="A257" s="119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</row>
    <row r="258" spans="1:89" ht="15" x14ac:dyDescent="0.2">
      <c r="A258" s="119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</row>
    <row r="259" spans="1:89" ht="15" x14ac:dyDescent="0.2">
      <c r="A259" s="119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</row>
    <row r="260" spans="1:89" ht="15" x14ac:dyDescent="0.2">
      <c r="A260" s="119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</row>
    <row r="261" spans="1:89" ht="15" x14ac:dyDescent="0.2">
      <c r="A261" s="119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</row>
    <row r="262" spans="1:89" ht="15" x14ac:dyDescent="0.2">
      <c r="A262" s="119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</row>
    <row r="263" spans="1:89" ht="15" x14ac:dyDescent="0.2">
      <c r="A263" s="119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</row>
    <row r="264" spans="1:89" ht="15" x14ac:dyDescent="0.2">
      <c r="A264" s="119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</row>
    <row r="265" spans="1:89" ht="15" x14ac:dyDescent="0.2">
      <c r="A265" s="119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</row>
    <row r="266" spans="1:89" ht="15" x14ac:dyDescent="0.2">
      <c r="A266" s="119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</row>
    <row r="267" spans="1:89" ht="15" x14ac:dyDescent="0.2">
      <c r="A267" s="119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</row>
    <row r="268" spans="1:89" ht="15" x14ac:dyDescent="0.2">
      <c r="A268" s="119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</row>
    <row r="269" spans="1:89" ht="15" x14ac:dyDescent="0.2">
      <c r="A269" s="119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</row>
    <row r="270" spans="1:89" ht="15" x14ac:dyDescent="0.2">
      <c r="A270" s="119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</row>
    <row r="271" spans="1:89" ht="15" x14ac:dyDescent="0.2">
      <c r="A271" s="119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</row>
    <row r="272" spans="1:89" ht="15" x14ac:dyDescent="0.2">
      <c r="A272" s="119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</row>
    <row r="273" spans="1:89" ht="15" x14ac:dyDescent="0.2">
      <c r="A273" s="119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</row>
    <row r="274" spans="1:89" ht="15" x14ac:dyDescent="0.2">
      <c r="A274" s="119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</row>
    <row r="275" spans="1:89" ht="15" x14ac:dyDescent="0.2">
      <c r="A275" s="119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</row>
    <row r="276" spans="1:89" ht="15" x14ac:dyDescent="0.2">
      <c r="A276" s="119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</row>
    <row r="277" spans="1:89" ht="15" x14ac:dyDescent="0.2">
      <c r="A277" s="119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</row>
    <row r="278" spans="1:89" ht="15" x14ac:dyDescent="0.2">
      <c r="A278" s="119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</row>
    <row r="279" spans="1:89" ht="15" x14ac:dyDescent="0.2">
      <c r="A279" s="119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</row>
    <row r="280" spans="1:89" ht="15" x14ac:dyDescent="0.2">
      <c r="A280" s="119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</row>
    <row r="281" spans="1:89" ht="15" x14ac:dyDescent="0.2">
      <c r="A281" s="119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</row>
    <row r="282" spans="1:89" ht="15" x14ac:dyDescent="0.2">
      <c r="A282" s="119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</row>
    <row r="283" spans="1:89" ht="15" x14ac:dyDescent="0.2">
      <c r="A283" s="119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</row>
    <row r="284" spans="1:89" ht="15" x14ac:dyDescent="0.2">
      <c r="A284" s="119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</row>
    <row r="285" spans="1:89" ht="15" x14ac:dyDescent="0.2">
      <c r="A285" s="119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</row>
    <row r="286" spans="1:89" ht="15" x14ac:dyDescent="0.2">
      <c r="A286" s="119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</row>
    <row r="287" spans="1:89" ht="15" x14ac:dyDescent="0.2">
      <c r="A287" s="119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</row>
    <row r="288" spans="1:89" ht="15" x14ac:dyDescent="0.2">
      <c r="A288" s="119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</row>
    <row r="289" spans="1:89" ht="15" x14ac:dyDescent="0.2">
      <c r="A289" s="119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8"/>
      <c r="CI289" s="98"/>
      <c r="CJ289" s="98"/>
      <c r="CK289" s="98"/>
    </row>
    <row r="290" spans="1:89" ht="15" x14ac:dyDescent="0.2">
      <c r="A290" s="119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8"/>
      <c r="CI290" s="98"/>
      <c r="CJ290" s="98"/>
      <c r="CK290" s="98"/>
    </row>
    <row r="291" spans="1:89" ht="15" x14ac:dyDescent="0.2">
      <c r="A291" s="119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8"/>
      <c r="CI291" s="98"/>
      <c r="CJ291" s="98"/>
      <c r="CK291" s="98"/>
    </row>
    <row r="292" spans="1:89" ht="15" x14ac:dyDescent="0.2">
      <c r="A292" s="119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  <c r="AS292" s="98"/>
      <c r="AT292" s="98"/>
      <c r="AU292" s="98"/>
      <c r="AV292" s="98"/>
      <c r="AW292" s="98"/>
      <c r="AX292" s="98"/>
      <c r="AY292" s="98"/>
      <c r="AZ292" s="98"/>
      <c r="BA292" s="98"/>
      <c r="BB292" s="98"/>
      <c r="BC292" s="98"/>
      <c r="BD292" s="98"/>
      <c r="BE292" s="98"/>
      <c r="BF292" s="98"/>
      <c r="BG292" s="98"/>
      <c r="BH292" s="98"/>
      <c r="BI292" s="98"/>
      <c r="BJ292" s="98"/>
      <c r="BK292" s="98"/>
      <c r="BL292" s="98"/>
      <c r="BM292" s="98"/>
      <c r="BN292" s="98"/>
      <c r="BO292" s="98"/>
      <c r="BP292" s="98"/>
      <c r="BQ292" s="98"/>
      <c r="BR292" s="98"/>
      <c r="BS292" s="98"/>
      <c r="BT292" s="98"/>
      <c r="BU292" s="98"/>
      <c r="BV292" s="98"/>
      <c r="BW292" s="98"/>
      <c r="BX292" s="98"/>
      <c r="BY292" s="98"/>
      <c r="BZ292" s="98"/>
      <c r="CA292" s="98"/>
      <c r="CB292" s="98"/>
      <c r="CC292" s="98"/>
      <c r="CD292" s="98"/>
      <c r="CE292" s="98"/>
      <c r="CF292" s="98"/>
      <c r="CG292" s="98"/>
      <c r="CH292" s="98"/>
      <c r="CI292" s="98"/>
      <c r="CJ292" s="98"/>
      <c r="CK292" s="98"/>
    </row>
    <row r="293" spans="1:89" ht="15" x14ac:dyDescent="0.2">
      <c r="A293" s="119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98"/>
      <c r="CE293" s="98"/>
      <c r="CF293" s="98"/>
      <c r="CG293" s="98"/>
      <c r="CH293" s="98"/>
      <c r="CI293" s="98"/>
      <c r="CJ293" s="98"/>
      <c r="CK293" s="98"/>
    </row>
    <row r="294" spans="1:89" ht="15" x14ac:dyDescent="0.2">
      <c r="A294" s="119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8"/>
      <c r="BL294" s="98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98"/>
      <c r="CE294" s="98"/>
      <c r="CF294" s="98"/>
      <c r="CG294" s="98"/>
      <c r="CH294" s="98"/>
      <c r="CI294" s="98"/>
      <c r="CJ294" s="98"/>
      <c r="CK294" s="98"/>
    </row>
    <row r="295" spans="1:89" ht="15" x14ac:dyDescent="0.2">
      <c r="A295" s="119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8"/>
      <c r="BL295" s="98"/>
      <c r="BM295" s="98"/>
      <c r="BN295" s="98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  <c r="BY295" s="98"/>
      <c r="BZ295" s="98"/>
      <c r="CA295" s="98"/>
      <c r="CB295" s="98"/>
      <c r="CC295" s="98"/>
      <c r="CD295" s="98"/>
      <c r="CE295" s="98"/>
      <c r="CF295" s="98"/>
      <c r="CG295" s="98"/>
      <c r="CH295" s="98"/>
      <c r="CI295" s="98"/>
      <c r="CJ295" s="98"/>
      <c r="CK295" s="98"/>
    </row>
    <row r="296" spans="1:89" ht="15" x14ac:dyDescent="0.2">
      <c r="A296" s="119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98"/>
      <c r="AS296" s="98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8"/>
      <c r="BL296" s="98"/>
      <c r="BM296" s="98"/>
      <c r="BN296" s="98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  <c r="BY296" s="98"/>
      <c r="BZ296" s="98"/>
      <c r="CA296" s="98"/>
      <c r="CB296" s="98"/>
      <c r="CC296" s="98"/>
      <c r="CD296" s="98"/>
      <c r="CE296" s="98"/>
      <c r="CF296" s="98"/>
      <c r="CG296" s="98"/>
      <c r="CH296" s="98"/>
      <c r="CI296" s="98"/>
      <c r="CJ296" s="98"/>
      <c r="CK296" s="98"/>
    </row>
    <row r="297" spans="1:89" ht="15" x14ac:dyDescent="0.2">
      <c r="A297" s="119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8"/>
      <c r="BL297" s="98"/>
      <c r="BM297" s="98"/>
      <c r="BN297" s="98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  <c r="BY297" s="98"/>
      <c r="BZ297" s="98"/>
      <c r="CA297" s="98"/>
      <c r="CB297" s="98"/>
      <c r="CC297" s="98"/>
      <c r="CD297" s="98"/>
      <c r="CE297" s="98"/>
      <c r="CF297" s="98"/>
      <c r="CG297" s="98"/>
      <c r="CH297" s="98"/>
      <c r="CI297" s="98"/>
      <c r="CJ297" s="98"/>
      <c r="CK297" s="98"/>
    </row>
    <row r="298" spans="1:89" ht="15" x14ac:dyDescent="0.2">
      <c r="A298" s="119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98"/>
      <c r="AS298" s="98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8"/>
      <c r="BL298" s="98"/>
      <c r="BM298" s="98"/>
      <c r="BN298" s="98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  <c r="BY298" s="98"/>
      <c r="BZ298" s="98"/>
      <c r="CA298" s="98"/>
      <c r="CB298" s="98"/>
      <c r="CC298" s="98"/>
      <c r="CD298" s="98"/>
      <c r="CE298" s="98"/>
      <c r="CF298" s="98"/>
      <c r="CG298" s="98"/>
      <c r="CH298" s="98"/>
      <c r="CI298" s="98"/>
      <c r="CJ298" s="98"/>
      <c r="CK298" s="98"/>
    </row>
    <row r="299" spans="1:89" ht="15" x14ac:dyDescent="0.2">
      <c r="A299" s="119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  <c r="BY299" s="98"/>
      <c r="BZ299" s="98"/>
      <c r="CA299" s="98"/>
      <c r="CB299" s="98"/>
      <c r="CC299" s="98"/>
      <c r="CD299" s="98"/>
      <c r="CE299" s="98"/>
      <c r="CF299" s="98"/>
      <c r="CG299" s="98"/>
      <c r="CH299" s="98"/>
      <c r="CI299" s="98"/>
      <c r="CJ299" s="98"/>
      <c r="CK299" s="98"/>
    </row>
    <row r="300" spans="1:89" ht="15" x14ac:dyDescent="0.2">
      <c r="A300" s="119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98"/>
      <c r="AS300" s="98"/>
      <c r="AT300" s="98"/>
      <c r="AU300" s="98"/>
      <c r="AV300" s="98"/>
      <c r="AW300" s="98"/>
      <c r="AX300" s="98"/>
      <c r="AY300" s="98"/>
      <c r="AZ300" s="98"/>
      <c r="BA300" s="98"/>
      <c r="BB300" s="98"/>
      <c r="BC300" s="98"/>
      <c r="BD300" s="98"/>
      <c r="BE300" s="98"/>
      <c r="BF300" s="98"/>
      <c r="BG300" s="98"/>
      <c r="BH300" s="98"/>
      <c r="BI300" s="98"/>
      <c r="BJ300" s="98"/>
      <c r="BK300" s="98"/>
      <c r="BL300" s="98"/>
      <c r="BM300" s="98"/>
      <c r="BN300" s="98"/>
      <c r="BO300" s="98"/>
      <c r="BP300" s="98"/>
      <c r="BQ300" s="98"/>
      <c r="BR300" s="98"/>
      <c r="BS300" s="98"/>
      <c r="BT300" s="98"/>
      <c r="BU300" s="98"/>
      <c r="BV300" s="98"/>
      <c r="BW300" s="98"/>
      <c r="BX300" s="98"/>
      <c r="BY300" s="98"/>
      <c r="BZ300" s="98"/>
      <c r="CA300" s="98"/>
      <c r="CB300" s="98"/>
      <c r="CC300" s="98"/>
      <c r="CD300" s="98"/>
      <c r="CE300" s="98"/>
      <c r="CF300" s="98"/>
      <c r="CG300" s="98"/>
      <c r="CH300" s="98"/>
      <c r="CI300" s="98"/>
      <c r="CJ300" s="98"/>
      <c r="CK300" s="98"/>
    </row>
    <row r="301" spans="1:89" ht="15" x14ac:dyDescent="0.2">
      <c r="A301" s="119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8"/>
      <c r="BL301" s="98"/>
      <c r="BM301" s="98"/>
      <c r="BN301" s="98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  <c r="BY301" s="98"/>
      <c r="BZ301" s="98"/>
      <c r="CA301" s="98"/>
      <c r="CB301" s="98"/>
      <c r="CC301" s="98"/>
      <c r="CD301" s="98"/>
      <c r="CE301" s="98"/>
      <c r="CF301" s="98"/>
      <c r="CG301" s="98"/>
      <c r="CH301" s="98"/>
      <c r="CI301" s="98"/>
      <c r="CJ301" s="98"/>
      <c r="CK301" s="98"/>
    </row>
    <row r="302" spans="1:89" ht="15" x14ac:dyDescent="0.2">
      <c r="A302" s="119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98"/>
      <c r="AS302" s="98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8"/>
      <c r="BL302" s="98"/>
      <c r="BM302" s="98"/>
      <c r="BN302" s="98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  <c r="BY302" s="98"/>
      <c r="BZ302" s="98"/>
      <c r="CA302" s="98"/>
      <c r="CB302" s="98"/>
      <c r="CC302" s="98"/>
      <c r="CD302" s="98"/>
      <c r="CE302" s="98"/>
      <c r="CF302" s="98"/>
      <c r="CG302" s="98"/>
      <c r="CH302" s="98"/>
      <c r="CI302" s="98"/>
      <c r="CJ302" s="98"/>
      <c r="CK302" s="98"/>
    </row>
    <row r="303" spans="1:89" ht="15" x14ac:dyDescent="0.2">
      <c r="A303" s="119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98"/>
      <c r="AS303" s="98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8"/>
      <c r="BL303" s="98"/>
      <c r="BM303" s="98"/>
      <c r="BN303" s="98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  <c r="BY303" s="98"/>
      <c r="BZ303" s="98"/>
      <c r="CA303" s="98"/>
      <c r="CB303" s="98"/>
      <c r="CC303" s="98"/>
      <c r="CD303" s="98"/>
      <c r="CE303" s="98"/>
      <c r="CF303" s="98"/>
      <c r="CG303" s="98"/>
      <c r="CH303" s="98"/>
      <c r="CI303" s="98"/>
      <c r="CJ303" s="98"/>
      <c r="CK303" s="98"/>
    </row>
    <row r="304" spans="1:89" ht="15" x14ac:dyDescent="0.2">
      <c r="A304" s="119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98"/>
      <c r="AS304" s="98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8"/>
      <c r="BL304" s="98"/>
      <c r="BM304" s="98"/>
      <c r="BN304" s="98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  <c r="BY304" s="98"/>
      <c r="BZ304" s="98"/>
      <c r="CA304" s="98"/>
      <c r="CB304" s="98"/>
      <c r="CC304" s="98"/>
      <c r="CD304" s="98"/>
      <c r="CE304" s="98"/>
      <c r="CF304" s="98"/>
      <c r="CG304" s="98"/>
      <c r="CH304" s="98"/>
      <c r="CI304" s="98"/>
      <c r="CJ304" s="98"/>
      <c r="CK304" s="98"/>
    </row>
    <row r="305" spans="1:89" ht="15" x14ac:dyDescent="0.2">
      <c r="A305" s="119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  <c r="AS305" s="98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8"/>
      <c r="BL305" s="98"/>
      <c r="BM305" s="98"/>
      <c r="BN305" s="98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  <c r="BY305" s="98"/>
      <c r="BZ305" s="98"/>
      <c r="CA305" s="98"/>
      <c r="CB305" s="98"/>
      <c r="CC305" s="98"/>
      <c r="CD305" s="98"/>
      <c r="CE305" s="98"/>
      <c r="CF305" s="98"/>
      <c r="CG305" s="98"/>
      <c r="CH305" s="98"/>
      <c r="CI305" s="98"/>
      <c r="CJ305" s="98"/>
      <c r="CK305" s="98"/>
    </row>
    <row r="306" spans="1:89" ht="15" x14ac:dyDescent="0.2">
      <c r="A306" s="119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98"/>
      <c r="AS306" s="98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8"/>
      <c r="BL306" s="98"/>
      <c r="BM306" s="98"/>
      <c r="BN306" s="98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  <c r="BY306" s="98"/>
      <c r="BZ306" s="98"/>
      <c r="CA306" s="98"/>
      <c r="CB306" s="98"/>
      <c r="CC306" s="98"/>
      <c r="CD306" s="98"/>
      <c r="CE306" s="98"/>
      <c r="CF306" s="98"/>
      <c r="CG306" s="98"/>
      <c r="CH306" s="98"/>
      <c r="CI306" s="98"/>
      <c r="CJ306" s="98"/>
      <c r="CK306" s="98"/>
    </row>
    <row r="307" spans="1:89" ht="15" x14ac:dyDescent="0.2">
      <c r="A307" s="119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98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8"/>
      <c r="BL307" s="98"/>
      <c r="BM307" s="98"/>
      <c r="BN307" s="98"/>
      <c r="BO307" s="98"/>
      <c r="BP307" s="98"/>
      <c r="BQ307" s="98"/>
      <c r="BR307" s="98"/>
      <c r="BS307" s="98"/>
      <c r="BT307" s="98"/>
      <c r="BU307" s="98"/>
      <c r="BV307" s="98"/>
      <c r="BW307" s="98"/>
      <c r="BX307" s="98"/>
      <c r="BY307" s="98"/>
      <c r="BZ307" s="98"/>
      <c r="CA307" s="98"/>
      <c r="CB307" s="98"/>
      <c r="CC307" s="98"/>
      <c r="CD307" s="98"/>
      <c r="CE307" s="98"/>
      <c r="CF307" s="98"/>
      <c r="CG307" s="98"/>
      <c r="CH307" s="98"/>
      <c r="CI307" s="98"/>
      <c r="CJ307" s="98"/>
      <c r="CK307" s="98"/>
    </row>
    <row r="308" spans="1:89" ht="15" x14ac:dyDescent="0.2">
      <c r="A308" s="119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98"/>
      <c r="AT308" s="98"/>
      <c r="AU308" s="98"/>
      <c r="AV308" s="98"/>
      <c r="AW308" s="98"/>
      <c r="AX308" s="98"/>
      <c r="AY308" s="98"/>
      <c r="AZ308" s="98"/>
      <c r="BA308" s="98"/>
      <c r="BB308" s="98"/>
      <c r="BC308" s="98"/>
      <c r="BD308" s="98"/>
      <c r="BE308" s="98"/>
      <c r="BF308" s="98"/>
      <c r="BG308" s="98"/>
      <c r="BH308" s="98"/>
      <c r="BI308" s="98"/>
      <c r="BJ308" s="98"/>
      <c r="BK308" s="98"/>
      <c r="BL308" s="98"/>
      <c r="BM308" s="98"/>
      <c r="BN308" s="98"/>
      <c r="BO308" s="98"/>
      <c r="BP308" s="98"/>
      <c r="BQ308" s="98"/>
      <c r="BR308" s="98"/>
      <c r="BS308" s="98"/>
      <c r="BT308" s="98"/>
      <c r="BU308" s="98"/>
      <c r="BV308" s="98"/>
      <c r="BW308" s="98"/>
      <c r="BX308" s="98"/>
      <c r="BY308" s="98"/>
      <c r="BZ308" s="98"/>
      <c r="CA308" s="98"/>
      <c r="CB308" s="98"/>
      <c r="CC308" s="98"/>
      <c r="CD308" s="98"/>
      <c r="CE308" s="98"/>
      <c r="CF308" s="98"/>
      <c r="CG308" s="98"/>
      <c r="CH308" s="98"/>
      <c r="CI308" s="98"/>
      <c r="CJ308" s="98"/>
      <c r="CK308" s="98"/>
    </row>
    <row r="309" spans="1:89" ht="15" x14ac:dyDescent="0.2">
      <c r="A309" s="119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  <c r="AS309" s="98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8"/>
      <c r="BL309" s="98"/>
      <c r="BM309" s="98"/>
      <c r="BN309" s="98"/>
      <c r="BO309" s="98"/>
      <c r="BP309" s="98"/>
      <c r="BQ309" s="98"/>
      <c r="BR309" s="98"/>
      <c r="BS309" s="98"/>
      <c r="BT309" s="98"/>
      <c r="BU309" s="98"/>
      <c r="BV309" s="98"/>
      <c r="BW309" s="98"/>
      <c r="BX309" s="98"/>
      <c r="BY309" s="98"/>
      <c r="BZ309" s="98"/>
      <c r="CA309" s="98"/>
      <c r="CB309" s="98"/>
      <c r="CC309" s="98"/>
      <c r="CD309" s="98"/>
      <c r="CE309" s="98"/>
      <c r="CF309" s="98"/>
      <c r="CG309" s="98"/>
      <c r="CH309" s="98"/>
      <c r="CI309" s="98"/>
      <c r="CJ309" s="98"/>
      <c r="CK309" s="98"/>
    </row>
    <row r="310" spans="1:89" ht="15" x14ac:dyDescent="0.2">
      <c r="A310" s="119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8"/>
      <c r="BL310" s="98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  <c r="BY310" s="98"/>
      <c r="BZ310" s="98"/>
      <c r="CA310" s="98"/>
      <c r="CB310" s="98"/>
      <c r="CC310" s="98"/>
      <c r="CD310" s="98"/>
      <c r="CE310" s="98"/>
      <c r="CF310" s="98"/>
      <c r="CG310" s="98"/>
      <c r="CH310" s="98"/>
      <c r="CI310" s="98"/>
      <c r="CJ310" s="98"/>
      <c r="CK310" s="98"/>
    </row>
    <row r="311" spans="1:89" ht="15" x14ac:dyDescent="0.2">
      <c r="A311" s="119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  <c r="BY311" s="98"/>
      <c r="BZ311" s="98"/>
      <c r="CA311" s="98"/>
      <c r="CB311" s="98"/>
      <c r="CC311" s="98"/>
      <c r="CD311" s="98"/>
      <c r="CE311" s="98"/>
      <c r="CF311" s="98"/>
      <c r="CG311" s="98"/>
      <c r="CH311" s="98"/>
      <c r="CI311" s="98"/>
      <c r="CJ311" s="98"/>
      <c r="CK311" s="98"/>
    </row>
    <row r="312" spans="1:89" ht="15" x14ac:dyDescent="0.2">
      <c r="A312" s="119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8"/>
      <c r="BL312" s="98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98"/>
      <c r="CE312" s="98"/>
      <c r="CF312" s="98"/>
      <c r="CG312" s="98"/>
      <c r="CH312" s="98"/>
      <c r="CI312" s="98"/>
      <c r="CJ312" s="98"/>
      <c r="CK312" s="98"/>
    </row>
    <row r="313" spans="1:89" ht="15" x14ac:dyDescent="0.2">
      <c r="A313" s="119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98"/>
      <c r="CE313" s="98"/>
      <c r="CF313" s="98"/>
      <c r="CG313" s="98"/>
      <c r="CH313" s="98"/>
      <c r="CI313" s="98"/>
      <c r="CJ313" s="98"/>
      <c r="CK313" s="98"/>
    </row>
    <row r="314" spans="1:89" ht="15" x14ac:dyDescent="0.2">
      <c r="A314" s="119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8"/>
      <c r="BL314" s="98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98"/>
      <c r="CE314" s="98"/>
      <c r="CF314" s="98"/>
      <c r="CG314" s="98"/>
      <c r="CH314" s="98"/>
      <c r="CI314" s="98"/>
      <c r="CJ314" s="98"/>
      <c r="CK314" s="98"/>
    </row>
    <row r="315" spans="1:89" ht="15" x14ac:dyDescent="0.2">
      <c r="A315" s="119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98"/>
      <c r="CE315" s="98"/>
      <c r="CF315" s="98"/>
      <c r="CG315" s="98"/>
      <c r="CH315" s="98"/>
      <c r="CI315" s="98"/>
      <c r="CJ315" s="98"/>
      <c r="CK315" s="98"/>
    </row>
    <row r="316" spans="1:89" ht="15" x14ac:dyDescent="0.2">
      <c r="A316" s="119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  <c r="AO316" s="98"/>
      <c r="AP316" s="98"/>
      <c r="AQ316" s="98"/>
      <c r="AR316" s="98"/>
      <c r="AS316" s="98"/>
      <c r="AT316" s="98"/>
      <c r="AU316" s="98"/>
      <c r="AV316" s="98"/>
      <c r="AW316" s="98"/>
      <c r="AX316" s="98"/>
      <c r="AY316" s="98"/>
      <c r="AZ316" s="98"/>
      <c r="BA316" s="98"/>
      <c r="BB316" s="98"/>
      <c r="BC316" s="98"/>
      <c r="BD316" s="98"/>
      <c r="BE316" s="98"/>
      <c r="BF316" s="98"/>
      <c r="BG316" s="98"/>
      <c r="BH316" s="98"/>
      <c r="BI316" s="98"/>
      <c r="BJ316" s="98"/>
      <c r="BK316" s="98"/>
      <c r="BL316" s="98"/>
      <c r="BM316" s="98"/>
      <c r="BN316" s="98"/>
      <c r="BO316" s="98"/>
      <c r="BP316" s="98"/>
      <c r="BQ316" s="98"/>
      <c r="BR316" s="98"/>
      <c r="BS316" s="98"/>
      <c r="BT316" s="98"/>
      <c r="BU316" s="98"/>
      <c r="BV316" s="98"/>
      <c r="BW316" s="98"/>
      <c r="BX316" s="98"/>
      <c r="BY316" s="98"/>
      <c r="BZ316" s="98"/>
      <c r="CA316" s="98"/>
      <c r="CB316" s="98"/>
      <c r="CC316" s="98"/>
      <c r="CD316" s="98"/>
      <c r="CE316" s="98"/>
      <c r="CF316" s="98"/>
      <c r="CG316" s="98"/>
      <c r="CH316" s="98"/>
      <c r="CI316" s="98"/>
      <c r="CJ316" s="98"/>
      <c r="CK316" s="98"/>
    </row>
    <row r="317" spans="1:89" ht="15" x14ac:dyDescent="0.2">
      <c r="A317" s="119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8"/>
      <c r="BL317" s="98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98"/>
      <c r="CE317" s="98"/>
      <c r="CF317" s="98"/>
      <c r="CG317" s="98"/>
      <c r="CH317" s="98"/>
      <c r="CI317" s="98"/>
      <c r="CJ317" s="98"/>
      <c r="CK317" s="98"/>
    </row>
    <row r="318" spans="1:89" ht="15" x14ac:dyDescent="0.2">
      <c r="A318" s="119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  <c r="AO318" s="98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8"/>
      <c r="BL318" s="98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98"/>
      <c r="CE318" s="98"/>
      <c r="CF318" s="98"/>
      <c r="CG318" s="98"/>
      <c r="CH318" s="98"/>
      <c r="CI318" s="98"/>
      <c r="CJ318" s="98"/>
      <c r="CK318" s="98"/>
    </row>
    <row r="319" spans="1:89" ht="15" x14ac:dyDescent="0.2">
      <c r="A319" s="119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98"/>
      <c r="CE319" s="98"/>
      <c r="CF319" s="98"/>
      <c r="CG319" s="98"/>
      <c r="CH319" s="98"/>
      <c r="CI319" s="98"/>
      <c r="CJ319" s="98"/>
      <c r="CK319" s="98"/>
    </row>
    <row r="320" spans="1:89" ht="15" x14ac:dyDescent="0.2">
      <c r="A320" s="119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  <c r="AO320" s="98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8"/>
      <c r="BL320" s="98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98"/>
      <c r="CE320" s="98"/>
      <c r="CF320" s="98"/>
      <c r="CG320" s="98"/>
      <c r="CH320" s="98"/>
      <c r="CI320" s="98"/>
      <c r="CJ320" s="98"/>
      <c r="CK320" s="98"/>
    </row>
    <row r="321" spans="1:89" ht="15" x14ac:dyDescent="0.2">
      <c r="A321" s="119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98"/>
      <c r="CE321" s="98"/>
      <c r="CF321" s="98"/>
      <c r="CG321" s="98"/>
      <c r="CH321" s="98"/>
      <c r="CI321" s="98"/>
      <c r="CJ321" s="98"/>
      <c r="CK321" s="98"/>
    </row>
    <row r="322" spans="1:89" ht="15" x14ac:dyDescent="0.2">
      <c r="A322" s="119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8"/>
      <c r="BL322" s="98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98"/>
      <c r="CE322" s="98"/>
      <c r="CF322" s="98"/>
      <c r="CG322" s="98"/>
      <c r="CH322" s="98"/>
      <c r="CI322" s="98"/>
      <c r="CJ322" s="98"/>
      <c r="CK322" s="98"/>
    </row>
    <row r="323" spans="1:89" ht="15" x14ac:dyDescent="0.2">
      <c r="A323" s="119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98"/>
      <c r="CE323" s="98"/>
      <c r="CF323" s="98"/>
      <c r="CG323" s="98"/>
      <c r="CH323" s="98"/>
      <c r="CI323" s="98"/>
      <c r="CJ323" s="98"/>
      <c r="CK323" s="98"/>
    </row>
    <row r="324" spans="1:89" ht="15" x14ac:dyDescent="0.2">
      <c r="A324" s="119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98"/>
      <c r="AS324" s="98"/>
      <c r="AT324" s="98"/>
      <c r="AU324" s="98"/>
      <c r="AV324" s="98"/>
      <c r="AW324" s="98"/>
      <c r="AX324" s="98"/>
      <c r="AY324" s="98"/>
      <c r="AZ324" s="98"/>
      <c r="BA324" s="98"/>
      <c r="BB324" s="98"/>
      <c r="BC324" s="98"/>
      <c r="BD324" s="98"/>
      <c r="BE324" s="98"/>
      <c r="BF324" s="98"/>
      <c r="BG324" s="98"/>
      <c r="BH324" s="98"/>
      <c r="BI324" s="98"/>
      <c r="BJ324" s="98"/>
      <c r="BK324" s="98"/>
      <c r="BL324" s="98"/>
      <c r="BM324" s="98"/>
      <c r="BN324" s="98"/>
      <c r="BO324" s="98"/>
      <c r="BP324" s="98"/>
      <c r="BQ324" s="98"/>
      <c r="BR324" s="98"/>
      <c r="BS324" s="98"/>
      <c r="BT324" s="98"/>
      <c r="BU324" s="98"/>
      <c r="BV324" s="98"/>
      <c r="BW324" s="98"/>
      <c r="BX324" s="98"/>
      <c r="BY324" s="98"/>
      <c r="BZ324" s="98"/>
      <c r="CA324" s="98"/>
      <c r="CB324" s="98"/>
      <c r="CC324" s="98"/>
      <c r="CD324" s="98"/>
      <c r="CE324" s="98"/>
      <c r="CF324" s="98"/>
      <c r="CG324" s="98"/>
      <c r="CH324" s="98"/>
      <c r="CI324" s="98"/>
      <c r="CJ324" s="98"/>
      <c r="CK324" s="98"/>
    </row>
    <row r="325" spans="1:89" ht="15" x14ac:dyDescent="0.2">
      <c r="A325" s="119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98"/>
      <c r="CE325" s="98"/>
      <c r="CF325" s="98"/>
      <c r="CG325" s="98"/>
      <c r="CH325" s="98"/>
      <c r="CI325" s="98"/>
      <c r="CJ325" s="98"/>
      <c r="CK325" s="98"/>
    </row>
    <row r="326" spans="1:89" ht="15" x14ac:dyDescent="0.2">
      <c r="A326" s="119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  <c r="AO326" s="98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8"/>
      <c r="BL326" s="98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98"/>
      <c r="CE326" s="98"/>
      <c r="CF326" s="98"/>
      <c r="CG326" s="98"/>
      <c r="CH326" s="98"/>
      <c r="CI326" s="98"/>
      <c r="CJ326" s="98"/>
      <c r="CK326" s="98"/>
    </row>
    <row r="327" spans="1:89" ht="15" x14ac:dyDescent="0.2">
      <c r="A327" s="119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  <c r="AO327" s="98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98"/>
      <c r="CE327" s="98"/>
      <c r="CF327" s="98"/>
      <c r="CG327" s="98"/>
      <c r="CH327" s="98"/>
      <c r="CI327" s="98"/>
      <c r="CJ327" s="98"/>
      <c r="CK327" s="98"/>
    </row>
    <row r="328" spans="1:89" ht="15" x14ac:dyDescent="0.2">
      <c r="A328" s="119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  <c r="AO328" s="98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8"/>
      <c r="BL328" s="98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98"/>
      <c r="CE328" s="98"/>
      <c r="CF328" s="98"/>
      <c r="CG328" s="98"/>
      <c r="CH328" s="98"/>
      <c r="CI328" s="98"/>
      <c r="CJ328" s="98"/>
      <c r="CK328" s="98"/>
    </row>
    <row r="329" spans="1:89" ht="15" x14ac:dyDescent="0.2">
      <c r="A329" s="119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  <c r="AO329" s="98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98"/>
      <c r="CE329" s="98"/>
      <c r="CF329" s="98"/>
      <c r="CG329" s="98"/>
      <c r="CH329" s="98"/>
      <c r="CI329" s="98"/>
      <c r="CJ329" s="98"/>
      <c r="CK329" s="98"/>
    </row>
    <row r="330" spans="1:89" ht="15" x14ac:dyDescent="0.2">
      <c r="A330" s="119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  <c r="AO330" s="98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8"/>
      <c r="BL330" s="98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98"/>
      <c r="CE330" s="98"/>
      <c r="CF330" s="98"/>
      <c r="CG330" s="98"/>
      <c r="CH330" s="98"/>
      <c r="CI330" s="98"/>
      <c r="CJ330" s="98"/>
      <c r="CK330" s="98"/>
    </row>
    <row r="331" spans="1:89" ht="15" x14ac:dyDescent="0.2">
      <c r="A331" s="119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  <c r="BM331" s="98"/>
      <c r="BN331" s="98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8"/>
      <c r="CG331" s="98"/>
      <c r="CH331" s="98"/>
      <c r="CI331" s="98"/>
      <c r="CJ331" s="98"/>
      <c r="CK331" s="98"/>
    </row>
    <row r="332" spans="1:89" ht="15" x14ac:dyDescent="0.2">
      <c r="A332" s="119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98"/>
      <c r="AS332" s="98"/>
      <c r="AT332" s="98"/>
      <c r="AU332" s="98"/>
      <c r="AV332" s="98"/>
      <c r="AW332" s="98"/>
      <c r="AX332" s="98"/>
      <c r="AY332" s="98"/>
      <c r="AZ332" s="98"/>
      <c r="BA332" s="98"/>
      <c r="BB332" s="98"/>
      <c r="BC332" s="98"/>
      <c r="BD332" s="98"/>
      <c r="BE332" s="98"/>
      <c r="BF332" s="98"/>
      <c r="BG332" s="98"/>
      <c r="BH332" s="98"/>
      <c r="BI332" s="98"/>
      <c r="BJ332" s="98"/>
      <c r="BK332" s="98"/>
      <c r="BL332" s="98"/>
      <c r="BM332" s="98"/>
      <c r="BN332" s="98"/>
      <c r="BO332" s="98"/>
      <c r="BP332" s="98"/>
      <c r="BQ332" s="98"/>
      <c r="BR332" s="98"/>
      <c r="BS332" s="98"/>
      <c r="BT332" s="98"/>
      <c r="BU332" s="98"/>
      <c r="BV332" s="98"/>
      <c r="BW332" s="98"/>
      <c r="BX332" s="98"/>
      <c r="BY332" s="98"/>
      <c r="BZ332" s="98"/>
      <c r="CA332" s="98"/>
      <c r="CB332" s="98"/>
      <c r="CC332" s="98"/>
      <c r="CD332" s="98"/>
      <c r="CE332" s="98"/>
      <c r="CF332" s="98"/>
      <c r="CG332" s="98"/>
      <c r="CH332" s="98"/>
      <c r="CI332" s="98"/>
      <c r="CJ332" s="98"/>
      <c r="CK332" s="98"/>
    </row>
    <row r="333" spans="1:89" ht="15" x14ac:dyDescent="0.2">
      <c r="A333" s="119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  <c r="AS333" s="98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8"/>
      <c r="BL333" s="98"/>
      <c r="BM333" s="98"/>
      <c r="BN333" s="98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  <c r="BY333" s="98"/>
      <c r="BZ333" s="98"/>
      <c r="CA333" s="98"/>
      <c r="CB333" s="98"/>
      <c r="CC333" s="98"/>
      <c r="CD333" s="98"/>
      <c r="CE333" s="98"/>
      <c r="CF333" s="98"/>
      <c r="CG333" s="98"/>
      <c r="CH333" s="98"/>
      <c r="CI333" s="98"/>
      <c r="CJ333" s="98"/>
      <c r="CK333" s="98"/>
    </row>
    <row r="334" spans="1:89" ht="15" x14ac:dyDescent="0.2">
      <c r="A334" s="119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8"/>
      <c r="BL334" s="98"/>
      <c r="BM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  <c r="BY334" s="98"/>
      <c r="BZ334" s="98"/>
      <c r="CA334" s="98"/>
      <c r="CB334" s="98"/>
      <c r="CC334" s="98"/>
      <c r="CD334" s="98"/>
      <c r="CE334" s="98"/>
      <c r="CF334" s="98"/>
      <c r="CG334" s="98"/>
      <c r="CH334" s="98"/>
      <c r="CI334" s="98"/>
      <c r="CJ334" s="98"/>
      <c r="CK334" s="98"/>
    </row>
    <row r="335" spans="1:89" ht="15" x14ac:dyDescent="0.2">
      <c r="A335" s="119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98"/>
      <c r="AS335" s="98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8"/>
      <c r="BL335" s="98"/>
      <c r="BM335" s="98"/>
      <c r="BN335" s="98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  <c r="BY335" s="98"/>
      <c r="BZ335" s="98"/>
      <c r="CA335" s="98"/>
      <c r="CB335" s="98"/>
      <c r="CC335" s="98"/>
      <c r="CD335" s="98"/>
      <c r="CE335" s="98"/>
      <c r="CF335" s="98"/>
      <c r="CG335" s="98"/>
      <c r="CH335" s="98"/>
      <c r="CI335" s="98"/>
      <c r="CJ335" s="98"/>
      <c r="CK335" s="98"/>
    </row>
    <row r="336" spans="1:89" ht="15" x14ac:dyDescent="0.2">
      <c r="A336" s="119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8"/>
      <c r="BL336" s="98"/>
      <c r="BM336" s="98"/>
      <c r="BN336" s="98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  <c r="BY336" s="98"/>
      <c r="BZ336" s="98"/>
      <c r="CA336" s="98"/>
      <c r="CB336" s="98"/>
      <c r="CC336" s="98"/>
      <c r="CD336" s="98"/>
      <c r="CE336" s="98"/>
      <c r="CF336" s="98"/>
      <c r="CG336" s="98"/>
      <c r="CH336" s="98"/>
      <c r="CI336" s="98"/>
      <c r="CJ336" s="98"/>
      <c r="CK336" s="98"/>
    </row>
    <row r="337" spans="1:89" ht="15" x14ac:dyDescent="0.2">
      <c r="A337" s="119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  <c r="AO337" s="98"/>
      <c r="AP337" s="98"/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8"/>
      <c r="BL337" s="98"/>
      <c r="BM337" s="98"/>
      <c r="BN337" s="98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  <c r="BY337" s="98"/>
      <c r="BZ337" s="98"/>
      <c r="CA337" s="98"/>
      <c r="CB337" s="98"/>
      <c r="CC337" s="98"/>
      <c r="CD337" s="98"/>
      <c r="CE337" s="98"/>
      <c r="CF337" s="98"/>
      <c r="CG337" s="98"/>
      <c r="CH337" s="98"/>
      <c r="CI337" s="98"/>
      <c r="CJ337" s="98"/>
      <c r="CK337" s="98"/>
    </row>
    <row r="338" spans="1:89" ht="15" x14ac:dyDescent="0.2">
      <c r="A338" s="119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  <c r="AO338" s="98"/>
      <c r="AP338" s="98"/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8"/>
      <c r="BL338" s="98"/>
      <c r="BM338" s="98"/>
      <c r="BN338" s="98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  <c r="BY338" s="98"/>
      <c r="BZ338" s="98"/>
      <c r="CA338" s="98"/>
      <c r="CB338" s="98"/>
      <c r="CC338" s="98"/>
      <c r="CD338" s="98"/>
      <c r="CE338" s="98"/>
      <c r="CF338" s="98"/>
      <c r="CG338" s="98"/>
      <c r="CH338" s="98"/>
      <c r="CI338" s="98"/>
      <c r="CJ338" s="98"/>
      <c r="CK338" s="98"/>
    </row>
    <row r="339" spans="1:89" ht="15" x14ac:dyDescent="0.2">
      <c r="A339" s="119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98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8"/>
      <c r="BL339" s="98"/>
      <c r="BM339" s="98"/>
      <c r="BN339" s="98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  <c r="BY339" s="98"/>
      <c r="BZ339" s="98"/>
      <c r="CA339" s="98"/>
      <c r="CB339" s="98"/>
      <c r="CC339" s="98"/>
      <c r="CD339" s="98"/>
      <c r="CE339" s="98"/>
      <c r="CF339" s="98"/>
      <c r="CG339" s="98"/>
      <c r="CH339" s="98"/>
      <c r="CI339" s="98"/>
      <c r="CJ339" s="98"/>
      <c r="CK339" s="98"/>
    </row>
    <row r="340" spans="1:89" ht="15" x14ac:dyDescent="0.2">
      <c r="A340" s="119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98"/>
      <c r="AS340" s="98"/>
      <c r="AT340" s="98"/>
      <c r="AU340" s="98"/>
      <c r="AV340" s="98"/>
      <c r="AW340" s="98"/>
      <c r="AX340" s="98"/>
      <c r="AY340" s="98"/>
      <c r="AZ340" s="98"/>
      <c r="BA340" s="98"/>
      <c r="BB340" s="98"/>
      <c r="BC340" s="98"/>
      <c r="BD340" s="98"/>
      <c r="BE340" s="98"/>
      <c r="BF340" s="98"/>
      <c r="BG340" s="98"/>
      <c r="BH340" s="98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98"/>
      <c r="CB340" s="98"/>
      <c r="CC340" s="98"/>
      <c r="CD340" s="98"/>
      <c r="CE340" s="98"/>
      <c r="CF340" s="98"/>
      <c r="CG340" s="98"/>
      <c r="CH340" s="98"/>
      <c r="CI340" s="98"/>
      <c r="CJ340" s="98"/>
      <c r="CK340" s="98"/>
    </row>
    <row r="341" spans="1:89" ht="15" x14ac:dyDescent="0.2">
      <c r="A341" s="119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98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8"/>
      <c r="BL341" s="98"/>
      <c r="BM341" s="98"/>
      <c r="BN341" s="98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  <c r="BY341" s="98"/>
      <c r="BZ341" s="98"/>
      <c r="CA341" s="98"/>
      <c r="CB341" s="98"/>
      <c r="CC341" s="98"/>
      <c r="CD341" s="98"/>
      <c r="CE341" s="98"/>
      <c r="CF341" s="98"/>
      <c r="CG341" s="98"/>
      <c r="CH341" s="98"/>
      <c r="CI341" s="98"/>
      <c r="CJ341" s="98"/>
      <c r="CK341" s="98"/>
    </row>
    <row r="342" spans="1:89" ht="15" x14ac:dyDescent="0.2">
      <c r="A342" s="119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98"/>
      <c r="AS342" s="98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8"/>
      <c r="BL342" s="98"/>
      <c r="BM342" s="98"/>
      <c r="BN342" s="98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  <c r="BY342" s="98"/>
      <c r="BZ342" s="98"/>
      <c r="CA342" s="98"/>
      <c r="CB342" s="98"/>
      <c r="CC342" s="98"/>
      <c r="CD342" s="98"/>
      <c r="CE342" s="98"/>
      <c r="CF342" s="98"/>
      <c r="CG342" s="98"/>
      <c r="CH342" s="98"/>
      <c r="CI342" s="98"/>
      <c r="CJ342" s="98"/>
      <c r="CK342" s="98"/>
    </row>
    <row r="343" spans="1:89" ht="15" x14ac:dyDescent="0.2">
      <c r="A343" s="119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98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8"/>
      <c r="BL343" s="98"/>
      <c r="BM343" s="98"/>
      <c r="BN343" s="98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  <c r="BY343" s="98"/>
      <c r="BZ343" s="98"/>
      <c r="CA343" s="98"/>
      <c r="CB343" s="98"/>
      <c r="CC343" s="98"/>
      <c r="CD343" s="98"/>
      <c r="CE343" s="98"/>
      <c r="CF343" s="98"/>
      <c r="CG343" s="98"/>
      <c r="CH343" s="98"/>
      <c r="CI343" s="98"/>
      <c r="CJ343" s="98"/>
      <c r="CK343" s="98"/>
    </row>
    <row r="344" spans="1:89" ht="15" x14ac:dyDescent="0.2">
      <c r="A344" s="119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8"/>
      <c r="BL344" s="98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8"/>
      <c r="CI344" s="98"/>
      <c r="CJ344" s="98"/>
      <c r="CK344" s="98"/>
    </row>
    <row r="345" spans="1:89" ht="15" x14ac:dyDescent="0.2">
      <c r="A345" s="119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</row>
    <row r="346" spans="1:89" ht="15" x14ac:dyDescent="0.2">
      <c r="A346" s="119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8"/>
      <c r="CI346" s="98"/>
      <c r="CJ346" s="98"/>
      <c r="CK346" s="98"/>
    </row>
    <row r="347" spans="1:89" ht="15" x14ac:dyDescent="0.2">
      <c r="A347" s="119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8"/>
      <c r="CI347" s="98"/>
      <c r="CJ347" s="98"/>
      <c r="CK347" s="98"/>
    </row>
    <row r="348" spans="1:89" ht="15" x14ac:dyDescent="0.2">
      <c r="A348" s="119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98"/>
      <c r="AR348" s="98"/>
      <c r="AS348" s="98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  <c r="BY348" s="98"/>
      <c r="BZ348" s="98"/>
      <c r="CA348" s="98"/>
      <c r="CB348" s="98"/>
      <c r="CC348" s="98"/>
      <c r="CD348" s="98"/>
      <c r="CE348" s="98"/>
      <c r="CF348" s="98"/>
      <c r="CG348" s="98"/>
      <c r="CH348" s="98"/>
      <c r="CI348" s="98"/>
      <c r="CJ348" s="98"/>
      <c r="CK348" s="98"/>
    </row>
    <row r="349" spans="1:89" ht="15" x14ac:dyDescent="0.2">
      <c r="A349" s="119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8"/>
      <c r="CI349" s="98"/>
      <c r="CJ349" s="98"/>
      <c r="CK349" s="98"/>
    </row>
    <row r="350" spans="1:89" ht="15" x14ac:dyDescent="0.2">
      <c r="A350" s="119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8"/>
      <c r="BL350" s="98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98"/>
      <c r="CE350" s="98"/>
      <c r="CF350" s="98"/>
      <c r="CG350" s="98"/>
      <c r="CH350" s="98"/>
      <c r="CI350" s="98"/>
      <c r="CJ350" s="98"/>
      <c r="CK350" s="98"/>
    </row>
    <row r="351" spans="1:89" ht="15" x14ac:dyDescent="0.2">
      <c r="A351" s="119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8"/>
      <c r="BL351" s="98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98"/>
      <c r="CE351" s="98"/>
      <c r="CF351" s="98"/>
      <c r="CG351" s="98"/>
      <c r="CH351" s="98"/>
      <c r="CI351" s="98"/>
      <c r="CJ351" s="98"/>
      <c r="CK351" s="98"/>
    </row>
    <row r="352" spans="1:89" ht="15" x14ac:dyDescent="0.2">
      <c r="A352" s="119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8"/>
      <c r="CG352" s="98"/>
      <c r="CH352" s="98"/>
      <c r="CI352" s="98"/>
      <c r="CJ352" s="98"/>
      <c r="CK352" s="98"/>
    </row>
    <row r="353" spans="1:89" ht="15" x14ac:dyDescent="0.2">
      <c r="A353" s="119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8"/>
      <c r="CG353" s="98"/>
      <c r="CH353" s="98"/>
      <c r="CI353" s="98"/>
      <c r="CJ353" s="98"/>
      <c r="CK353" s="98"/>
    </row>
    <row r="354" spans="1:89" ht="15" x14ac:dyDescent="0.2">
      <c r="A354" s="119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8"/>
      <c r="BL354" s="98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98"/>
      <c r="CE354" s="98"/>
      <c r="CF354" s="98"/>
      <c r="CG354" s="98"/>
      <c r="CH354" s="98"/>
      <c r="CI354" s="98"/>
      <c r="CJ354" s="98"/>
      <c r="CK354" s="98"/>
    </row>
    <row r="355" spans="1:89" ht="15" x14ac:dyDescent="0.2">
      <c r="A355" s="119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98"/>
      <c r="CE355" s="98"/>
      <c r="CF355" s="98"/>
      <c r="CG355" s="98"/>
      <c r="CH355" s="98"/>
      <c r="CI355" s="98"/>
      <c r="CJ355" s="98"/>
      <c r="CK355" s="98"/>
    </row>
    <row r="356" spans="1:89" ht="15" x14ac:dyDescent="0.2">
      <c r="A356" s="119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  <c r="AP356" s="98"/>
      <c r="AQ356" s="98"/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/>
      <c r="BS356" s="98"/>
      <c r="BT356" s="98"/>
      <c r="BU356" s="98"/>
      <c r="BV356" s="98"/>
      <c r="BW356" s="98"/>
      <c r="BX356" s="98"/>
      <c r="BY356" s="98"/>
      <c r="BZ356" s="98"/>
      <c r="CA356" s="98"/>
      <c r="CB356" s="98"/>
      <c r="CC356" s="98"/>
      <c r="CD356" s="98"/>
      <c r="CE356" s="98"/>
      <c r="CF356" s="98"/>
      <c r="CG356" s="98"/>
      <c r="CH356" s="98"/>
      <c r="CI356" s="98"/>
      <c r="CJ356" s="98"/>
      <c r="CK356" s="98"/>
    </row>
    <row r="357" spans="1:89" ht="15" x14ac:dyDescent="0.2">
      <c r="A357" s="119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98"/>
      <c r="CE357" s="98"/>
      <c r="CF357" s="98"/>
      <c r="CG357" s="98"/>
      <c r="CH357" s="98"/>
      <c r="CI357" s="98"/>
      <c r="CJ357" s="98"/>
      <c r="CK357" s="98"/>
    </row>
    <row r="358" spans="1:89" ht="15" x14ac:dyDescent="0.2">
      <c r="A358" s="119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8"/>
      <c r="BL358" s="98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98"/>
      <c r="CE358" s="98"/>
      <c r="CF358" s="98"/>
      <c r="CG358" s="98"/>
      <c r="CH358" s="98"/>
      <c r="CI358" s="98"/>
      <c r="CJ358" s="98"/>
      <c r="CK358" s="98"/>
    </row>
    <row r="359" spans="1:89" ht="15" x14ac:dyDescent="0.2">
      <c r="A359" s="119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8"/>
      <c r="BL359" s="98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98"/>
      <c r="CE359" s="98"/>
      <c r="CF359" s="98"/>
      <c r="CG359" s="98"/>
      <c r="CH359" s="98"/>
      <c r="CI359" s="98"/>
      <c r="CJ359" s="98"/>
      <c r="CK359" s="98"/>
    </row>
    <row r="360" spans="1:89" ht="15" x14ac:dyDescent="0.2">
      <c r="A360" s="119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8"/>
      <c r="BL360" s="98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98"/>
      <c r="CE360" s="98"/>
      <c r="CF360" s="98"/>
      <c r="CG360" s="98"/>
      <c r="CH360" s="98"/>
      <c r="CI360" s="98"/>
      <c r="CJ360" s="98"/>
      <c r="CK360" s="98"/>
    </row>
    <row r="361" spans="1:89" ht="15" x14ac:dyDescent="0.2">
      <c r="A361" s="119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8"/>
      <c r="BL361" s="98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98"/>
      <c r="CE361" s="98"/>
      <c r="CF361" s="98"/>
      <c r="CG361" s="98"/>
      <c r="CH361" s="98"/>
      <c r="CI361" s="98"/>
      <c r="CJ361" s="98"/>
      <c r="CK361" s="98"/>
    </row>
    <row r="362" spans="1:89" ht="15" x14ac:dyDescent="0.2">
      <c r="A362" s="119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8"/>
      <c r="BL362" s="98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98"/>
      <c r="CE362" s="98"/>
      <c r="CF362" s="98"/>
      <c r="CG362" s="98"/>
      <c r="CH362" s="98"/>
      <c r="CI362" s="98"/>
      <c r="CJ362" s="98"/>
      <c r="CK362" s="98"/>
    </row>
    <row r="363" spans="1:89" ht="15" x14ac:dyDescent="0.2">
      <c r="A363" s="119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8"/>
      <c r="CI363" s="98"/>
      <c r="CJ363" s="98"/>
      <c r="CK363" s="98"/>
    </row>
    <row r="364" spans="1:89" ht="15" x14ac:dyDescent="0.2">
      <c r="A364" s="119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  <c r="BY364" s="98"/>
      <c r="BZ364" s="98"/>
      <c r="CA364" s="98"/>
      <c r="CB364" s="98"/>
      <c r="CC364" s="98"/>
      <c r="CD364" s="98"/>
      <c r="CE364" s="98"/>
      <c r="CF364" s="98"/>
      <c r="CG364" s="98"/>
      <c r="CH364" s="98"/>
      <c r="CI364" s="98"/>
      <c r="CJ364" s="98"/>
      <c r="CK364" s="98"/>
    </row>
    <row r="365" spans="1:89" ht="15" x14ac:dyDescent="0.2">
      <c r="A365" s="119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8"/>
      <c r="CI365" s="98"/>
      <c r="CJ365" s="98"/>
      <c r="CK365" s="98"/>
    </row>
    <row r="366" spans="1:89" ht="15" x14ac:dyDescent="0.2">
      <c r="A366" s="119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8"/>
      <c r="CI366" s="98"/>
      <c r="CJ366" s="98"/>
      <c r="CK366" s="98"/>
    </row>
    <row r="367" spans="1:89" ht="15" x14ac:dyDescent="0.2">
      <c r="A367" s="119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98"/>
      <c r="AR367" s="98"/>
      <c r="AS367" s="98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8"/>
      <c r="BL367" s="98"/>
      <c r="BM367" s="98"/>
      <c r="BN367" s="98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  <c r="BY367" s="98"/>
      <c r="BZ367" s="98"/>
      <c r="CA367" s="98"/>
      <c r="CB367" s="98"/>
      <c r="CC367" s="98"/>
      <c r="CD367" s="98"/>
      <c r="CE367" s="98"/>
      <c r="CF367" s="98"/>
      <c r="CG367" s="98"/>
      <c r="CH367" s="98"/>
      <c r="CI367" s="98"/>
      <c r="CJ367" s="98"/>
      <c r="CK367" s="98"/>
    </row>
    <row r="368" spans="1:89" ht="15" x14ac:dyDescent="0.2">
      <c r="A368" s="119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  <c r="AP368" s="98"/>
      <c r="AQ368" s="98"/>
      <c r="AR368" s="98"/>
      <c r="AS368" s="98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8"/>
      <c r="BL368" s="98"/>
      <c r="BM368" s="98"/>
      <c r="BN368" s="98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  <c r="BY368" s="98"/>
      <c r="BZ368" s="98"/>
      <c r="CA368" s="98"/>
      <c r="CB368" s="98"/>
      <c r="CC368" s="98"/>
      <c r="CD368" s="98"/>
      <c r="CE368" s="98"/>
      <c r="CF368" s="98"/>
      <c r="CG368" s="98"/>
      <c r="CH368" s="98"/>
      <c r="CI368" s="98"/>
      <c r="CJ368" s="98"/>
      <c r="CK368" s="98"/>
    </row>
    <row r="369" spans="1:89" ht="15" x14ac:dyDescent="0.2">
      <c r="A369" s="119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8"/>
      <c r="BL369" s="98"/>
      <c r="BM369" s="98"/>
      <c r="BN369" s="98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  <c r="BY369" s="98"/>
      <c r="BZ369" s="98"/>
      <c r="CA369" s="98"/>
      <c r="CB369" s="98"/>
      <c r="CC369" s="98"/>
      <c r="CD369" s="98"/>
      <c r="CE369" s="98"/>
      <c r="CF369" s="98"/>
      <c r="CG369" s="98"/>
      <c r="CH369" s="98"/>
      <c r="CI369" s="98"/>
      <c r="CJ369" s="98"/>
      <c r="CK369" s="98"/>
    </row>
    <row r="370" spans="1:89" ht="15" x14ac:dyDescent="0.2">
      <c r="A370" s="119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  <c r="AP370" s="98"/>
      <c r="AQ370" s="98"/>
      <c r="AR370" s="98"/>
      <c r="AS370" s="98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8"/>
      <c r="BL370" s="98"/>
      <c r="BM370" s="98"/>
      <c r="BN370" s="98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  <c r="BY370" s="98"/>
      <c r="BZ370" s="98"/>
      <c r="CA370" s="98"/>
      <c r="CB370" s="98"/>
      <c r="CC370" s="98"/>
      <c r="CD370" s="98"/>
      <c r="CE370" s="98"/>
      <c r="CF370" s="98"/>
      <c r="CG370" s="98"/>
      <c r="CH370" s="98"/>
      <c r="CI370" s="98"/>
      <c r="CJ370" s="98"/>
      <c r="CK370" s="98"/>
    </row>
    <row r="371" spans="1:89" ht="15" x14ac:dyDescent="0.2">
      <c r="A371" s="119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8"/>
      <c r="BL371" s="98"/>
      <c r="BM371" s="98"/>
      <c r="BN371" s="98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  <c r="BY371" s="98"/>
      <c r="BZ371" s="98"/>
      <c r="CA371" s="98"/>
      <c r="CB371" s="98"/>
      <c r="CC371" s="98"/>
      <c r="CD371" s="98"/>
      <c r="CE371" s="98"/>
      <c r="CF371" s="98"/>
      <c r="CG371" s="98"/>
      <c r="CH371" s="98"/>
      <c r="CI371" s="98"/>
      <c r="CJ371" s="98"/>
      <c r="CK371" s="98"/>
    </row>
    <row r="372" spans="1:89" ht="15" x14ac:dyDescent="0.2">
      <c r="A372" s="119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  <c r="AP372" s="98"/>
      <c r="AQ372" s="98"/>
      <c r="AR372" s="98"/>
      <c r="AS372" s="98"/>
      <c r="AT372" s="98"/>
      <c r="AU372" s="98"/>
      <c r="AV372" s="98"/>
      <c r="AW372" s="98"/>
      <c r="AX372" s="98"/>
      <c r="AY372" s="98"/>
      <c r="AZ372" s="98"/>
      <c r="BA372" s="98"/>
      <c r="BB372" s="98"/>
      <c r="BC372" s="98"/>
      <c r="BD372" s="98"/>
      <c r="BE372" s="98"/>
      <c r="BF372" s="98"/>
      <c r="BG372" s="98"/>
      <c r="BH372" s="98"/>
      <c r="BI372" s="98"/>
      <c r="BJ372" s="98"/>
      <c r="BK372" s="98"/>
      <c r="BL372" s="98"/>
      <c r="BM372" s="98"/>
      <c r="BN372" s="98"/>
      <c r="BO372" s="98"/>
      <c r="BP372" s="98"/>
      <c r="BQ372" s="98"/>
      <c r="BR372" s="98"/>
      <c r="BS372" s="98"/>
      <c r="BT372" s="98"/>
      <c r="BU372" s="98"/>
      <c r="BV372" s="98"/>
      <c r="BW372" s="98"/>
      <c r="BX372" s="98"/>
      <c r="BY372" s="98"/>
      <c r="BZ372" s="98"/>
      <c r="CA372" s="98"/>
      <c r="CB372" s="98"/>
      <c r="CC372" s="98"/>
      <c r="CD372" s="98"/>
      <c r="CE372" s="98"/>
      <c r="CF372" s="98"/>
      <c r="CG372" s="98"/>
      <c r="CH372" s="98"/>
      <c r="CI372" s="98"/>
      <c r="CJ372" s="98"/>
      <c r="CK372" s="98"/>
    </row>
    <row r="373" spans="1:89" ht="15" x14ac:dyDescent="0.2">
      <c r="A373" s="119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  <c r="AP373" s="98"/>
      <c r="AQ373" s="98"/>
      <c r="AR373" s="98"/>
      <c r="AS373" s="98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8"/>
      <c r="BL373" s="98"/>
      <c r="BM373" s="98"/>
      <c r="BN373" s="98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  <c r="BY373" s="98"/>
      <c r="BZ373" s="98"/>
      <c r="CA373" s="98"/>
      <c r="CB373" s="98"/>
      <c r="CC373" s="98"/>
      <c r="CD373" s="98"/>
      <c r="CE373" s="98"/>
      <c r="CF373" s="98"/>
      <c r="CG373" s="98"/>
      <c r="CH373" s="98"/>
      <c r="CI373" s="98"/>
      <c r="CJ373" s="98"/>
      <c r="CK373" s="98"/>
    </row>
    <row r="374" spans="1:89" ht="15" x14ac:dyDescent="0.2">
      <c r="A374" s="119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  <c r="AP374" s="98"/>
      <c r="AQ374" s="98"/>
      <c r="AR374" s="98"/>
      <c r="AS374" s="98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8"/>
      <c r="BL374" s="98"/>
      <c r="BM374" s="98"/>
      <c r="BN374" s="98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  <c r="BY374" s="98"/>
      <c r="BZ374" s="98"/>
      <c r="CA374" s="98"/>
      <c r="CB374" s="98"/>
      <c r="CC374" s="98"/>
      <c r="CD374" s="98"/>
      <c r="CE374" s="98"/>
      <c r="CF374" s="98"/>
      <c r="CG374" s="98"/>
      <c r="CH374" s="98"/>
      <c r="CI374" s="98"/>
      <c r="CJ374" s="98"/>
      <c r="CK374" s="98"/>
    </row>
    <row r="375" spans="1:89" ht="15" x14ac:dyDescent="0.2">
      <c r="A375" s="119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8"/>
      <c r="BL375" s="98"/>
      <c r="BM375" s="98"/>
      <c r="BN375" s="98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  <c r="BY375" s="98"/>
      <c r="BZ375" s="98"/>
      <c r="CA375" s="98"/>
      <c r="CB375" s="98"/>
      <c r="CC375" s="98"/>
      <c r="CD375" s="98"/>
      <c r="CE375" s="98"/>
      <c r="CF375" s="98"/>
      <c r="CG375" s="98"/>
      <c r="CH375" s="98"/>
      <c r="CI375" s="98"/>
      <c r="CJ375" s="98"/>
      <c r="CK375" s="98"/>
    </row>
    <row r="376" spans="1:89" ht="15" x14ac:dyDescent="0.2">
      <c r="A376" s="119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8"/>
      <c r="BL376" s="98"/>
      <c r="BM376" s="98"/>
      <c r="BN376" s="98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  <c r="BY376" s="98"/>
      <c r="BZ376" s="98"/>
      <c r="CA376" s="98"/>
      <c r="CB376" s="98"/>
      <c r="CC376" s="98"/>
      <c r="CD376" s="98"/>
      <c r="CE376" s="98"/>
      <c r="CF376" s="98"/>
      <c r="CG376" s="98"/>
      <c r="CH376" s="98"/>
      <c r="CI376" s="98"/>
      <c r="CJ376" s="98"/>
      <c r="CK376" s="98"/>
    </row>
    <row r="377" spans="1:89" ht="15" x14ac:dyDescent="0.2">
      <c r="A377" s="119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8"/>
      <c r="AR377" s="98"/>
      <c r="AS377" s="98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8"/>
      <c r="BL377" s="98"/>
      <c r="BM377" s="98"/>
      <c r="BN377" s="98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  <c r="BY377" s="98"/>
      <c r="BZ377" s="98"/>
      <c r="CA377" s="98"/>
      <c r="CB377" s="98"/>
      <c r="CC377" s="98"/>
      <c r="CD377" s="98"/>
      <c r="CE377" s="98"/>
      <c r="CF377" s="98"/>
      <c r="CG377" s="98"/>
      <c r="CH377" s="98"/>
      <c r="CI377" s="98"/>
      <c r="CJ377" s="98"/>
      <c r="CK377" s="98"/>
    </row>
    <row r="378" spans="1:89" ht="15" x14ac:dyDescent="0.2">
      <c r="A378" s="119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8"/>
      <c r="AR378" s="98"/>
      <c r="AS378" s="98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8"/>
      <c r="BL378" s="98"/>
      <c r="BM378" s="98"/>
      <c r="BN378" s="98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  <c r="BY378" s="98"/>
      <c r="BZ378" s="98"/>
      <c r="CA378" s="98"/>
      <c r="CB378" s="98"/>
      <c r="CC378" s="98"/>
      <c r="CD378" s="98"/>
      <c r="CE378" s="98"/>
      <c r="CF378" s="98"/>
      <c r="CG378" s="98"/>
      <c r="CH378" s="98"/>
      <c r="CI378" s="98"/>
      <c r="CJ378" s="98"/>
      <c r="CK378" s="98"/>
    </row>
    <row r="379" spans="1:89" ht="15" x14ac:dyDescent="0.2">
      <c r="A379" s="119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8"/>
      <c r="AR379" s="98"/>
      <c r="AS379" s="98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8"/>
      <c r="BL379" s="98"/>
      <c r="BM379" s="98"/>
      <c r="BN379" s="98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  <c r="BY379" s="98"/>
      <c r="BZ379" s="98"/>
      <c r="CA379" s="98"/>
      <c r="CB379" s="98"/>
      <c r="CC379" s="98"/>
      <c r="CD379" s="98"/>
      <c r="CE379" s="98"/>
      <c r="CF379" s="98"/>
      <c r="CG379" s="98"/>
      <c r="CH379" s="98"/>
      <c r="CI379" s="98"/>
      <c r="CJ379" s="98"/>
      <c r="CK379" s="98"/>
    </row>
    <row r="380" spans="1:89" ht="15" x14ac:dyDescent="0.2">
      <c r="A380" s="119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8"/>
      <c r="AR380" s="98"/>
      <c r="AS380" s="98"/>
      <c r="AT380" s="98"/>
      <c r="AU380" s="98"/>
      <c r="AV380" s="98"/>
      <c r="AW380" s="98"/>
      <c r="AX380" s="98"/>
      <c r="AY380" s="98"/>
      <c r="AZ380" s="98"/>
      <c r="BA380" s="98"/>
      <c r="BB380" s="98"/>
      <c r="BC380" s="98"/>
      <c r="BD380" s="98"/>
      <c r="BE380" s="98"/>
      <c r="BF380" s="98"/>
      <c r="BG380" s="98"/>
      <c r="BH380" s="98"/>
      <c r="BI380" s="98"/>
      <c r="BJ380" s="98"/>
      <c r="BK380" s="98"/>
      <c r="BL380" s="98"/>
      <c r="BM380" s="98"/>
      <c r="BN380" s="98"/>
      <c r="BO380" s="98"/>
      <c r="BP380" s="98"/>
      <c r="BQ380" s="98"/>
      <c r="BR380" s="98"/>
      <c r="BS380" s="98"/>
      <c r="BT380" s="98"/>
      <c r="BU380" s="98"/>
      <c r="BV380" s="98"/>
      <c r="BW380" s="98"/>
      <c r="BX380" s="98"/>
      <c r="BY380" s="98"/>
      <c r="BZ380" s="98"/>
      <c r="CA380" s="98"/>
      <c r="CB380" s="98"/>
      <c r="CC380" s="98"/>
      <c r="CD380" s="98"/>
      <c r="CE380" s="98"/>
      <c r="CF380" s="98"/>
      <c r="CG380" s="98"/>
      <c r="CH380" s="98"/>
      <c r="CI380" s="98"/>
      <c r="CJ380" s="98"/>
      <c r="CK380" s="98"/>
    </row>
    <row r="381" spans="1:89" ht="15" x14ac:dyDescent="0.2">
      <c r="A381" s="119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8"/>
      <c r="BL381" s="98"/>
      <c r="BM381" s="98"/>
      <c r="BN381" s="98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  <c r="BY381" s="98"/>
      <c r="BZ381" s="98"/>
      <c r="CA381" s="98"/>
      <c r="CB381" s="98"/>
      <c r="CC381" s="98"/>
      <c r="CD381" s="98"/>
      <c r="CE381" s="98"/>
      <c r="CF381" s="98"/>
      <c r="CG381" s="98"/>
      <c r="CH381" s="98"/>
      <c r="CI381" s="98"/>
      <c r="CJ381" s="98"/>
      <c r="CK381" s="98"/>
    </row>
    <row r="382" spans="1:89" ht="15" x14ac:dyDescent="0.2">
      <c r="A382" s="119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8"/>
      <c r="AR382" s="98"/>
      <c r="AS382" s="98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8"/>
      <c r="BL382" s="98"/>
      <c r="BM382" s="98"/>
      <c r="BN382" s="98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  <c r="BY382" s="98"/>
      <c r="BZ382" s="98"/>
      <c r="CA382" s="98"/>
      <c r="CB382" s="98"/>
      <c r="CC382" s="98"/>
      <c r="CD382" s="98"/>
      <c r="CE382" s="98"/>
      <c r="CF382" s="98"/>
      <c r="CG382" s="98"/>
      <c r="CH382" s="98"/>
      <c r="CI382" s="98"/>
      <c r="CJ382" s="98"/>
      <c r="CK382" s="98"/>
    </row>
    <row r="383" spans="1:89" ht="15" x14ac:dyDescent="0.2">
      <c r="A383" s="119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8"/>
      <c r="AR383" s="98"/>
      <c r="AS383" s="98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8"/>
      <c r="BL383" s="98"/>
      <c r="BM383" s="98"/>
      <c r="BN383" s="98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  <c r="BY383" s="98"/>
      <c r="BZ383" s="98"/>
      <c r="CA383" s="98"/>
      <c r="CB383" s="98"/>
      <c r="CC383" s="98"/>
      <c r="CD383" s="98"/>
      <c r="CE383" s="98"/>
      <c r="CF383" s="98"/>
      <c r="CG383" s="98"/>
      <c r="CH383" s="98"/>
      <c r="CI383" s="98"/>
      <c r="CJ383" s="98"/>
      <c r="CK383" s="98"/>
    </row>
    <row r="384" spans="1:89" ht="15" x14ac:dyDescent="0.2">
      <c r="A384" s="119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  <c r="AP384" s="98"/>
      <c r="AQ384" s="98"/>
      <c r="AR384" s="98"/>
      <c r="AS384" s="98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8"/>
      <c r="BL384" s="98"/>
      <c r="BM384" s="98"/>
      <c r="BN384" s="98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  <c r="BY384" s="98"/>
      <c r="BZ384" s="98"/>
      <c r="CA384" s="98"/>
      <c r="CB384" s="98"/>
      <c r="CC384" s="98"/>
      <c r="CD384" s="98"/>
      <c r="CE384" s="98"/>
      <c r="CF384" s="98"/>
      <c r="CG384" s="98"/>
      <c r="CH384" s="98"/>
      <c r="CI384" s="98"/>
      <c r="CJ384" s="98"/>
      <c r="CK384" s="98"/>
    </row>
    <row r="385" spans="1:89" ht="15" x14ac:dyDescent="0.2">
      <c r="A385" s="119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8"/>
      <c r="AR385" s="98"/>
      <c r="AS385" s="98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8"/>
      <c r="BL385" s="98"/>
      <c r="BM385" s="98"/>
      <c r="BN385" s="98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  <c r="BY385" s="98"/>
      <c r="BZ385" s="98"/>
      <c r="CA385" s="98"/>
      <c r="CB385" s="98"/>
      <c r="CC385" s="98"/>
      <c r="CD385" s="98"/>
      <c r="CE385" s="98"/>
      <c r="CF385" s="98"/>
      <c r="CG385" s="98"/>
      <c r="CH385" s="98"/>
      <c r="CI385" s="98"/>
      <c r="CJ385" s="98"/>
      <c r="CK385" s="98"/>
    </row>
    <row r="386" spans="1:89" ht="15" x14ac:dyDescent="0.2">
      <c r="A386" s="119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8"/>
      <c r="AR386" s="98"/>
      <c r="AS386" s="98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8"/>
      <c r="BL386" s="98"/>
      <c r="BM386" s="98"/>
      <c r="BN386" s="98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  <c r="BY386" s="98"/>
      <c r="BZ386" s="98"/>
      <c r="CA386" s="98"/>
      <c r="CB386" s="98"/>
      <c r="CC386" s="98"/>
      <c r="CD386" s="98"/>
      <c r="CE386" s="98"/>
      <c r="CF386" s="98"/>
      <c r="CG386" s="98"/>
      <c r="CH386" s="98"/>
      <c r="CI386" s="98"/>
      <c r="CJ386" s="98"/>
      <c r="CK386" s="98"/>
    </row>
    <row r="387" spans="1:89" ht="15" x14ac:dyDescent="0.2">
      <c r="A387" s="119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8"/>
      <c r="BL387" s="98"/>
      <c r="BM387" s="98"/>
      <c r="BN387" s="98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  <c r="BY387" s="98"/>
      <c r="BZ387" s="98"/>
      <c r="CA387" s="98"/>
      <c r="CB387" s="98"/>
      <c r="CC387" s="98"/>
      <c r="CD387" s="98"/>
      <c r="CE387" s="98"/>
      <c r="CF387" s="98"/>
      <c r="CG387" s="98"/>
      <c r="CH387" s="98"/>
      <c r="CI387" s="98"/>
      <c r="CJ387" s="98"/>
      <c r="CK387" s="98"/>
    </row>
    <row r="388" spans="1:89" ht="15" x14ac:dyDescent="0.2">
      <c r="A388" s="119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  <c r="AP388" s="98"/>
      <c r="AQ388" s="98"/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98"/>
      <c r="BC388" s="98"/>
      <c r="BD388" s="98"/>
      <c r="BE388" s="98"/>
      <c r="BF388" s="98"/>
      <c r="BG388" s="98"/>
      <c r="BH388" s="98"/>
      <c r="BI388" s="98"/>
      <c r="BJ388" s="98"/>
      <c r="BK388" s="98"/>
      <c r="BL388" s="98"/>
      <c r="BM388" s="98"/>
      <c r="BN388" s="98"/>
      <c r="BO388" s="98"/>
      <c r="BP388" s="98"/>
      <c r="BQ388" s="98"/>
      <c r="BR388" s="98"/>
      <c r="BS388" s="98"/>
      <c r="BT388" s="98"/>
      <c r="BU388" s="98"/>
      <c r="BV388" s="98"/>
      <c r="BW388" s="98"/>
      <c r="BX388" s="98"/>
      <c r="BY388" s="98"/>
      <c r="BZ388" s="98"/>
      <c r="CA388" s="98"/>
      <c r="CB388" s="98"/>
      <c r="CC388" s="98"/>
      <c r="CD388" s="98"/>
      <c r="CE388" s="98"/>
      <c r="CF388" s="98"/>
      <c r="CG388" s="98"/>
      <c r="CH388" s="98"/>
      <c r="CI388" s="98"/>
      <c r="CJ388" s="98"/>
      <c r="CK388" s="98"/>
    </row>
    <row r="389" spans="1:89" ht="15" x14ac:dyDescent="0.2">
      <c r="A389" s="119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  <c r="AP389" s="98"/>
      <c r="AQ389" s="98"/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8"/>
      <c r="BL389" s="98"/>
      <c r="BM389" s="98"/>
      <c r="BN389" s="98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  <c r="BY389" s="98"/>
      <c r="BZ389" s="98"/>
      <c r="CA389" s="98"/>
      <c r="CB389" s="98"/>
      <c r="CC389" s="98"/>
      <c r="CD389" s="98"/>
      <c r="CE389" s="98"/>
      <c r="CF389" s="98"/>
      <c r="CG389" s="98"/>
      <c r="CH389" s="98"/>
      <c r="CI389" s="98"/>
      <c r="CJ389" s="98"/>
      <c r="CK389" s="98"/>
    </row>
    <row r="390" spans="1:89" ht="15" x14ac:dyDescent="0.2">
      <c r="A390" s="119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  <c r="AP390" s="98"/>
      <c r="AQ390" s="98"/>
      <c r="AR390" s="98"/>
      <c r="AS390" s="98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8"/>
      <c r="BL390" s="98"/>
      <c r="BM390" s="98"/>
      <c r="BN390" s="98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  <c r="BY390" s="98"/>
      <c r="BZ390" s="98"/>
      <c r="CA390" s="98"/>
      <c r="CB390" s="98"/>
      <c r="CC390" s="98"/>
      <c r="CD390" s="98"/>
      <c r="CE390" s="98"/>
      <c r="CF390" s="98"/>
      <c r="CG390" s="98"/>
      <c r="CH390" s="98"/>
      <c r="CI390" s="98"/>
      <c r="CJ390" s="98"/>
      <c r="CK390" s="98"/>
    </row>
    <row r="391" spans="1:89" ht="15" x14ac:dyDescent="0.2">
      <c r="A391" s="119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  <c r="AP391" s="98"/>
      <c r="AQ391" s="98"/>
      <c r="AR391" s="98"/>
      <c r="AS391" s="98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8"/>
      <c r="BL391" s="98"/>
      <c r="BM391" s="98"/>
      <c r="BN391" s="98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  <c r="BY391" s="98"/>
      <c r="BZ391" s="98"/>
      <c r="CA391" s="98"/>
      <c r="CB391" s="98"/>
      <c r="CC391" s="98"/>
      <c r="CD391" s="98"/>
      <c r="CE391" s="98"/>
      <c r="CF391" s="98"/>
      <c r="CG391" s="98"/>
      <c r="CH391" s="98"/>
      <c r="CI391" s="98"/>
      <c r="CJ391" s="98"/>
      <c r="CK391" s="98"/>
    </row>
    <row r="392" spans="1:89" ht="15" x14ac:dyDescent="0.2">
      <c r="A392" s="119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8"/>
      <c r="BL392" s="98"/>
      <c r="BM392" s="98"/>
      <c r="BN392" s="98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  <c r="BY392" s="98"/>
      <c r="BZ392" s="98"/>
      <c r="CA392" s="98"/>
      <c r="CB392" s="98"/>
      <c r="CC392" s="98"/>
      <c r="CD392" s="98"/>
      <c r="CE392" s="98"/>
      <c r="CF392" s="98"/>
      <c r="CG392" s="98"/>
      <c r="CH392" s="98"/>
      <c r="CI392" s="98"/>
      <c r="CJ392" s="98"/>
      <c r="CK392" s="98"/>
    </row>
    <row r="393" spans="1:89" ht="15" x14ac:dyDescent="0.2">
      <c r="A393" s="119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  <c r="AP393" s="98"/>
      <c r="AQ393" s="98"/>
      <c r="AR393" s="98"/>
      <c r="AS393" s="98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8"/>
      <c r="BL393" s="98"/>
      <c r="BM393" s="98"/>
      <c r="BN393" s="98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  <c r="BY393" s="98"/>
      <c r="BZ393" s="98"/>
      <c r="CA393" s="98"/>
      <c r="CB393" s="98"/>
      <c r="CC393" s="98"/>
      <c r="CD393" s="98"/>
      <c r="CE393" s="98"/>
      <c r="CF393" s="98"/>
      <c r="CG393" s="98"/>
      <c r="CH393" s="98"/>
      <c r="CI393" s="98"/>
      <c r="CJ393" s="98"/>
      <c r="CK393" s="98"/>
    </row>
    <row r="394" spans="1:89" ht="15" x14ac:dyDescent="0.2">
      <c r="A394" s="119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  <c r="AP394" s="98"/>
      <c r="AQ394" s="98"/>
      <c r="AR394" s="98"/>
      <c r="AS394" s="98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8"/>
      <c r="BL394" s="98"/>
      <c r="BM394" s="98"/>
      <c r="BN394" s="98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  <c r="BY394" s="98"/>
      <c r="BZ394" s="98"/>
      <c r="CA394" s="98"/>
      <c r="CB394" s="98"/>
      <c r="CC394" s="98"/>
      <c r="CD394" s="98"/>
      <c r="CE394" s="98"/>
      <c r="CF394" s="98"/>
      <c r="CG394" s="98"/>
      <c r="CH394" s="98"/>
      <c r="CI394" s="98"/>
      <c r="CJ394" s="98"/>
      <c r="CK394" s="98"/>
    </row>
    <row r="395" spans="1:89" ht="15" x14ac:dyDescent="0.2">
      <c r="A395" s="119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  <c r="AP395" s="98"/>
      <c r="AQ395" s="98"/>
      <c r="AR395" s="98"/>
      <c r="AS395" s="98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8"/>
      <c r="BL395" s="98"/>
      <c r="BM395" s="98"/>
      <c r="BN395" s="98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  <c r="BY395" s="98"/>
      <c r="BZ395" s="98"/>
      <c r="CA395" s="98"/>
      <c r="CB395" s="98"/>
      <c r="CC395" s="98"/>
      <c r="CD395" s="98"/>
      <c r="CE395" s="98"/>
      <c r="CF395" s="98"/>
      <c r="CG395" s="98"/>
      <c r="CH395" s="98"/>
      <c r="CI395" s="98"/>
      <c r="CJ395" s="98"/>
      <c r="CK395" s="98"/>
    </row>
    <row r="396" spans="1:89" ht="15" x14ac:dyDescent="0.2">
      <c r="A396" s="119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  <c r="AP396" s="98"/>
      <c r="AQ396" s="98"/>
      <c r="AR396" s="98"/>
      <c r="AS396" s="98"/>
      <c r="AT396" s="98"/>
      <c r="AU396" s="98"/>
      <c r="AV396" s="98"/>
      <c r="AW396" s="98"/>
      <c r="AX396" s="98"/>
      <c r="AY396" s="98"/>
      <c r="AZ396" s="98"/>
      <c r="BA396" s="98"/>
      <c r="BB396" s="98"/>
      <c r="BC396" s="98"/>
      <c r="BD396" s="98"/>
      <c r="BE396" s="98"/>
      <c r="BF396" s="98"/>
      <c r="BG396" s="98"/>
      <c r="BH396" s="98"/>
      <c r="BI396" s="98"/>
      <c r="BJ396" s="98"/>
      <c r="BK396" s="98"/>
      <c r="BL396" s="98"/>
      <c r="BM396" s="98"/>
      <c r="BN396" s="98"/>
      <c r="BO396" s="98"/>
      <c r="BP396" s="98"/>
      <c r="BQ396" s="98"/>
      <c r="BR396" s="98"/>
      <c r="BS396" s="98"/>
      <c r="BT396" s="98"/>
      <c r="BU396" s="98"/>
      <c r="BV396" s="98"/>
      <c r="BW396" s="98"/>
      <c r="BX396" s="98"/>
      <c r="BY396" s="98"/>
      <c r="BZ396" s="98"/>
      <c r="CA396" s="98"/>
      <c r="CB396" s="98"/>
      <c r="CC396" s="98"/>
      <c r="CD396" s="98"/>
      <c r="CE396" s="98"/>
      <c r="CF396" s="98"/>
      <c r="CG396" s="98"/>
      <c r="CH396" s="98"/>
      <c r="CI396" s="98"/>
      <c r="CJ396" s="98"/>
      <c r="CK396" s="98"/>
    </row>
    <row r="397" spans="1:89" ht="15" x14ac:dyDescent="0.2">
      <c r="A397" s="119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  <c r="AP397" s="98"/>
      <c r="AQ397" s="98"/>
      <c r="AR397" s="98"/>
      <c r="AS397" s="98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8"/>
      <c r="BL397" s="98"/>
      <c r="BM397" s="98"/>
      <c r="BN397" s="98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  <c r="BY397" s="98"/>
      <c r="BZ397" s="98"/>
      <c r="CA397" s="98"/>
      <c r="CB397" s="98"/>
      <c r="CC397" s="98"/>
      <c r="CD397" s="98"/>
      <c r="CE397" s="98"/>
      <c r="CF397" s="98"/>
      <c r="CG397" s="98"/>
      <c r="CH397" s="98"/>
      <c r="CI397" s="98"/>
      <c r="CJ397" s="98"/>
      <c r="CK397" s="98"/>
    </row>
    <row r="398" spans="1:89" ht="15" x14ac:dyDescent="0.2">
      <c r="A398" s="119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8"/>
      <c r="BL398" s="98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  <c r="BY398" s="98"/>
      <c r="BZ398" s="98"/>
      <c r="CA398" s="98"/>
      <c r="CB398" s="98"/>
      <c r="CC398" s="98"/>
      <c r="CD398" s="98"/>
      <c r="CE398" s="98"/>
      <c r="CF398" s="98"/>
      <c r="CG398" s="98"/>
      <c r="CH398" s="98"/>
      <c r="CI398" s="98"/>
      <c r="CJ398" s="98"/>
      <c r="CK398" s="98"/>
    </row>
    <row r="399" spans="1:89" ht="15" x14ac:dyDescent="0.2">
      <c r="A399" s="119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8"/>
      <c r="BL399" s="98"/>
      <c r="BM399" s="98"/>
      <c r="BN399" s="98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  <c r="BY399" s="98"/>
      <c r="BZ399" s="98"/>
      <c r="CA399" s="98"/>
      <c r="CB399" s="98"/>
      <c r="CC399" s="98"/>
      <c r="CD399" s="98"/>
      <c r="CE399" s="98"/>
      <c r="CF399" s="98"/>
      <c r="CG399" s="98"/>
      <c r="CH399" s="98"/>
      <c r="CI399" s="98"/>
      <c r="CJ399" s="98"/>
      <c r="CK399" s="98"/>
    </row>
    <row r="400" spans="1:89" ht="15" x14ac:dyDescent="0.2">
      <c r="A400" s="119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  <c r="AP400" s="98"/>
      <c r="AQ400" s="98"/>
      <c r="AR400" s="98"/>
      <c r="AS400" s="98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8"/>
      <c r="BL400" s="98"/>
      <c r="BM400" s="98"/>
      <c r="BN400" s="98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  <c r="BY400" s="98"/>
      <c r="BZ400" s="98"/>
      <c r="CA400" s="98"/>
      <c r="CB400" s="98"/>
      <c r="CC400" s="98"/>
      <c r="CD400" s="98"/>
      <c r="CE400" s="98"/>
      <c r="CF400" s="98"/>
      <c r="CG400" s="98"/>
      <c r="CH400" s="98"/>
      <c r="CI400" s="98"/>
      <c r="CJ400" s="98"/>
      <c r="CK400" s="98"/>
    </row>
    <row r="401" spans="1:89" ht="15" x14ac:dyDescent="0.2">
      <c r="A401" s="119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  <c r="AP401" s="98"/>
      <c r="AQ401" s="98"/>
      <c r="AR401" s="98"/>
      <c r="AS401" s="98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8"/>
      <c r="BL401" s="98"/>
      <c r="BM401" s="98"/>
      <c r="BN401" s="98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  <c r="BY401" s="98"/>
      <c r="BZ401" s="98"/>
      <c r="CA401" s="98"/>
      <c r="CB401" s="98"/>
      <c r="CC401" s="98"/>
      <c r="CD401" s="98"/>
      <c r="CE401" s="98"/>
      <c r="CF401" s="98"/>
      <c r="CG401" s="98"/>
      <c r="CH401" s="98"/>
      <c r="CI401" s="98"/>
      <c r="CJ401" s="98"/>
      <c r="CK401" s="98"/>
    </row>
    <row r="402" spans="1:89" ht="15" x14ac:dyDescent="0.2">
      <c r="A402" s="119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  <c r="AP402" s="98"/>
      <c r="AQ402" s="98"/>
      <c r="AR402" s="98"/>
      <c r="AS402" s="98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8"/>
      <c r="BL402" s="98"/>
      <c r="BM402" s="98"/>
      <c r="BN402" s="98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  <c r="BY402" s="98"/>
      <c r="BZ402" s="98"/>
      <c r="CA402" s="98"/>
      <c r="CB402" s="98"/>
      <c r="CC402" s="98"/>
      <c r="CD402" s="98"/>
      <c r="CE402" s="98"/>
      <c r="CF402" s="98"/>
      <c r="CG402" s="98"/>
      <c r="CH402" s="98"/>
      <c r="CI402" s="98"/>
      <c r="CJ402" s="98"/>
      <c r="CK402" s="98"/>
    </row>
    <row r="403" spans="1:89" ht="15" x14ac:dyDescent="0.2">
      <c r="A403" s="119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  <c r="AP403" s="98"/>
      <c r="AQ403" s="98"/>
      <c r="AR403" s="98"/>
      <c r="AS403" s="98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8"/>
      <c r="BL403" s="98"/>
      <c r="BM403" s="98"/>
      <c r="BN403" s="98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  <c r="BY403" s="98"/>
      <c r="BZ403" s="98"/>
      <c r="CA403" s="98"/>
      <c r="CB403" s="98"/>
      <c r="CC403" s="98"/>
      <c r="CD403" s="98"/>
      <c r="CE403" s="98"/>
      <c r="CF403" s="98"/>
      <c r="CG403" s="98"/>
      <c r="CH403" s="98"/>
      <c r="CI403" s="98"/>
      <c r="CJ403" s="98"/>
      <c r="CK403" s="98"/>
    </row>
    <row r="404" spans="1:89" ht="15" x14ac:dyDescent="0.2">
      <c r="A404" s="119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  <c r="AP404" s="98"/>
      <c r="AQ404" s="98"/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98"/>
      <c r="BC404" s="98"/>
      <c r="BD404" s="98"/>
      <c r="BE404" s="98"/>
      <c r="BF404" s="98"/>
      <c r="BG404" s="98"/>
      <c r="BH404" s="98"/>
      <c r="BI404" s="98"/>
      <c r="BJ404" s="98"/>
      <c r="BK404" s="98"/>
      <c r="BL404" s="98"/>
      <c r="BM404" s="98"/>
      <c r="BN404" s="98"/>
      <c r="BO404" s="98"/>
      <c r="BP404" s="98"/>
      <c r="BQ404" s="98"/>
      <c r="BR404" s="98"/>
      <c r="BS404" s="98"/>
      <c r="BT404" s="98"/>
      <c r="BU404" s="98"/>
      <c r="BV404" s="98"/>
      <c r="BW404" s="98"/>
      <c r="BX404" s="98"/>
      <c r="BY404" s="98"/>
      <c r="BZ404" s="98"/>
      <c r="CA404" s="98"/>
      <c r="CB404" s="98"/>
      <c r="CC404" s="98"/>
      <c r="CD404" s="98"/>
      <c r="CE404" s="98"/>
      <c r="CF404" s="98"/>
      <c r="CG404" s="98"/>
      <c r="CH404" s="98"/>
      <c r="CI404" s="98"/>
      <c r="CJ404" s="98"/>
      <c r="CK404" s="98"/>
    </row>
    <row r="405" spans="1:89" ht="15" x14ac:dyDescent="0.2">
      <c r="A405" s="119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8"/>
      <c r="BL405" s="98"/>
      <c r="BM405" s="98"/>
      <c r="BN405" s="98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  <c r="BY405" s="98"/>
      <c r="BZ405" s="98"/>
      <c r="CA405" s="98"/>
      <c r="CB405" s="98"/>
      <c r="CC405" s="98"/>
      <c r="CD405" s="98"/>
      <c r="CE405" s="98"/>
      <c r="CF405" s="98"/>
      <c r="CG405" s="98"/>
      <c r="CH405" s="98"/>
      <c r="CI405" s="98"/>
      <c r="CJ405" s="98"/>
      <c r="CK405" s="98"/>
    </row>
    <row r="406" spans="1:89" ht="15" x14ac:dyDescent="0.2">
      <c r="A406" s="119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  <c r="AP406" s="98"/>
      <c r="AQ406" s="98"/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8"/>
      <c r="BL406" s="98"/>
      <c r="BM406" s="98"/>
      <c r="BN406" s="98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  <c r="BY406" s="98"/>
      <c r="BZ406" s="98"/>
      <c r="CA406" s="98"/>
      <c r="CB406" s="98"/>
      <c r="CC406" s="98"/>
      <c r="CD406" s="98"/>
      <c r="CE406" s="98"/>
      <c r="CF406" s="98"/>
      <c r="CG406" s="98"/>
      <c r="CH406" s="98"/>
      <c r="CI406" s="98"/>
      <c r="CJ406" s="98"/>
      <c r="CK406" s="98"/>
    </row>
    <row r="407" spans="1:89" ht="15" x14ac:dyDescent="0.2">
      <c r="A407" s="119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8"/>
      <c r="BL407" s="98"/>
      <c r="BM407" s="98"/>
      <c r="BN407" s="98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  <c r="BY407" s="98"/>
      <c r="BZ407" s="98"/>
      <c r="CA407" s="98"/>
      <c r="CB407" s="98"/>
      <c r="CC407" s="98"/>
      <c r="CD407" s="98"/>
      <c r="CE407" s="98"/>
      <c r="CF407" s="98"/>
      <c r="CG407" s="98"/>
      <c r="CH407" s="98"/>
      <c r="CI407" s="98"/>
      <c r="CJ407" s="98"/>
      <c r="CK407" s="98"/>
    </row>
    <row r="408" spans="1:89" ht="15" x14ac:dyDescent="0.2">
      <c r="A408" s="119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  <c r="AP408" s="98"/>
      <c r="AQ408" s="98"/>
      <c r="AR408" s="98"/>
      <c r="AS408" s="98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8"/>
      <c r="BL408" s="98"/>
      <c r="BM408" s="98"/>
      <c r="BN408" s="98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  <c r="BY408" s="98"/>
      <c r="BZ408" s="98"/>
      <c r="CA408" s="98"/>
      <c r="CB408" s="98"/>
      <c r="CC408" s="98"/>
      <c r="CD408" s="98"/>
      <c r="CE408" s="98"/>
      <c r="CF408" s="98"/>
      <c r="CG408" s="98"/>
      <c r="CH408" s="98"/>
      <c r="CI408" s="98"/>
      <c r="CJ408" s="98"/>
      <c r="CK408" s="98"/>
    </row>
    <row r="409" spans="1:89" ht="15" x14ac:dyDescent="0.2">
      <c r="A409" s="119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  <c r="AP409" s="98"/>
      <c r="AQ409" s="98"/>
      <c r="AR409" s="98"/>
      <c r="AS409" s="98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8"/>
      <c r="BL409" s="98"/>
      <c r="BM409" s="98"/>
      <c r="BN409" s="98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  <c r="BY409" s="98"/>
      <c r="BZ409" s="98"/>
      <c r="CA409" s="98"/>
      <c r="CB409" s="98"/>
      <c r="CC409" s="98"/>
      <c r="CD409" s="98"/>
      <c r="CE409" s="98"/>
      <c r="CF409" s="98"/>
      <c r="CG409" s="98"/>
      <c r="CH409" s="98"/>
      <c r="CI409" s="98"/>
      <c r="CJ409" s="98"/>
      <c r="CK409" s="98"/>
    </row>
    <row r="410" spans="1:89" ht="15" x14ac:dyDescent="0.2">
      <c r="A410" s="119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  <c r="AP410" s="98"/>
      <c r="AQ410" s="98"/>
      <c r="AR410" s="98"/>
      <c r="AS410" s="98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8"/>
      <c r="BL410" s="98"/>
      <c r="BM410" s="98"/>
      <c r="BN410" s="98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  <c r="BY410" s="98"/>
      <c r="BZ410" s="98"/>
      <c r="CA410" s="98"/>
      <c r="CB410" s="98"/>
      <c r="CC410" s="98"/>
      <c r="CD410" s="98"/>
      <c r="CE410" s="98"/>
      <c r="CF410" s="98"/>
      <c r="CG410" s="98"/>
      <c r="CH410" s="98"/>
      <c r="CI410" s="98"/>
      <c r="CJ410" s="98"/>
      <c r="CK410" s="98"/>
    </row>
    <row r="411" spans="1:89" ht="15" x14ac:dyDescent="0.2">
      <c r="A411" s="119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  <c r="AP411" s="98"/>
      <c r="AQ411" s="98"/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8"/>
      <c r="BL411" s="98"/>
      <c r="BM411" s="98"/>
      <c r="BN411" s="98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  <c r="BY411" s="98"/>
      <c r="BZ411" s="98"/>
      <c r="CA411" s="98"/>
      <c r="CB411" s="98"/>
      <c r="CC411" s="98"/>
      <c r="CD411" s="98"/>
      <c r="CE411" s="98"/>
      <c r="CF411" s="98"/>
      <c r="CG411" s="98"/>
      <c r="CH411" s="98"/>
      <c r="CI411" s="98"/>
      <c r="CJ411" s="98"/>
      <c r="CK411" s="98"/>
    </row>
    <row r="412" spans="1:89" ht="15" x14ac:dyDescent="0.2">
      <c r="A412" s="119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  <c r="AP412" s="98"/>
      <c r="AQ412" s="98"/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98"/>
      <c r="BC412" s="98"/>
      <c r="BD412" s="98"/>
      <c r="BE412" s="98"/>
      <c r="BF412" s="98"/>
      <c r="BG412" s="98"/>
      <c r="BH412" s="98"/>
      <c r="BI412" s="98"/>
      <c r="BJ412" s="98"/>
      <c r="BK412" s="98"/>
      <c r="BL412" s="98"/>
      <c r="BM412" s="98"/>
      <c r="BN412" s="98"/>
      <c r="BO412" s="98"/>
      <c r="BP412" s="98"/>
      <c r="BQ412" s="98"/>
      <c r="BR412" s="98"/>
      <c r="BS412" s="98"/>
      <c r="BT412" s="98"/>
      <c r="BU412" s="98"/>
      <c r="BV412" s="98"/>
      <c r="BW412" s="98"/>
      <c r="BX412" s="98"/>
      <c r="BY412" s="98"/>
      <c r="BZ412" s="98"/>
      <c r="CA412" s="98"/>
      <c r="CB412" s="98"/>
      <c r="CC412" s="98"/>
      <c r="CD412" s="98"/>
      <c r="CE412" s="98"/>
      <c r="CF412" s="98"/>
      <c r="CG412" s="98"/>
      <c r="CH412" s="98"/>
      <c r="CI412" s="98"/>
      <c r="CJ412" s="98"/>
      <c r="CK412" s="98"/>
    </row>
    <row r="413" spans="1:89" ht="15" x14ac:dyDescent="0.2">
      <c r="A413" s="119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8"/>
      <c r="BL413" s="98"/>
      <c r="BM413" s="98"/>
      <c r="BN413" s="98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  <c r="BY413" s="98"/>
      <c r="BZ413" s="98"/>
      <c r="CA413" s="98"/>
      <c r="CB413" s="98"/>
      <c r="CC413" s="98"/>
      <c r="CD413" s="98"/>
      <c r="CE413" s="98"/>
      <c r="CF413" s="98"/>
      <c r="CG413" s="98"/>
      <c r="CH413" s="98"/>
      <c r="CI413" s="98"/>
      <c r="CJ413" s="98"/>
      <c r="CK413" s="98"/>
    </row>
    <row r="414" spans="1:89" ht="15" x14ac:dyDescent="0.2">
      <c r="A414" s="119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  <c r="AP414" s="98"/>
      <c r="AQ414" s="98"/>
      <c r="AR414" s="98"/>
      <c r="AS414" s="98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8"/>
      <c r="BL414" s="98"/>
      <c r="BM414" s="98"/>
      <c r="BN414" s="98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  <c r="BY414" s="98"/>
      <c r="BZ414" s="98"/>
      <c r="CA414" s="98"/>
      <c r="CB414" s="98"/>
      <c r="CC414" s="98"/>
      <c r="CD414" s="98"/>
      <c r="CE414" s="98"/>
      <c r="CF414" s="98"/>
      <c r="CG414" s="98"/>
      <c r="CH414" s="98"/>
      <c r="CI414" s="98"/>
      <c r="CJ414" s="98"/>
      <c r="CK414" s="98"/>
    </row>
    <row r="415" spans="1:89" ht="15" x14ac:dyDescent="0.2">
      <c r="A415" s="119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8"/>
      <c r="BL415" s="98"/>
      <c r="BM415" s="98"/>
      <c r="BN415" s="98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  <c r="BY415" s="98"/>
      <c r="BZ415" s="98"/>
      <c r="CA415" s="98"/>
      <c r="CB415" s="98"/>
      <c r="CC415" s="98"/>
      <c r="CD415" s="98"/>
      <c r="CE415" s="98"/>
      <c r="CF415" s="98"/>
      <c r="CG415" s="98"/>
      <c r="CH415" s="98"/>
      <c r="CI415" s="98"/>
      <c r="CJ415" s="98"/>
      <c r="CK415" s="98"/>
    </row>
    <row r="416" spans="1:89" ht="15" x14ac:dyDescent="0.2">
      <c r="A416" s="119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  <c r="AP416" s="98"/>
      <c r="AQ416" s="98"/>
      <c r="AR416" s="98"/>
      <c r="AS416" s="98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8"/>
      <c r="BL416" s="98"/>
      <c r="BM416" s="98"/>
      <c r="BN416" s="98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  <c r="BY416" s="98"/>
      <c r="BZ416" s="98"/>
      <c r="CA416" s="98"/>
      <c r="CB416" s="98"/>
      <c r="CC416" s="98"/>
      <c r="CD416" s="98"/>
      <c r="CE416" s="98"/>
      <c r="CF416" s="98"/>
      <c r="CG416" s="98"/>
      <c r="CH416" s="98"/>
      <c r="CI416" s="98"/>
      <c r="CJ416" s="98"/>
      <c r="CK416" s="98"/>
    </row>
    <row r="417" spans="1:89" ht="15" x14ac:dyDescent="0.2">
      <c r="A417" s="119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8"/>
      <c r="BL417" s="98"/>
      <c r="BM417" s="98"/>
      <c r="BN417" s="98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  <c r="BY417" s="98"/>
      <c r="BZ417" s="98"/>
      <c r="CA417" s="98"/>
      <c r="CB417" s="98"/>
      <c r="CC417" s="98"/>
      <c r="CD417" s="98"/>
      <c r="CE417" s="98"/>
      <c r="CF417" s="98"/>
      <c r="CG417" s="98"/>
      <c r="CH417" s="98"/>
      <c r="CI417" s="98"/>
      <c r="CJ417" s="98"/>
      <c r="CK417" s="98"/>
    </row>
    <row r="418" spans="1:89" ht="15" x14ac:dyDescent="0.2">
      <c r="A418" s="119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  <c r="AP418" s="98"/>
      <c r="AQ418" s="98"/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8"/>
      <c r="BL418" s="98"/>
      <c r="BM418" s="98"/>
      <c r="BN418" s="98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  <c r="BY418" s="98"/>
      <c r="BZ418" s="98"/>
      <c r="CA418" s="98"/>
      <c r="CB418" s="98"/>
      <c r="CC418" s="98"/>
      <c r="CD418" s="98"/>
      <c r="CE418" s="98"/>
      <c r="CF418" s="98"/>
      <c r="CG418" s="98"/>
      <c r="CH418" s="98"/>
      <c r="CI418" s="98"/>
      <c r="CJ418" s="98"/>
      <c r="CK418" s="98"/>
    </row>
    <row r="419" spans="1:89" ht="15" x14ac:dyDescent="0.2">
      <c r="A419" s="119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8"/>
      <c r="CI419" s="98"/>
      <c r="CJ419" s="98"/>
      <c r="CK419" s="98"/>
    </row>
    <row r="420" spans="1:89" ht="15" x14ac:dyDescent="0.2">
      <c r="A420" s="119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  <c r="AP420" s="98"/>
      <c r="AQ420" s="98"/>
      <c r="AR420" s="98"/>
      <c r="AS420" s="98"/>
      <c r="AT420" s="98"/>
      <c r="AU420" s="98"/>
      <c r="AV420" s="98"/>
      <c r="AW420" s="98"/>
      <c r="AX420" s="98"/>
      <c r="AY420" s="98"/>
      <c r="AZ420" s="98"/>
      <c r="BA420" s="98"/>
      <c r="BB420" s="98"/>
      <c r="BC420" s="98"/>
      <c r="BD420" s="98"/>
      <c r="BE420" s="98"/>
      <c r="BF420" s="98"/>
      <c r="BG420" s="98"/>
      <c r="BH420" s="98"/>
      <c r="BI420" s="98"/>
      <c r="BJ420" s="98"/>
      <c r="BK420" s="98"/>
      <c r="BL420" s="98"/>
      <c r="BM420" s="98"/>
      <c r="BN420" s="98"/>
      <c r="BO420" s="98"/>
      <c r="BP420" s="98"/>
      <c r="BQ420" s="98"/>
      <c r="BR420" s="98"/>
      <c r="BS420" s="98"/>
      <c r="BT420" s="98"/>
      <c r="BU420" s="98"/>
      <c r="BV420" s="98"/>
      <c r="BW420" s="98"/>
      <c r="BX420" s="98"/>
      <c r="BY420" s="98"/>
      <c r="BZ420" s="98"/>
      <c r="CA420" s="98"/>
      <c r="CB420" s="98"/>
      <c r="CC420" s="98"/>
      <c r="CD420" s="98"/>
      <c r="CE420" s="98"/>
      <c r="CF420" s="98"/>
      <c r="CG420" s="98"/>
      <c r="CH420" s="98"/>
      <c r="CI420" s="98"/>
      <c r="CJ420" s="98"/>
      <c r="CK420" s="98"/>
    </row>
    <row r="421" spans="1:89" ht="15" x14ac:dyDescent="0.2">
      <c r="A421" s="119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  <c r="AP421" s="98"/>
      <c r="AQ421" s="98"/>
      <c r="AR421" s="98"/>
      <c r="AS421" s="98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8"/>
      <c r="BL421" s="98"/>
      <c r="BM421" s="98"/>
      <c r="BN421" s="98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  <c r="BY421" s="98"/>
      <c r="BZ421" s="98"/>
      <c r="CA421" s="98"/>
      <c r="CB421" s="98"/>
      <c r="CC421" s="98"/>
      <c r="CD421" s="98"/>
      <c r="CE421" s="98"/>
      <c r="CF421" s="98"/>
      <c r="CG421" s="98"/>
      <c r="CH421" s="98"/>
      <c r="CI421" s="98"/>
      <c r="CJ421" s="98"/>
      <c r="CK421" s="98"/>
    </row>
    <row r="422" spans="1:89" ht="15" x14ac:dyDescent="0.2">
      <c r="A422" s="119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  <c r="AP422" s="98"/>
      <c r="AQ422" s="98"/>
      <c r="AR422" s="98"/>
      <c r="AS422" s="98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8"/>
      <c r="BL422" s="98"/>
      <c r="BM422" s="98"/>
      <c r="BN422" s="98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  <c r="BY422" s="98"/>
      <c r="BZ422" s="98"/>
      <c r="CA422" s="98"/>
      <c r="CB422" s="98"/>
      <c r="CC422" s="98"/>
      <c r="CD422" s="98"/>
      <c r="CE422" s="98"/>
      <c r="CF422" s="98"/>
      <c r="CG422" s="98"/>
      <c r="CH422" s="98"/>
      <c r="CI422" s="98"/>
      <c r="CJ422" s="98"/>
      <c r="CK422" s="98"/>
    </row>
    <row r="423" spans="1:89" ht="15" x14ac:dyDescent="0.2">
      <c r="A423" s="119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  <c r="AP423" s="98"/>
      <c r="AQ423" s="98"/>
      <c r="AR423" s="98"/>
      <c r="AS423" s="98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8"/>
      <c r="BL423" s="98"/>
      <c r="BM423" s="98"/>
      <c r="BN423" s="98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  <c r="BY423" s="98"/>
      <c r="BZ423" s="98"/>
      <c r="CA423" s="98"/>
      <c r="CB423" s="98"/>
      <c r="CC423" s="98"/>
      <c r="CD423" s="98"/>
      <c r="CE423" s="98"/>
      <c r="CF423" s="98"/>
      <c r="CG423" s="98"/>
      <c r="CH423" s="98"/>
      <c r="CI423" s="98"/>
      <c r="CJ423" s="98"/>
      <c r="CK423" s="98"/>
    </row>
    <row r="424" spans="1:89" ht="15" x14ac:dyDescent="0.2">
      <c r="A424" s="119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  <c r="AP424" s="98"/>
      <c r="AQ424" s="98"/>
      <c r="AR424" s="98"/>
      <c r="AS424" s="98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8"/>
      <c r="BL424" s="98"/>
      <c r="BM424" s="98"/>
      <c r="BN424" s="98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  <c r="BY424" s="98"/>
      <c r="BZ424" s="98"/>
      <c r="CA424" s="98"/>
      <c r="CB424" s="98"/>
      <c r="CC424" s="98"/>
      <c r="CD424" s="98"/>
      <c r="CE424" s="98"/>
      <c r="CF424" s="98"/>
      <c r="CG424" s="98"/>
      <c r="CH424" s="98"/>
      <c r="CI424" s="98"/>
      <c r="CJ424" s="98"/>
      <c r="CK424" s="98"/>
    </row>
    <row r="425" spans="1:89" ht="15" x14ac:dyDescent="0.2">
      <c r="A425" s="119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8"/>
      <c r="BL425" s="98"/>
      <c r="BM425" s="98"/>
      <c r="BN425" s="98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  <c r="BY425" s="98"/>
      <c r="BZ425" s="98"/>
      <c r="CA425" s="98"/>
      <c r="CB425" s="98"/>
      <c r="CC425" s="98"/>
      <c r="CD425" s="98"/>
      <c r="CE425" s="98"/>
      <c r="CF425" s="98"/>
      <c r="CG425" s="98"/>
      <c r="CH425" s="98"/>
      <c r="CI425" s="98"/>
      <c r="CJ425" s="98"/>
      <c r="CK425" s="98"/>
    </row>
    <row r="426" spans="1:89" ht="15" x14ac:dyDescent="0.2">
      <c r="A426" s="119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  <c r="AP426" s="98"/>
      <c r="AQ426" s="98"/>
      <c r="AR426" s="98"/>
      <c r="AS426" s="98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8"/>
      <c r="BL426" s="98"/>
      <c r="BM426" s="98"/>
      <c r="BN426" s="98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  <c r="BY426" s="98"/>
      <c r="BZ426" s="98"/>
      <c r="CA426" s="98"/>
      <c r="CB426" s="98"/>
      <c r="CC426" s="98"/>
      <c r="CD426" s="98"/>
      <c r="CE426" s="98"/>
      <c r="CF426" s="98"/>
      <c r="CG426" s="98"/>
      <c r="CH426" s="98"/>
      <c r="CI426" s="98"/>
      <c r="CJ426" s="98"/>
      <c r="CK426" s="98"/>
    </row>
    <row r="427" spans="1:89" ht="15" x14ac:dyDescent="0.2">
      <c r="A427" s="119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  <c r="AP427" s="98"/>
      <c r="AQ427" s="98"/>
      <c r="AR427" s="98"/>
      <c r="AS427" s="98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8"/>
      <c r="BL427" s="98"/>
      <c r="BM427" s="98"/>
      <c r="BN427" s="98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  <c r="BY427" s="98"/>
      <c r="BZ427" s="98"/>
      <c r="CA427" s="98"/>
      <c r="CB427" s="98"/>
      <c r="CC427" s="98"/>
      <c r="CD427" s="98"/>
      <c r="CE427" s="98"/>
      <c r="CF427" s="98"/>
      <c r="CG427" s="98"/>
      <c r="CH427" s="98"/>
      <c r="CI427" s="98"/>
      <c r="CJ427" s="98"/>
      <c r="CK427" s="98"/>
    </row>
    <row r="428" spans="1:89" ht="15" x14ac:dyDescent="0.2">
      <c r="A428" s="119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  <c r="AP428" s="98"/>
      <c r="AQ428" s="98"/>
      <c r="AR428" s="98"/>
      <c r="AS428" s="98"/>
      <c r="AT428" s="98"/>
      <c r="AU428" s="98"/>
      <c r="AV428" s="98"/>
      <c r="AW428" s="98"/>
      <c r="AX428" s="98"/>
      <c r="AY428" s="98"/>
      <c r="AZ428" s="98"/>
      <c r="BA428" s="98"/>
      <c r="BB428" s="98"/>
      <c r="BC428" s="98"/>
      <c r="BD428" s="98"/>
      <c r="BE428" s="98"/>
      <c r="BF428" s="98"/>
      <c r="BG428" s="98"/>
      <c r="BH428" s="98"/>
      <c r="BI428" s="98"/>
      <c r="BJ428" s="98"/>
      <c r="BK428" s="98"/>
      <c r="BL428" s="98"/>
      <c r="BM428" s="98"/>
      <c r="BN428" s="98"/>
      <c r="BO428" s="98"/>
      <c r="BP428" s="98"/>
      <c r="BQ428" s="98"/>
      <c r="BR428" s="98"/>
      <c r="BS428" s="98"/>
      <c r="BT428" s="98"/>
      <c r="BU428" s="98"/>
      <c r="BV428" s="98"/>
      <c r="BW428" s="98"/>
      <c r="BX428" s="98"/>
      <c r="BY428" s="98"/>
      <c r="BZ428" s="98"/>
      <c r="CA428" s="98"/>
      <c r="CB428" s="98"/>
      <c r="CC428" s="98"/>
      <c r="CD428" s="98"/>
      <c r="CE428" s="98"/>
      <c r="CF428" s="98"/>
      <c r="CG428" s="98"/>
      <c r="CH428" s="98"/>
      <c r="CI428" s="98"/>
      <c r="CJ428" s="98"/>
      <c r="CK428" s="98"/>
    </row>
    <row r="429" spans="1:89" ht="15" x14ac:dyDescent="0.2">
      <c r="A429" s="119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  <c r="AP429" s="98"/>
      <c r="AQ429" s="98"/>
      <c r="AR429" s="98"/>
      <c r="AS429" s="98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8"/>
      <c r="BL429" s="98"/>
      <c r="BM429" s="98"/>
      <c r="BN429" s="98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  <c r="BY429" s="98"/>
      <c r="BZ429" s="98"/>
      <c r="CA429" s="98"/>
      <c r="CB429" s="98"/>
      <c r="CC429" s="98"/>
      <c r="CD429" s="98"/>
      <c r="CE429" s="98"/>
      <c r="CF429" s="98"/>
      <c r="CG429" s="98"/>
      <c r="CH429" s="98"/>
      <c r="CI429" s="98"/>
      <c r="CJ429" s="98"/>
      <c r="CK429" s="98"/>
    </row>
    <row r="430" spans="1:89" ht="15" x14ac:dyDescent="0.2">
      <c r="A430" s="119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  <c r="AP430" s="98"/>
      <c r="AQ430" s="98"/>
      <c r="AR430" s="98"/>
      <c r="AS430" s="98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8"/>
      <c r="BL430" s="98"/>
      <c r="BM430" s="98"/>
      <c r="BN430" s="98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  <c r="BY430" s="98"/>
      <c r="BZ430" s="98"/>
      <c r="CA430" s="98"/>
      <c r="CB430" s="98"/>
      <c r="CC430" s="98"/>
      <c r="CD430" s="98"/>
      <c r="CE430" s="98"/>
      <c r="CF430" s="98"/>
      <c r="CG430" s="98"/>
      <c r="CH430" s="98"/>
      <c r="CI430" s="98"/>
      <c r="CJ430" s="98"/>
      <c r="CK430" s="98"/>
    </row>
    <row r="431" spans="1:89" ht="15" x14ac:dyDescent="0.2">
      <c r="A431" s="119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  <c r="AP431" s="98"/>
      <c r="AQ431" s="98"/>
      <c r="AR431" s="98"/>
      <c r="AS431" s="98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8"/>
      <c r="BL431" s="98"/>
      <c r="BM431" s="98"/>
      <c r="BN431" s="98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  <c r="BY431" s="98"/>
      <c r="BZ431" s="98"/>
      <c r="CA431" s="98"/>
      <c r="CB431" s="98"/>
      <c r="CC431" s="98"/>
      <c r="CD431" s="98"/>
      <c r="CE431" s="98"/>
      <c r="CF431" s="98"/>
      <c r="CG431" s="98"/>
      <c r="CH431" s="98"/>
      <c r="CI431" s="98"/>
      <c r="CJ431" s="98"/>
      <c r="CK431" s="98"/>
    </row>
    <row r="432" spans="1:89" ht="15" x14ac:dyDescent="0.2">
      <c r="A432" s="119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  <c r="AP432" s="98"/>
      <c r="AQ432" s="98"/>
      <c r="AR432" s="98"/>
      <c r="AS432" s="98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8"/>
      <c r="BL432" s="98"/>
      <c r="BM432" s="98"/>
      <c r="BN432" s="98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  <c r="BY432" s="98"/>
      <c r="BZ432" s="98"/>
      <c r="CA432" s="98"/>
      <c r="CB432" s="98"/>
      <c r="CC432" s="98"/>
      <c r="CD432" s="98"/>
      <c r="CE432" s="98"/>
      <c r="CF432" s="98"/>
      <c r="CG432" s="98"/>
      <c r="CH432" s="98"/>
      <c r="CI432" s="98"/>
      <c r="CJ432" s="98"/>
      <c r="CK432" s="98"/>
    </row>
    <row r="433" spans="1:89" ht="15" x14ac:dyDescent="0.2">
      <c r="A433" s="119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  <c r="AS433" s="98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8"/>
      <c r="BL433" s="98"/>
      <c r="BM433" s="98"/>
      <c r="BN433" s="98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  <c r="BY433" s="98"/>
      <c r="BZ433" s="98"/>
      <c r="CA433" s="98"/>
      <c r="CB433" s="98"/>
      <c r="CC433" s="98"/>
      <c r="CD433" s="98"/>
      <c r="CE433" s="98"/>
      <c r="CF433" s="98"/>
      <c r="CG433" s="98"/>
      <c r="CH433" s="98"/>
      <c r="CI433" s="98"/>
      <c r="CJ433" s="98"/>
      <c r="CK433" s="98"/>
    </row>
    <row r="434" spans="1:89" ht="15" x14ac:dyDescent="0.2">
      <c r="A434" s="119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  <c r="AP434" s="98"/>
      <c r="AQ434" s="98"/>
      <c r="AR434" s="98"/>
      <c r="AS434" s="98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8"/>
      <c r="BL434" s="98"/>
      <c r="BM434" s="98"/>
      <c r="BN434" s="98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  <c r="BY434" s="98"/>
      <c r="BZ434" s="98"/>
      <c r="CA434" s="98"/>
      <c r="CB434" s="98"/>
      <c r="CC434" s="98"/>
      <c r="CD434" s="98"/>
      <c r="CE434" s="98"/>
      <c r="CF434" s="98"/>
      <c r="CG434" s="98"/>
      <c r="CH434" s="98"/>
      <c r="CI434" s="98"/>
      <c r="CJ434" s="98"/>
      <c r="CK434" s="98"/>
    </row>
    <row r="435" spans="1:89" ht="15" x14ac:dyDescent="0.2">
      <c r="A435" s="119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  <c r="AP435" s="98"/>
      <c r="AQ435" s="98"/>
      <c r="AR435" s="98"/>
      <c r="AS435" s="98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8"/>
      <c r="BL435" s="98"/>
      <c r="BM435" s="98"/>
      <c r="BN435" s="98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  <c r="BY435" s="98"/>
      <c r="BZ435" s="98"/>
      <c r="CA435" s="98"/>
      <c r="CB435" s="98"/>
      <c r="CC435" s="98"/>
      <c r="CD435" s="98"/>
      <c r="CE435" s="98"/>
      <c r="CF435" s="98"/>
      <c r="CG435" s="98"/>
      <c r="CH435" s="98"/>
      <c r="CI435" s="98"/>
      <c r="CJ435" s="98"/>
      <c r="CK435" s="98"/>
    </row>
    <row r="436" spans="1:89" ht="15" x14ac:dyDescent="0.2">
      <c r="A436" s="119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  <c r="AP436" s="98"/>
      <c r="AQ436" s="98"/>
      <c r="AR436" s="98"/>
      <c r="AS436" s="98"/>
      <c r="AT436" s="98"/>
      <c r="AU436" s="98"/>
      <c r="AV436" s="98"/>
      <c r="AW436" s="98"/>
      <c r="AX436" s="98"/>
      <c r="AY436" s="98"/>
      <c r="AZ436" s="98"/>
      <c r="BA436" s="98"/>
      <c r="BB436" s="98"/>
      <c r="BC436" s="98"/>
      <c r="BD436" s="98"/>
      <c r="BE436" s="98"/>
      <c r="BF436" s="98"/>
      <c r="BG436" s="98"/>
      <c r="BH436" s="98"/>
      <c r="BI436" s="98"/>
      <c r="BJ436" s="98"/>
      <c r="BK436" s="98"/>
      <c r="BL436" s="98"/>
      <c r="BM436" s="98"/>
      <c r="BN436" s="98"/>
      <c r="BO436" s="98"/>
      <c r="BP436" s="98"/>
      <c r="BQ436" s="98"/>
      <c r="BR436" s="98"/>
      <c r="BS436" s="98"/>
      <c r="BT436" s="98"/>
      <c r="BU436" s="98"/>
      <c r="BV436" s="98"/>
      <c r="BW436" s="98"/>
      <c r="BX436" s="98"/>
      <c r="BY436" s="98"/>
      <c r="BZ436" s="98"/>
      <c r="CA436" s="98"/>
      <c r="CB436" s="98"/>
      <c r="CC436" s="98"/>
      <c r="CD436" s="98"/>
      <c r="CE436" s="98"/>
      <c r="CF436" s="98"/>
      <c r="CG436" s="98"/>
      <c r="CH436" s="98"/>
      <c r="CI436" s="98"/>
      <c r="CJ436" s="98"/>
      <c r="CK436" s="98"/>
    </row>
    <row r="437" spans="1:89" ht="15" x14ac:dyDescent="0.2">
      <c r="A437" s="119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  <c r="AS437" s="98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8"/>
      <c r="BL437" s="98"/>
      <c r="BM437" s="98"/>
      <c r="BN437" s="98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  <c r="BY437" s="98"/>
      <c r="BZ437" s="98"/>
      <c r="CA437" s="98"/>
      <c r="CB437" s="98"/>
      <c r="CC437" s="98"/>
      <c r="CD437" s="98"/>
      <c r="CE437" s="98"/>
      <c r="CF437" s="98"/>
      <c r="CG437" s="98"/>
      <c r="CH437" s="98"/>
      <c r="CI437" s="98"/>
      <c r="CJ437" s="98"/>
      <c r="CK437" s="98"/>
    </row>
    <row r="438" spans="1:89" ht="15" x14ac:dyDescent="0.2">
      <c r="A438" s="119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8"/>
      <c r="BL438" s="98"/>
      <c r="BM438" s="98"/>
      <c r="BN438" s="98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  <c r="BY438" s="98"/>
      <c r="BZ438" s="98"/>
      <c r="CA438" s="98"/>
      <c r="CB438" s="98"/>
      <c r="CC438" s="98"/>
      <c r="CD438" s="98"/>
      <c r="CE438" s="98"/>
      <c r="CF438" s="98"/>
      <c r="CG438" s="98"/>
      <c r="CH438" s="98"/>
      <c r="CI438" s="98"/>
      <c r="CJ438" s="98"/>
      <c r="CK438" s="98"/>
    </row>
    <row r="439" spans="1:89" ht="15" x14ac:dyDescent="0.2">
      <c r="A439" s="119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  <c r="AP439" s="98"/>
      <c r="AQ439" s="98"/>
      <c r="AR439" s="98"/>
      <c r="AS439" s="98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8"/>
      <c r="BL439" s="98"/>
      <c r="BM439" s="98"/>
      <c r="BN439" s="98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  <c r="BY439" s="98"/>
      <c r="BZ439" s="98"/>
      <c r="CA439" s="98"/>
      <c r="CB439" s="98"/>
      <c r="CC439" s="98"/>
      <c r="CD439" s="98"/>
      <c r="CE439" s="98"/>
      <c r="CF439" s="98"/>
      <c r="CG439" s="98"/>
      <c r="CH439" s="98"/>
      <c r="CI439" s="98"/>
      <c r="CJ439" s="98"/>
      <c r="CK439" s="98"/>
    </row>
    <row r="440" spans="1:89" ht="15" x14ac:dyDescent="0.2">
      <c r="A440" s="119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  <c r="AP440" s="98"/>
      <c r="AQ440" s="98"/>
      <c r="AR440" s="98"/>
      <c r="AS440" s="98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8"/>
      <c r="BL440" s="98"/>
      <c r="BM440" s="98"/>
      <c r="BN440" s="98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  <c r="BY440" s="98"/>
      <c r="BZ440" s="98"/>
      <c r="CA440" s="98"/>
      <c r="CB440" s="98"/>
      <c r="CC440" s="98"/>
      <c r="CD440" s="98"/>
      <c r="CE440" s="98"/>
      <c r="CF440" s="98"/>
      <c r="CG440" s="98"/>
      <c r="CH440" s="98"/>
      <c r="CI440" s="98"/>
      <c r="CJ440" s="98"/>
      <c r="CK440" s="98"/>
    </row>
    <row r="441" spans="1:89" ht="15" x14ac:dyDescent="0.2">
      <c r="A441" s="119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8"/>
      <c r="BL441" s="98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  <c r="BY441" s="98"/>
      <c r="BZ441" s="98"/>
      <c r="CA441" s="98"/>
      <c r="CB441" s="98"/>
      <c r="CC441" s="98"/>
      <c r="CD441" s="98"/>
      <c r="CE441" s="98"/>
      <c r="CF441" s="98"/>
      <c r="CG441" s="98"/>
      <c r="CH441" s="98"/>
      <c r="CI441" s="98"/>
      <c r="CJ441" s="98"/>
      <c r="CK441" s="98"/>
    </row>
    <row r="442" spans="1:89" ht="15" x14ac:dyDescent="0.2">
      <c r="A442" s="119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  <c r="AP442" s="98"/>
      <c r="AQ442" s="98"/>
      <c r="AR442" s="98"/>
      <c r="AS442" s="98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8"/>
      <c r="BL442" s="98"/>
      <c r="BM442" s="98"/>
      <c r="BN442" s="98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  <c r="BY442" s="98"/>
      <c r="BZ442" s="98"/>
      <c r="CA442" s="98"/>
      <c r="CB442" s="98"/>
      <c r="CC442" s="98"/>
      <c r="CD442" s="98"/>
      <c r="CE442" s="98"/>
      <c r="CF442" s="98"/>
      <c r="CG442" s="98"/>
      <c r="CH442" s="98"/>
      <c r="CI442" s="98"/>
      <c r="CJ442" s="98"/>
      <c r="CK442" s="98"/>
    </row>
    <row r="443" spans="1:89" ht="15" x14ac:dyDescent="0.2">
      <c r="A443" s="119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8"/>
      <c r="BL443" s="98"/>
      <c r="BM443" s="98"/>
      <c r="BN443" s="98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  <c r="BY443" s="98"/>
      <c r="BZ443" s="98"/>
      <c r="CA443" s="98"/>
      <c r="CB443" s="98"/>
      <c r="CC443" s="98"/>
      <c r="CD443" s="98"/>
      <c r="CE443" s="98"/>
      <c r="CF443" s="98"/>
      <c r="CG443" s="98"/>
      <c r="CH443" s="98"/>
      <c r="CI443" s="98"/>
      <c r="CJ443" s="98"/>
      <c r="CK443" s="98"/>
    </row>
    <row r="444" spans="1:89" ht="15" x14ac:dyDescent="0.2">
      <c r="A444" s="119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  <c r="AP444" s="98"/>
      <c r="AQ444" s="98"/>
      <c r="AR444" s="98"/>
      <c r="AS444" s="98"/>
      <c r="AT444" s="98"/>
      <c r="AU444" s="98"/>
      <c r="AV444" s="98"/>
      <c r="AW444" s="98"/>
      <c r="AX444" s="98"/>
      <c r="AY444" s="98"/>
      <c r="AZ444" s="98"/>
      <c r="BA444" s="98"/>
      <c r="BB444" s="98"/>
      <c r="BC444" s="98"/>
      <c r="BD444" s="98"/>
      <c r="BE444" s="98"/>
      <c r="BF444" s="98"/>
      <c r="BG444" s="98"/>
      <c r="BH444" s="98"/>
      <c r="BI444" s="98"/>
      <c r="BJ444" s="98"/>
      <c r="BK444" s="98"/>
      <c r="BL444" s="98"/>
      <c r="BM444" s="98"/>
      <c r="BN444" s="98"/>
      <c r="BO444" s="98"/>
      <c r="BP444" s="98"/>
      <c r="BQ444" s="98"/>
      <c r="BR444" s="98"/>
      <c r="BS444" s="98"/>
      <c r="BT444" s="98"/>
      <c r="BU444" s="98"/>
      <c r="BV444" s="98"/>
      <c r="BW444" s="98"/>
      <c r="BX444" s="98"/>
      <c r="BY444" s="98"/>
      <c r="BZ444" s="98"/>
      <c r="CA444" s="98"/>
      <c r="CB444" s="98"/>
      <c r="CC444" s="98"/>
      <c r="CD444" s="98"/>
      <c r="CE444" s="98"/>
      <c r="CF444" s="98"/>
      <c r="CG444" s="98"/>
      <c r="CH444" s="98"/>
      <c r="CI444" s="98"/>
      <c r="CJ444" s="98"/>
      <c r="CK444" s="98"/>
    </row>
    <row r="445" spans="1:89" ht="15" x14ac:dyDescent="0.2">
      <c r="A445" s="119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  <c r="AS445" s="98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8"/>
      <c r="BL445" s="98"/>
      <c r="BM445" s="98"/>
      <c r="BN445" s="98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  <c r="BY445" s="98"/>
      <c r="BZ445" s="98"/>
      <c r="CA445" s="98"/>
      <c r="CB445" s="98"/>
      <c r="CC445" s="98"/>
      <c r="CD445" s="98"/>
      <c r="CE445" s="98"/>
      <c r="CF445" s="98"/>
      <c r="CG445" s="98"/>
      <c r="CH445" s="98"/>
      <c r="CI445" s="98"/>
      <c r="CJ445" s="98"/>
      <c r="CK445" s="98"/>
    </row>
    <row r="446" spans="1:89" ht="15" x14ac:dyDescent="0.2">
      <c r="A446" s="119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  <c r="AP446" s="98"/>
      <c r="AQ446" s="98"/>
      <c r="AR446" s="98"/>
      <c r="AS446" s="98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8"/>
      <c r="BL446" s="98"/>
      <c r="BM446" s="98"/>
      <c r="BN446" s="98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  <c r="BY446" s="98"/>
      <c r="BZ446" s="98"/>
      <c r="CA446" s="98"/>
      <c r="CB446" s="98"/>
      <c r="CC446" s="98"/>
      <c r="CD446" s="98"/>
      <c r="CE446" s="98"/>
      <c r="CF446" s="98"/>
      <c r="CG446" s="98"/>
      <c r="CH446" s="98"/>
      <c r="CI446" s="98"/>
      <c r="CJ446" s="98"/>
      <c r="CK446" s="98"/>
    </row>
    <row r="447" spans="1:89" ht="15" x14ac:dyDescent="0.2">
      <c r="A447" s="119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8"/>
      <c r="BL447" s="98"/>
      <c r="BM447" s="98"/>
      <c r="BN447" s="98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  <c r="BY447" s="98"/>
      <c r="BZ447" s="98"/>
      <c r="CA447" s="98"/>
      <c r="CB447" s="98"/>
      <c r="CC447" s="98"/>
      <c r="CD447" s="98"/>
      <c r="CE447" s="98"/>
      <c r="CF447" s="98"/>
      <c r="CG447" s="98"/>
      <c r="CH447" s="98"/>
      <c r="CI447" s="98"/>
      <c r="CJ447" s="98"/>
      <c r="CK447" s="98"/>
    </row>
    <row r="448" spans="1:89" ht="15" x14ac:dyDescent="0.2">
      <c r="A448" s="119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8"/>
      <c r="BL448" s="98"/>
      <c r="BM448" s="98"/>
      <c r="BN448" s="98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  <c r="BY448" s="98"/>
      <c r="BZ448" s="98"/>
      <c r="CA448" s="98"/>
      <c r="CB448" s="98"/>
      <c r="CC448" s="98"/>
      <c r="CD448" s="98"/>
      <c r="CE448" s="98"/>
      <c r="CF448" s="98"/>
      <c r="CG448" s="98"/>
      <c r="CH448" s="98"/>
      <c r="CI448" s="98"/>
      <c r="CJ448" s="98"/>
      <c r="CK448" s="98"/>
    </row>
    <row r="449" spans="1:89" ht="15" x14ac:dyDescent="0.2">
      <c r="A449" s="119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  <c r="AP449" s="98"/>
      <c r="AQ449" s="98"/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8"/>
      <c r="BL449" s="98"/>
      <c r="BM449" s="98"/>
      <c r="BN449" s="98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  <c r="BY449" s="98"/>
      <c r="BZ449" s="98"/>
      <c r="CA449" s="98"/>
      <c r="CB449" s="98"/>
      <c r="CC449" s="98"/>
      <c r="CD449" s="98"/>
      <c r="CE449" s="98"/>
      <c r="CF449" s="98"/>
      <c r="CG449" s="98"/>
      <c r="CH449" s="98"/>
      <c r="CI449" s="98"/>
      <c r="CJ449" s="98"/>
      <c r="CK449" s="98"/>
    </row>
    <row r="450" spans="1:89" ht="15" x14ac:dyDescent="0.2">
      <c r="A450" s="119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  <c r="AP450" s="98"/>
      <c r="AQ450" s="98"/>
      <c r="AR450" s="98"/>
      <c r="AS450" s="98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8"/>
      <c r="BL450" s="98"/>
      <c r="BM450" s="98"/>
      <c r="BN450" s="98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  <c r="BY450" s="98"/>
      <c r="BZ450" s="98"/>
      <c r="CA450" s="98"/>
      <c r="CB450" s="98"/>
      <c r="CC450" s="98"/>
      <c r="CD450" s="98"/>
      <c r="CE450" s="98"/>
      <c r="CF450" s="98"/>
      <c r="CG450" s="98"/>
      <c r="CH450" s="98"/>
      <c r="CI450" s="98"/>
      <c r="CJ450" s="98"/>
      <c r="CK450" s="98"/>
    </row>
    <row r="451" spans="1:89" ht="15" x14ac:dyDescent="0.2">
      <c r="A451" s="119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  <c r="AP451" s="98"/>
      <c r="AQ451" s="98"/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8"/>
      <c r="BL451" s="98"/>
      <c r="BM451" s="98"/>
      <c r="BN451" s="98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  <c r="BY451" s="98"/>
      <c r="BZ451" s="98"/>
      <c r="CA451" s="98"/>
      <c r="CB451" s="98"/>
      <c r="CC451" s="98"/>
      <c r="CD451" s="98"/>
      <c r="CE451" s="98"/>
      <c r="CF451" s="98"/>
      <c r="CG451" s="98"/>
      <c r="CH451" s="98"/>
      <c r="CI451" s="98"/>
      <c r="CJ451" s="98"/>
      <c r="CK451" s="98"/>
    </row>
    <row r="452" spans="1:89" ht="15" x14ac:dyDescent="0.2">
      <c r="A452" s="119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/>
      <c r="BC452" s="98"/>
      <c r="BD452" s="98"/>
      <c r="BE452" s="98"/>
      <c r="BF452" s="98"/>
      <c r="BG452" s="98"/>
      <c r="BH452" s="98"/>
      <c r="BI452" s="98"/>
      <c r="BJ452" s="98"/>
      <c r="BK452" s="98"/>
      <c r="BL452" s="98"/>
      <c r="BM452" s="98"/>
      <c r="BN452" s="98"/>
      <c r="BO452" s="98"/>
      <c r="BP452" s="98"/>
      <c r="BQ452" s="98"/>
      <c r="BR452" s="98"/>
      <c r="BS452" s="98"/>
      <c r="BT452" s="98"/>
      <c r="BU452" s="98"/>
      <c r="BV452" s="98"/>
      <c r="BW452" s="98"/>
      <c r="BX452" s="98"/>
      <c r="BY452" s="98"/>
      <c r="BZ452" s="98"/>
      <c r="CA452" s="98"/>
      <c r="CB452" s="98"/>
      <c r="CC452" s="98"/>
      <c r="CD452" s="98"/>
      <c r="CE452" s="98"/>
      <c r="CF452" s="98"/>
      <c r="CG452" s="98"/>
      <c r="CH452" s="98"/>
      <c r="CI452" s="98"/>
      <c r="CJ452" s="98"/>
      <c r="CK452" s="98"/>
    </row>
    <row r="453" spans="1:89" ht="15" x14ac:dyDescent="0.2">
      <c r="A453" s="119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  <c r="AP453" s="98"/>
      <c r="AQ453" s="98"/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8"/>
      <c r="BL453" s="98"/>
      <c r="BM453" s="98"/>
      <c r="BN453" s="98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  <c r="BY453" s="98"/>
      <c r="BZ453" s="98"/>
      <c r="CA453" s="98"/>
      <c r="CB453" s="98"/>
      <c r="CC453" s="98"/>
      <c r="CD453" s="98"/>
      <c r="CE453" s="98"/>
      <c r="CF453" s="98"/>
      <c r="CG453" s="98"/>
      <c r="CH453" s="98"/>
      <c r="CI453" s="98"/>
      <c r="CJ453" s="98"/>
      <c r="CK453" s="98"/>
    </row>
    <row r="454" spans="1:89" ht="15" x14ac:dyDescent="0.2">
      <c r="A454" s="119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8"/>
      <c r="BL454" s="98"/>
      <c r="BM454" s="98"/>
      <c r="BN454" s="98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  <c r="BY454" s="98"/>
      <c r="BZ454" s="98"/>
      <c r="CA454" s="98"/>
      <c r="CB454" s="98"/>
      <c r="CC454" s="98"/>
      <c r="CD454" s="98"/>
      <c r="CE454" s="98"/>
      <c r="CF454" s="98"/>
      <c r="CG454" s="98"/>
      <c r="CH454" s="98"/>
      <c r="CI454" s="98"/>
      <c r="CJ454" s="98"/>
      <c r="CK454" s="98"/>
    </row>
    <row r="455" spans="1:89" ht="15" x14ac:dyDescent="0.2">
      <c r="A455" s="119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  <c r="AP455" s="98"/>
      <c r="AQ455" s="98"/>
      <c r="AR455" s="98"/>
      <c r="AS455" s="98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8"/>
      <c r="BL455" s="98"/>
      <c r="BM455" s="98"/>
      <c r="BN455" s="98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  <c r="BY455" s="98"/>
      <c r="BZ455" s="98"/>
      <c r="CA455" s="98"/>
      <c r="CB455" s="98"/>
      <c r="CC455" s="98"/>
      <c r="CD455" s="98"/>
      <c r="CE455" s="98"/>
      <c r="CF455" s="98"/>
      <c r="CG455" s="98"/>
      <c r="CH455" s="98"/>
      <c r="CI455" s="98"/>
      <c r="CJ455" s="98"/>
      <c r="CK455" s="98"/>
    </row>
    <row r="456" spans="1:89" ht="15" x14ac:dyDescent="0.2">
      <c r="A456" s="119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  <c r="AS456" s="98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8"/>
      <c r="BL456" s="98"/>
      <c r="BM456" s="98"/>
      <c r="BN456" s="98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  <c r="BY456" s="98"/>
      <c r="BZ456" s="98"/>
      <c r="CA456" s="98"/>
      <c r="CB456" s="98"/>
      <c r="CC456" s="98"/>
      <c r="CD456" s="98"/>
      <c r="CE456" s="98"/>
      <c r="CF456" s="98"/>
      <c r="CG456" s="98"/>
      <c r="CH456" s="98"/>
      <c r="CI456" s="98"/>
      <c r="CJ456" s="98"/>
      <c r="CK456" s="98"/>
    </row>
    <row r="457" spans="1:89" ht="15" x14ac:dyDescent="0.2">
      <c r="A457" s="119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  <c r="AP457" s="98"/>
      <c r="AQ457" s="98"/>
      <c r="AR457" s="98"/>
      <c r="AS457" s="98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8"/>
      <c r="BL457" s="98"/>
      <c r="BM457" s="98"/>
      <c r="BN457" s="98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  <c r="BY457" s="98"/>
      <c r="BZ457" s="98"/>
      <c r="CA457" s="98"/>
      <c r="CB457" s="98"/>
      <c r="CC457" s="98"/>
      <c r="CD457" s="98"/>
      <c r="CE457" s="98"/>
      <c r="CF457" s="98"/>
      <c r="CG457" s="98"/>
      <c r="CH457" s="98"/>
      <c r="CI457" s="98"/>
      <c r="CJ457" s="98"/>
      <c r="CK457" s="98"/>
    </row>
    <row r="458" spans="1:89" ht="15" x14ac:dyDescent="0.2">
      <c r="A458" s="119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  <c r="AP458" s="98"/>
      <c r="AQ458" s="98"/>
      <c r="AR458" s="98"/>
      <c r="AS458" s="98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8"/>
      <c r="BL458" s="98"/>
      <c r="BM458" s="98"/>
      <c r="BN458" s="98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  <c r="BY458" s="98"/>
      <c r="BZ458" s="98"/>
      <c r="CA458" s="98"/>
      <c r="CB458" s="98"/>
      <c r="CC458" s="98"/>
      <c r="CD458" s="98"/>
      <c r="CE458" s="98"/>
      <c r="CF458" s="98"/>
      <c r="CG458" s="98"/>
      <c r="CH458" s="98"/>
      <c r="CI458" s="98"/>
      <c r="CJ458" s="98"/>
      <c r="CK458" s="98"/>
    </row>
    <row r="459" spans="1:89" ht="15" x14ac:dyDescent="0.2">
      <c r="A459" s="119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  <c r="AP459" s="98"/>
      <c r="AQ459" s="98"/>
      <c r="AR459" s="98"/>
      <c r="AS459" s="98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8"/>
      <c r="BL459" s="98"/>
      <c r="BM459" s="98"/>
      <c r="BN459" s="98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  <c r="BY459" s="98"/>
      <c r="BZ459" s="98"/>
      <c r="CA459" s="98"/>
      <c r="CB459" s="98"/>
      <c r="CC459" s="98"/>
      <c r="CD459" s="98"/>
      <c r="CE459" s="98"/>
      <c r="CF459" s="98"/>
      <c r="CG459" s="98"/>
      <c r="CH459" s="98"/>
      <c r="CI459" s="98"/>
      <c r="CJ459" s="98"/>
      <c r="CK459" s="98"/>
    </row>
    <row r="460" spans="1:89" ht="15" x14ac:dyDescent="0.2">
      <c r="A460" s="119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  <c r="AP460" s="98"/>
      <c r="AQ460" s="98"/>
      <c r="AR460" s="98"/>
      <c r="AS460" s="98"/>
      <c r="AT460" s="98"/>
      <c r="AU460" s="98"/>
      <c r="AV460" s="98"/>
      <c r="AW460" s="98"/>
      <c r="AX460" s="98"/>
      <c r="AY460" s="98"/>
      <c r="AZ460" s="98"/>
      <c r="BA460" s="98"/>
      <c r="BB460" s="98"/>
      <c r="BC460" s="98"/>
      <c r="BD460" s="98"/>
      <c r="BE460" s="98"/>
      <c r="BF460" s="98"/>
      <c r="BG460" s="98"/>
      <c r="BH460" s="98"/>
      <c r="BI460" s="98"/>
      <c r="BJ460" s="98"/>
      <c r="BK460" s="98"/>
      <c r="BL460" s="98"/>
      <c r="BM460" s="98"/>
      <c r="BN460" s="98"/>
      <c r="BO460" s="98"/>
      <c r="BP460" s="98"/>
      <c r="BQ460" s="98"/>
      <c r="BR460" s="98"/>
      <c r="BS460" s="98"/>
      <c r="BT460" s="98"/>
      <c r="BU460" s="98"/>
      <c r="BV460" s="98"/>
      <c r="BW460" s="98"/>
      <c r="BX460" s="98"/>
      <c r="BY460" s="98"/>
      <c r="BZ460" s="98"/>
      <c r="CA460" s="98"/>
      <c r="CB460" s="98"/>
      <c r="CC460" s="98"/>
      <c r="CD460" s="98"/>
      <c r="CE460" s="98"/>
      <c r="CF460" s="98"/>
      <c r="CG460" s="98"/>
      <c r="CH460" s="98"/>
      <c r="CI460" s="98"/>
      <c r="CJ460" s="98"/>
      <c r="CK460" s="98"/>
    </row>
    <row r="461" spans="1:89" ht="15" x14ac:dyDescent="0.2">
      <c r="A461" s="119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  <c r="AP461" s="98"/>
      <c r="AQ461" s="98"/>
      <c r="AR461" s="98"/>
      <c r="AS461" s="98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8"/>
      <c r="BL461" s="98"/>
      <c r="BM461" s="98"/>
      <c r="BN461" s="98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  <c r="BY461" s="98"/>
      <c r="BZ461" s="98"/>
      <c r="CA461" s="98"/>
      <c r="CB461" s="98"/>
      <c r="CC461" s="98"/>
      <c r="CD461" s="98"/>
      <c r="CE461" s="98"/>
      <c r="CF461" s="98"/>
      <c r="CG461" s="98"/>
      <c r="CH461" s="98"/>
      <c r="CI461" s="98"/>
      <c r="CJ461" s="98"/>
      <c r="CK461" s="98"/>
    </row>
    <row r="462" spans="1:89" ht="15" x14ac:dyDescent="0.2">
      <c r="A462" s="119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  <c r="AS462" s="98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8"/>
      <c r="BL462" s="98"/>
      <c r="BM462" s="98"/>
      <c r="BN462" s="98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  <c r="BY462" s="98"/>
      <c r="BZ462" s="98"/>
      <c r="CA462" s="98"/>
      <c r="CB462" s="98"/>
      <c r="CC462" s="98"/>
      <c r="CD462" s="98"/>
      <c r="CE462" s="98"/>
      <c r="CF462" s="98"/>
      <c r="CG462" s="98"/>
      <c r="CH462" s="98"/>
      <c r="CI462" s="98"/>
      <c r="CJ462" s="98"/>
      <c r="CK462" s="98"/>
    </row>
    <row r="463" spans="1:89" ht="15" x14ac:dyDescent="0.2">
      <c r="A463" s="119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  <c r="AP463" s="98"/>
      <c r="AQ463" s="98"/>
      <c r="AR463" s="98"/>
      <c r="AS463" s="98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8"/>
      <c r="BL463" s="98"/>
      <c r="BM463" s="98"/>
      <c r="BN463" s="98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  <c r="BY463" s="98"/>
      <c r="BZ463" s="98"/>
      <c r="CA463" s="98"/>
      <c r="CB463" s="98"/>
      <c r="CC463" s="98"/>
      <c r="CD463" s="98"/>
      <c r="CE463" s="98"/>
      <c r="CF463" s="98"/>
      <c r="CG463" s="98"/>
      <c r="CH463" s="98"/>
      <c r="CI463" s="98"/>
      <c r="CJ463" s="98"/>
      <c r="CK463" s="98"/>
    </row>
    <row r="464" spans="1:89" ht="15" x14ac:dyDescent="0.2">
      <c r="A464" s="119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8"/>
      <c r="BL464" s="98"/>
      <c r="BM464" s="98"/>
      <c r="BN464" s="98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  <c r="BY464" s="98"/>
      <c r="BZ464" s="98"/>
      <c r="CA464" s="98"/>
      <c r="CB464" s="98"/>
      <c r="CC464" s="98"/>
      <c r="CD464" s="98"/>
      <c r="CE464" s="98"/>
      <c r="CF464" s="98"/>
      <c r="CG464" s="98"/>
      <c r="CH464" s="98"/>
      <c r="CI464" s="98"/>
      <c r="CJ464" s="98"/>
      <c r="CK464" s="98"/>
    </row>
    <row r="465" spans="1:89" ht="15" x14ac:dyDescent="0.2">
      <c r="A465" s="119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  <c r="AP465" s="98"/>
      <c r="AQ465" s="98"/>
      <c r="AR465" s="98"/>
      <c r="AS465" s="98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8"/>
      <c r="BL465" s="98"/>
      <c r="BM465" s="98"/>
      <c r="BN465" s="98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  <c r="BY465" s="98"/>
      <c r="BZ465" s="98"/>
      <c r="CA465" s="98"/>
      <c r="CB465" s="98"/>
      <c r="CC465" s="98"/>
      <c r="CD465" s="98"/>
      <c r="CE465" s="98"/>
      <c r="CF465" s="98"/>
      <c r="CG465" s="98"/>
      <c r="CH465" s="98"/>
      <c r="CI465" s="98"/>
      <c r="CJ465" s="98"/>
      <c r="CK465" s="98"/>
    </row>
    <row r="466" spans="1:89" ht="15" x14ac:dyDescent="0.2">
      <c r="A466" s="119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  <c r="AP466" s="98"/>
      <c r="AQ466" s="98"/>
      <c r="AR466" s="98"/>
      <c r="AS466" s="98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8"/>
      <c r="BL466" s="98"/>
      <c r="BM466" s="98"/>
      <c r="BN466" s="98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  <c r="BY466" s="98"/>
      <c r="BZ466" s="98"/>
      <c r="CA466" s="98"/>
      <c r="CB466" s="98"/>
      <c r="CC466" s="98"/>
      <c r="CD466" s="98"/>
      <c r="CE466" s="98"/>
      <c r="CF466" s="98"/>
      <c r="CG466" s="98"/>
      <c r="CH466" s="98"/>
      <c r="CI466" s="98"/>
      <c r="CJ466" s="98"/>
      <c r="CK466" s="98"/>
    </row>
    <row r="467" spans="1:89" ht="15" x14ac:dyDescent="0.2">
      <c r="A467" s="119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  <c r="AP467" s="98"/>
      <c r="AQ467" s="98"/>
      <c r="AR467" s="98"/>
      <c r="AS467" s="98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8"/>
      <c r="BL467" s="98"/>
      <c r="BM467" s="98"/>
      <c r="BN467" s="98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  <c r="BY467" s="98"/>
      <c r="BZ467" s="98"/>
      <c r="CA467" s="98"/>
      <c r="CB467" s="98"/>
      <c r="CC467" s="98"/>
      <c r="CD467" s="98"/>
      <c r="CE467" s="98"/>
      <c r="CF467" s="98"/>
      <c r="CG467" s="98"/>
      <c r="CH467" s="98"/>
      <c r="CI467" s="98"/>
      <c r="CJ467" s="98"/>
      <c r="CK467" s="98"/>
    </row>
    <row r="468" spans="1:89" ht="15" x14ac:dyDescent="0.2">
      <c r="A468" s="119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  <c r="AP468" s="98"/>
      <c r="AQ468" s="98"/>
      <c r="AR468" s="98"/>
      <c r="AS468" s="98"/>
      <c r="AT468" s="98"/>
      <c r="AU468" s="98"/>
      <c r="AV468" s="98"/>
      <c r="AW468" s="98"/>
      <c r="AX468" s="98"/>
      <c r="AY468" s="98"/>
      <c r="AZ468" s="98"/>
      <c r="BA468" s="98"/>
      <c r="BB468" s="98"/>
      <c r="BC468" s="98"/>
      <c r="BD468" s="98"/>
      <c r="BE468" s="98"/>
      <c r="BF468" s="98"/>
      <c r="BG468" s="98"/>
      <c r="BH468" s="98"/>
      <c r="BI468" s="98"/>
      <c r="BJ468" s="98"/>
      <c r="BK468" s="98"/>
      <c r="BL468" s="98"/>
      <c r="BM468" s="98"/>
      <c r="BN468" s="98"/>
      <c r="BO468" s="98"/>
      <c r="BP468" s="98"/>
      <c r="BQ468" s="98"/>
      <c r="BR468" s="98"/>
      <c r="BS468" s="98"/>
      <c r="BT468" s="98"/>
      <c r="BU468" s="98"/>
      <c r="BV468" s="98"/>
      <c r="BW468" s="98"/>
      <c r="BX468" s="98"/>
      <c r="BY468" s="98"/>
      <c r="BZ468" s="98"/>
      <c r="CA468" s="98"/>
      <c r="CB468" s="98"/>
      <c r="CC468" s="98"/>
      <c r="CD468" s="98"/>
      <c r="CE468" s="98"/>
      <c r="CF468" s="98"/>
      <c r="CG468" s="98"/>
      <c r="CH468" s="98"/>
      <c r="CI468" s="98"/>
      <c r="CJ468" s="98"/>
      <c r="CK468" s="98"/>
    </row>
    <row r="469" spans="1:89" ht="15" x14ac:dyDescent="0.2">
      <c r="A469" s="119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  <c r="AP469" s="98"/>
      <c r="AQ469" s="98"/>
      <c r="AR469" s="98"/>
      <c r="AS469" s="98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8"/>
      <c r="BL469" s="98"/>
      <c r="BM469" s="98"/>
      <c r="BN469" s="98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  <c r="BY469" s="98"/>
      <c r="BZ469" s="98"/>
      <c r="CA469" s="98"/>
      <c r="CB469" s="98"/>
      <c r="CC469" s="98"/>
      <c r="CD469" s="98"/>
      <c r="CE469" s="98"/>
      <c r="CF469" s="98"/>
      <c r="CG469" s="98"/>
      <c r="CH469" s="98"/>
      <c r="CI469" s="98"/>
      <c r="CJ469" s="98"/>
      <c r="CK469" s="98"/>
    </row>
    <row r="470" spans="1:89" ht="15" x14ac:dyDescent="0.2">
      <c r="A470" s="119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  <c r="AP470" s="98"/>
      <c r="AQ470" s="98"/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8"/>
      <c r="BL470" s="98"/>
      <c r="BM470" s="98"/>
      <c r="BN470" s="98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  <c r="BY470" s="98"/>
      <c r="BZ470" s="98"/>
      <c r="CA470" s="98"/>
      <c r="CB470" s="98"/>
      <c r="CC470" s="98"/>
      <c r="CD470" s="98"/>
      <c r="CE470" s="98"/>
      <c r="CF470" s="98"/>
      <c r="CG470" s="98"/>
      <c r="CH470" s="98"/>
      <c r="CI470" s="98"/>
      <c r="CJ470" s="98"/>
      <c r="CK470" s="98"/>
    </row>
    <row r="471" spans="1:89" ht="15" x14ac:dyDescent="0.2">
      <c r="A471" s="119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  <c r="AP471" s="98"/>
      <c r="AQ471" s="98"/>
      <c r="AR471" s="98"/>
      <c r="AS471" s="98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8"/>
      <c r="BL471" s="98"/>
      <c r="BM471" s="98"/>
      <c r="BN471" s="98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  <c r="BY471" s="98"/>
      <c r="BZ471" s="98"/>
      <c r="CA471" s="98"/>
      <c r="CB471" s="98"/>
      <c r="CC471" s="98"/>
      <c r="CD471" s="98"/>
      <c r="CE471" s="98"/>
      <c r="CF471" s="98"/>
      <c r="CG471" s="98"/>
      <c r="CH471" s="98"/>
      <c r="CI471" s="98"/>
      <c r="CJ471" s="98"/>
      <c r="CK471" s="98"/>
    </row>
    <row r="472" spans="1:89" ht="15" x14ac:dyDescent="0.2">
      <c r="A472" s="119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  <c r="AP472" s="98"/>
      <c r="AQ472" s="98"/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8"/>
      <c r="BL472" s="98"/>
      <c r="BM472" s="98"/>
      <c r="BN472" s="98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  <c r="BY472" s="98"/>
      <c r="BZ472" s="98"/>
      <c r="CA472" s="98"/>
      <c r="CB472" s="98"/>
      <c r="CC472" s="98"/>
      <c r="CD472" s="98"/>
      <c r="CE472" s="98"/>
      <c r="CF472" s="98"/>
      <c r="CG472" s="98"/>
      <c r="CH472" s="98"/>
      <c r="CI472" s="98"/>
      <c r="CJ472" s="98"/>
      <c r="CK472" s="98"/>
    </row>
    <row r="473" spans="1:89" ht="15" x14ac:dyDescent="0.2">
      <c r="A473" s="119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  <c r="AP473" s="98"/>
      <c r="AQ473" s="98"/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8"/>
      <c r="BL473" s="98"/>
      <c r="BM473" s="98"/>
      <c r="BN473" s="98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  <c r="BY473" s="98"/>
      <c r="BZ473" s="98"/>
      <c r="CA473" s="98"/>
      <c r="CB473" s="98"/>
      <c r="CC473" s="98"/>
      <c r="CD473" s="98"/>
      <c r="CE473" s="98"/>
      <c r="CF473" s="98"/>
      <c r="CG473" s="98"/>
      <c r="CH473" s="98"/>
      <c r="CI473" s="98"/>
      <c r="CJ473" s="98"/>
      <c r="CK473" s="98"/>
    </row>
    <row r="474" spans="1:89" ht="15" x14ac:dyDescent="0.2">
      <c r="A474" s="119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  <c r="AP474" s="98"/>
      <c r="AQ474" s="98"/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8"/>
      <c r="BL474" s="98"/>
      <c r="BM474" s="98"/>
      <c r="BN474" s="98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  <c r="BY474" s="98"/>
      <c r="BZ474" s="98"/>
      <c r="CA474" s="98"/>
      <c r="CB474" s="98"/>
      <c r="CC474" s="98"/>
      <c r="CD474" s="98"/>
      <c r="CE474" s="98"/>
      <c r="CF474" s="98"/>
      <c r="CG474" s="98"/>
      <c r="CH474" s="98"/>
      <c r="CI474" s="98"/>
      <c r="CJ474" s="98"/>
      <c r="CK474" s="98"/>
    </row>
    <row r="475" spans="1:89" ht="15" x14ac:dyDescent="0.2">
      <c r="A475" s="119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  <c r="AP475" s="98"/>
      <c r="AQ475" s="98"/>
      <c r="AR475" s="98"/>
      <c r="AS475" s="98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8"/>
      <c r="BL475" s="98"/>
      <c r="BM475" s="98"/>
      <c r="BN475" s="98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  <c r="BY475" s="98"/>
      <c r="BZ475" s="98"/>
      <c r="CA475" s="98"/>
      <c r="CB475" s="98"/>
      <c r="CC475" s="98"/>
      <c r="CD475" s="98"/>
      <c r="CE475" s="98"/>
      <c r="CF475" s="98"/>
      <c r="CG475" s="98"/>
      <c r="CH475" s="98"/>
      <c r="CI475" s="98"/>
      <c r="CJ475" s="98"/>
      <c r="CK475" s="98"/>
    </row>
    <row r="476" spans="1:89" ht="15" x14ac:dyDescent="0.2">
      <c r="A476" s="119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98"/>
      <c r="AT476" s="98"/>
      <c r="AU476" s="98"/>
      <c r="AV476" s="98"/>
      <c r="AW476" s="98"/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98"/>
      <c r="BI476" s="98"/>
      <c r="BJ476" s="98"/>
      <c r="BK476" s="98"/>
      <c r="BL476" s="98"/>
      <c r="BM476" s="98"/>
      <c r="BN476" s="98"/>
      <c r="BO476" s="98"/>
      <c r="BP476" s="98"/>
      <c r="BQ476" s="98"/>
      <c r="BR476" s="98"/>
      <c r="BS476" s="98"/>
      <c r="BT476" s="98"/>
      <c r="BU476" s="98"/>
      <c r="BV476" s="98"/>
      <c r="BW476" s="98"/>
      <c r="BX476" s="98"/>
      <c r="BY476" s="98"/>
      <c r="BZ476" s="98"/>
      <c r="CA476" s="98"/>
      <c r="CB476" s="98"/>
      <c r="CC476" s="98"/>
      <c r="CD476" s="98"/>
      <c r="CE476" s="98"/>
      <c r="CF476" s="98"/>
      <c r="CG476" s="98"/>
      <c r="CH476" s="98"/>
      <c r="CI476" s="98"/>
      <c r="CJ476" s="98"/>
      <c r="CK476" s="98"/>
    </row>
    <row r="477" spans="1:89" ht="15" x14ac:dyDescent="0.2">
      <c r="A477" s="119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  <c r="AP477" s="98"/>
      <c r="AQ477" s="98"/>
      <c r="AR477" s="98"/>
      <c r="AS477" s="98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8"/>
      <c r="BL477" s="98"/>
      <c r="BM477" s="98"/>
      <c r="BN477" s="98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  <c r="BY477" s="98"/>
      <c r="BZ477" s="98"/>
      <c r="CA477" s="98"/>
      <c r="CB477" s="98"/>
      <c r="CC477" s="98"/>
      <c r="CD477" s="98"/>
      <c r="CE477" s="98"/>
      <c r="CF477" s="98"/>
      <c r="CG477" s="98"/>
      <c r="CH477" s="98"/>
      <c r="CI477" s="98"/>
      <c r="CJ477" s="98"/>
      <c r="CK477" s="98"/>
    </row>
    <row r="478" spans="1:89" ht="15" x14ac:dyDescent="0.2">
      <c r="A478" s="119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8"/>
      <c r="BL478" s="98"/>
      <c r="BM478" s="98"/>
      <c r="BN478" s="98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  <c r="BY478" s="98"/>
      <c r="BZ478" s="98"/>
      <c r="CA478" s="98"/>
      <c r="CB478" s="98"/>
      <c r="CC478" s="98"/>
      <c r="CD478" s="98"/>
      <c r="CE478" s="98"/>
      <c r="CF478" s="98"/>
      <c r="CG478" s="98"/>
      <c r="CH478" s="98"/>
      <c r="CI478" s="98"/>
      <c r="CJ478" s="98"/>
      <c r="CK478" s="98"/>
    </row>
    <row r="479" spans="1:89" ht="15" x14ac:dyDescent="0.2">
      <c r="A479" s="119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  <c r="AP479" s="98"/>
      <c r="AQ479" s="98"/>
      <c r="AR479" s="98"/>
      <c r="AS479" s="98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8"/>
      <c r="BL479" s="98"/>
      <c r="BM479" s="98"/>
      <c r="BN479" s="98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  <c r="BY479" s="98"/>
      <c r="BZ479" s="98"/>
      <c r="CA479" s="98"/>
      <c r="CB479" s="98"/>
      <c r="CC479" s="98"/>
      <c r="CD479" s="98"/>
      <c r="CE479" s="98"/>
      <c r="CF479" s="98"/>
      <c r="CG479" s="98"/>
      <c r="CH479" s="98"/>
      <c r="CI479" s="98"/>
      <c r="CJ479" s="98"/>
      <c r="CK479" s="98"/>
    </row>
    <row r="480" spans="1:89" ht="15" x14ac:dyDescent="0.2">
      <c r="A480" s="119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  <c r="AP480" s="98"/>
      <c r="AQ480" s="98"/>
      <c r="AR480" s="98"/>
      <c r="AS480" s="98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8"/>
      <c r="BL480" s="98"/>
      <c r="BM480" s="98"/>
      <c r="BN480" s="98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  <c r="BY480" s="98"/>
      <c r="BZ480" s="98"/>
      <c r="CA480" s="98"/>
      <c r="CB480" s="98"/>
      <c r="CC480" s="98"/>
      <c r="CD480" s="98"/>
      <c r="CE480" s="98"/>
      <c r="CF480" s="98"/>
      <c r="CG480" s="98"/>
      <c r="CH480" s="98"/>
      <c r="CI480" s="98"/>
      <c r="CJ480" s="98"/>
      <c r="CK480" s="98"/>
    </row>
    <row r="481" spans="1:89" ht="15" x14ac:dyDescent="0.2">
      <c r="A481" s="119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  <c r="AP481" s="98"/>
      <c r="AQ481" s="98"/>
      <c r="AR481" s="98"/>
      <c r="AS481" s="98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8"/>
      <c r="BL481" s="98"/>
      <c r="BM481" s="98"/>
      <c r="BN481" s="98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  <c r="BY481" s="98"/>
      <c r="BZ481" s="98"/>
      <c r="CA481" s="98"/>
      <c r="CB481" s="98"/>
      <c r="CC481" s="98"/>
      <c r="CD481" s="98"/>
      <c r="CE481" s="98"/>
      <c r="CF481" s="98"/>
      <c r="CG481" s="98"/>
      <c r="CH481" s="98"/>
      <c r="CI481" s="98"/>
      <c r="CJ481" s="98"/>
      <c r="CK481" s="98"/>
    </row>
    <row r="482" spans="1:89" ht="15" x14ac:dyDescent="0.2">
      <c r="A482" s="119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  <c r="AP482" s="98"/>
      <c r="AQ482" s="98"/>
      <c r="AR482" s="98"/>
      <c r="AS482" s="98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8"/>
      <c r="BL482" s="98"/>
      <c r="BM482" s="98"/>
      <c r="BN482" s="98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  <c r="BY482" s="98"/>
      <c r="BZ482" s="98"/>
      <c r="CA482" s="98"/>
      <c r="CB482" s="98"/>
      <c r="CC482" s="98"/>
      <c r="CD482" s="98"/>
      <c r="CE482" s="98"/>
      <c r="CF482" s="98"/>
      <c r="CG482" s="98"/>
      <c r="CH482" s="98"/>
      <c r="CI482" s="98"/>
      <c r="CJ482" s="98"/>
      <c r="CK482" s="98"/>
    </row>
    <row r="483" spans="1:89" ht="15" x14ac:dyDescent="0.2">
      <c r="A483" s="119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8"/>
      <c r="BL483" s="98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  <c r="BY483" s="98"/>
      <c r="BZ483" s="98"/>
      <c r="CA483" s="98"/>
      <c r="CB483" s="98"/>
      <c r="CC483" s="98"/>
      <c r="CD483" s="98"/>
      <c r="CE483" s="98"/>
      <c r="CF483" s="98"/>
      <c r="CG483" s="98"/>
      <c r="CH483" s="98"/>
      <c r="CI483" s="98"/>
      <c r="CJ483" s="98"/>
      <c r="CK483" s="98"/>
    </row>
    <row r="484" spans="1:89" ht="15" x14ac:dyDescent="0.2">
      <c r="A484" s="119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  <c r="AP484" s="98"/>
      <c r="AQ484" s="98"/>
      <c r="AR484" s="98"/>
      <c r="AS484" s="98"/>
      <c r="AT484" s="98"/>
      <c r="AU484" s="98"/>
      <c r="AV484" s="98"/>
      <c r="AW484" s="98"/>
      <c r="AX484" s="98"/>
      <c r="AY484" s="98"/>
      <c r="AZ484" s="98"/>
      <c r="BA484" s="98"/>
      <c r="BB484" s="98"/>
      <c r="BC484" s="98"/>
      <c r="BD484" s="98"/>
      <c r="BE484" s="98"/>
      <c r="BF484" s="98"/>
      <c r="BG484" s="98"/>
      <c r="BH484" s="98"/>
      <c r="BI484" s="98"/>
      <c r="BJ484" s="98"/>
      <c r="BK484" s="98"/>
      <c r="BL484" s="98"/>
      <c r="BM484" s="98"/>
      <c r="BN484" s="98"/>
      <c r="BO484" s="98"/>
      <c r="BP484" s="98"/>
      <c r="BQ484" s="98"/>
      <c r="BR484" s="98"/>
      <c r="BS484" s="98"/>
      <c r="BT484" s="98"/>
      <c r="BU484" s="98"/>
      <c r="BV484" s="98"/>
      <c r="BW484" s="98"/>
      <c r="BX484" s="98"/>
      <c r="BY484" s="98"/>
      <c r="BZ484" s="98"/>
      <c r="CA484" s="98"/>
      <c r="CB484" s="98"/>
      <c r="CC484" s="98"/>
      <c r="CD484" s="98"/>
      <c r="CE484" s="98"/>
      <c r="CF484" s="98"/>
      <c r="CG484" s="98"/>
      <c r="CH484" s="98"/>
      <c r="CI484" s="98"/>
      <c r="CJ484" s="98"/>
      <c r="CK484" s="98"/>
    </row>
    <row r="485" spans="1:89" ht="15" x14ac:dyDescent="0.2">
      <c r="A485" s="119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  <c r="AP485" s="98"/>
      <c r="AQ485" s="98"/>
      <c r="AR485" s="98"/>
      <c r="AS485" s="98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8"/>
      <c r="BL485" s="98"/>
      <c r="BM485" s="98"/>
      <c r="BN485" s="98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  <c r="BY485" s="98"/>
      <c r="BZ485" s="98"/>
      <c r="CA485" s="98"/>
      <c r="CB485" s="98"/>
      <c r="CC485" s="98"/>
      <c r="CD485" s="98"/>
      <c r="CE485" s="98"/>
      <c r="CF485" s="98"/>
      <c r="CG485" s="98"/>
      <c r="CH485" s="98"/>
      <c r="CI485" s="98"/>
      <c r="CJ485" s="98"/>
      <c r="CK485" s="98"/>
    </row>
    <row r="486" spans="1:89" ht="15" x14ac:dyDescent="0.2">
      <c r="A486" s="119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  <c r="AP486" s="98"/>
      <c r="AQ486" s="98"/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8"/>
      <c r="BL486" s="98"/>
      <c r="BM486" s="98"/>
      <c r="BN486" s="98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  <c r="BY486" s="98"/>
      <c r="BZ486" s="98"/>
      <c r="CA486" s="98"/>
      <c r="CB486" s="98"/>
      <c r="CC486" s="98"/>
      <c r="CD486" s="98"/>
      <c r="CE486" s="98"/>
      <c r="CF486" s="98"/>
      <c r="CG486" s="98"/>
      <c r="CH486" s="98"/>
      <c r="CI486" s="98"/>
      <c r="CJ486" s="98"/>
      <c r="CK486" s="98"/>
    </row>
    <row r="487" spans="1:89" ht="15" x14ac:dyDescent="0.2">
      <c r="A487" s="119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  <c r="AP487" s="98"/>
      <c r="AQ487" s="98"/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8"/>
      <c r="BL487" s="98"/>
      <c r="BM487" s="98"/>
      <c r="BN487" s="98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  <c r="BY487" s="98"/>
      <c r="BZ487" s="98"/>
      <c r="CA487" s="98"/>
      <c r="CB487" s="98"/>
      <c r="CC487" s="98"/>
      <c r="CD487" s="98"/>
      <c r="CE487" s="98"/>
      <c r="CF487" s="98"/>
      <c r="CG487" s="98"/>
      <c r="CH487" s="98"/>
      <c r="CI487" s="98"/>
      <c r="CJ487" s="98"/>
      <c r="CK487" s="98"/>
    </row>
    <row r="488" spans="1:89" ht="15" x14ac:dyDescent="0.2">
      <c r="A488" s="119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  <c r="AP488" s="98"/>
      <c r="AQ488" s="98"/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8"/>
      <c r="BL488" s="98"/>
      <c r="BM488" s="98"/>
      <c r="BN488" s="98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  <c r="BY488" s="98"/>
      <c r="BZ488" s="98"/>
      <c r="CA488" s="98"/>
      <c r="CB488" s="98"/>
      <c r="CC488" s="98"/>
      <c r="CD488" s="98"/>
      <c r="CE488" s="98"/>
      <c r="CF488" s="98"/>
      <c r="CG488" s="98"/>
      <c r="CH488" s="98"/>
      <c r="CI488" s="98"/>
      <c r="CJ488" s="98"/>
      <c r="CK488" s="98"/>
    </row>
    <row r="489" spans="1:89" ht="15" x14ac:dyDescent="0.2">
      <c r="A489" s="119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  <c r="AP489" s="98"/>
      <c r="AQ489" s="98"/>
      <c r="AR489" s="98"/>
      <c r="AS489" s="98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  <c r="BY489" s="98"/>
      <c r="BZ489" s="98"/>
      <c r="CA489" s="98"/>
      <c r="CB489" s="98"/>
      <c r="CC489" s="98"/>
      <c r="CD489" s="98"/>
      <c r="CE489" s="98"/>
      <c r="CF489" s="98"/>
      <c r="CG489" s="98"/>
      <c r="CH489" s="98"/>
      <c r="CI489" s="98"/>
      <c r="CJ489" s="98"/>
      <c r="CK489" s="98"/>
    </row>
    <row r="490" spans="1:89" ht="15" x14ac:dyDescent="0.2">
      <c r="A490" s="119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  <c r="AP490" s="98"/>
      <c r="AQ490" s="98"/>
      <c r="AR490" s="98"/>
      <c r="AS490" s="98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  <c r="BY490" s="98"/>
      <c r="BZ490" s="98"/>
      <c r="CA490" s="98"/>
      <c r="CB490" s="98"/>
      <c r="CC490" s="98"/>
      <c r="CD490" s="98"/>
      <c r="CE490" s="98"/>
      <c r="CF490" s="98"/>
      <c r="CG490" s="98"/>
      <c r="CH490" s="98"/>
      <c r="CI490" s="98"/>
      <c r="CJ490" s="98"/>
      <c r="CK490" s="98"/>
    </row>
    <row r="491" spans="1:89" ht="15" x14ac:dyDescent="0.2">
      <c r="A491" s="119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  <c r="AP491" s="98"/>
      <c r="AQ491" s="98"/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  <c r="BY491" s="98"/>
      <c r="BZ491" s="98"/>
      <c r="CA491" s="98"/>
      <c r="CB491" s="98"/>
      <c r="CC491" s="98"/>
      <c r="CD491" s="98"/>
      <c r="CE491" s="98"/>
      <c r="CF491" s="98"/>
      <c r="CG491" s="98"/>
      <c r="CH491" s="98"/>
      <c r="CI491" s="98"/>
      <c r="CJ491" s="98"/>
      <c r="CK491" s="98"/>
    </row>
    <row r="492" spans="1:89" ht="15" x14ac:dyDescent="0.2">
      <c r="A492" s="119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  <c r="AP492" s="98"/>
      <c r="AQ492" s="98"/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/>
      <c r="BI492" s="98"/>
      <c r="BJ492" s="98"/>
      <c r="BK492" s="98"/>
      <c r="BL492" s="98"/>
      <c r="BM492" s="98"/>
      <c r="BN492" s="98"/>
      <c r="BO492" s="98"/>
      <c r="BP492" s="98"/>
      <c r="BQ492" s="98"/>
      <c r="BR492" s="98"/>
      <c r="BS492" s="98"/>
      <c r="BT492" s="98"/>
      <c r="BU492" s="98"/>
      <c r="BV492" s="98"/>
      <c r="BW492" s="98"/>
      <c r="BX492" s="98"/>
      <c r="BY492" s="98"/>
      <c r="BZ492" s="98"/>
      <c r="CA492" s="98"/>
      <c r="CB492" s="98"/>
      <c r="CC492" s="98"/>
      <c r="CD492" s="98"/>
      <c r="CE492" s="98"/>
      <c r="CF492" s="98"/>
      <c r="CG492" s="98"/>
      <c r="CH492" s="98"/>
      <c r="CI492" s="98"/>
      <c r="CJ492" s="98"/>
      <c r="CK492" s="98"/>
    </row>
    <row r="493" spans="1:89" ht="15" x14ac:dyDescent="0.2">
      <c r="A493" s="119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  <c r="AP493" s="98"/>
      <c r="AQ493" s="98"/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8"/>
      <c r="BL493" s="98"/>
      <c r="BM493" s="98"/>
      <c r="BN493" s="98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  <c r="BY493" s="98"/>
      <c r="BZ493" s="98"/>
      <c r="CA493" s="98"/>
      <c r="CB493" s="98"/>
      <c r="CC493" s="98"/>
      <c r="CD493" s="98"/>
      <c r="CE493" s="98"/>
      <c r="CF493" s="98"/>
      <c r="CG493" s="98"/>
      <c r="CH493" s="98"/>
      <c r="CI493" s="98"/>
      <c r="CJ493" s="98"/>
      <c r="CK493" s="98"/>
    </row>
    <row r="494" spans="1:89" ht="15" x14ac:dyDescent="0.2">
      <c r="A494" s="119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  <c r="AP494" s="98"/>
      <c r="AQ494" s="98"/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8"/>
      <c r="BL494" s="98"/>
      <c r="BM494" s="98"/>
      <c r="BN494" s="98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  <c r="BY494" s="98"/>
      <c r="BZ494" s="98"/>
      <c r="CA494" s="98"/>
      <c r="CB494" s="98"/>
      <c r="CC494" s="98"/>
      <c r="CD494" s="98"/>
      <c r="CE494" s="98"/>
      <c r="CF494" s="98"/>
      <c r="CG494" s="98"/>
      <c r="CH494" s="98"/>
      <c r="CI494" s="98"/>
      <c r="CJ494" s="98"/>
      <c r="CK494" s="98"/>
    </row>
    <row r="495" spans="1:89" ht="15" x14ac:dyDescent="0.2">
      <c r="A495" s="119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  <c r="AP495" s="98"/>
      <c r="AQ495" s="98"/>
      <c r="AR495" s="98"/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  <c r="BY495" s="98"/>
      <c r="BZ495" s="98"/>
      <c r="CA495" s="98"/>
      <c r="CB495" s="98"/>
      <c r="CC495" s="98"/>
      <c r="CD495" s="98"/>
      <c r="CE495" s="98"/>
      <c r="CF495" s="98"/>
      <c r="CG495" s="98"/>
      <c r="CH495" s="98"/>
      <c r="CI495" s="98"/>
      <c r="CJ495" s="98"/>
      <c r="CK495" s="98"/>
    </row>
    <row r="496" spans="1:89" ht="15" x14ac:dyDescent="0.2">
      <c r="A496" s="119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  <c r="AP496" s="98"/>
      <c r="AQ496" s="98"/>
      <c r="AR496" s="98"/>
      <c r="AS496" s="98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/>
      <c r="CF496" s="98"/>
      <c r="CG496" s="98"/>
      <c r="CH496" s="98"/>
      <c r="CI496" s="98"/>
      <c r="CJ496" s="98"/>
      <c r="CK496" s="98"/>
    </row>
    <row r="497" spans="1:89" ht="15" x14ac:dyDescent="0.2">
      <c r="A497" s="119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  <c r="AP497" s="98"/>
      <c r="AQ497" s="98"/>
      <c r="AR497" s="98"/>
      <c r="AS497" s="98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/>
      <c r="CF497" s="98"/>
      <c r="CG497" s="98"/>
      <c r="CH497" s="98"/>
      <c r="CI497" s="98"/>
      <c r="CJ497" s="98"/>
      <c r="CK497" s="98"/>
    </row>
    <row r="498" spans="1:89" ht="15" x14ac:dyDescent="0.2">
      <c r="A498" s="119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/>
      <c r="CF498" s="98"/>
      <c r="CG498" s="98"/>
      <c r="CH498" s="98"/>
      <c r="CI498" s="98"/>
      <c r="CJ498" s="98"/>
      <c r="CK498" s="98"/>
    </row>
    <row r="499" spans="1:89" ht="15" x14ac:dyDescent="0.2">
      <c r="A499" s="119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  <c r="AP499" s="98"/>
      <c r="AQ499" s="98"/>
      <c r="AR499" s="98"/>
      <c r="AS499" s="98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/>
      <c r="CF499" s="98"/>
      <c r="CG499" s="98"/>
      <c r="CH499" s="98"/>
      <c r="CI499" s="98"/>
      <c r="CJ499" s="98"/>
      <c r="CK499" s="98"/>
    </row>
    <row r="500" spans="1:89" ht="15" x14ac:dyDescent="0.2">
      <c r="A500" s="119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  <c r="AP500" s="98"/>
      <c r="AQ500" s="98"/>
      <c r="AR500" s="98"/>
      <c r="AS500" s="98"/>
      <c r="AT500" s="98"/>
      <c r="AU500" s="98"/>
      <c r="AV500" s="98"/>
      <c r="AW500" s="98"/>
      <c r="AX500" s="98"/>
      <c r="AY500" s="98"/>
      <c r="AZ500" s="98"/>
      <c r="BA500" s="98"/>
      <c r="BB500" s="98"/>
      <c r="BC500" s="98"/>
      <c r="BD500" s="98"/>
      <c r="BE500" s="98"/>
      <c r="BF500" s="98"/>
      <c r="BG500" s="98"/>
      <c r="BH500" s="98"/>
      <c r="BI500" s="98"/>
      <c r="BJ500" s="98"/>
      <c r="BK500" s="98"/>
      <c r="BL500" s="98"/>
      <c r="BM500" s="98"/>
      <c r="BN500" s="98"/>
      <c r="BO500" s="98"/>
      <c r="BP500" s="98"/>
      <c r="BQ500" s="98"/>
      <c r="BR500" s="98"/>
      <c r="BS500" s="98"/>
      <c r="BT500" s="98"/>
      <c r="BU500" s="98"/>
      <c r="BV500" s="98"/>
      <c r="BW500" s="98"/>
      <c r="BX500" s="98"/>
      <c r="BY500" s="98"/>
      <c r="BZ500" s="98"/>
      <c r="CA500" s="98"/>
      <c r="CB500" s="98"/>
      <c r="CC500" s="98"/>
      <c r="CD500" s="98"/>
      <c r="CE500" s="98"/>
      <c r="CF500" s="98"/>
      <c r="CG500" s="98"/>
      <c r="CH500" s="98"/>
      <c r="CI500" s="98"/>
      <c r="CJ500" s="98"/>
      <c r="CK500" s="98"/>
    </row>
    <row r="501" spans="1:89" ht="15" x14ac:dyDescent="0.2">
      <c r="A501" s="119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  <c r="AP501" s="98"/>
      <c r="AQ501" s="98"/>
      <c r="AR501" s="98"/>
      <c r="AS501" s="98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8"/>
      <c r="BL501" s="98"/>
      <c r="BM501" s="98"/>
      <c r="BN501" s="98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  <c r="BY501" s="98"/>
      <c r="BZ501" s="98"/>
      <c r="CA501" s="98"/>
      <c r="CB501" s="98"/>
      <c r="CC501" s="98"/>
      <c r="CD501" s="98"/>
      <c r="CE501" s="98"/>
      <c r="CF501" s="98"/>
      <c r="CG501" s="98"/>
      <c r="CH501" s="98"/>
      <c r="CI501" s="98"/>
      <c r="CJ501" s="98"/>
      <c r="CK501" s="98"/>
    </row>
    <row r="502" spans="1:89" ht="15" x14ac:dyDescent="0.2">
      <c r="A502" s="119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  <c r="AP502" s="98"/>
      <c r="AQ502" s="98"/>
      <c r="AR502" s="98"/>
      <c r="AS502" s="98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8"/>
      <c r="BL502" s="98"/>
      <c r="BM502" s="98"/>
      <c r="BN502" s="98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  <c r="BY502" s="98"/>
      <c r="BZ502" s="98"/>
      <c r="CA502" s="98"/>
      <c r="CB502" s="98"/>
      <c r="CC502" s="98"/>
      <c r="CD502" s="98"/>
      <c r="CE502" s="98"/>
      <c r="CF502" s="98"/>
      <c r="CG502" s="98"/>
      <c r="CH502" s="98"/>
      <c r="CI502" s="98"/>
      <c r="CJ502" s="98"/>
      <c r="CK502" s="98"/>
    </row>
    <row r="503" spans="1:89" ht="15" x14ac:dyDescent="0.2">
      <c r="A503" s="119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  <c r="AP503" s="98"/>
      <c r="AQ503" s="98"/>
      <c r="AR503" s="98"/>
      <c r="AS503" s="98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  <c r="BY503" s="98"/>
      <c r="BZ503" s="98"/>
      <c r="CA503" s="98"/>
      <c r="CB503" s="98"/>
      <c r="CC503" s="98"/>
      <c r="CD503" s="98"/>
      <c r="CE503" s="98"/>
      <c r="CF503" s="98"/>
      <c r="CG503" s="98"/>
      <c r="CH503" s="98"/>
      <c r="CI503" s="98"/>
      <c r="CJ503" s="98"/>
      <c r="CK503" s="98"/>
    </row>
    <row r="504" spans="1:89" ht="15" x14ac:dyDescent="0.2">
      <c r="A504" s="119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  <c r="BY504" s="98"/>
      <c r="BZ504" s="98"/>
      <c r="CA504" s="98"/>
      <c r="CB504" s="98"/>
      <c r="CC504" s="98"/>
      <c r="CD504" s="98"/>
      <c r="CE504" s="98"/>
      <c r="CF504" s="98"/>
      <c r="CG504" s="98"/>
      <c r="CH504" s="98"/>
      <c r="CI504" s="98"/>
      <c r="CJ504" s="98"/>
      <c r="CK504" s="98"/>
    </row>
    <row r="505" spans="1:89" ht="15" x14ac:dyDescent="0.2">
      <c r="A505" s="119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  <c r="AP505" s="98"/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  <c r="BY505" s="98"/>
      <c r="BZ505" s="98"/>
      <c r="CA505" s="98"/>
      <c r="CB505" s="98"/>
      <c r="CC505" s="98"/>
      <c r="CD505" s="98"/>
      <c r="CE505" s="98"/>
      <c r="CF505" s="98"/>
      <c r="CG505" s="98"/>
      <c r="CH505" s="98"/>
      <c r="CI505" s="98"/>
      <c r="CJ505" s="98"/>
      <c r="CK505" s="98"/>
    </row>
    <row r="506" spans="1:89" ht="15" x14ac:dyDescent="0.2">
      <c r="A506" s="119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  <c r="AP506" s="98"/>
      <c r="AQ506" s="98"/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  <c r="BY506" s="98"/>
      <c r="BZ506" s="98"/>
      <c r="CA506" s="98"/>
      <c r="CB506" s="98"/>
      <c r="CC506" s="98"/>
      <c r="CD506" s="98"/>
      <c r="CE506" s="98"/>
      <c r="CF506" s="98"/>
      <c r="CG506" s="98"/>
      <c r="CH506" s="98"/>
      <c r="CI506" s="98"/>
      <c r="CJ506" s="98"/>
      <c r="CK506" s="98"/>
    </row>
    <row r="507" spans="1:89" ht="15" x14ac:dyDescent="0.2">
      <c r="A507" s="119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  <c r="AP507" s="98"/>
      <c r="AQ507" s="98"/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  <c r="BY507" s="98"/>
      <c r="BZ507" s="98"/>
      <c r="CA507" s="98"/>
      <c r="CB507" s="98"/>
      <c r="CC507" s="98"/>
      <c r="CD507" s="98"/>
      <c r="CE507" s="98"/>
      <c r="CF507" s="98"/>
      <c r="CG507" s="98"/>
      <c r="CH507" s="98"/>
      <c r="CI507" s="98"/>
      <c r="CJ507" s="98"/>
      <c r="CK507" s="98"/>
    </row>
    <row r="508" spans="1:89" ht="15" x14ac:dyDescent="0.2">
      <c r="A508" s="119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  <c r="AP508" s="98"/>
      <c r="AQ508" s="98"/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/>
      <c r="BQ508" s="98"/>
      <c r="BR508" s="98"/>
      <c r="BS508" s="98"/>
      <c r="BT508" s="98"/>
      <c r="BU508" s="98"/>
      <c r="BV508" s="98"/>
      <c r="BW508" s="98"/>
      <c r="BX508" s="98"/>
      <c r="BY508" s="98"/>
      <c r="BZ508" s="98"/>
      <c r="CA508" s="98"/>
      <c r="CB508" s="98"/>
      <c r="CC508" s="98"/>
      <c r="CD508" s="98"/>
      <c r="CE508" s="98"/>
      <c r="CF508" s="98"/>
      <c r="CG508" s="98"/>
      <c r="CH508" s="98"/>
      <c r="CI508" s="98"/>
      <c r="CJ508" s="98"/>
      <c r="CK508" s="98"/>
    </row>
    <row r="509" spans="1:89" ht="15" x14ac:dyDescent="0.2">
      <c r="A509" s="119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  <c r="AP509" s="98"/>
      <c r="AQ509" s="98"/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8"/>
      <c r="BL509" s="98"/>
      <c r="BM509" s="98"/>
      <c r="BN509" s="98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  <c r="BY509" s="98"/>
      <c r="BZ509" s="98"/>
      <c r="CA509" s="98"/>
      <c r="CB509" s="98"/>
      <c r="CC509" s="98"/>
      <c r="CD509" s="98"/>
      <c r="CE509" s="98"/>
      <c r="CF509" s="98"/>
      <c r="CG509" s="98"/>
      <c r="CH509" s="98"/>
      <c r="CI509" s="98"/>
      <c r="CJ509" s="98"/>
      <c r="CK509" s="98"/>
    </row>
    <row r="510" spans="1:89" ht="15" x14ac:dyDescent="0.2">
      <c r="A510" s="119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</row>
    <row r="511" spans="1:89" ht="15" x14ac:dyDescent="0.2">
      <c r="A511" s="119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  <c r="AP511" s="98"/>
      <c r="AQ511" s="98"/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</row>
    <row r="512" spans="1:89" ht="15" x14ac:dyDescent="0.2">
      <c r="A512" s="119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</row>
    <row r="513" spans="1:89" ht="15" x14ac:dyDescent="0.2">
      <c r="A513" s="119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  <c r="AP513" s="98"/>
      <c r="AQ513" s="98"/>
      <c r="AR513" s="98"/>
      <c r="AS513" s="98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</row>
    <row r="514" spans="1:89" ht="15" x14ac:dyDescent="0.2">
      <c r="A514" s="119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  <c r="AP514" s="98"/>
      <c r="AQ514" s="98"/>
      <c r="AR514" s="98"/>
      <c r="AS514" s="98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</row>
    <row r="515" spans="1:89" ht="15" x14ac:dyDescent="0.2">
      <c r="A515" s="119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  <c r="AP515" s="98"/>
      <c r="AQ515" s="98"/>
      <c r="AR515" s="98"/>
      <c r="AS515" s="98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</row>
    <row r="516" spans="1:89" ht="15" x14ac:dyDescent="0.2">
      <c r="A516" s="119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  <c r="AP516" s="98"/>
      <c r="AQ516" s="98"/>
      <c r="AR516" s="98"/>
      <c r="AS516" s="98"/>
      <c r="AT516" s="98"/>
      <c r="AU516" s="98"/>
      <c r="AV516" s="98"/>
      <c r="AW516" s="98"/>
      <c r="AX516" s="98"/>
      <c r="AY516" s="98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</row>
    <row r="517" spans="1:89" ht="15" x14ac:dyDescent="0.2">
      <c r="A517" s="119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  <c r="AP517" s="98"/>
      <c r="AQ517" s="98"/>
      <c r="AR517" s="98"/>
      <c r="AS517" s="98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</row>
    <row r="518" spans="1:89" ht="15" x14ac:dyDescent="0.2">
      <c r="A518" s="119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  <c r="AP518" s="98"/>
      <c r="AQ518" s="98"/>
      <c r="AR518" s="98"/>
      <c r="AS518" s="98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  <c r="BY518" s="98"/>
      <c r="BZ518" s="98"/>
      <c r="CA518" s="98"/>
      <c r="CB518" s="98"/>
      <c r="CC518" s="98"/>
      <c r="CD518" s="98"/>
      <c r="CE518" s="98"/>
      <c r="CF518" s="98"/>
      <c r="CG518" s="98"/>
      <c r="CH518" s="98"/>
      <c r="CI518" s="98"/>
      <c r="CJ518" s="98"/>
      <c r="CK518" s="98"/>
    </row>
    <row r="519" spans="1:89" ht="15" x14ac:dyDescent="0.2">
      <c r="A519" s="119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  <c r="AP519" s="98"/>
      <c r="AQ519" s="98"/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</row>
    <row r="520" spans="1:89" ht="15" x14ac:dyDescent="0.2">
      <c r="A520" s="119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  <c r="AP520" s="98"/>
      <c r="AQ520" s="98"/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</row>
    <row r="521" spans="1:89" ht="15" x14ac:dyDescent="0.2">
      <c r="A521" s="119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  <c r="AP521" s="98"/>
      <c r="AQ521" s="98"/>
      <c r="AR521" s="98"/>
      <c r="AS521" s="98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</row>
    <row r="522" spans="1:89" ht="15" x14ac:dyDescent="0.2">
      <c r="A522" s="119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  <c r="AP522" s="98"/>
      <c r="AQ522" s="98"/>
      <c r="AR522" s="98"/>
      <c r="AS522" s="98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</row>
    <row r="523" spans="1:89" ht="15" x14ac:dyDescent="0.2">
      <c r="A523" s="119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  <c r="AP523" s="98"/>
      <c r="AQ523" s="98"/>
      <c r="AR523" s="98"/>
      <c r="AS523" s="98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</row>
    <row r="524" spans="1:89" ht="15" x14ac:dyDescent="0.2">
      <c r="A524" s="119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  <c r="AP524" s="98"/>
      <c r="AQ524" s="98"/>
      <c r="AR524" s="98"/>
      <c r="AS524" s="98"/>
      <c r="AT524" s="98"/>
      <c r="AU524" s="98"/>
      <c r="AV524" s="98"/>
      <c r="AW524" s="98"/>
      <c r="AX524" s="98"/>
      <c r="AY524" s="98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</row>
    <row r="525" spans="1:89" ht="15" x14ac:dyDescent="0.2">
      <c r="A525" s="119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  <c r="AP525" s="98"/>
      <c r="AQ525" s="98"/>
      <c r="AR525" s="98"/>
      <c r="AS525" s="98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</row>
    <row r="526" spans="1:89" ht="15" x14ac:dyDescent="0.2">
      <c r="A526" s="119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</row>
    <row r="527" spans="1:89" ht="15" x14ac:dyDescent="0.2">
      <c r="A527" s="119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  <c r="AP527" s="98"/>
      <c r="AQ527" s="98"/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</row>
    <row r="528" spans="1:89" ht="15" x14ac:dyDescent="0.2">
      <c r="A528" s="119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  <c r="AP528" s="98"/>
      <c r="AQ528" s="98"/>
      <c r="AR528" s="98"/>
      <c r="AS528" s="98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</row>
    <row r="529" spans="1:89" ht="15" x14ac:dyDescent="0.2">
      <c r="A529" s="119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  <c r="AP529" s="98"/>
      <c r="AQ529" s="98"/>
      <c r="AR529" s="98"/>
      <c r="AS529" s="98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</row>
    <row r="530" spans="1:89" ht="15" x14ac:dyDescent="0.2">
      <c r="A530" s="119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  <c r="AP530" s="98"/>
      <c r="AQ530" s="98"/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</row>
    <row r="531" spans="1:89" ht="15" x14ac:dyDescent="0.2">
      <c r="A531" s="119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  <c r="AP531" s="98"/>
      <c r="AQ531" s="98"/>
      <c r="AR531" s="98"/>
      <c r="AS531" s="98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</row>
    <row r="532" spans="1:89" ht="15" x14ac:dyDescent="0.2">
      <c r="A532" s="119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  <c r="AP532" s="98"/>
      <c r="AQ532" s="98"/>
      <c r="AR532" s="98"/>
      <c r="AS532" s="98"/>
      <c r="AT532" s="98"/>
      <c r="AU532" s="98"/>
      <c r="AV532" s="98"/>
      <c r="AW532" s="98"/>
      <c r="AX532" s="98"/>
      <c r="AY532" s="98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</row>
    <row r="533" spans="1:89" ht="15" x14ac:dyDescent="0.2">
      <c r="A533" s="119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  <c r="AP533" s="98"/>
      <c r="AQ533" s="98"/>
      <c r="AR533" s="98"/>
      <c r="AS533" s="98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</row>
    <row r="534" spans="1:89" ht="15" x14ac:dyDescent="0.2">
      <c r="A534" s="119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  <c r="AP534" s="98"/>
      <c r="AQ534" s="98"/>
      <c r="AR534" s="98"/>
      <c r="AS534" s="98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8"/>
      <c r="BL534" s="98"/>
      <c r="BM534" s="98"/>
      <c r="BN534" s="98"/>
      <c r="BO534" s="98"/>
      <c r="BP534" s="98"/>
      <c r="BQ534" s="98"/>
      <c r="BR534" s="98"/>
      <c r="BS534" s="98"/>
      <c r="BT534" s="98"/>
      <c r="BU534" s="98"/>
      <c r="BV534" s="98"/>
      <c r="BW534" s="98"/>
      <c r="BX534" s="98"/>
      <c r="BY534" s="98"/>
      <c r="BZ534" s="98"/>
      <c r="CA534" s="98"/>
      <c r="CB534" s="98"/>
      <c r="CC534" s="98"/>
      <c r="CD534" s="98"/>
      <c r="CE534" s="98"/>
      <c r="CF534" s="98"/>
      <c r="CG534" s="98"/>
      <c r="CH534" s="98"/>
      <c r="CI534" s="98"/>
      <c r="CJ534" s="98"/>
      <c r="CK534" s="98"/>
    </row>
    <row r="535" spans="1:89" ht="15" x14ac:dyDescent="0.2">
      <c r="A535" s="119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8"/>
      <c r="BL535" s="98"/>
      <c r="BM535" s="98"/>
      <c r="BN535" s="98"/>
      <c r="BO535" s="98"/>
      <c r="BP535" s="98"/>
      <c r="BQ535" s="98"/>
      <c r="BR535" s="98"/>
      <c r="BS535" s="98"/>
      <c r="BT535" s="98"/>
      <c r="BU535" s="98"/>
      <c r="BV535" s="98"/>
      <c r="BW535" s="98"/>
      <c r="BX535" s="98"/>
      <c r="BY535" s="98"/>
      <c r="BZ535" s="98"/>
      <c r="CA535" s="98"/>
      <c r="CB535" s="98"/>
      <c r="CC535" s="98"/>
      <c r="CD535" s="98"/>
      <c r="CE535" s="98"/>
      <c r="CF535" s="98"/>
      <c r="CG535" s="98"/>
      <c r="CH535" s="98"/>
      <c r="CI535" s="98"/>
      <c r="CJ535" s="98"/>
      <c r="CK535" s="98"/>
    </row>
    <row r="536" spans="1:89" ht="15" x14ac:dyDescent="0.2">
      <c r="A536" s="119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8"/>
      <c r="BL536" s="98"/>
      <c r="BM536" s="98"/>
      <c r="BN536" s="98"/>
      <c r="BO536" s="98"/>
      <c r="BP536" s="98"/>
      <c r="BQ536" s="98"/>
      <c r="BR536" s="98"/>
      <c r="BS536" s="98"/>
      <c r="BT536" s="98"/>
      <c r="BU536" s="98"/>
      <c r="BV536" s="98"/>
      <c r="BW536" s="98"/>
      <c r="BX536" s="98"/>
      <c r="BY536" s="98"/>
      <c r="BZ536" s="98"/>
      <c r="CA536" s="98"/>
      <c r="CB536" s="98"/>
      <c r="CC536" s="98"/>
      <c r="CD536" s="98"/>
      <c r="CE536" s="98"/>
      <c r="CF536" s="98"/>
      <c r="CG536" s="98"/>
      <c r="CH536" s="98"/>
      <c r="CI536" s="98"/>
      <c r="CJ536" s="98"/>
      <c r="CK536" s="98"/>
    </row>
    <row r="537" spans="1:89" ht="15" x14ac:dyDescent="0.2">
      <c r="A537" s="119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  <c r="AP537" s="98"/>
      <c r="AQ537" s="98"/>
      <c r="AR537" s="98"/>
      <c r="AS537" s="98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8"/>
      <c r="BL537" s="98"/>
      <c r="BM537" s="98"/>
      <c r="BN537" s="98"/>
      <c r="BO537" s="98"/>
      <c r="BP537" s="98"/>
      <c r="BQ537" s="98"/>
      <c r="BR537" s="98"/>
      <c r="BS537" s="98"/>
      <c r="BT537" s="98"/>
      <c r="BU537" s="98"/>
      <c r="BV537" s="98"/>
      <c r="BW537" s="98"/>
      <c r="BX537" s="98"/>
      <c r="BY537" s="98"/>
      <c r="BZ537" s="98"/>
      <c r="CA537" s="98"/>
      <c r="CB537" s="98"/>
      <c r="CC537" s="98"/>
      <c r="CD537" s="98"/>
      <c r="CE537" s="98"/>
      <c r="CF537" s="98"/>
      <c r="CG537" s="98"/>
      <c r="CH537" s="98"/>
      <c r="CI537" s="98"/>
      <c r="CJ537" s="98"/>
      <c r="CK537" s="98"/>
    </row>
    <row r="538" spans="1:89" ht="15" x14ac:dyDescent="0.2">
      <c r="A538" s="119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  <c r="AP538" s="98"/>
      <c r="AQ538" s="98"/>
      <c r="AR538" s="98"/>
      <c r="AS538" s="98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8"/>
      <c r="BL538" s="98"/>
      <c r="BM538" s="98"/>
      <c r="BN538" s="98"/>
      <c r="BO538" s="98"/>
      <c r="BP538" s="98"/>
      <c r="BQ538" s="98"/>
      <c r="BR538" s="98"/>
      <c r="BS538" s="98"/>
      <c r="BT538" s="98"/>
      <c r="BU538" s="98"/>
      <c r="BV538" s="98"/>
      <c r="BW538" s="98"/>
      <c r="BX538" s="98"/>
      <c r="BY538" s="98"/>
      <c r="BZ538" s="98"/>
      <c r="CA538" s="98"/>
      <c r="CB538" s="98"/>
      <c r="CC538" s="98"/>
      <c r="CD538" s="98"/>
      <c r="CE538" s="98"/>
      <c r="CF538" s="98"/>
      <c r="CG538" s="98"/>
      <c r="CH538" s="98"/>
      <c r="CI538" s="98"/>
      <c r="CJ538" s="98"/>
      <c r="CK538" s="98"/>
    </row>
    <row r="539" spans="1:89" ht="15" x14ac:dyDescent="0.2">
      <c r="A539" s="119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  <c r="AP539" s="98"/>
      <c r="AQ539" s="98"/>
      <c r="AR539" s="98"/>
      <c r="AS539" s="98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</row>
    <row r="540" spans="1:89" ht="15" x14ac:dyDescent="0.2">
      <c r="A540" s="119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  <c r="AP540" s="98"/>
      <c r="AQ540" s="98"/>
      <c r="AR540" s="98"/>
      <c r="AS540" s="98"/>
      <c r="AT540" s="98"/>
      <c r="AU540" s="98"/>
      <c r="AV540" s="98"/>
      <c r="AW540" s="98"/>
      <c r="AX540" s="98"/>
      <c r="AY540" s="98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</row>
    <row r="541" spans="1:89" ht="15" x14ac:dyDescent="0.2">
      <c r="A541" s="119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  <c r="AP541" s="98"/>
      <c r="AQ541" s="98"/>
      <c r="AR541" s="98"/>
      <c r="AS541" s="98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</row>
    <row r="542" spans="1:89" ht="15" x14ac:dyDescent="0.2">
      <c r="A542" s="119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</row>
    <row r="543" spans="1:89" ht="15" x14ac:dyDescent="0.2">
      <c r="A543" s="119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  <c r="AP543" s="98"/>
      <c r="AQ543" s="98"/>
      <c r="AR543" s="98"/>
      <c r="AS543" s="98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</row>
    <row r="544" spans="1:89" ht="15" x14ac:dyDescent="0.2">
      <c r="A544" s="119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  <c r="AP544" s="98"/>
      <c r="AQ544" s="98"/>
      <c r="AR544" s="98"/>
      <c r="AS544" s="98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</row>
    <row r="545" spans="1:89" ht="15" x14ac:dyDescent="0.2">
      <c r="A545" s="119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  <c r="AP545" s="98"/>
      <c r="AQ545" s="98"/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</row>
    <row r="546" spans="1:89" ht="15" x14ac:dyDescent="0.2">
      <c r="A546" s="119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  <c r="AP546" s="98"/>
      <c r="AQ546" s="98"/>
      <c r="AR546" s="98"/>
      <c r="AS546" s="98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8"/>
      <c r="BL546" s="98"/>
      <c r="BM546" s="98"/>
      <c r="BN546" s="98"/>
      <c r="BO546" s="98"/>
      <c r="BP546" s="98"/>
      <c r="BQ546" s="98"/>
      <c r="BR546" s="98"/>
      <c r="BS546" s="98"/>
      <c r="BT546" s="98"/>
      <c r="BU546" s="98"/>
      <c r="BV546" s="98"/>
      <c r="BW546" s="98"/>
      <c r="BX546" s="98"/>
      <c r="BY546" s="98"/>
      <c r="BZ546" s="98"/>
      <c r="CA546" s="98"/>
      <c r="CB546" s="98"/>
      <c r="CC546" s="98"/>
      <c r="CD546" s="98"/>
      <c r="CE546" s="98"/>
      <c r="CF546" s="98"/>
      <c r="CG546" s="98"/>
      <c r="CH546" s="98"/>
      <c r="CI546" s="98"/>
      <c r="CJ546" s="98"/>
      <c r="CK546" s="98"/>
    </row>
    <row r="547" spans="1:89" ht="15" x14ac:dyDescent="0.2">
      <c r="A547" s="119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  <c r="AP547" s="98"/>
      <c r="AQ547" s="98"/>
      <c r="AR547" s="98"/>
      <c r="AS547" s="98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8"/>
      <c r="BL547" s="98"/>
      <c r="BM547" s="98"/>
      <c r="BN547" s="98"/>
      <c r="BO547" s="98"/>
      <c r="BP547" s="98"/>
      <c r="BQ547" s="98"/>
      <c r="BR547" s="98"/>
      <c r="BS547" s="98"/>
      <c r="BT547" s="98"/>
      <c r="BU547" s="98"/>
      <c r="BV547" s="98"/>
      <c r="BW547" s="98"/>
      <c r="BX547" s="98"/>
      <c r="BY547" s="98"/>
      <c r="BZ547" s="98"/>
      <c r="CA547" s="98"/>
      <c r="CB547" s="98"/>
      <c r="CC547" s="98"/>
      <c r="CD547" s="98"/>
      <c r="CE547" s="98"/>
      <c r="CF547" s="98"/>
      <c r="CG547" s="98"/>
      <c r="CH547" s="98"/>
      <c r="CI547" s="98"/>
      <c r="CJ547" s="98"/>
      <c r="CK547" s="98"/>
    </row>
    <row r="548" spans="1:89" ht="15" x14ac:dyDescent="0.2">
      <c r="A548" s="119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  <c r="AP548" s="98"/>
      <c r="AQ548" s="98"/>
      <c r="AR548" s="98"/>
      <c r="AS548" s="98"/>
      <c r="AT548" s="98"/>
      <c r="AU548" s="98"/>
      <c r="AV548" s="98"/>
      <c r="AW548" s="98"/>
      <c r="AX548" s="98"/>
      <c r="AY548" s="98"/>
      <c r="AZ548" s="98"/>
      <c r="BA548" s="98"/>
      <c r="BB548" s="98"/>
      <c r="BC548" s="98"/>
      <c r="BD548" s="98"/>
      <c r="BE548" s="98"/>
      <c r="BF548" s="98"/>
      <c r="BG548" s="98"/>
      <c r="BH548" s="98"/>
      <c r="BI548" s="98"/>
      <c r="BJ548" s="98"/>
      <c r="BK548" s="98"/>
      <c r="BL548" s="98"/>
      <c r="BM548" s="98"/>
      <c r="BN548" s="98"/>
      <c r="BO548" s="98"/>
      <c r="BP548" s="98"/>
      <c r="BQ548" s="98"/>
      <c r="BR548" s="98"/>
      <c r="BS548" s="98"/>
      <c r="BT548" s="98"/>
      <c r="BU548" s="98"/>
      <c r="BV548" s="98"/>
      <c r="BW548" s="98"/>
      <c r="BX548" s="98"/>
      <c r="BY548" s="98"/>
      <c r="BZ548" s="98"/>
      <c r="CA548" s="98"/>
      <c r="CB548" s="98"/>
      <c r="CC548" s="98"/>
      <c r="CD548" s="98"/>
      <c r="CE548" s="98"/>
      <c r="CF548" s="98"/>
      <c r="CG548" s="98"/>
      <c r="CH548" s="98"/>
      <c r="CI548" s="98"/>
      <c r="CJ548" s="98"/>
      <c r="CK548" s="98"/>
    </row>
    <row r="549" spans="1:89" ht="15" x14ac:dyDescent="0.2">
      <c r="A549" s="119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  <c r="AP549" s="98"/>
      <c r="AQ549" s="98"/>
      <c r="AR549" s="98"/>
      <c r="AS549" s="98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8"/>
      <c r="BL549" s="98"/>
      <c r="BM549" s="98"/>
      <c r="BN549" s="98"/>
      <c r="BO549" s="98"/>
      <c r="BP549" s="98"/>
      <c r="BQ549" s="98"/>
      <c r="BR549" s="98"/>
      <c r="BS549" s="98"/>
      <c r="BT549" s="98"/>
      <c r="BU549" s="98"/>
      <c r="BV549" s="98"/>
      <c r="BW549" s="98"/>
      <c r="BX549" s="98"/>
      <c r="BY549" s="98"/>
      <c r="BZ549" s="98"/>
      <c r="CA549" s="98"/>
      <c r="CB549" s="98"/>
      <c r="CC549" s="98"/>
      <c r="CD549" s="98"/>
      <c r="CE549" s="98"/>
      <c r="CF549" s="98"/>
      <c r="CG549" s="98"/>
      <c r="CH549" s="98"/>
      <c r="CI549" s="98"/>
      <c r="CJ549" s="98"/>
      <c r="CK549" s="98"/>
    </row>
    <row r="550" spans="1:89" ht="15" x14ac:dyDescent="0.2">
      <c r="A550" s="119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  <c r="AP550" s="98"/>
      <c r="AQ550" s="98"/>
      <c r="AR550" s="98"/>
      <c r="AS550" s="98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8"/>
      <c r="BL550" s="98"/>
      <c r="BM550" s="98"/>
      <c r="BN550" s="98"/>
      <c r="BO550" s="98"/>
      <c r="BP550" s="98"/>
      <c r="BQ550" s="98"/>
      <c r="BR550" s="98"/>
      <c r="BS550" s="98"/>
      <c r="BT550" s="98"/>
      <c r="BU550" s="98"/>
      <c r="BV550" s="98"/>
      <c r="BW550" s="98"/>
      <c r="BX550" s="98"/>
      <c r="BY550" s="98"/>
      <c r="BZ550" s="98"/>
      <c r="CA550" s="98"/>
      <c r="CB550" s="98"/>
      <c r="CC550" s="98"/>
      <c r="CD550" s="98"/>
      <c r="CE550" s="98"/>
      <c r="CF550" s="98"/>
      <c r="CG550" s="98"/>
      <c r="CH550" s="98"/>
      <c r="CI550" s="98"/>
      <c r="CJ550" s="98"/>
      <c r="CK550" s="98"/>
    </row>
    <row r="551" spans="1:89" ht="15" x14ac:dyDescent="0.2">
      <c r="A551" s="119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  <c r="AP551" s="98"/>
      <c r="AQ551" s="98"/>
      <c r="AR551" s="98"/>
      <c r="AS551" s="98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8"/>
      <c r="BL551" s="98"/>
      <c r="BM551" s="98"/>
      <c r="BN551" s="98"/>
      <c r="BO551" s="98"/>
      <c r="BP551" s="98"/>
      <c r="BQ551" s="98"/>
      <c r="BR551" s="98"/>
      <c r="BS551" s="98"/>
      <c r="BT551" s="98"/>
      <c r="BU551" s="98"/>
      <c r="BV551" s="98"/>
      <c r="BW551" s="98"/>
      <c r="BX551" s="98"/>
      <c r="BY551" s="98"/>
      <c r="BZ551" s="98"/>
      <c r="CA551" s="98"/>
      <c r="CB551" s="98"/>
      <c r="CC551" s="98"/>
      <c r="CD551" s="98"/>
      <c r="CE551" s="98"/>
      <c r="CF551" s="98"/>
      <c r="CG551" s="98"/>
      <c r="CH551" s="98"/>
      <c r="CI551" s="98"/>
      <c r="CJ551" s="98"/>
      <c r="CK551" s="98"/>
    </row>
    <row r="552" spans="1:89" ht="15" x14ac:dyDescent="0.2">
      <c r="A552" s="119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  <c r="AP552" s="98"/>
      <c r="AQ552" s="98"/>
      <c r="AR552" s="98"/>
      <c r="AS552" s="98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8"/>
      <c r="BL552" s="98"/>
      <c r="BM552" s="98"/>
      <c r="BN552" s="98"/>
      <c r="BO552" s="98"/>
      <c r="BP552" s="98"/>
      <c r="BQ552" s="98"/>
      <c r="BR552" s="98"/>
      <c r="BS552" s="98"/>
      <c r="BT552" s="98"/>
      <c r="BU552" s="98"/>
      <c r="BV552" s="98"/>
      <c r="BW552" s="98"/>
      <c r="BX552" s="98"/>
      <c r="BY552" s="98"/>
      <c r="BZ552" s="98"/>
      <c r="CA552" s="98"/>
      <c r="CB552" s="98"/>
      <c r="CC552" s="98"/>
      <c r="CD552" s="98"/>
      <c r="CE552" s="98"/>
      <c r="CF552" s="98"/>
      <c r="CG552" s="98"/>
      <c r="CH552" s="98"/>
      <c r="CI552" s="98"/>
      <c r="CJ552" s="98"/>
      <c r="CK552" s="98"/>
    </row>
    <row r="553" spans="1:89" ht="15" x14ac:dyDescent="0.2">
      <c r="A553" s="119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  <c r="AP553" s="98"/>
      <c r="AQ553" s="98"/>
      <c r="AR553" s="98"/>
      <c r="AS553" s="98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8"/>
      <c r="BL553" s="98"/>
      <c r="BM553" s="98"/>
      <c r="BN553" s="98"/>
      <c r="BO553" s="98"/>
      <c r="BP553" s="98"/>
      <c r="BQ553" s="98"/>
      <c r="BR553" s="98"/>
      <c r="BS553" s="98"/>
      <c r="BT553" s="98"/>
      <c r="BU553" s="98"/>
      <c r="BV553" s="98"/>
      <c r="BW553" s="98"/>
      <c r="BX553" s="98"/>
      <c r="BY553" s="98"/>
      <c r="BZ553" s="98"/>
      <c r="CA553" s="98"/>
      <c r="CB553" s="98"/>
      <c r="CC553" s="98"/>
      <c r="CD553" s="98"/>
      <c r="CE553" s="98"/>
      <c r="CF553" s="98"/>
      <c r="CG553" s="98"/>
      <c r="CH553" s="98"/>
      <c r="CI553" s="98"/>
      <c r="CJ553" s="98"/>
      <c r="CK553" s="98"/>
    </row>
    <row r="554" spans="1:89" ht="15" x14ac:dyDescent="0.2">
      <c r="A554" s="119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  <c r="AP554" s="98"/>
      <c r="AQ554" s="98"/>
      <c r="AR554" s="98"/>
      <c r="AS554" s="98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8"/>
      <c r="BL554" s="98"/>
      <c r="BM554" s="98"/>
      <c r="BN554" s="98"/>
      <c r="BO554" s="98"/>
      <c r="BP554" s="98"/>
      <c r="BQ554" s="98"/>
      <c r="BR554" s="98"/>
      <c r="BS554" s="98"/>
      <c r="BT554" s="98"/>
      <c r="BU554" s="98"/>
      <c r="BV554" s="98"/>
      <c r="BW554" s="98"/>
      <c r="BX554" s="98"/>
      <c r="BY554" s="98"/>
      <c r="BZ554" s="98"/>
      <c r="CA554" s="98"/>
      <c r="CB554" s="98"/>
      <c r="CC554" s="98"/>
      <c r="CD554" s="98"/>
      <c r="CE554" s="98"/>
      <c r="CF554" s="98"/>
      <c r="CG554" s="98"/>
      <c r="CH554" s="98"/>
      <c r="CI554" s="98"/>
      <c r="CJ554" s="98"/>
      <c r="CK554" s="98"/>
    </row>
    <row r="555" spans="1:89" ht="15" x14ac:dyDescent="0.2">
      <c r="A555" s="119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  <c r="AP555" s="98"/>
      <c r="AQ555" s="98"/>
      <c r="AR555" s="98"/>
      <c r="AS555" s="98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8"/>
      <c r="BL555" s="98"/>
      <c r="BM555" s="98"/>
      <c r="BN555" s="98"/>
      <c r="BO555" s="98"/>
      <c r="BP555" s="98"/>
      <c r="BQ555" s="98"/>
      <c r="BR555" s="98"/>
      <c r="BS555" s="98"/>
      <c r="BT555" s="98"/>
      <c r="BU555" s="98"/>
      <c r="BV555" s="98"/>
      <c r="BW555" s="98"/>
      <c r="BX555" s="98"/>
      <c r="BY555" s="98"/>
      <c r="BZ555" s="98"/>
      <c r="CA555" s="98"/>
      <c r="CB555" s="98"/>
      <c r="CC555" s="98"/>
      <c r="CD555" s="98"/>
      <c r="CE555" s="98"/>
      <c r="CF555" s="98"/>
      <c r="CG555" s="98"/>
      <c r="CH555" s="98"/>
      <c r="CI555" s="98"/>
      <c r="CJ555" s="98"/>
      <c r="CK555" s="98"/>
    </row>
    <row r="556" spans="1:89" ht="15" x14ac:dyDescent="0.2">
      <c r="A556" s="119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  <c r="AP556" s="98"/>
      <c r="AQ556" s="98"/>
      <c r="AR556" s="98"/>
      <c r="AS556" s="98"/>
      <c r="AT556" s="98"/>
      <c r="AU556" s="98"/>
      <c r="AV556" s="98"/>
      <c r="AW556" s="98"/>
      <c r="AX556" s="98"/>
      <c r="AY556" s="98"/>
      <c r="AZ556" s="98"/>
      <c r="BA556" s="98"/>
      <c r="BB556" s="98"/>
      <c r="BC556" s="98"/>
      <c r="BD556" s="98"/>
      <c r="BE556" s="98"/>
      <c r="BF556" s="98"/>
      <c r="BG556" s="98"/>
      <c r="BH556" s="98"/>
      <c r="BI556" s="98"/>
      <c r="BJ556" s="98"/>
      <c r="BK556" s="98"/>
      <c r="BL556" s="98"/>
      <c r="BM556" s="98"/>
      <c r="BN556" s="98"/>
      <c r="BO556" s="98"/>
      <c r="BP556" s="98"/>
      <c r="BQ556" s="98"/>
      <c r="BR556" s="98"/>
      <c r="BS556" s="98"/>
      <c r="BT556" s="98"/>
      <c r="BU556" s="98"/>
      <c r="BV556" s="98"/>
      <c r="BW556" s="98"/>
      <c r="BX556" s="98"/>
      <c r="BY556" s="98"/>
      <c r="BZ556" s="98"/>
      <c r="CA556" s="98"/>
      <c r="CB556" s="98"/>
      <c r="CC556" s="98"/>
      <c r="CD556" s="98"/>
      <c r="CE556" s="98"/>
      <c r="CF556" s="98"/>
      <c r="CG556" s="98"/>
      <c r="CH556" s="98"/>
      <c r="CI556" s="98"/>
      <c r="CJ556" s="98"/>
      <c r="CK556" s="98"/>
    </row>
    <row r="557" spans="1:89" ht="15" x14ac:dyDescent="0.2">
      <c r="A557" s="119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  <c r="AP557" s="98"/>
      <c r="AQ557" s="98"/>
      <c r="AR557" s="98"/>
      <c r="AS557" s="98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</row>
    <row r="558" spans="1:89" ht="15" x14ac:dyDescent="0.2">
      <c r="A558" s="119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  <c r="AP558" s="98"/>
      <c r="AQ558" s="98"/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</row>
    <row r="559" spans="1:89" ht="15" x14ac:dyDescent="0.2">
      <c r="A559" s="119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  <c r="AP559" s="98"/>
      <c r="AQ559" s="98"/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98"/>
      <c r="BO559" s="98"/>
      <c r="BP559" s="98"/>
      <c r="BQ559" s="98"/>
      <c r="BR559" s="98"/>
      <c r="BS559" s="98"/>
      <c r="BT559" s="98"/>
      <c r="BU559" s="98"/>
      <c r="BV559" s="98"/>
      <c r="BW559" s="98"/>
      <c r="BX559" s="98"/>
      <c r="BY559" s="98"/>
      <c r="BZ559" s="98"/>
      <c r="CA559" s="98"/>
      <c r="CB559" s="98"/>
      <c r="CC559" s="98"/>
      <c r="CD559" s="98"/>
      <c r="CE559" s="98"/>
      <c r="CF559" s="98"/>
      <c r="CG559" s="98"/>
      <c r="CH559" s="98"/>
      <c r="CI559" s="98"/>
      <c r="CJ559" s="98"/>
      <c r="CK559" s="98"/>
    </row>
    <row r="560" spans="1:89" ht="15" x14ac:dyDescent="0.2">
      <c r="A560" s="119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98"/>
      <c r="BO560" s="98"/>
      <c r="BP560" s="98"/>
      <c r="BQ560" s="98"/>
      <c r="BR560" s="98"/>
      <c r="BS560" s="98"/>
      <c r="BT560" s="98"/>
      <c r="BU560" s="98"/>
      <c r="BV560" s="98"/>
      <c r="BW560" s="98"/>
      <c r="BX560" s="98"/>
      <c r="BY560" s="98"/>
      <c r="BZ560" s="98"/>
      <c r="CA560" s="98"/>
      <c r="CB560" s="98"/>
      <c r="CC560" s="98"/>
      <c r="CD560" s="98"/>
      <c r="CE560" s="98"/>
      <c r="CF560" s="98"/>
      <c r="CG560" s="98"/>
      <c r="CH560" s="98"/>
      <c r="CI560" s="98"/>
      <c r="CJ560" s="98"/>
      <c r="CK560" s="98"/>
    </row>
    <row r="561" spans="1:89" ht="15" x14ac:dyDescent="0.2">
      <c r="A561" s="119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  <c r="AP561" s="98"/>
      <c r="AQ561" s="98"/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98"/>
      <c r="BO561" s="98"/>
      <c r="BP561" s="98"/>
      <c r="BQ561" s="98"/>
      <c r="BR561" s="98"/>
      <c r="BS561" s="98"/>
      <c r="BT561" s="98"/>
      <c r="BU561" s="98"/>
      <c r="BV561" s="98"/>
      <c r="BW561" s="98"/>
      <c r="BX561" s="98"/>
      <c r="BY561" s="98"/>
      <c r="BZ561" s="98"/>
      <c r="CA561" s="98"/>
      <c r="CB561" s="98"/>
      <c r="CC561" s="98"/>
      <c r="CD561" s="98"/>
      <c r="CE561" s="98"/>
      <c r="CF561" s="98"/>
      <c r="CG561" s="98"/>
      <c r="CH561" s="98"/>
      <c r="CI561" s="98"/>
      <c r="CJ561" s="98"/>
      <c r="CK561" s="98"/>
    </row>
    <row r="562" spans="1:89" ht="15" x14ac:dyDescent="0.2">
      <c r="A562" s="119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  <c r="AP562" s="98"/>
      <c r="AQ562" s="98"/>
      <c r="AR562" s="98"/>
      <c r="AS562" s="98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8"/>
      <c r="BL562" s="98"/>
      <c r="BM562" s="98"/>
      <c r="BN562" s="98"/>
      <c r="BO562" s="98"/>
      <c r="BP562" s="98"/>
      <c r="BQ562" s="98"/>
      <c r="BR562" s="98"/>
      <c r="BS562" s="98"/>
      <c r="BT562" s="98"/>
      <c r="BU562" s="98"/>
      <c r="BV562" s="98"/>
      <c r="BW562" s="98"/>
      <c r="BX562" s="98"/>
      <c r="BY562" s="98"/>
      <c r="BZ562" s="98"/>
      <c r="CA562" s="98"/>
      <c r="CB562" s="98"/>
      <c r="CC562" s="98"/>
      <c r="CD562" s="98"/>
      <c r="CE562" s="98"/>
      <c r="CF562" s="98"/>
      <c r="CG562" s="98"/>
      <c r="CH562" s="98"/>
      <c r="CI562" s="98"/>
      <c r="CJ562" s="98"/>
      <c r="CK562" s="98"/>
    </row>
    <row r="563" spans="1:89" ht="15" x14ac:dyDescent="0.2">
      <c r="A563" s="119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  <c r="AP563" s="98"/>
      <c r="AQ563" s="98"/>
      <c r="AR563" s="98"/>
      <c r="AS563" s="98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8"/>
      <c r="BL563" s="98"/>
      <c r="BM563" s="98"/>
      <c r="BN563" s="98"/>
      <c r="BO563" s="98"/>
      <c r="BP563" s="98"/>
      <c r="BQ563" s="98"/>
      <c r="BR563" s="98"/>
      <c r="BS563" s="98"/>
      <c r="BT563" s="98"/>
      <c r="BU563" s="98"/>
      <c r="BV563" s="98"/>
      <c r="BW563" s="98"/>
      <c r="BX563" s="98"/>
      <c r="BY563" s="98"/>
      <c r="BZ563" s="98"/>
      <c r="CA563" s="98"/>
      <c r="CB563" s="98"/>
      <c r="CC563" s="98"/>
      <c r="CD563" s="98"/>
      <c r="CE563" s="98"/>
      <c r="CF563" s="98"/>
      <c r="CG563" s="98"/>
      <c r="CH563" s="98"/>
      <c r="CI563" s="98"/>
      <c r="CJ563" s="98"/>
      <c r="CK563" s="98"/>
    </row>
    <row r="564" spans="1:89" ht="15" x14ac:dyDescent="0.2">
      <c r="A564" s="119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  <c r="AP564" s="98"/>
      <c r="AQ564" s="98"/>
      <c r="AR564" s="98"/>
      <c r="AS564" s="98"/>
      <c r="AT564" s="98"/>
      <c r="AU564" s="98"/>
      <c r="AV564" s="98"/>
      <c r="AW564" s="98"/>
      <c r="AX564" s="98"/>
      <c r="AY564" s="98"/>
      <c r="AZ564" s="98"/>
      <c r="BA564" s="98"/>
      <c r="BB564" s="98"/>
      <c r="BC564" s="98"/>
      <c r="BD564" s="98"/>
      <c r="BE564" s="98"/>
      <c r="BF564" s="98"/>
      <c r="BG564" s="98"/>
      <c r="BH564" s="98"/>
      <c r="BI564" s="98"/>
      <c r="BJ564" s="98"/>
      <c r="BK564" s="98"/>
      <c r="BL564" s="98"/>
      <c r="BM564" s="98"/>
      <c r="BN564" s="98"/>
      <c r="BO564" s="98"/>
      <c r="BP564" s="98"/>
      <c r="BQ564" s="98"/>
      <c r="BR564" s="98"/>
      <c r="BS564" s="98"/>
      <c r="BT564" s="98"/>
      <c r="BU564" s="98"/>
      <c r="BV564" s="98"/>
      <c r="BW564" s="98"/>
      <c r="BX564" s="98"/>
      <c r="BY564" s="98"/>
      <c r="BZ564" s="98"/>
      <c r="CA564" s="98"/>
      <c r="CB564" s="98"/>
      <c r="CC564" s="98"/>
      <c r="CD564" s="98"/>
      <c r="CE564" s="98"/>
      <c r="CF564" s="98"/>
      <c r="CG564" s="98"/>
      <c r="CH564" s="98"/>
      <c r="CI564" s="98"/>
      <c r="CJ564" s="98"/>
      <c r="CK564" s="98"/>
    </row>
    <row r="565" spans="1:89" ht="15" x14ac:dyDescent="0.2">
      <c r="A565" s="119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  <c r="AP565" s="98"/>
      <c r="AQ565" s="98"/>
      <c r="AR565" s="98"/>
      <c r="AS565" s="98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8"/>
      <c r="BL565" s="98"/>
      <c r="BM565" s="98"/>
      <c r="BN565" s="98"/>
      <c r="BO565" s="98"/>
      <c r="BP565" s="98"/>
      <c r="BQ565" s="98"/>
      <c r="BR565" s="98"/>
      <c r="BS565" s="98"/>
      <c r="BT565" s="98"/>
      <c r="BU565" s="98"/>
      <c r="BV565" s="98"/>
      <c r="BW565" s="98"/>
      <c r="BX565" s="98"/>
      <c r="BY565" s="98"/>
      <c r="BZ565" s="98"/>
      <c r="CA565" s="98"/>
      <c r="CB565" s="98"/>
      <c r="CC565" s="98"/>
      <c r="CD565" s="98"/>
      <c r="CE565" s="98"/>
      <c r="CF565" s="98"/>
      <c r="CG565" s="98"/>
      <c r="CH565" s="98"/>
      <c r="CI565" s="98"/>
      <c r="CJ565" s="98"/>
      <c r="CK565" s="98"/>
    </row>
    <row r="566" spans="1:89" ht="15" x14ac:dyDescent="0.2">
      <c r="A566" s="119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  <c r="AP566" s="98"/>
      <c r="AQ566" s="98"/>
      <c r="AR566" s="98"/>
      <c r="AS566" s="98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8"/>
      <c r="BL566" s="98"/>
      <c r="BM566" s="98"/>
      <c r="BN566" s="98"/>
      <c r="BO566" s="98"/>
      <c r="BP566" s="98"/>
      <c r="BQ566" s="98"/>
      <c r="BR566" s="98"/>
      <c r="BS566" s="98"/>
      <c r="BT566" s="98"/>
      <c r="BU566" s="98"/>
      <c r="BV566" s="98"/>
      <c r="BW566" s="98"/>
      <c r="BX566" s="98"/>
      <c r="BY566" s="98"/>
      <c r="BZ566" s="98"/>
      <c r="CA566" s="98"/>
      <c r="CB566" s="98"/>
      <c r="CC566" s="98"/>
      <c r="CD566" s="98"/>
      <c r="CE566" s="98"/>
      <c r="CF566" s="98"/>
      <c r="CG566" s="98"/>
      <c r="CH566" s="98"/>
      <c r="CI566" s="98"/>
      <c r="CJ566" s="98"/>
      <c r="CK566" s="98"/>
    </row>
    <row r="567" spans="1:89" ht="15" x14ac:dyDescent="0.2">
      <c r="A567" s="119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  <c r="AP567" s="98"/>
      <c r="AQ567" s="98"/>
      <c r="AR567" s="98"/>
      <c r="AS567" s="98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8"/>
      <c r="BL567" s="98"/>
      <c r="BM567" s="98"/>
      <c r="BN567" s="98"/>
      <c r="BO567" s="98"/>
      <c r="BP567" s="98"/>
      <c r="BQ567" s="98"/>
      <c r="BR567" s="98"/>
      <c r="BS567" s="98"/>
      <c r="BT567" s="98"/>
      <c r="BU567" s="98"/>
      <c r="BV567" s="98"/>
      <c r="BW567" s="98"/>
      <c r="BX567" s="98"/>
      <c r="BY567" s="98"/>
      <c r="BZ567" s="98"/>
      <c r="CA567" s="98"/>
      <c r="CB567" s="98"/>
      <c r="CC567" s="98"/>
      <c r="CD567" s="98"/>
      <c r="CE567" s="98"/>
      <c r="CF567" s="98"/>
      <c r="CG567" s="98"/>
      <c r="CH567" s="98"/>
      <c r="CI567" s="98"/>
      <c r="CJ567" s="98"/>
      <c r="CK567" s="98"/>
    </row>
    <row r="568" spans="1:89" ht="15" x14ac:dyDescent="0.2">
      <c r="A568" s="119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  <c r="AP568" s="98"/>
      <c r="AQ568" s="98"/>
      <c r="AR568" s="98"/>
      <c r="AS568" s="98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8"/>
      <c r="BL568" s="98"/>
      <c r="BM568" s="98"/>
      <c r="BN568" s="98"/>
      <c r="BO568" s="98"/>
      <c r="BP568" s="98"/>
      <c r="BQ568" s="98"/>
      <c r="BR568" s="98"/>
      <c r="BS568" s="98"/>
      <c r="BT568" s="98"/>
      <c r="BU568" s="98"/>
      <c r="BV568" s="98"/>
      <c r="BW568" s="98"/>
      <c r="BX568" s="98"/>
      <c r="BY568" s="98"/>
      <c r="BZ568" s="98"/>
      <c r="CA568" s="98"/>
      <c r="CB568" s="98"/>
      <c r="CC568" s="98"/>
      <c r="CD568" s="98"/>
      <c r="CE568" s="98"/>
      <c r="CF568" s="98"/>
      <c r="CG568" s="98"/>
      <c r="CH568" s="98"/>
      <c r="CI568" s="98"/>
      <c r="CJ568" s="98"/>
      <c r="CK568" s="98"/>
    </row>
    <row r="569" spans="1:89" ht="15" x14ac:dyDescent="0.2">
      <c r="A569" s="119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  <c r="AP569" s="98"/>
      <c r="AQ569" s="98"/>
      <c r="AR569" s="98"/>
      <c r="AS569" s="98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8"/>
      <c r="BL569" s="98"/>
      <c r="BM569" s="98"/>
      <c r="BN569" s="98"/>
      <c r="BO569" s="98"/>
      <c r="BP569" s="98"/>
      <c r="BQ569" s="98"/>
      <c r="BR569" s="98"/>
      <c r="BS569" s="98"/>
      <c r="BT569" s="98"/>
      <c r="BU569" s="98"/>
      <c r="BV569" s="98"/>
      <c r="BW569" s="98"/>
      <c r="BX569" s="98"/>
      <c r="BY569" s="98"/>
      <c r="BZ569" s="98"/>
      <c r="CA569" s="98"/>
      <c r="CB569" s="98"/>
      <c r="CC569" s="98"/>
      <c r="CD569" s="98"/>
      <c r="CE569" s="98"/>
      <c r="CF569" s="98"/>
      <c r="CG569" s="98"/>
      <c r="CH569" s="98"/>
      <c r="CI569" s="98"/>
      <c r="CJ569" s="98"/>
      <c r="CK569" s="98"/>
    </row>
    <row r="570" spans="1:89" ht="15" x14ac:dyDescent="0.2">
      <c r="A570" s="119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  <c r="AP570" s="98"/>
      <c r="AQ570" s="98"/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</row>
    <row r="571" spans="1:89" ht="15" x14ac:dyDescent="0.2">
      <c r="A571" s="119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  <c r="AP571" s="98"/>
      <c r="AQ571" s="98"/>
      <c r="AR571" s="98"/>
      <c r="AS571" s="98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8"/>
      <c r="BL571" s="98"/>
      <c r="BM571" s="98"/>
      <c r="BN571" s="98"/>
      <c r="BO571" s="98"/>
      <c r="BP571" s="98"/>
      <c r="BQ571" s="98"/>
      <c r="BR571" s="98"/>
      <c r="BS571" s="98"/>
      <c r="BT571" s="98"/>
      <c r="BU571" s="98"/>
      <c r="BV571" s="98"/>
      <c r="BW571" s="98"/>
      <c r="BX571" s="98"/>
      <c r="BY571" s="98"/>
      <c r="BZ571" s="98"/>
      <c r="CA571" s="98"/>
      <c r="CB571" s="98"/>
      <c r="CC571" s="98"/>
      <c r="CD571" s="98"/>
      <c r="CE571" s="98"/>
      <c r="CF571" s="98"/>
      <c r="CG571" s="98"/>
      <c r="CH571" s="98"/>
      <c r="CI571" s="98"/>
      <c r="CJ571" s="98"/>
      <c r="CK571" s="98"/>
    </row>
    <row r="572" spans="1:89" ht="15" x14ac:dyDescent="0.2">
      <c r="A572" s="119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  <c r="AP572" s="98"/>
      <c r="AQ572" s="98"/>
      <c r="AR572" s="98"/>
      <c r="AS572" s="98"/>
      <c r="AT572" s="98"/>
      <c r="AU572" s="98"/>
      <c r="AV572" s="98"/>
      <c r="AW572" s="98"/>
      <c r="AX572" s="98"/>
      <c r="AY572" s="98"/>
      <c r="AZ572" s="98"/>
      <c r="BA572" s="98"/>
      <c r="BB572" s="98"/>
      <c r="BC572" s="98"/>
      <c r="BD572" s="98"/>
      <c r="BE572" s="98"/>
      <c r="BF572" s="98"/>
      <c r="BG572" s="98"/>
      <c r="BH572" s="98"/>
      <c r="BI572" s="98"/>
      <c r="BJ572" s="98"/>
      <c r="BK572" s="98"/>
      <c r="BL572" s="98"/>
      <c r="BM572" s="98"/>
      <c r="BN572" s="98"/>
      <c r="BO572" s="98"/>
      <c r="BP572" s="98"/>
      <c r="BQ572" s="98"/>
      <c r="BR572" s="98"/>
      <c r="BS572" s="98"/>
      <c r="BT572" s="98"/>
      <c r="BU572" s="98"/>
      <c r="BV572" s="98"/>
      <c r="BW572" s="98"/>
      <c r="BX572" s="98"/>
      <c r="BY572" s="98"/>
      <c r="BZ572" s="98"/>
      <c r="CA572" s="98"/>
      <c r="CB572" s="98"/>
      <c r="CC572" s="98"/>
      <c r="CD572" s="98"/>
      <c r="CE572" s="98"/>
      <c r="CF572" s="98"/>
      <c r="CG572" s="98"/>
      <c r="CH572" s="98"/>
      <c r="CI572" s="98"/>
      <c r="CJ572" s="98"/>
      <c r="CK572" s="98"/>
    </row>
    <row r="573" spans="1:89" ht="15" x14ac:dyDescent="0.2">
      <c r="A573" s="119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  <c r="AP573" s="98"/>
      <c r="AQ573" s="98"/>
      <c r="AR573" s="98"/>
      <c r="AS573" s="98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8"/>
      <c r="BL573" s="98"/>
      <c r="BM573" s="98"/>
      <c r="BN573" s="98"/>
      <c r="BO573" s="98"/>
      <c r="BP573" s="98"/>
      <c r="BQ573" s="98"/>
      <c r="BR573" s="98"/>
      <c r="BS573" s="98"/>
      <c r="BT573" s="98"/>
      <c r="BU573" s="98"/>
      <c r="BV573" s="98"/>
      <c r="BW573" s="98"/>
      <c r="BX573" s="98"/>
      <c r="BY573" s="98"/>
      <c r="BZ573" s="98"/>
      <c r="CA573" s="98"/>
      <c r="CB573" s="98"/>
      <c r="CC573" s="98"/>
      <c r="CD573" s="98"/>
      <c r="CE573" s="98"/>
      <c r="CF573" s="98"/>
      <c r="CG573" s="98"/>
      <c r="CH573" s="98"/>
      <c r="CI573" s="98"/>
      <c r="CJ573" s="98"/>
      <c r="CK573" s="98"/>
    </row>
    <row r="574" spans="1:89" ht="15" x14ac:dyDescent="0.2">
      <c r="A574" s="119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  <c r="AP574" s="98"/>
      <c r="AQ574" s="98"/>
      <c r="AR574" s="98"/>
      <c r="AS574" s="98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8"/>
      <c r="BL574" s="98"/>
      <c r="BM574" s="98"/>
      <c r="BN574" s="98"/>
      <c r="BO574" s="98"/>
      <c r="BP574" s="98"/>
      <c r="BQ574" s="98"/>
      <c r="BR574" s="98"/>
      <c r="BS574" s="98"/>
      <c r="BT574" s="98"/>
      <c r="BU574" s="98"/>
      <c r="BV574" s="98"/>
      <c r="BW574" s="98"/>
      <c r="BX574" s="98"/>
      <c r="BY574" s="98"/>
      <c r="BZ574" s="98"/>
      <c r="CA574" s="98"/>
      <c r="CB574" s="98"/>
      <c r="CC574" s="98"/>
      <c r="CD574" s="98"/>
      <c r="CE574" s="98"/>
      <c r="CF574" s="98"/>
      <c r="CG574" s="98"/>
      <c r="CH574" s="98"/>
      <c r="CI574" s="98"/>
      <c r="CJ574" s="98"/>
      <c r="CK574" s="98"/>
    </row>
    <row r="575" spans="1:89" ht="15" x14ac:dyDescent="0.2">
      <c r="A575" s="119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  <c r="AP575" s="98"/>
      <c r="AQ575" s="98"/>
      <c r="AR575" s="98"/>
      <c r="AS575" s="98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8"/>
      <c r="BL575" s="98"/>
      <c r="BM575" s="98"/>
      <c r="BN575" s="98"/>
      <c r="BO575" s="98"/>
      <c r="BP575" s="98"/>
      <c r="BQ575" s="98"/>
      <c r="BR575" s="98"/>
      <c r="BS575" s="98"/>
      <c r="BT575" s="98"/>
      <c r="BU575" s="98"/>
      <c r="BV575" s="98"/>
      <c r="BW575" s="98"/>
      <c r="BX575" s="98"/>
      <c r="BY575" s="98"/>
      <c r="BZ575" s="98"/>
      <c r="CA575" s="98"/>
      <c r="CB575" s="98"/>
      <c r="CC575" s="98"/>
      <c r="CD575" s="98"/>
      <c r="CE575" s="98"/>
      <c r="CF575" s="98"/>
      <c r="CG575" s="98"/>
      <c r="CH575" s="98"/>
      <c r="CI575" s="98"/>
      <c r="CJ575" s="98"/>
      <c r="CK575" s="98"/>
    </row>
    <row r="576" spans="1:89" ht="15" x14ac:dyDescent="0.2">
      <c r="A576" s="119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</row>
    <row r="577" spans="1:89" ht="15" x14ac:dyDescent="0.2">
      <c r="A577" s="119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8"/>
      <c r="BL577" s="98"/>
      <c r="BM577" s="98"/>
      <c r="BN577" s="98"/>
      <c r="BO577" s="98"/>
      <c r="BP577" s="98"/>
      <c r="BQ577" s="98"/>
      <c r="BR577" s="98"/>
      <c r="BS577" s="98"/>
      <c r="BT577" s="98"/>
      <c r="BU577" s="98"/>
      <c r="BV577" s="98"/>
      <c r="BW577" s="98"/>
      <c r="BX577" s="98"/>
      <c r="BY577" s="98"/>
      <c r="BZ577" s="98"/>
      <c r="CA577" s="98"/>
      <c r="CB577" s="98"/>
      <c r="CC577" s="98"/>
      <c r="CD577" s="98"/>
      <c r="CE577" s="98"/>
      <c r="CF577" s="98"/>
      <c r="CG577" s="98"/>
      <c r="CH577" s="98"/>
      <c r="CI577" s="98"/>
      <c r="CJ577" s="98"/>
      <c r="CK577" s="98"/>
    </row>
    <row r="578" spans="1:89" ht="15" x14ac:dyDescent="0.2">
      <c r="A578" s="119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  <c r="AP578" s="98"/>
      <c r="AQ578" s="98"/>
      <c r="AR578" s="98"/>
      <c r="AS578" s="98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8"/>
      <c r="BL578" s="98"/>
      <c r="BM578" s="98"/>
      <c r="BN578" s="98"/>
      <c r="BO578" s="98"/>
      <c r="BP578" s="98"/>
      <c r="BQ578" s="98"/>
      <c r="BR578" s="98"/>
      <c r="BS578" s="98"/>
      <c r="BT578" s="98"/>
      <c r="BU578" s="98"/>
      <c r="BV578" s="98"/>
      <c r="BW578" s="98"/>
      <c r="BX578" s="98"/>
      <c r="BY578" s="98"/>
      <c r="BZ578" s="98"/>
      <c r="CA578" s="98"/>
      <c r="CB578" s="98"/>
      <c r="CC578" s="98"/>
      <c r="CD578" s="98"/>
      <c r="CE578" s="98"/>
      <c r="CF578" s="98"/>
      <c r="CG578" s="98"/>
      <c r="CH578" s="98"/>
      <c r="CI578" s="98"/>
      <c r="CJ578" s="98"/>
      <c r="CK578" s="98"/>
    </row>
    <row r="579" spans="1:89" ht="15" x14ac:dyDescent="0.2">
      <c r="A579" s="119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  <c r="AP579" s="98"/>
      <c r="AQ579" s="98"/>
      <c r="AR579" s="98"/>
      <c r="AS579" s="98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8"/>
      <c r="BL579" s="98"/>
      <c r="BM579" s="98"/>
      <c r="BN579" s="98"/>
      <c r="BO579" s="98"/>
      <c r="BP579" s="98"/>
      <c r="BQ579" s="98"/>
      <c r="BR579" s="98"/>
      <c r="BS579" s="98"/>
      <c r="BT579" s="98"/>
      <c r="BU579" s="98"/>
      <c r="BV579" s="98"/>
      <c r="BW579" s="98"/>
      <c r="BX579" s="98"/>
      <c r="BY579" s="98"/>
      <c r="BZ579" s="98"/>
      <c r="CA579" s="98"/>
      <c r="CB579" s="98"/>
      <c r="CC579" s="98"/>
      <c r="CD579" s="98"/>
      <c r="CE579" s="98"/>
      <c r="CF579" s="98"/>
      <c r="CG579" s="98"/>
      <c r="CH579" s="98"/>
      <c r="CI579" s="98"/>
      <c r="CJ579" s="98"/>
      <c r="CK579" s="98"/>
    </row>
    <row r="580" spans="1:89" ht="15" x14ac:dyDescent="0.2">
      <c r="A580" s="119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  <c r="AP580" s="98"/>
      <c r="AQ580" s="98"/>
      <c r="AR580" s="98"/>
      <c r="AS580" s="98"/>
      <c r="AT580" s="98"/>
      <c r="AU580" s="98"/>
      <c r="AV580" s="98"/>
      <c r="AW580" s="98"/>
      <c r="AX580" s="98"/>
      <c r="AY580" s="98"/>
      <c r="AZ580" s="98"/>
      <c r="BA580" s="98"/>
      <c r="BB580" s="98"/>
      <c r="BC580" s="98"/>
      <c r="BD580" s="98"/>
      <c r="BE580" s="98"/>
      <c r="BF580" s="98"/>
      <c r="BG580" s="98"/>
      <c r="BH580" s="98"/>
      <c r="BI580" s="98"/>
      <c r="BJ580" s="98"/>
      <c r="BK580" s="98"/>
      <c r="BL580" s="98"/>
      <c r="BM580" s="98"/>
      <c r="BN580" s="98"/>
      <c r="BO580" s="98"/>
      <c r="BP580" s="98"/>
      <c r="BQ580" s="98"/>
      <c r="BR580" s="98"/>
      <c r="BS580" s="98"/>
      <c r="BT580" s="98"/>
      <c r="BU580" s="98"/>
      <c r="BV580" s="98"/>
      <c r="BW580" s="98"/>
      <c r="BX580" s="98"/>
      <c r="BY580" s="98"/>
      <c r="BZ580" s="98"/>
      <c r="CA580" s="98"/>
      <c r="CB580" s="98"/>
      <c r="CC580" s="98"/>
      <c r="CD580" s="98"/>
      <c r="CE580" s="98"/>
      <c r="CF580" s="98"/>
      <c r="CG580" s="98"/>
      <c r="CH580" s="98"/>
      <c r="CI580" s="98"/>
      <c r="CJ580" s="98"/>
      <c r="CK580" s="98"/>
    </row>
    <row r="581" spans="1:89" ht="15" x14ac:dyDescent="0.2">
      <c r="A581" s="119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  <c r="AP581" s="98"/>
      <c r="AQ581" s="98"/>
      <c r="AR581" s="98"/>
      <c r="AS581" s="98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8"/>
      <c r="BL581" s="98"/>
      <c r="BM581" s="98"/>
      <c r="BN581" s="98"/>
      <c r="BO581" s="98"/>
      <c r="BP581" s="98"/>
      <c r="BQ581" s="98"/>
      <c r="BR581" s="98"/>
      <c r="BS581" s="98"/>
      <c r="BT581" s="98"/>
      <c r="BU581" s="98"/>
      <c r="BV581" s="98"/>
      <c r="BW581" s="98"/>
      <c r="BX581" s="98"/>
      <c r="BY581" s="98"/>
      <c r="BZ581" s="98"/>
      <c r="CA581" s="98"/>
      <c r="CB581" s="98"/>
      <c r="CC581" s="98"/>
      <c r="CD581" s="98"/>
      <c r="CE581" s="98"/>
      <c r="CF581" s="98"/>
      <c r="CG581" s="98"/>
      <c r="CH581" s="98"/>
      <c r="CI581" s="98"/>
      <c r="CJ581" s="98"/>
      <c r="CK581" s="98"/>
    </row>
    <row r="582" spans="1:89" ht="15" x14ac:dyDescent="0.2">
      <c r="A582" s="119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  <c r="AP582" s="98"/>
      <c r="AQ582" s="98"/>
      <c r="AR582" s="98"/>
      <c r="AS582" s="98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8"/>
      <c r="BL582" s="98"/>
      <c r="BM582" s="98"/>
      <c r="BN582" s="98"/>
      <c r="BO582" s="98"/>
      <c r="BP582" s="98"/>
      <c r="BQ582" s="98"/>
      <c r="BR582" s="98"/>
      <c r="BS582" s="98"/>
      <c r="BT582" s="98"/>
      <c r="BU582" s="98"/>
      <c r="BV582" s="98"/>
      <c r="BW582" s="98"/>
      <c r="BX582" s="98"/>
      <c r="BY582" s="98"/>
      <c r="BZ582" s="98"/>
      <c r="CA582" s="98"/>
      <c r="CB582" s="98"/>
      <c r="CC582" s="98"/>
      <c r="CD582" s="98"/>
      <c r="CE582" s="98"/>
      <c r="CF582" s="98"/>
      <c r="CG582" s="98"/>
      <c r="CH582" s="98"/>
      <c r="CI582" s="98"/>
      <c r="CJ582" s="98"/>
      <c r="CK582" s="98"/>
    </row>
    <row r="583" spans="1:89" ht="15" x14ac:dyDescent="0.2">
      <c r="A583" s="119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  <c r="AP583" s="98"/>
      <c r="AQ583" s="98"/>
      <c r="AR583" s="98"/>
      <c r="AS583" s="98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8"/>
      <c r="BL583" s="98"/>
      <c r="BM583" s="98"/>
      <c r="BN583" s="98"/>
      <c r="BO583" s="98"/>
      <c r="BP583" s="98"/>
      <c r="BQ583" s="98"/>
      <c r="BR583" s="98"/>
      <c r="BS583" s="98"/>
      <c r="BT583" s="98"/>
      <c r="BU583" s="98"/>
      <c r="BV583" s="98"/>
      <c r="BW583" s="98"/>
      <c r="BX583" s="98"/>
      <c r="BY583" s="98"/>
      <c r="BZ583" s="98"/>
      <c r="CA583" s="98"/>
      <c r="CB583" s="98"/>
      <c r="CC583" s="98"/>
      <c r="CD583" s="98"/>
      <c r="CE583" s="98"/>
      <c r="CF583" s="98"/>
      <c r="CG583" s="98"/>
      <c r="CH583" s="98"/>
      <c r="CI583" s="98"/>
      <c r="CJ583" s="98"/>
      <c r="CK583" s="98"/>
    </row>
    <row r="584" spans="1:89" ht="15" x14ac:dyDescent="0.2">
      <c r="A584" s="119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  <c r="AP584" s="98"/>
      <c r="AQ584" s="98"/>
      <c r="AR584" s="98"/>
      <c r="AS584" s="98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8"/>
      <c r="BL584" s="98"/>
      <c r="BM584" s="98"/>
      <c r="BN584" s="98"/>
      <c r="BO584" s="98"/>
      <c r="BP584" s="98"/>
      <c r="BQ584" s="98"/>
      <c r="BR584" s="98"/>
      <c r="BS584" s="98"/>
      <c r="BT584" s="98"/>
      <c r="BU584" s="98"/>
      <c r="BV584" s="98"/>
      <c r="BW584" s="98"/>
      <c r="BX584" s="98"/>
      <c r="BY584" s="98"/>
      <c r="BZ584" s="98"/>
      <c r="CA584" s="98"/>
      <c r="CB584" s="98"/>
      <c r="CC584" s="98"/>
      <c r="CD584" s="98"/>
      <c r="CE584" s="98"/>
      <c r="CF584" s="98"/>
      <c r="CG584" s="98"/>
      <c r="CH584" s="98"/>
      <c r="CI584" s="98"/>
      <c r="CJ584" s="98"/>
      <c r="CK584" s="98"/>
    </row>
    <row r="585" spans="1:89" ht="15" x14ac:dyDescent="0.2">
      <c r="A585" s="119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  <c r="AP585" s="98"/>
      <c r="AQ585" s="98"/>
      <c r="AR585" s="98"/>
      <c r="AS585" s="98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8"/>
      <c r="BL585" s="98"/>
      <c r="BM585" s="98"/>
      <c r="BN585" s="98"/>
      <c r="BO585" s="98"/>
      <c r="BP585" s="98"/>
      <c r="BQ585" s="98"/>
      <c r="BR585" s="98"/>
      <c r="BS585" s="98"/>
      <c r="BT585" s="98"/>
      <c r="BU585" s="98"/>
      <c r="BV585" s="98"/>
      <c r="BW585" s="98"/>
      <c r="BX585" s="98"/>
      <c r="BY585" s="98"/>
      <c r="BZ585" s="98"/>
      <c r="CA585" s="98"/>
      <c r="CB585" s="98"/>
      <c r="CC585" s="98"/>
      <c r="CD585" s="98"/>
      <c r="CE585" s="98"/>
      <c r="CF585" s="98"/>
      <c r="CG585" s="98"/>
      <c r="CH585" s="98"/>
      <c r="CI585" s="98"/>
      <c r="CJ585" s="98"/>
      <c r="CK585" s="98"/>
    </row>
    <row r="586" spans="1:89" ht="15" x14ac:dyDescent="0.2">
      <c r="A586" s="119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  <c r="AP586" s="98"/>
      <c r="AQ586" s="98"/>
      <c r="AR586" s="98"/>
      <c r="AS586" s="98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8"/>
      <c r="BL586" s="98"/>
      <c r="BM586" s="98"/>
      <c r="BN586" s="98"/>
      <c r="BO586" s="98"/>
      <c r="BP586" s="98"/>
      <c r="BQ586" s="98"/>
      <c r="BR586" s="98"/>
      <c r="BS586" s="98"/>
      <c r="BT586" s="98"/>
      <c r="BU586" s="98"/>
      <c r="BV586" s="98"/>
      <c r="BW586" s="98"/>
      <c r="BX586" s="98"/>
      <c r="BY586" s="98"/>
      <c r="BZ586" s="98"/>
      <c r="CA586" s="98"/>
      <c r="CB586" s="98"/>
      <c r="CC586" s="98"/>
      <c r="CD586" s="98"/>
      <c r="CE586" s="98"/>
      <c r="CF586" s="98"/>
      <c r="CG586" s="98"/>
      <c r="CH586" s="98"/>
      <c r="CI586" s="98"/>
      <c r="CJ586" s="98"/>
      <c r="CK586" s="98"/>
    </row>
    <row r="587" spans="1:89" ht="15" x14ac:dyDescent="0.2">
      <c r="A587" s="119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  <c r="AP587" s="98"/>
      <c r="AQ587" s="98"/>
      <c r="AR587" s="98"/>
      <c r="AS587" s="98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8"/>
      <c r="BL587" s="98"/>
      <c r="BM587" s="98"/>
      <c r="BN587" s="98"/>
      <c r="BO587" s="98"/>
      <c r="BP587" s="98"/>
      <c r="BQ587" s="98"/>
      <c r="BR587" s="98"/>
      <c r="BS587" s="98"/>
      <c r="BT587" s="98"/>
      <c r="BU587" s="98"/>
      <c r="BV587" s="98"/>
      <c r="BW587" s="98"/>
      <c r="BX587" s="98"/>
      <c r="BY587" s="98"/>
      <c r="BZ587" s="98"/>
      <c r="CA587" s="98"/>
      <c r="CB587" s="98"/>
      <c r="CC587" s="98"/>
      <c r="CD587" s="98"/>
      <c r="CE587" s="98"/>
      <c r="CF587" s="98"/>
      <c r="CG587" s="98"/>
      <c r="CH587" s="98"/>
      <c r="CI587" s="98"/>
      <c r="CJ587" s="98"/>
      <c r="CK587" s="98"/>
    </row>
    <row r="588" spans="1:89" ht="15" x14ac:dyDescent="0.2">
      <c r="A588" s="119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  <c r="AP588" s="98"/>
      <c r="AQ588" s="98"/>
      <c r="AR588" s="98"/>
      <c r="AS588" s="98"/>
      <c r="AT588" s="98"/>
      <c r="AU588" s="98"/>
      <c r="AV588" s="98"/>
      <c r="AW588" s="98"/>
      <c r="AX588" s="98"/>
      <c r="AY588" s="98"/>
      <c r="AZ588" s="98"/>
      <c r="BA588" s="98"/>
      <c r="BB588" s="98"/>
      <c r="BC588" s="98"/>
      <c r="BD588" s="98"/>
      <c r="BE588" s="98"/>
      <c r="BF588" s="98"/>
      <c r="BG588" s="98"/>
      <c r="BH588" s="98"/>
      <c r="BI588" s="98"/>
      <c r="BJ588" s="98"/>
      <c r="BK588" s="98"/>
      <c r="BL588" s="98"/>
      <c r="BM588" s="98"/>
      <c r="BN588" s="98"/>
      <c r="BO588" s="98"/>
      <c r="BP588" s="98"/>
      <c r="BQ588" s="98"/>
      <c r="BR588" s="98"/>
      <c r="BS588" s="98"/>
      <c r="BT588" s="98"/>
      <c r="BU588" s="98"/>
      <c r="BV588" s="98"/>
      <c r="BW588" s="98"/>
      <c r="BX588" s="98"/>
      <c r="BY588" s="98"/>
      <c r="BZ588" s="98"/>
      <c r="CA588" s="98"/>
      <c r="CB588" s="98"/>
      <c r="CC588" s="98"/>
      <c r="CD588" s="98"/>
      <c r="CE588" s="98"/>
      <c r="CF588" s="98"/>
      <c r="CG588" s="98"/>
      <c r="CH588" s="98"/>
      <c r="CI588" s="98"/>
      <c r="CJ588" s="98"/>
      <c r="CK588" s="98"/>
    </row>
    <row r="589" spans="1:89" ht="15" x14ac:dyDescent="0.2">
      <c r="A589" s="119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  <c r="AP589" s="98"/>
      <c r="AQ589" s="98"/>
      <c r="AR589" s="98"/>
      <c r="AS589" s="98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8"/>
      <c r="BL589" s="98"/>
      <c r="BM589" s="98"/>
      <c r="BN589" s="98"/>
      <c r="BO589" s="98"/>
      <c r="BP589" s="98"/>
      <c r="BQ589" s="98"/>
      <c r="BR589" s="98"/>
      <c r="BS589" s="98"/>
      <c r="BT589" s="98"/>
      <c r="BU589" s="98"/>
      <c r="BV589" s="98"/>
      <c r="BW589" s="98"/>
      <c r="BX589" s="98"/>
      <c r="BY589" s="98"/>
      <c r="BZ589" s="98"/>
      <c r="CA589" s="98"/>
      <c r="CB589" s="98"/>
      <c r="CC589" s="98"/>
      <c r="CD589" s="98"/>
      <c r="CE589" s="98"/>
      <c r="CF589" s="98"/>
      <c r="CG589" s="98"/>
      <c r="CH589" s="98"/>
      <c r="CI589" s="98"/>
      <c r="CJ589" s="98"/>
      <c r="CK589" s="98"/>
    </row>
    <row r="590" spans="1:89" ht="15" x14ac:dyDescent="0.2">
      <c r="A590" s="119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  <c r="AP590" s="98"/>
      <c r="AQ590" s="98"/>
      <c r="AR590" s="98"/>
      <c r="AS590" s="98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8"/>
      <c r="BL590" s="98"/>
      <c r="BM590" s="98"/>
      <c r="BN590" s="98"/>
      <c r="BO590" s="98"/>
      <c r="BP590" s="98"/>
      <c r="BQ590" s="98"/>
      <c r="BR590" s="98"/>
      <c r="BS590" s="98"/>
      <c r="BT590" s="98"/>
      <c r="BU590" s="98"/>
      <c r="BV590" s="98"/>
      <c r="BW590" s="98"/>
      <c r="BX590" s="98"/>
      <c r="BY590" s="98"/>
      <c r="BZ590" s="98"/>
      <c r="CA590" s="98"/>
      <c r="CB590" s="98"/>
      <c r="CC590" s="98"/>
      <c r="CD590" s="98"/>
      <c r="CE590" s="98"/>
      <c r="CF590" s="98"/>
      <c r="CG590" s="98"/>
      <c r="CH590" s="98"/>
      <c r="CI590" s="98"/>
      <c r="CJ590" s="98"/>
      <c r="CK590" s="98"/>
    </row>
    <row r="591" spans="1:89" ht="15" x14ac:dyDescent="0.2">
      <c r="A591" s="119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  <c r="AP591" s="98"/>
      <c r="AQ591" s="98"/>
      <c r="AR591" s="98"/>
      <c r="AS591" s="98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8"/>
      <c r="BL591" s="98"/>
      <c r="BM591" s="98"/>
      <c r="BN591" s="98"/>
      <c r="BO591" s="98"/>
      <c r="BP591" s="98"/>
      <c r="BQ591" s="98"/>
      <c r="BR591" s="98"/>
      <c r="BS591" s="98"/>
      <c r="BT591" s="98"/>
      <c r="BU591" s="98"/>
      <c r="BV591" s="98"/>
      <c r="BW591" s="98"/>
      <c r="BX591" s="98"/>
      <c r="BY591" s="98"/>
      <c r="BZ591" s="98"/>
      <c r="CA591" s="98"/>
      <c r="CB591" s="98"/>
      <c r="CC591" s="98"/>
      <c r="CD591" s="98"/>
      <c r="CE591" s="98"/>
      <c r="CF591" s="98"/>
      <c r="CG591" s="98"/>
      <c r="CH591" s="98"/>
      <c r="CI591" s="98"/>
      <c r="CJ591" s="98"/>
      <c r="CK591" s="98"/>
    </row>
    <row r="592" spans="1:89" ht="15" x14ac:dyDescent="0.2">
      <c r="A592" s="119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  <c r="AP592" s="98"/>
      <c r="AQ592" s="98"/>
      <c r="AR592" s="98"/>
      <c r="AS592" s="98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8"/>
      <c r="BL592" s="98"/>
      <c r="BM592" s="98"/>
      <c r="BN592" s="98"/>
      <c r="BO592" s="98"/>
      <c r="BP592" s="98"/>
      <c r="BQ592" s="98"/>
      <c r="BR592" s="98"/>
      <c r="BS592" s="98"/>
      <c r="BT592" s="98"/>
      <c r="BU592" s="98"/>
      <c r="BV592" s="98"/>
      <c r="BW592" s="98"/>
      <c r="BX592" s="98"/>
      <c r="BY592" s="98"/>
      <c r="BZ592" s="98"/>
      <c r="CA592" s="98"/>
      <c r="CB592" s="98"/>
      <c r="CC592" s="98"/>
      <c r="CD592" s="98"/>
      <c r="CE592" s="98"/>
      <c r="CF592" s="98"/>
      <c r="CG592" s="98"/>
      <c r="CH592" s="98"/>
      <c r="CI592" s="98"/>
      <c r="CJ592" s="98"/>
      <c r="CK592" s="98"/>
    </row>
    <row r="593" spans="1:89" ht="15" x14ac:dyDescent="0.2">
      <c r="A593" s="119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  <c r="AP593" s="98"/>
      <c r="AQ593" s="98"/>
      <c r="AR593" s="98"/>
      <c r="AS593" s="98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8"/>
      <c r="BL593" s="98"/>
      <c r="BM593" s="98"/>
      <c r="BN593" s="98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</row>
    <row r="594" spans="1:89" ht="15" x14ac:dyDescent="0.2">
      <c r="A594" s="119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  <c r="AP594" s="98"/>
      <c r="AQ594" s="98"/>
      <c r="AR594" s="98"/>
      <c r="AS594" s="98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8"/>
      <c r="BL594" s="98"/>
      <c r="BM594" s="98"/>
      <c r="BN594" s="98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</row>
    <row r="595" spans="1:89" ht="15" x14ac:dyDescent="0.2">
      <c r="A595" s="119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  <c r="AP595" s="98"/>
      <c r="AQ595" s="98"/>
      <c r="AR595" s="98"/>
      <c r="AS595" s="98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8"/>
      <c r="BL595" s="98"/>
      <c r="BM595" s="98"/>
      <c r="BN595" s="98"/>
      <c r="BO595" s="98"/>
      <c r="BP595" s="98"/>
      <c r="BQ595" s="98"/>
      <c r="BR595" s="98"/>
      <c r="BS595" s="98"/>
      <c r="BT595" s="98"/>
      <c r="BU595" s="98"/>
      <c r="BV595" s="98"/>
      <c r="BW595" s="98"/>
      <c r="BX595" s="98"/>
      <c r="BY595" s="98"/>
      <c r="BZ595" s="98"/>
      <c r="CA595" s="98"/>
      <c r="CB595" s="98"/>
      <c r="CC595" s="98"/>
      <c r="CD595" s="98"/>
      <c r="CE595" s="98"/>
      <c r="CF595" s="98"/>
      <c r="CG595" s="98"/>
      <c r="CH595" s="98"/>
      <c r="CI595" s="98"/>
      <c r="CJ595" s="98"/>
      <c r="CK595" s="98"/>
    </row>
    <row r="596" spans="1:89" ht="15" x14ac:dyDescent="0.2">
      <c r="A596" s="119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  <c r="AP596" s="98"/>
      <c r="AQ596" s="98"/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98"/>
      <c r="BO596" s="98"/>
      <c r="BP596" s="98"/>
      <c r="BQ596" s="98"/>
      <c r="BR596" s="98"/>
      <c r="BS596" s="98"/>
      <c r="BT596" s="98"/>
      <c r="BU596" s="98"/>
      <c r="BV596" s="98"/>
      <c r="BW596" s="98"/>
      <c r="BX596" s="98"/>
      <c r="BY596" s="98"/>
      <c r="BZ596" s="98"/>
      <c r="CA596" s="98"/>
      <c r="CB596" s="98"/>
      <c r="CC596" s="98"/>
      <c r="CD596" s="98"/>
      <c r="CE596" s="98"/>
      <c r="CF596" s="98"/>
      <c r="CG596" s="98"/>
      <c r="CH596" s="98"/>
      <c r="CI596" s="98"/>
      <c r="CJ596" s="98"/>
      <c r="CK596" s="98"/>
    </row>
    <row r="597" spans="1:89" ht="15" x14ac:dyDescent="0.2">
      <c r="A597" s="119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  <c r="AP597" s="98"/>
      <c r="AQ597" s="98"/>
      <c r="AR597" s="98"/>
      <c r="AS597" s="98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8"/>
      <c r="BL597" s="98"/>
      <c r="BM597" s="98"/>
      <c r="BN597" s="98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</row>
    <row r="598" spans="1:89" ht="15" x14ac:dyDescent="0.2">
      <c r="A598" s="119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  <c r="AP598" s="98"/>
      <c r="AQ598" s="98"/>
      <c r="AR598" s="98"/>
      <c r="AS598" s="98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8"/>
      <c r="BL598" s="98"/>
      <c r="BM598" s="98"/>
      <c r="BN598" s="98"/>
      <c r="BO598" s="98"/>
      <c r="BP598" s="98"/>
      <c r="BQ598" s="98"/>
      <c r="BR598" s="98"/>
      <c r="BS598" s="98"/>
      <c r="BT598" s="98"/>
      <c r="BU598" s="98"/>
      <c r="BV598" s="98"/>
      <c r="BW598" s="98"/>
      <c r="BX598" s="98"/>
      <c r="BY598" s="98"/>
      <c r="BZ598" s="98"/>
      <c r="CA598" s="98"/>
      <c r="CB598" s="98"/>
      <c r="CC598" s="98"/>
      <c r="CD598" s="98"/>
      <c r="CE598" s="98"/>
      <c r="CF598" s="98"/>
      <c r="CG598" s="98"/>
      <c r="CH598" s="98"/>
      <c r="CI598" s="98"/>
      <c r="CJ598" s="98"/>
      <c r="CK598" s="98"/>
    </row>
    <row r="599" spans="1:89" ht="15" x14ac:dyDescent="0.2">
      <c r="A599" s="119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  <c r="AP599" s="98"/>
      <c r="AQ599" s="98"/>
      <c r="AR599" s="98"/>
      <c r="AS599" s="98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8"/>
      <c r="BL599" s="98"/>
      <c r="BM599" s="98"/>
      <c r="BN599" s="98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</row>
    <row r="600" spans="1:89" ht="15" x14ac:dyDescent="0.2">
      <c r="A600" s="119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  <c r="AP600" s="98"/>
      <c r="AQ600" s="98"/>
      <c r="AR600" s="98"/>
      <c r="AS600" s="98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8"/>
      <c r="BL600" s="98"/>
      <c r="BM600" s="98"/>
      <c r="BN600" s="98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</row>
    <row r="601" spans="1:89" ht="15" x14ac:dyDescent="0.2">
      <c r="A601" s="119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  <c r="AP601" s="98"/>
      <c r="AQ601" s="98"/>
      <c r="AR601" s="98"/>
      <c r="AS601" s="98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8"/>
      <c r="BL601" s="98"/>
      <c r="BM601" s="98"/>
      <c r="BN601" s="98"/>
      <c r="BO601" s="98"/>
      <c r="BP601" s="98"/>
      <c r="BQ601" s="98"/>
      <c r="BR601" s="98"/>
      <c r="BS601" s="98"/>
      <c r="BT601" s="98"/>
      <c r="BU601" s="98"/>
      <c r="BV601" s="98"/>
      <c r="BW601" s="98"/>
      <c r="BX601" s="98"/>
      <c r="BY601" s="98"/>
      <c r="BZ601" s="98"/>
      <c r="CA601" s="98"/>
      <c r="CB601" s="98"/>
      <c r="CC601" s="98"/>
      <c r="CD601" s="98"/>
      <c r="CE601" s="98"/>
      <c r="CF601" s="98"/>
      <c r="CG601" s="98"/>
      <c r="CH601" s="98"/>
      <c r="CI601" s="98"/>
      <c r="CJ601" s="98"/>
      <c r="CK601" s="98"/>
    </row>
    <row r="602" spans="1:89" ht="15" x14ac:dyDescent="0.2">
      <c r="A602" s="119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  <c r="AP602" s="98"/>
      <c r="AQ602" s="98"/>
      <c r="AR602" s="98"/>
      <c r="AS602" s="98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8"/>
      <c r="BL602" s="98"/>
      <c r="BM602" s="98"/>
      <c r="BN602" s="98"/>
      <c r="BO602" s="98"/>
      <c r="BP602" s="98"/>
      <c r="BQ602" s="98"/>
      <c r="BR602" s="98"/>
      <c r="BS602" s="98"/>
      <c r="BT602" s="98"/>
      <c r="BU602" s="98"/>
      <c r="BV602" s="98"/>
      <c r="BW602" s="98"/>
      <c r="BX602" s="98"/>
      <c r="BY602" s="98"/>
      <c r="BZ602" s="98"/>
      <c r="CA602" s="98"/>
      <c r="CB602" s="98"/>
      <c r="CC602" s="98"/>
      <c r="CD602" s="98"/>
      <c r="CE602" s="98"/>
      <c r="CF602" s="98"/>
      <c r="CG602" s="98"/>
      <c r="CH602" s="98"/>
      <c r="CI602" s="98"/>
      <c r="CJ602" s="98"/>
      <c r="CK602" s="98"/>
    </row>
    <row r="603" spans="1:89" ht="15" x14ac:dyDescent="0.2">
      <c r="A603" s="119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  <c r="AP603" s="98"/>
      <c r="AQ603" s="98"/>
      <c r="AR603" s="98"/>
      <c r="AS603" s="98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8"/>
      <c r="BL603" s="98"/>
      <c r="BM603" s="98"/>
      <c r="BN603" s="98"/>
      <c r="BO603" s="98"/>
      <c r="BP603" s="98"/>
      <c r="BQ603" s="98"/>
      <c r="BR603" s="98"/>
      <c r="BS603" s="98"/>
      <c r="BT603" s="98"/>
      <c r="BU603" s="98"/>
      <c r="BV603" s="98"/>
      <c r="BW603" s="98"/>
      <c r="BX603" s="98"/>
      <c r="BY603" s="98"/>
      <c r="BZ603" s="98"/>
      <c r="CA603" s="98"/>
      <c r="CB603" s="98"/>
      <c r="CC603" s="98"/>
      <c r="CD603" s="98"/>
      <c r="CE603" s="98"/>
      <c r="CF603" s="98"/>
      <c r="CG603" s="98"/>
      <c r="CH603" s="98"/>
      <c r="CI603" s="98"/>
      <c r="CJ603" s="98"/>
      <c r="CK603" s="98"/>
    </row>
    <row r="604" spans="1:89" ht="15" x14ac:dyDescent="0.2">
      <c r="A604" s="119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  <c r="AP604" s="98"/>
      <c r="AQ604" s="98"/>
      <c r="AR604" s="98"/>
      <c r="AS604" s="98"/>
      <c r="AT604" s="98"/>
      <c r="AU604" s="98"/>
      <c r="AV604" s="98"/>
      <c r="AW604" s="98"/>
      <c r="AX604" s="98"/>
      <c r="AY604" s="98"/>
      <c r="AZ604" s="98"/>
      <c r="BA604" s="98"/>
      <c r="BB604" s="98"/>
      <c r="BC604" s="98"/>
      <c r="BD604" s="98"/>
      <c r="BE604" s="98"/>
      <c r="BF604" s="98"/>
      <c r="BG604" s="98"/>
      <c r="BH604" s="98"/>
      <c r="BI604" s="98"/>
      <c r="BJ604" s="98"/>
      <c r="BK604" s="98"/>
      <c r="BL604" s="98"/>
      <c r="BM604" s="98"/>
      <c r="BN604" s="98"/>
      <c r="BO604" s="98"/>
      <c r="BP604" s="98"/>
      <c r="BQ604" s="98"/>
      <c r="BR604" s="98"/>
      <c r="BS604" s="98"/>
      <c r="BT604" s="98"/>
      <c r="BU604" s="98"/>
      <c r="BV604" s="98"/>
      <c r="BW604" s="98"/>
      <c r="BX604" s="98"/>
      <c r="BY604" s="98"/>
      <c r="BZ604" s="98"/>
      <c r="CA604" s="98"/>
      <c r="CB604" s="98"/>
      <c r="CC604" s="98"/>
      <c r="CD604" s="98"/>
      <c r="CE604" s="98"/>
      <c r="CF604" s="98"/>
      <c r="CG604" s="98"/>
      <c r="CH604" s="98"/>
      <c r="CI604" s="98"/>
      <c r="CJ604" s="98"/>
      <c r="CK604" s="98"/>
    </row>
    <row r="605" spans="1:89" ht="15" x14ac:dyDescent="0.2">
      <c r="A605" s="119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  <c r="AP605" s="98"/>
      <c r="AQ605" s="98"/>
      <c r="AR605" s="98"/>
      <c r="AS605" s="98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8"/>
      <c r="BL605" s="98"/>
      <c r="BM605" s="98"/>
      <c r="BN605" s="98"/>
      <c r="BO605" s="98"/>
      <c r="BP605" s="98"/>
      <c r="BQ605" s="98"/>
      <c r="BR605" s="98"/>
      <c r="BS605" s="98"/>
      <c r="BT605" s="98"/>
      <c r="BU605" s="98"/>
      <c r="BV605" s="98"/>
      <c r="BW605" s="98"/>
      <c r="BX605" s="98"/>
      <c r="BY605" s="98"/>
      <c r="BZ605" s="98"/>
      <c r="CA605" s="98"/>
      <c r="CB605" s="98"/>
      <c r="CC605" s="98"/>
      <c r="CD605" s="98"/>
      <c r="CE605" s="98"/>
      <c r="CF605" s="98"/>
      <c r="CG605" s="98"/>
      <c r="CH605" s="98"/>
      <c r="CI605" s="98"/>
      <c r="CJ605" s="98"/>
      <c r="CK605" s="98"/>
    </row>
    <row r="606" spans="1:89" ht="15" x14ac:dyDescent="0.2">
      <c r="A606" s="119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  <c r="AP606" s="98"/>
      <c r="AQ606" s="98"/>
      <c r="AR606" s="98"/>
      <c r="AS606" s="98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8"/>
      <c r="BL606" s="98"/>
      <c r="BM606" s="98"/>
      <c r="BN606" s="98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</row>
    <row r="607" spans="1:89" ht="15" x14ac:dyDescent="0.2">
      <c r="A607" s="119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  <c r="AP607" s="98"/>
      <c r="AQ607" s="98"/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</row>
    <row r="608" spans="1:89" ht="15" x14ac:dyDescent="0.2">
      <c r="A608" s="119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  <c r="AP608" s="98"/>
      <c r="AQ608" s="98"/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</row>
    <row r="609" spans="1:89" ht="15" x14ac:dyDescent="0.2">
      <c r="A609" s="119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  <c r="AP609" s="98"/>
      <c r="AQ609" s="98"/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</row>
    <row r="610" spans="1:89" ht="15" x14ac:dyDescent="0.2">
      <c r="A610" s="119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  <c r="AP610" s="98"/>
      <c r="AQ610" s="98"/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</row>
    <row r="611" spans="1:89" ht="15" x14ac:dyDescent="0.2">
      <c r="A611" s="119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  <c r="AP611" s="98"/>
      <c r="AQ611" s="98"/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</row>
    <row r="612" spans="1:89" ht="15" x14ac:dyDescent="0.2">
      <c r="A612" s="119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  <c r="AP612" s="98"/>
      <c r="AQ612" s="98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</row>
    <row r="613" spans="1:89" ht="15" x14ac:dyDescent="0.2">
      <c r="A613" s="119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  <c r="AP613" s="98"/>
      <c r="AQ613" s="98"/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</row>
    <row r="614" spans="1:89" ht="15" x14ac:dyDescent="0.2">
      <c r="A614" s="119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  <c r="AP614" s="98"/>
      <c r="AQ614" s="98"/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</row>
    <row r="615" spans="1:89" ht="15" x14ac:dyDescent="0.2">
      <c r="A615" s="119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  <c r="AP615" s="98"/>
      <c r="AQ615" s="98"/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</row>
    <row r="616" spans="1:89" ht="15" x14ac:dyDescent="0.2">
      <c r="A616" s="119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  <c r="AP616" s="98"/>
      <c r="AQ616" s="98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</row>
    <row r="617" spans="1:89" ht="15" x14ac:dyDescent="0.2">
      <c r="A617" s="119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  <c r="AP617" s="98"/>
      <c r="AQ617" s="98"/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</row>
    <row r="618" spans="1:89" ht="15" x14ac:dyDescent="0.2">
      <c r="A618" s="119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  <c r="AP618" s="98"/>
      <c r="AQ618" s="98"/>
      <c r="AR618" s="98"/>
      <c r="AS618" s="98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8"/>
      <c r="BL618" s="98"/>
      <c r="BM618" s="98"/>
      <c r="BN618" s="98"/>
      <c r="BO618" s="98"/>
      <c r="BP618" s="98"/>
      <c r="BQ618" s="98"/>
      <c r="BR618" s="98"/>
      <c r="BS618" s="98"/>
      <c r="BT618" s="98"/>
      <c r="BU618" s="98"/>
      <c r="BV618" s="98"/>
      <c r="BW618" s="98"/>
      <c r="BX618" s="98"/>
      <c r="BY618" s="98"/>
      <c r="BZ618" s="98"/>
      <c r="CA618" s="98"/>
      <c r="CB618" s="98"/>
      <c r="CC618" s="98"/>
      <c r="CD618" s="98"/>
      <c r="CE618" s="98"/>
      <c r="CF618" s="98"/>
      <c r="CG618" s="98"/>
      <c r="CH618" s="98"/>
      <c r="CI618" s="98"/>
      <c r="CJ618" s="98"/>
      <c r="CK618" s="98"/>
    </row>
    <row r="619" spans="1:89" ht="15" x14ac:dyDescent="0.2">
      <c r="A619" s="119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  <c r="AP619" s="98"/>
      <c r="AQ619" s="98"/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</row>
    <row r="620" spans="1:89" ht="15" x14ac:dyDescent="0.2">
      <c r="A620" s="119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  <c r="AP620" s="98"/>
      <c r="AQ620" s="98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</row>
    <row r="621" spans="1:89" ht="15" x14ac:dyDescent="0.2">
      <c r="A621" s="119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  <c r="AP621" s="98"/>
      <c r="AQ621" s="98"/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</row>
    <row r="622" spans="1:89" ht="15" x14ac:dyDescent="0.2">
      <c r="A622" s="119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  <c r="AP622" s="98"/>
      <c r="AQ622" s="98"/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</row>
    <row r="623" spans="1:89" ht="15" x14ac:dyDescent="0.2">
      <c r="A623" s="119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  <c r="AP623" s="98"/>
      <c r="AQ623" s="98"/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</row>
    <row r="624" spans="1:89" ht="15" x14ac:dyDescent="0.2">
      <c r="A624" s="119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  <c r="AP624" s="98"/>
      <c r="AQ624" s="98"/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98"/>
      <c r="BO624" s="98"/>
      <c r="BP624" s="98"/>
      <c r="BQ624" s="98"/>
      <c r="BR624" s="98"/>
      <c r="BS624" s="98"/>
      <c r="BT624" s="98"/>
      <c r="BU624" s="98"/>
      <c r="BV624" s="98"/>
      <c r="BW624" s="98"/>
      <c r="BX624" s="98"/>
      <c r="BY624" s="98"/>
      <c r="BZ624" s="98"/>
      <c r="CA624" s="98"/>
      <c r="CB624" s="98"/>
      <c r="CC624" s="98"/>
      <c r="CD624" s="98"/>
      <c r="CE624" s="98"/>
      <c r="CF624" s="98"/>
      <c r="CG624" s="98"/>
      <c r="CH624" s="98"/>
      <c r="CI624" s="98"/>
      <c r="CJ624" s="98"/>
      <c r="CK624" s="98"/>
    </row>
    <row r="625" spans="1:89" ht="15" x14ac:dyDescent="0.2">
      <c r="A625" s="119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  <c r="AP625" s="98"/>
      <c r="AQ625" s="98"/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</row>
    <row r="626" spans="1:89" ht="15" x14ac:dyDescent="0.2">
      <c r="A626" s="119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  <c r="AP626" s="98"/>
      <c r="AQ626" s="98"/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</row>
    <row r="627" spans="1:89" ht="15" x14ac:dyDescent="0.2">
      <c r="A627" s="119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  <c r="AP627" s="98"/>
      <c r="AQ627" s="98"/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</row>
    <row r="628" spans="1:89" ht="15" x14ac:dyDescent="0.2">
      <c r="A628" s="119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  <c r="AP628" s="98"/>
      <c r="AQ628" s="98"/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</row>
    <row r="629" spans="1:89" ht="15" x14ac:dyDescent="0.2">
      <c r="A629" s="119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  <c r="AP629" s="98"/>
      <c r="AQ629" s="98"/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</row>
    <row r="630" spans="1:89" ht="15" x14ac:dyDescent="0.2">
      <c r="A630" s="119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  <c r="AP630" s="98"/>
      <c r="AQ630" s="98"/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</row>
    <row r="631" spans="1:89" ht="15" x14ac:dyDescent="0.2">
      <c r="A631" s="119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  <c r="AP631" s="98"/>
      <c r="AQ631" s="98"/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</row>
    <row r="632" spans="1:89" ht="15" x14ac:dyDescent="0.2">
      <c r="A632" s="119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  <c r="AP632" s="98"/>
      <c r="AQ632" s="98"/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</row>
    <row r="633" spans="1:89" ht="15" x14ac:dyDescent="0.2">
      <c r="A633" s="119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  <c r="AP633" s="98"/>
      <c r="AQ633" s="98"/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</row>
    <row r="634" spans="1:89" ht="15" x14ac:dyDescent="0.2">
      <c r="A634" s="119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  <c r="AP634" s="98"/>
      <c r="AQ634" s="98"/>
      <c r="AR634" s="98"/>
      <c r="AS634" s="98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8"/>
      <c r="BL634" s="98"/>
      <c r="BM634" s="98"/>
      <c r="BN634" s="98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</row>
    <row r="635" spans="1:89" ht="15" x14ac:dyDescent="0.2">
      <c r="A635" s="119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  <c r="AP635" s="98"/>
      <c r="AQ635" s="98"/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</row>
    <row r="636" spans="1:89" ht="15" x14ac:dyDescent="0.2">
      <c r="A636" s="119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  <c r="AP636" s="98"/>
      <c r="AQ636" s="98"/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</row>
    <row r="637" spans="1:89" ht="15" x14ac:dyDescent="0.2">
      <c r="A637" s="119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  <c r="AP637" s="98"/>
      <c r="AQ637" s="98"/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</row>
    <row r="638" spans="1:89" ht="15" x14ac:dyDescent="0.2">
      <c r="A638" s="119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  <c r="AP638" s="98"/>
      <c r="AQ638" s="98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</row>
    <row r="639" spans="1:89" ht="15" x14ac:dyDescent="0.2">
      <c r="A639" s="119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  <c r="AP639" s="98"/>
      <c r="AQ639" s="98"/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</row>
    <row r="640" spans="1:89" ht="15" x14ac:dyDescent="0.2">
      <c r="A640" s="119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  <c r="AP640" s="98"/>
      <c r="AQ640" s="98"/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</row>
    <row r="641" spans="1:89" ht="15" x14ac:dyDescent="0.2">
      <c r="A641" s="119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  <c r="AP641" s="98"/>
      <c r="AQ641" s="98"/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</row>
    <row r="642" spans="1:89" ht="15" x14ac:dyDescent="0.2">
      <c r="A642" s="119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  <c r="AP642" s="98"/>
      <c r="AQ642" s="98"/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98"/>
      <c r="BO642" s="98"/>
      <c r="BP642" s="98"/>
      <c r="BQ642" s="98"/>
      <c r="BR642" s="98"/>
      <c r="BS642" s="98"/>
      <c r="BT642" s="98"/>
      <c r="BU642" s="98"/>
      <c r="BV642" s="98"/>
      <c r="BW642" s="98"/>
      <c r="BX642" s="98"/>
      <c r="BY642" s="98"/>
      <c r="BZ642" s="98"/>
      <c r="CA642" s="98"/>
      <c r="CB642" s="98"/>
      <c r="CC642" s="98"/>
      <c r="CD642" s="98"/>
      <c r="CE642" s="98"/>
      <c r="CF642" s="98"/>
      <c r="CG642" s="98"/>
      <c r="CH642" s="98"/>
      <c r="CI642" s="98"/>
      <c r="CJ642" s="98"/>
      <c r="CK642" s="98"/>
    </row>
    <row r="643" spans="1:89" ht="15" x14ac:dyDescent="0.2">
      <c r="A643" s="119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  <c r="AP643" s="98"/>
      <c r="AQ643" s="98"/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</row>
    <row r="644" spans="1:89" ht="15" x14ac:dyDescent="0.2">
      <c r="A644" s="119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  <c r="AP644" s="98"/>
      <c r="AQ644" s="98"/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</row>
    <row r="645" spans="1:89" ht="15" x14ac:dyDescent="0.2">
      <c r="A645" s="119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  <c r="AP645" s="98"/>
      <c r="AQ645" s="98"/>
      <c r="AR645" s="98"/>
      <c r="AS645" s="98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8"/>
      <c r="BL645" s="98"/>
      <c r="BM645" s="98"/>
      <c r="BN645" s="98"/>
      <c r="BO645" s="98"/>
      <c r="BP645" s="98"/>
      <c r="BQ645" s="98"/>
      <c r="BR645" s="98"/>
      <c r="BS645" s="98"/>
      <c r="BT645" s="98"/>
      <c r="BU645" s="98"/>
      <c r="BV645" s="98"/>
      <c r="BW645" s="98"/>
      <c r="BX645" s="98"/>
      <c r="BY645" s="98"/>
      <c r="BZ645" s="98"/>
      <c r="CA645" s="98"/>
      <c r="CB645" s="98"/>
      <c r="CC645" s="98"/>
      <c r="CD645" s="98"/>
      <c r="CE645" s="98"/>
      <c r="CF645" s="98"/>
      <c r="CG645" s="98"/>
      <c r="CH645" s="98"/>
      <c r="CI645" s="98"/>
      <c r="CJ645" s="98"/>
      <c r="CK645" s="98"/>
    </row>
    <row r="646" spans="1:89" ht="15" x14ac:dyDescent="0.2">
      <c r="A646" s="119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  <c r="AP646" s="98"/>
      <c r="AQ646" s="98"/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</row>
    <row r="647" spans="1:89" ht="15" x14ac:dyDescent="0.2">
      <c r="A647" s="119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  <c r="AP647" s="98"/>
      <c r="AQ647" s="98"/>
      <c r="AR647" s="98"/>
      <c r="AS647" s="98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8"/>
      <c r="BL647" s="98"/>
      <c r="BM647" s="98"/>
      <c r="BN647" s="98"/>
      <c r="BO647" s="98"/>
      <c r="BP647" s="98"/>
      <c r="BQ647" s="98"/>
      <c r="BR647" s="98"/>
      <c r="BS647" s="98"/>
      <c r="BT647" s="98"/>
      <c r="BU647" s="98"/>
      <c r="BV647" s="98"/>
      <c r="BW647" s="98"/>
      <c r="BX647" s="98"/>
      <c r="BY647" s="98"/>
      <c r="BZ647" s="98"/>
      <c r="CA647" s="98"/>
      <c r="CB647" s="98"/>
      <c r="CC647" s="98"/>
      <c r="CD647" s="98"/>
      <c r="CE647" s="98"/>
      <c r="CF647" s="98"/>
      <c r="CG647" s="98"/>
      <c r="CH647" s="98"/>
      <c r="CI647" s="98"/>
      <c r="CJ647" s="98"/>
      <c r="CK647" s="98"/>
    </row>
    <row r="648" spans="1:89" ht="15" x14ac:dyDescent="0.2">
      <c r="A648" s="119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  <c r="AP648" s="98"/>
      <c r="AQ648" s="98"/>
      <c r="AR648" s="98"/>
      <c r="AS648" s="98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8"/>
      <c r="BL648" s="98"/>
      <c r="BM648" s="98"/>
      <c r="BN648" s="98"/>
      <c r="BO648" s="98"/>
      <c r="BP648" s="98"/>
      <c r="BQ648" s="98"/>
      <c r="BR648" s="98"/>
      <c r="BS648" s="98"/>
      <c r="BT648" s="98"/>
      <c r="BU648" s="98"/>
      <c r="BV648" s="98"/>
      <c r="BW648" s="98"/>
      <c r="BX648" s="98"/>
      <c r="BY648" s="98"/>
      <c r="BZ648" s="98"/>
      <c r="CA648" s="98"/>
      <c r="CB648" s="98"/>
      <c r="CC648" s="98"/>
      <c r="CD648" s="98"/>
      <c r="CE648" s="98"/>
      <c r="CF648" s="98"/>
      <c r="CG648" s="98"/>
      <c r="CH648" s="98"/>
      <c r="CI648" s="98"/>
      <c r="CJ648" s="98"/>
      <c r="CK648" s="98"/>
    </row>
    <row r="649" spans="1:89" ht="15" x14ac:dyDescent="0.2">
      <c r="A649" s="119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  <c r="AP649" s="98"/>
      <c r="AQ649" s="98"/>
      <c r="AR649" s="98"/>
      <c r="AS649" s="98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8"/>
      <c r="BL649" s="98"/>
      <c r="BM649" s="98"/>
      <c r="BN649" s="98"/>
      <c r="BO649" s="98"/>
      <c r="BP649" s="98"/>
      <c r="BQ649" s="98"/>
      <c r="BR649" s="98"/>
      <c r="BS649" s="98"/>
      <c r="BT649" s="98"/>
      <c r="BU649" s="98"/>
      <c r="BV649" s="98"/>
      <c r="BW649" s="98"/>
      <c r="BX649" s="98"/>
      <c r="BY649" s="98"/>
      <c r="BZ649" s="98"/>
      <c r="CA649" s="98"/>
      <c r="CB649" s="98"/>
      <c r="CC649" s="98"/>
      <c r="CD649" s="98"/>
      <c r="CE649" s="98"/>
      <c r="CF649" s="98"/>
      <c r="CG649" s="98"/>
      <c r="CH649" s="98"/>
      <c r="CI649" s="98"/>
      <c r="CJ649" s="98"/>
      <c r="CK649" s="98"/>
    </row>
    <row r="650" spans="1:89" ht="15" x14ac:dyDescent="0.2">
      <c r="A650" s="119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  <c r="AP650" s="98"/>
      <c r="AQ650" s="98"/>
      <c r="AR650" s="98"/>
      <c r="AS650" s="98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8"/>
      <c r="BL650" s="98"/>
      <c r="BM650" s="98"/>
      <c r="BN650" s="98"/>
      <c r="BO650" s="98"/>
      <c r="BP650" s="98"/>
      <c r="BQ650" s="98"/>
      <c r="BR650" s="98"/>
      <c r="BS650" s="98"/>
      <c r="BT650" s="98"/>
      <c r="BU650" s="98"/>
      <c r="BV650" s="98"/>
      <c r="BW650" s="98"/>
      <c r="BX650" s="98"/>
      <c r="BY650" s="98"/>
      <c r="BZ650" s="98"/>
      <c r="CA650" s="98"/>
      <c r="CB650" s="98"/>
      <c r="CC650" s="98"/>
      <c r="CD650" s="98"/>
      <c r="CE650" s="98"/>
      <c r="CF650" s="98"/>
      <c r="CG650" s="98"/>
      <c r="CH650" s="98"/>
      <c r="CI650" s="98"/>
      <c r="CJ650" s="98"/>
      <c r="CK650" s="98"/>
    </row>
    <row r="651" spans="1:89" ht="15" x14ac:dyDescent="0.2">
      <c r="A651" s="119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  <c r="AP651" s="98"/>
      <c r="AQ651" s="98"/>
      <c r="AR651" s="98"/>
      <c r="AS651" s="98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8"/>
      <c r="BL651" s="98"/>
      <c r="BM651" s="98"/>
      <c r="BN651" s="98"/>
      <c r="BO651" s="98"/>
      <c r="BP651" s="98"/>
      <c r="BQ651" s="98"/>
      <c r="BR651" s="98"/>
      <c r="BS651" s="98"/>
      <c r="BT651" s="98"/>
      <c r="BU651" s="98"/>
      <c r="BV651" s="98"/>
      <c r="BW651" s="98"/>
      <c r="BX651" s="98"/>
      <c r="BY651" s="98"/>
      <c r="BZ651" s="98"/>
      <c r="CA651" s="98"/>
      <c r="CB651" s="98"/>
      <c r="CC651" s="98"/>
      <c r="CD651" s="98"/>
      <c r="CE651" s="98"/>
      <c r="CF651" s="98"/>
      <c r="CG651" s="98"/>
      <c r="CH651" s="98"/>
      <c r="CI651" s="98"/>
      <c r="CJ651" s="98"/>
      <c r="CK651" s="98"/>
    </row>
    <row r="652" spans="1:89" ht="15" x14ac:dyDescent="0.2">
      <c r="A652" s="119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  <c r="AP652" s="98"/>
      <c r="AQ652" s="98"/>
      <c r="AR652" s="98"/>
      <c r="AS652" s="98"/>
      <c r="AT652" s="98"/>
      <c r="AU652" s="98"/>
      <c r="AV652" s="98"/>
      <c r="AW652" s="98"/>
      <c r="AX652" s="98"/>
      <c r="AY652" s="98"/>
      <c r="AZ652" s="98"/>
      <c r="BA652" s="98"/>
      <c r="BB652" s="98"/>
      <c r="BC652" s="98"/>
      <c r="BD652" s="98"/>
      <c r="BE652" s="98"/>
      <c r="BF652" s="98"/>
      <c r="BG652" s="98"/>
      <c r="BH652" s="98"/>
      <c r="BI652" s="98"/>
      <c r="BJ652" s="98"/>
      <c r="BK652" s="98"/>
      <c r="BL652" s="98"/>
      <c r="BM652" s="98"/>
      <c r="BN652" s="98"/>
      <c r="BO652" s="98"/>
      <c r="BP652" s="98"/>
      <c r="BQ652" s="98"/>
      <c r="BR652" s="98"/>
      <c r="BS652" s="98"/>
      <c r="BT652" s="98"/>
      <c r="BU652" s="98"/>
      <c r="BV652" s="98"/>
      <c r="BW652" s="98"/>
      <c r="BX652" s="98"/>
      <c r="BY652" s="98"/>
      <c r="BZ652" s="98"/>
      <c r="CA652" s="98"/>
      <c r="CB652" s="98"/>
      <c r="CC652" s="98"/>
      <c r="CD652" s="98"/>
      <c r="CE652" s="98"/>
      <c r="CF652" s="98"/>
      <c r="CG652" s="98"/>
      <c r="CH652" s="98"/>
      <c r="CI652" s="98"/>
      <c r="CJ652" s="98"/>
      <c r="CK652" s="98"/>
    </row>
    <row r="653" spans="1:89" ht="15" x14ac:dyDescent="0.2">
      <c r="A653" s="119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  <c r="AP653" s="98"/>
      <c r="AQ653" s="98"/>
      <c r="AR653" s="98"/>
      <c r="AS653" s="98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8"/>
      <c r="BL653" s="98"/>
      <c r="BM653" s="98"/>
      <c r="BN653" s="98"/>
      <c r="BO653" s="98"/>
      <c r="BP653" s="98"/>
      <c r="BQ653" s="98"/>
      <c r="BR653" s="98"/>
      <c r="BS653" s="98"/>
      <c r="BT653" s="98"/>
      <c r="BU653" s="98"/>
      <c r="BV653" s="98"/>
      <c r="BW653" s="98"/>
      <c r="BX653" s="98"/>
      <c r="BY653" s="98"/>
      <c r="BZ653" s="98"/>
      <c r="CA653" s="98"/>
      <c r="CB653" s="98"/>
      <c r="CC653" s="98"/>
      <c r="CD653" s="98"/>
      <c r="CE653" s="98"/>
      <c r="CF653" s="98"/>
      <c r="CG653" s="98"/>
      <c r="CH653" s="98"/>
      <c r="CI653" s="98"/>
      <c r="CJ653" s="98"/>
      <c r="CK653" s="98"/>
    </row>
    <row r="654" spans="1:89" ht="15" x14ac:dyDescent="0.2">
      <c r="A654" s="119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  <c r="AP654" s="98"/>
      <c r="AQ654" s="98"/>
      <c r="AR654" s="98"/>
      <c r="AS654" s="98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8"/>
      <c r="BL654" s="98"/>
      <c r="BM654" s="98"/>
      <c r="BN654" s="98"/>
      <c r="BO654" s="98"/>
      <c r="BP654" s="98"/>
      <c r="BQ654" s="98"/>
      <c r="BR654" s="98"/>
      <c r="BS654" s="98"/>
      <c r="BT654" s="98"/>
      <c r="BU654" s="98"/>
      <c r="BV654" s="98"/>
      <c r="BW654" s="98"/>
      <c r="BX654" s="98"/>
      <c r="BY654" s="98"/>
      <c r="BZ654" s="98"/>
      <c r="CA654" s="98"/>
      <c r="CB654" s="98"/>
      <c r="CC654" s="98"/>
      <c r="CD654" s="98"/>
      <c r="CE654" s="98"/>
      <c r="CF654" s="98"/>
      <c r="CG654" s="98"/>
      <c r="CH654" s="98"/>
      <c r="CI654" s="98"/>
      <c r="CJ654" s="98"/>
      <c r="CK654" s="98"/>
    </row>
    <row r="655" spans="1:89" ht="15" x14ac:dyDescent="0.2">
      <c r="A655" s="119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  <c r="AH655" s="98"/>
      <c r="AI655" s="98"/>
      <c r="AJ655" s="98"/>
      <c r="AK655" s="98"/>
      <c r="AL655" s="98"/>
      <c r="AM655" s="98"/>
      <c r="AN655" s="98"/>
      <c r="AO655" s="98"/>
      <c r="AP655" s="98"/>
      <c r="AQ655" s="98"/>
      <c r="AR655" s="98"/>
      <c r="AS655" s="98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8"/>
      <c r="BL655" s="98"/>
      <c r="BM655" s="98"/>
      <c r="BN655" s="98"/>
      <c r="BO655" s="98"/>
      <c r="BP655" s="98"/>
      <c r="BQ655" s="98"/>
      <c r="BR655" s="98"/>
      <c r="BS655" s="98"/>
      <c r="BT655" s="98"/>
      <c r="BU655" s="98"/>
      <c r="BV655" s="98"/>
      <c r="BW655" s="98"/>
      <c r="BX655" s="98"/>
      <c r="BY655" s="98"/>
      <c r="BZ655" s="98"/>
      <c r="CA655" s="98"/>
      <c r="CB655" s="98"/>
      <c r="CC655" s="98"/>
      <c r="CD655" s="98"/>
      <c r="CE655" s="98"/>
      <c r="CF655" s="98"/>
      <c r="CG655" s="98"/>
      <c r="CH655" s="98"/>
      <c r="CI655" s="98"/>
      <c r="CJ655" s="98"/>
      <c r="CK655" s="98"/>
    </row>
    <row r="656" spans="1:89" ht="15" x14ac:dyDescent="0.2">
      <c r="A656" s="119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  <c r="AH656" s="98"/>
      <c r="AI656" s="98"/>
      <c r="AJ656" s="98"/>
      <c r="AK656" s="98"/>
      <c r="AL656" s="98"/>
      <c r="AM656" s="98"/>
      <c r="AN656" s="98"/>
      <c r="AO656" s="98"/>
      <c r="AP656" s="98"/>
      <c r="AQ656" s="98"/>
      <c r="AR656" s="98"/>
      <c r="AS656" s="98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8"/>
      <c r="BL656" s="98"/>
      <c r="BM656" s="98"/>
      <c r="BN656" s="98"/>
      <c r="BO656" s="98"/>
      <c r="BP656" s="98"/>
      <c r="BQ656" s="98"/>
      <c r="BR656" s="98"/>
      <c r="BS656" s="98"/>
      <c r="BT656" s="98"/>
      <c r="BU656" s="98"/>
      <c r="BV656" s="98"/>
      <c r="BW656" s="98"/>
      <c r="BX656" s="98"/>
      <c r="BY656" s="98"/>
      <c r="BZ656" s="98"/>
      <c r="CA656" s="98"/>
      <c r="CB656" s="98"/>
      <c r="CC656" s="98"/>
      <c r="CD656" s="98"/>
      <c r="CE656" s="98"/>
      <c r="CF656" s="98"/>
      <c r="CG656" s="98"/>
      <c r="CH656" s="98"/>
      <c r="CI656" s="98"/>
      <c r="CJ656" s="98"/>
      <c r="CK656" s="98"/>
    </row>
    <row r="657" spans="1:89" ht="15" x14ac:dyDescent="0.2">
      <c r="A657" s="119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  <c r="AH657" s="98"/>
      <c r="AI657" s="98"/>
      <c r="AJ657" s="98"/>
      <c r="AK657" s="98"/>
      <c r="AL657" s="98"/>
      <c r="AM657" s="98"/>
      <c r="AN657" s="98"/>
      <c r="AO657" s="98"/>
      <c r="AP657" s="98"/>
      <c r="AQ657" s="98"/>
      <c r="AR657" s="98"/>
      <c r="AS657" s="98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8"/>
      <c r="BL657" s="98"/>
      <c r="BM657" s="98"/>
      <c r="BN657" s="98"/>
      <c r="BO657" s="98"/>
      <c r="BP657" s="98"/>
      <c r="BQ657" s="98"/>
      <c r="BR657" s="98"/>
      <c r="BS657" s="98"/>
      <c r="BT657" s="98"/>
      <c r="BU657" s="98"/>
      <c r="BV657" s="98"/>
      <c r="BW657" s="98"/>
      <c r="BX657" s="98"/>
      <c r="BY657" s="98"/>
      <c r="BZ657" s="98"/>
      <c r="CA657" s="98"/>
      <c r="CB657" s="98"/>
      <c r="CC657" s="98"/>
      <c r="CD657" s="98"/>
      <c r="CE657" s="98"/>
      <c r="CF657" s="98"/>
      <c r="CG657" s="98"/>
      <c r="CH657" s="98"/>
      <c r="CI657" s="98"/>
      <c r="CJ657" s="98"/>
      <c r="CK657" s="98"/>
    </row>
    <row r="658" spans="1:89" ht="15" x14ac:dyDescent="0.2">
      <c r="A658" s="119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  <c r="AH658" s="98"/>
      <c r="AI658" s="98"/>
      <c r="AJ658" s="98"/>
      <c r="AK658" s="98"/>
      <c r="AL658" s="98"/>
      <c r="AM658" s="98"/>
      <c r="AN658" s="98"/>
      <c r="AO658" s="98"/>
      <c r="AP658" s="98"/>
      <c r="AQ658" s="98"/>
      <c r="AR658" s="98"/>
      <c r="AS658" s="98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8"/>
      <c r="BL658" s="98"/>
      <c r="BM658" s="98"/>
      <c r="BN658" s="98"/>
      <c r="BO658" s="98"/>
      <c r="BP658" s="98"/>
      <c r="BQ658" s="98"/>
      <c r="BR658" s="98"/>
      <c r="BS658" s="98"/>
      <c r="BT658" s="98"/>
      <c r="BU658" s="98"/>
      <c r="BV658" s="98"/>
      <c r="BW658" s="98"/>
      <c r="BX658" s="98"/>
      <c r="BY658" s="98"/>
      <c r="BZ658" s="98"/>
      <c r="CA658" s="98"/>
      <c r="CB658" s="98"/>
      <c r="CC658" s="98"/>
      <c r="CD658" s="98"/>
      <c r="CE658" s="98"/>
      <c r="CF658" s="98"/>
      <c r="CG658" s="98"/>
      <c r="CH658" s="98"/>
      <c r="CI658" s="98"/>
      <c r="CJ658" s="98"/>
      <c r="CK658" s="98"/>
    </row>
    <row r="659" spans="1:89" ht="15" x14ac:dyDescent="0.2">
      <c r="A659" s="119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  <c r="AH659" s="98"/>
      <c r="AI659" s="98"/>
      <c r="AJ659" s="98"/>
      <c r="AK659" s="98"/>
      <c r="AL659" s="98"/>
      <c r="AM659" s="98"/>
      <c r="AN659" s="98"/>
      <c r="AO659" s="98"/>
      <c r="AP659" s="98"/>
      <c r="AQ659" s="98"/>
      <c r="AR659" s="98"/>
      <c r="AS659" s="98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8"/>
      <c r="BL659" s="98"/>
      <c r="BM659" s="98"/>
      <c r="BN659" s="98"/>
      <c r="BO659" s="98"/>
      <c r="BP659" s="98"/>
      <c r="BQ659" s="98"/>
      <c r="BR659" s="98"/>
      <c r="BS659" s="98"/>
      <c r="BT659" s="98"/>
      <c r="BU659" s="98"/>
      <c r="BV659" s="98"/>
      <c r="BW659" s="98"/>
      <c r="BX659" s="98"/>
      <c r="BY659" s="98"/>
      <c r="BZ659" s="98"/>
      <c r="CA659" s="98"/>
      <c r="CB659" s="98"/>
      <c r="CC659" s="98"/>
      <c r="CD659" s="98"/>
      <c r="CE659" s="98"/>
      <c r="CF659" s="98"/>
      <c r="CG659" s="98"/>
      <c r="CH659" s="98"/>
      <c r="CI659" s="98"/>
      <c r="CJ659" s="98"/>
      <c r="CK659" s="98"/>
    </row>
    <row r="660" spans="1:89" ht="15" x14ac:dyDescent="0.2">
      <c r="A660" s="119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  <c r="AH660" s="98"/>
      <c r="AI660" s="98"/>
      <c r="AJ660" s="98"/>
      <c r="AK660" s="98"/>
      <c r="AL660" s="98"/>
      <c r="AM660" s="98"/>
      <c r="AN660" s="98"/>
      <c r="AO660" s="98"/>
      <c r="AP660" s="98"/>
      <c r="AQ660" s="98"/>
      <c r="AR660" s="98"/>
      <c r="AS660" s="98"/>
      <c r="AT660" s="98"/>
      <c r="AU660" s="98"/>
      <c r="AV660" s="98"/>
      <c r="AW660" s="98"/>
      <c r="AX660" s="98"/>
      <c r="AY660" s="98"/>
      <c r="AZ660" s="98"/>
      <c r="BA660" s="98"/>
      <c r="BB660" s="98"/>
      <c r="BC660" s="98"/>
      <c r="BD660" s="98"/>
      <c r="BE660" s="98"/>
      <c r="BF660" s="98"/>
      <c r="BG660" s="98"/>
      <c r="BH660" s="98"/>
      <c r="BI660" s="98"/>
      <c r="BJ660" s="98"/>
      <c r="BK660" s="98"/>
      <c r="BL660" s="98"/>
      <c r="BM660" s="98"/>
      <c r="BN660" s="98"/>
      <c r="BO660" s="98"/>
      <c r="BP660" s="98"/>
      <c r="BQ660" s="98"/>
      <c r="BR660" s="98"/>
      <c r="BS660" s="98"/>
      <c r="BT660" s="98"/>
      <c r="BU660" s="98"/>
      <c r="BV660" s="98"/>
      <c r="BW660" s="98"/>
      <c r="BX660" s="98"/>
      <c r="BY660" s="98"/>
      <c r="BZ660" s="98"/>
      <c r="CA660" s="98"/>
      <c r="CB660" s="98"/>
      <c r="CC660" s="98"/>
      <c r="CD660" s="98"/>
      <c r="CE660" s="98"/>
      <c r="CF660" s="98"/>
      <c r="CG660" s="98"/>
      <c r="CH660" s="98"/>
      <c r="CI660" s="98"/>
      <c r="CJ660" s="98"/>
      <c r="CK660" s="98"/>
    </row>
    <row r="661" spans="1:89" ht="15" x14ac:dyDescent="0.2">
      <c r="A661" s="119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  <c r="AI661" s="98"/>
      <c r="AJ661" s="98"/>
      <c r="AK661" s="98"/>
      <c r="AL661" s="98"/>
      <c r="AM661" s="98"/>
      <c r="AN661" s="98"/>
      <c r="AO661" s="98"/>
      <c r="AP661" s="98"/>
      <c r="AQ661" s="98"/>
      <c r="AR661" s="98"/>
      <c r="AS661" s="98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8"/>
      <c r="BL661" s="98"/>
      <c r="BM661" s="98"/>
      <c r="BN661" s="98"/>
      <c r="BO661" s="98"/>
      <c r="BP661" s="98"/>
      <c r="BQ661" s="98"/>
      <c r="BR661" s="98"/>
      <c r="BS661" s="98"/>
      <c r="BT661" s="98"/>
      <c r="BU661" s="98"/>
      <c r="BV661" s="98"/>
      <c r="BW661" s="98"/>
      <c r="BX661" s="98"/>
      <c r="BY661" s="98"/>
      <c r="BZ661" s="98"/>
      <c r="CA661" s="98"/>
      <c r="CB661" s="98"/>
      <c r="CC661" s="98"/>
      <c r="CD661" s="98"/>
      <c r="CE661" s="98"/>
      <c r="CF661" s="98"/>
      <c r="CG661" s="98"/>
      <c r="CH661" s="98"/>
      <c r="CI661" s="98"/>
      <c r="CJ661" s="98"/>
      <c r="CK661" s="98"/>
    </row>
    <row r="662" spans="1:89" ht="15" x14ac:dyDescent="0.2">
      <c r="A662" s="119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  <c r="AH662" s="98"/>
      <c r="AI662" s="98"/>
      <c r="AJ662" s="98"/>
      <c r="AK662" s="98"/>
      <c r="AL662" s="98"/>
      <c r="AM662" s="98"/>
      <c r="AN662" s="98"/>
      <c r="AO662" s="98"/>
      <c r="AP662" s="98"/>
      <c r="AQ662" s="98"/>
      <c r="AR662" s="98"/>
      <c r="AS662" s="98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8"/>
      <c r="BL662" s="98"/>
      <c r="BM662" s="98"/>
      <c r="BN662" s="98"/>
      <c r="BO662" s="98"/>
      <c r="BP662" s="98"/>
      <c r="BQ662" s="98"/>
      <c r="BR662" s="98"/>
      <c r="BS662" s="98"/>
      <c r="BT662" s="98"/>
      <c r="BU662" s="98"/>
      <c r="BV662" s="98"/>
      <c r="BW662" s="98"/>
      <c r="BX662" s="98"/>
      <c r="BY662" s="98"/>
      <c r="BZ662" s="98"/>
      <c r="CA662" s="98"/>
      <c r="CB662" s="98"/>
      <c r="CC662" s="98"/>
      <c r="CD662" s="98"/>
      <c r="CE662" s="98"/>
      <c r="CF662" s="98"/>
      <c r="CG662" s="98"/>
      <c r="CH662" s="98"/>
      <c r="CI662" s="98"/>
      <c r="CJ662" s="98"/>
      <c r="CK662" s="98"/>
    </row>
    <row r="663" spans="1:89" ht="15" x14ac:dyDescent="0.2">
      <c r="A663" s="119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  <c r="AH663" s="98"/>
      <c r="AI663" s="98"/>
      <c r="AJ663" s="98"/>
      <c r="AK663" s="98"/>
      <c r="AL663" s="98"/>
      <c r="AM663" s="98"/>
      <c r="AN663" s="98"/>
      <c r="AO663" s="98"/>
      <c r="AP663" s="98"/>
      <c r="AQ663" s="98"/>
      <c r="AR663" s="98"/>
      <c r="AS663" s="98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8"/>
      <c r="BL663" s="98"/>
      <c r="BM663" s="98"/>
      <c r="BN663" s="98"/>
      <c r="BO663" s="98"/>
      <c r="BP663" s="98"/>
      <c r="BQ663" s="98"/>
      <c r="BR663" s="98"/>
      <c r="BS663" s="98"/>
      <c r="BT663" s="98"/>
      <c r="BU663" s="98"/>
      <c r="BV663" s="98"/>
      <c r="BW663" s="98"/>
      <c r="BX663" s="98"/>
      <c r="BY663" s="98"/>
      <c r="BZ663" s="98"/>
      <c r="CA663" s="98"/>
      <c r="CB663" s="98"/>
      <c r="CC663" s="98"/>
      <c r="CD663" s="98"/>
      <c r="CE663" s="98"/>
      <c r="CF663" s="98"/>
      <c r="CG663" s="98"/>
      <c r="CH663" s="98"/>
      <c r="CI663" s="98"/>
      <c r="CJ663" s="98"/>
      <c r="CK663" s="98"/>
    </row>
    <row r="664" spans="1:89" ht="15" x14ac:dyDescent="0.2">
      <c r="A664" s="119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  <c r="AH664" s="98"/>
      <c r="AI664" s="98"/>
      <c r="AJ664" s="98"/>
      <c r="AK664" s="98"/>
      <c r="AL664" s="98"/>
      <c r="AM664" s="98"/>
      <c r="AN664" s="98"/>
      <c r="AO664" s="98"/>
      <c r="AP664" s="98"/>
      <c r="AQ664" s="98"/>
      <c r="AR664" s="98"/>
      <c r="AS664" s="98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8"/>
      <c r="BL664" s="98"/>
      <c r="BM664" s="98"/>
      <c r="BN664" s="98"/>
      <c r="BO664" s="98"/>
      <c r="BP664" s="98"/>
      <c r="BQ664" s="98"/>
      <c r="BR664" s="98"/>
      <c r="BS664" s="98"/>
      <c r="BT664" s="98"/>
      <c r="BU664" s="98"/>
      <c r="BV664" s="98"/>
      <c r="BW664" s="98"/>
      <c r="BX664" s="98"/>
      <c r="BY664" s="98"/>
      <c r="BZ664" s="98"/>
      <c r="CA664" s="98"/>
      <c r="CB664" s="98"/>
      <c r="CC664" s="98"/>
      <c r="CD664" s="98"/>
      <c r="CE664" s="98"/>
      <c r="CF664" s="98"/>
      <c r="CG664" s="98"/>
      <c r="CH664" s="98"/>
      <c r="CI664" s="98"/>
      <c r="CJ664" s="98"/>
      <c r="CK664" s="98"/>
    </row>
    <row r="665" spans="1:89" ht="15" x14ac:dyDescent="0.2">
      <c r="A665" s="119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  <c r="AH665" s="98"/>
      <c r="AI665" s="98"/>
      <c r="AJ665" s="98"/>
      <c r="AK665" s="98"/>
      <c r="AL665" s="98"/>
      <c r="AM665" s="98"/>
      <c r="AN665" s="98"/>
      <c r="AO665" s="98"/>
      <c r="AP665" s="98"/>
      <c r="AQ665" s="98"/>
      <c r="AR665" s="98"/>
      <c r="AS665" s="98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8"/>
      <c r="BL665" s="98"/>
      <c r="BM665" s="98"/>
      <c r="BN665" s="98"/>
      <c r="BO665" s="98"/>
      <c r="BP665" s="98"/>
      <c r="BQ665" s="98"/>
      <c r="BR665" s="98"/>
      <c r="BS665" s="98"/>
      <c r="BT665" s="98"/>
      <c r="BU665" s="98"/>
      <c r="BV665" s="98"/>
      <c r="BW665" s="98"/>
      <c r="BX665" s="98"/>
      <c r="BY665" s="98"/>
      <c r="BZ665" s="98"/>
      <c r="CA665" s="98"/>
      <c r="CB665" s="98"/>
      <c r="CC665" s="98"/>
      <c r="CD665" s="98"/>
      <c r="CE665" s="98"/>
      <c r="CF665" s="98"/>
      <c r="CG665" s="98"/>
      <c r="CH665" s="98"/>
      <c r="CI665" s="98"/>
      <c r="CJ665" s="98"/>
      <c r="CK665" s="98"/>
    </row>
    <row r="666" spans="1:89" ht="15" x14ac:dyDescent="0.2">
      <c r="A666" s="119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  <c r="AH666" s="98"/>
      <c r="AI666" s="98"/>
      <c r="AJ666" s="98"/>
      <c r="AK666" s="98"/>
      <c r="AL666" s="98"/>
      <c r="AM666" s="98"/>
      <c r="AN666" s="98"/>
      <c r="AO666" s="98"/>
      <c r="AP666" s="98"/>
      <c r="AQ666" s="98"/>
      <c r="AR666" s="98"/>
      <c r="AS666" s="98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8"/>
      <c r="BL666" s="98"/>
      <c r="BM666" s="98"/>
      <c r="BN666" s="98"/>
      <c r="BO666" s="98"/>
      <c r="BP666" s="98"/>
      <c r="BQ666" s="98"/>
      <c r="BR666" s="98"/>
      <c r="BS666" s="98"/>
      <c r="BT666" s="98"/>
      <c r="BU666" s="98"/>
      <c r="BV666" s="98"/>
      <c r="BW666" s="98"/>
      <c r="BX666" s="98"/>
      <c r="BY666" s="98"/>
      <c r="BZ666" s="98"/>
      <c r="CA666" s="98"/>
      <c r="CB666" s="98"/>
      <c r="CC666" s="98"/>
      <c r="CD666" s="98"/>
      <c r="CE666" s="98"/>
      <c r="CF666" s="98"/>
      <c r="CG666" s="98"/>
      <c r="CH666" s="98"/>
      <c r="CI666" s="98"/>
      <c r="CJ666" s="98"/>
      <c r="CK666" s="98"/>
    </row>
    <row r="667" spans="1:89" ht="15" x14ac:dyDescent="0.2">
      <c r="A667" s="119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  <c r="AH667" s="98"/>
      <c r="AI667" s="98"/>
      <c r="AJ667" s="98"/>
      <c r="AK667" s="98"/>
      <c r="AL667" s="98"/>
      <c r="AM667" s="98"/>
      <c r="AN667" s="98"/>
      <c r="AO667" s="98"/>
      <c r="AP667" s="98"/>
      <c r="AQ667" s="98"/>
      <c r="AR667" s="98"/>
      <c r="AS667" s="98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8"/>
      <c r="BL667" s="98"/>
      <c r="BM667" s="98"/>
      <c r="BN667" s="98"/>
      <c r="BO667" s="98"/>
      <c r="BP667" s="98"/>
      <c r="BQ667" s="98"/>
      <c r="BR667" s="98"/>
      <c r="BS667" s="98"/>
      <c r="BT667" s="98"/>
      <c r="BU667" s="98"/>
      <c r="BV667" s="98"/>
      <c r="BW667" s="98"/>
      <c r="BX667" s="98"/>
      <c r="BY667" s="98"/>
      <c r="BZ667" s="98"/>
      <c r="CA667" s="98"/>
      <c r="CB667" s="98"/>
      <c r="CC667" s="98"/>
      <c r="CD667" s="98"/>
      <c r="CE667" s="98"/>
      <c r="CF667" s="98"/>
      <c r="CG667" s="98"/>
      <c r="CH667" s="98"/>
      <c r="CI667" s="98"/>
      <c r="CJ667" s="98"/>
      <c r="CK667" s="98"/>
    </row>
    <row r="668" spans="1:89" ht="15" x14ac:dyDescent="0.2">
      <c r="A668" s="119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  <c r="AH668" s="98"/>
      <c r="AI668" s="98"/>
      <c r="AJ668" s="98"/>
      <c r="AK668" s="98"/>
      <c r="AL668" s="98"/>
      <c r="AM668" s="98"/>
      <c r="AN668" s="98"/>
      <c r="AO668" s="98"/>
      <c r="AP668" s="98"/>
      <c r="AQ668" s="98"/>
      <c r="AR668" s="98"/>
      <c r="AS668" s="98"/>
      <c r="AT668" s="98"/>
      <c r="AU668" s="98"/>
      <c r="AV668" s="98"/>
      <c r="AW668" s="98"/>
      <c r="AX668" s="98"/>
      <c r="AY668" s="98"/>
      <c r="AZ668" s="98"/>
      <c r="BA668" s="98"/>
      <c r="BB668" s="98"/>
      <c r="BC668" s="98"/>
      <c r="BD668" s="98"/>
      <c r="BE668" s="98"/>
      <c r="BF668" s="98"/>
      <c r="BG668" s="98"/>
      <c r="BH668" s="98"/>
      <c r="BI668" s="98"/>
      <c r="BJ668" s="98"/>
      <c r="BK668" s="98"/>
      <c r="BL668" s="98"/>
      <c r="BM668" s="98"/>
      <c r="BN668" s="98"/>
      <c r="BO668" s="98"/>
      <c r="BP668" s="98"/>
      <c r="BQ668" s="98"/>
      <c r="BR668" s="98"/>
      <c r="BS668" s="98"/>
      <c r="BT668" s="98"/>
      <c r="BU668" s="98"/>
      <c r="BV668" s="98"/>
      <c r="BW668" s="98"/>
      <c r="BX668" s="98"/>
      <c r="BY668" s="98"/>
      <c r="BZ668" s="98"/>
      <c r="CA668" s="98"/>
      <c r="CB668" s="98"/>
      <c r="CC668" s="98"/>
      <c r="CD668" s="98"/>
      <c r="CE668" s="98"/>
      <c r="CF668" s="98"/>
      <c r="CG668" s="98"/>
      <c r="CH668" s="98"/>
      <c r="CI668" s="98"/>
      <c r="CJ668" s="98"/>
      <c r="CK668" s="98"/>
    </row>
    <row r="669" spans="1:89" ht="15" x14ac:dyDescent="0.2">
      <c r="A669" s="119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  <c r="AI669" s="98"/>
      <c r="AJ669" s="98"/>
      <c r="AK669" s="98"/>
      <c r="AL669" s="98"/>
      <c r="AM669" s="98"/>
      <c r="AN669" s="98"/>
      <c r="AO669" s="98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8"/>
      <c r="BL669" s="98"/>
      <c r="BM669" s="98"/>
      <c r="BN669" s="98"/>
      <c r="BO669" s="98"/>
      <c r="BP669" s="98"/>
      <c r="BQ669" s="98"/>
      <c r="BR669" s="98"/>
      <c r="BS669" s="98"/>
      <c r="BT669" s="98"/>
      <c r="BU669" s="98"/>
      <c r="BV669" s="98"/>
      <c r="BW669" s="98"/>
      <c r="BX669" s="98"/>
      <c r="BY669" s="98"/>
      <c r="BZ669" s="98"/>
      <c r="CA669" s="98"/>
      <c r="CB669" s="98"/>
      <c r="CC669" s="98"/>
      <c r="CD669" s="98"/>
      <c r="CE669" s="98"/>
      <c r="CF669" s="98"/>
      <c r="CG669" s="98"/>
      <c r="CH669" s="98"/>
      <c r="CI669" s="98"/>
      <c r="CJ669" s="98"/>
      <c r="CK669" s="98"/>
    </row>
    <row r="670" spans="1:89" ht="15" x14ac:dyDescent="0.2">
      <c r="A670" s="119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  <c r="AH670" s="98"/>
      <c r="AI670" s="98"/>
      <c r="AJ670" s="98"/>
      <c r="AK670" s="98"/>
      <c r="AL670" s="98"/>
      <c r="AM670" s="98"/>
      <c r="AN670" s="98"/>
      <c r="AO670" s="98"/>
      <c r="AP670" s="98"/>
      <c r="AQ670" s="98"/>
      <c r="AR670" s="98"/>
      <c r="AS670" s="98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8"/>
      <c r="BL670" s="98"/>
      <c r="BM670" s="98"/>
      <c r="BN670" s="98"/>
      <c r="BO670" s="98"/>
      <c r="BP670" s="98"/>
      <c r="BQ670" s="98"/>
      <c r="BR670" s="98"/>
      <c r="BS670" s="98"/>
      <c r="BT670" s="98"/>
      <c r="BU670" s="98"/>
      <c r="BV670" s="98"/>
      <c r="BW670" s="98"/>
      <c r="BX670" s="98"/>
      <c r="BY670" s="98"/>
      <c r="BZ670" s="98"/>
      <c r="CA670" s="98"/>
      <c r="CB670" s="98"/>
      <c r="CC670" s="98"/>
      <c r="CD670" s="98"/>
      <c r="CE670" s="98"/>
      <c r="CF670" s="98"/>
      <c r="CG670" s="98"/>
      <c r="CH670" s="98"/>
      <c r="CI670" s="98"/>
      <c r="CJ670" s="98"/>
      <c r="CK670" s="98"/>
    </row>
    <row r="671" spans="1:89" ht="15" x14ac:dyDescent="0.2">
      <c r="A671" s="119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  <c r="AI671" s="98"/>
      <c r="AJ671" s="98"/>
      <c r="AK671" s="98"/>
      <c r="AL671" s="98"/>
      <c r="AM671" s="98"/>
      <c r="AN671" s="98"/>
      <c r="AO671" s="98"/>
      <c r="AP671" s="98"/>
      <c r="AQ671" s="98"/>
      <c r="AR671" s="98"/>
      <c r="AS671" s="98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8"/>
      <c r="BL671" s="98"/>
      <c r="BM671" s="98"/>
      <c r="BN671" s="98"/>
      <c r="BO671" s="98"/>
      <c r="BP671" s="98"/>
      <c r="BQ671" s="98"/>
      <c r="BR671" s="98"/>
      <c r="BS671" s="98"/>
      <c r="BT671" s="98"/>
      <c r="BU671" s="98"/>
      <c r="BV671" s="98"/>
      <c r="BW671" s="98"/>
      <c r="BX671" s="98"/>
      <c r="BY671" s="98"/>
      <c r="BZ671" s="98"/>
      <c r="CA671" s="98"/>
      <c r="CB671" s="98"/>
      <c r="CC671" s="98"/>
      <c r="CD671" s="98"/>
      <c r="CE671" s="98"/>
      <c r="CF671" s="98"/>
      <c r="CG671" s="98"/>
      <c r="CH671" s="98"/>
      <c r="CI671" s="98"/>
      <c r="CJ671" s="98"/>
      <c r="CK671" s="98"/>
    </row>
    <row r="672" spans="1:89" ht="15" x14ac:dyDescent="0.2">
      <c r="A672" s="119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  <c r="AI672" s="98"/>
      <c r="AJ672" s="98"/>
      <c r="AK672" s="98"/>
      <c r="AL672" s="98"/>
      <c r="AM672" s="98"/>
      <c r="AN672" s="98"/>
      <c r="AO672" s="98"/>
      <c r="AP672" s="98"/>
      <c r="AQ672" s="98"/>
      <c r="AR672" s="98"/>
      <c r="AS672" s="98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8"/>
      <c r="BL672" s="98"/>
      <c r="BM672" s="98"/>
      <c r="BN672" s="98"/>
      <c r="BO672" s="98"/>
      <c r="BP672" s="98"/>
      <c r="BQ672" s="98"/>
      <c r="BR672" s="98"/>
      <c r="BS672" s="98"/>
      <c r="BT672" s="98"/>
      <c r="BU672" s="98"/>
      <c r="BV672" s="98"/>
      <c r="BW672" s="98"/>
      <c r="BX672" s="98"/>
      <c r="BY672" s="98"/>
      <c r="BZ672" s="98"/>
      <c r="CA672" s="98"/>
      <c r="CB672" s="98"/>
      <c r="CC672" s="98"/>
      <c r="CD672" s="98"/>
      <c r="CE672" s="98"/>
      <c r="CF672" s="98"/>
      <c r="CG672" s="98"/>
      <c r="CH672" s="98"/>
      <c r="CI672" s="98"/>
      <c r="CJ672" s="98"/>
      <c r="CK672" s="98"/>
    </row>
    <row r="673" spans="1:89" ht="15" x14ac:dyDescent="0.2">
      <c r="A673" s="119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  <c r="AH673" s="98"/>
      <c r="AI673" s="98"/>
      <c r="AJ673" s="98"/>
      <c r="AK673" s="98"/>
      <c r="AL673" s="98"/>
      <c r="AM673" s="98"/>
      <c r="AN673" s="98"/>
      <c r="AO673" s="98"/>
      <c r="AP673" s="98"/>
      <c r="AQ673" s="98"/>
      <c r="AR673" s="98"/>
      <c r="AS673" s="98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8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/>
      <c r="BX673" s="98"/>
      <c r="BY673" s="98"/>
      <c r="BZ673" s="98"/>
      <c r="CA673" s="98"/>
      <c r="CB673" s="98"/>
      <c r="CC673" s="98"/>
      <c r="CD673" s="98"/>
      <c r="CE673" s="98"/>
      <c r="CF673" s="98"/>
      <c r="CG673" s="98"/>
      <c r="CH673" s="98"/>
      <c r="CI673" s="98"/>
      <c r="CJ673" s="98"/>
      <c r="CK673" s="98"/>
    </row>
    <row r="674" spans="1:89" ht="15" x14ac:dyDescent="0.2">
      <c r="A674" s="119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  <c r="AH674" s="98"/>
      <c r="AI674" s="98"/>
      <c r="AJ674" s="98"/>
      <c r="AK674" s="98"/>
      <c r="AL674" s="98"/>
      <c r="AM674" s="98"/>
      <c r="AN674" s="98"/>
      <c r="AO674" s="98"/>
      <c r="AP674" s="98"/>
      <c r="AQ674" s="98"/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/>
      <c r="BX674" s="98"/>
      <c r="BY674" s="98"/>
      <c r="BZ674" s="98"/>
      <c r="CA674" s="98"/>
      <c r="CB674" s="98"/>
      <c r="CC674" s="98"/>
      <c r="CD674" s="98"/>
      <c r="CE674" s="98"/>
      <c r="CF674" s="98"/>
      <c r="CG674" s="98"/>
      <c r="CH674" s="98"/>
      <c r="CI674" s="98"/>
      <c r="CJ674" s="98"/>
      <c r="CK674" s="98"/>
    </row>
    <row r="675" spans="1:89" ht="15" x14ac:dyDescent="0.2">
      <c r="A675" s="119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  <c r="AH675" s="98"/>
      <c r="AI675" s="98"/>
      <c r="AJ675" s="98"/>
      <c r="AK675" s="98"/>
      <c r="AL675" s="98"/>
      <c r="AM675" s="98"/>
      <c r="AN675" s="98"/>
      <c r="AO675" s="98"/>
      <c r="AP675" s="98"/>
      <c r="AQ675" s="98"/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/>
      <c r="BX675" s="98"/>
      <c r="BY675" s="98"/>
      <c r="BZ675" s="98"/>
      <c r="CA675" s="98"/>
      <c r="CB675" s="98"/>
      <c r="CC675" s="98"/>
      <c r="CD675" s="98"/>
      <c r="CE675" s="98"/>
      <c r="CF675" s="98"/>
      <c r="CG675" s="98"/>
      <c r="CH675" s="98"/>
      <c r="CI675" s="98"/>
      <c r="CJ675" s="98"/>
      <c r="CK675" s="98"/>
    </row>
    <row r="676" spans="1:89" ht="15" x14ac:dyDescent="0.2">
      <c r="A676" s="119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  <c r="AH676" s="98"/>
      <c r="AI676" s="98"/>
      <c r="AJ676" s="98"/>
      <c r="AK676" s="98"/>
      <c r="AL676" s="98"/>
      <c r="AM676" s="98"/>
      <c r="AN676" s="98"/>
      <c r="AO676" s="98"/>
      <c r="AP676" s="98"/>
      <c r="AQ676" s="98"/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/>
      <c r="CA676" s="98"/>
      <c r="CB676" s="98"/>
      <c r="CC676" s="98"/>
      <c r="CD676" s="98"/>
      <c r="CE676" s="98"/>
      <c r="CF676" s="98"/>
      <c r="CG676" s="98"/>
      <c r="CH676" s="98"/>
      <c r="CI676" s="98"/>
      <c r="CJ676" s="98"/>
      <c r="CK676" s="98"/>
    </row>
    <row r="677" spans="1:89" ht="15" x14ac:dyDescent="0.2">
      <c r="A677" s="119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  <c r="AH677" s="98"/>
      <c r="AI677" s="98"/>
      <c r="AJ677" s="98"/>
      <c r="AK677" s="98"/>
      <c r="AL677" s="98"/>
      <c r="AM677" s="98"/>
      <c r="AN677" s="98"/>
      <c r="AO677" s="98"/>
      <c r="AP677" s="98"/>
      <c r="AQ677" s="98"/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/>
      <c r="BX677" s="98"/>
      <c r="BY677" s="98"/>
      <c r="BZ677" s="98"/>
      <c r="CA677" s="98"/>
      <c r="CB677" s="98"/>
      <c r="CC677" s="98"/>
      <c r="CD677" s="98"/>
      <c r="CE677" s="98"/>
      <c r="CF677" s="98"/>
      <c r="CG677" s="98"/>
      <c r="CH677" s="98"/>
      <c r="CI677" s="98"/>
      <c r="CJ677" s="98"/>
      <c r="CK677" s="98"/>
    </row>
    <row r="678" spans="1:89" ht="15" x14ac:dyDescent="0.2">
      <c r="A678" s="119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  <c r="AH678" s="98"/>
      <c r="AI678" s="98"/>
      <c r="AJ678" s="98"/>
      <c r="AK678" s="98"/>
      <c r="AL678" s="98"/>
      <c r="AM678" s="98"/>
      <c r="AN678" s="98"/>
      <c r="AO678" s="98"/>
      <c r="AP678" s="98"/>
      <c r="AQ678" s="98"/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/>
      <c r="BX678" s="98"/>
      <c r="BY678" s="98"/>
      <c r="BZ678" s="98"/>
      <c r="CA678" s="98"/>
      <c r="CB678" s="98"/>
      <c r="CC678" s="98"/>
      <c r="CD678" s="98"/>
      <c r="CE678" s="98"/>
      <c r="CF678" s="98"/>
      <c r="CG678" s="98"/>
      <c r="CH678" s="98"/>
      <c r="CI678" s="98"/>
      <c r="CJ678" s="98"/>
      <c r="CK678" s="98"/>
    </row>
    <row r="679" spans="1:89" ht="15" x14ac:dyDescent="0.2">
      <c r="A679" s="119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  <c r="AH679" s="98"/>
      <c r="AI679" s="98"/>
      <c r="AJ679" s="98"/>
      <c r="AK679" s="98"/>
      <c r="AL679" s="98"/>
      <c r="AM679" s="98"/>
      <c r="AN679" s="98"/>
      <c r="AO679" s="98"/>
      <c r="AP679" s="98"/>
      <c r="AQ679" s="98"/>
      <c r="AR679" s="98"/>
      <c r="AS679" s="98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8"/>
      <c r="BL679" s="98"/>
      <c r="BM679" s="98"/>
      <c r="BN679" s="98"/>
      <c r="BO679" s="98"/>
      <c r="BP679" s="98"/>
      <c r="BQ679" s="98"/>
      <c r="BR679" s="98"/>
      <c r="BS679" s="98"/>
      <c r="BT679" s="98"/>
      <c r="BU679" s="98"/>
      <c r="BV679" s="98"/>
      <c r="BW679" s="98"/>
      <c r="BX679" s="98"/>
      <c r="BY679" s="98"/>
      <c r="BZ679" s="98"/>
      <c r="CA679" s="98"/>
      <c r="CB679" s="98"/>
      <c r="CC679" s="98"/>
      <c r="CD679" s="98"/>
      <c r="CE679" s="98"/>
      <c r="CF679" s="98"/>
      <c r="CG679" s="98"/>
      <c r="CH679" s="98"/>
      <c r="CI679" s="98"/>
      <c r="CJ679" s="98"/>
      <c r="CK679" s="98"/>
    </row>
    <row r="680" spans="1:89" ht="15" x14ac:dyDescent="0.2">
      <c r="A680" s="119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  <c r="AH680" s="98"/>
      <c r="AI680" s="98"/>
      <c r="AJ680" s="98"/>
      <c r="AK680" s="98"/>
      <c r="AL680" s="98"/>
      <c r="AM680" s="98"/>
      <c r="AN680" s="98"/>
      <c r="AO680" s="98"/>
      <c r="AP680" s="98"/>
      <c r="AQ680" s="98"/>
      <c r="AR680" s="98"/>
      <c r="AS680" s="98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8"/>
      <c r="BL680" s="98"/>
      <c r="BM680" s="98"/>
      <c r="BN680" s="98"/>
      <c r="BO680" s="98"/>
      <c r="BP680" s="98"/>
      <c r="BQ680" s="98"/>
      <c r="BR680" s="98"/>
      <c r="BS680" s="98"/>
      <c r="BT680" s="98"/>
      <c r="BU680" s="98"/>
      <c r="BV680" s="98"/>
      <c r="BW680" s="98"/>
      <c r="BX680" s="98"/>
      <c r="BY680" s="98"/>
      <c r="BZ680" s="98"/>
      <c r="CA680" s="98"/>
      <c r="CB680" s="98"/>
      <c r="CC680" s="98"/>
      <c r="CD680" s="98"/>
      <c r="CE680" s="98"/>
      <c r="CF680" s="98"/>
      <c r="CG680" s="98"/>
      <c r="CH680" s="98"/>
      <c r="CI680" s="98"/>
      <c r="CJ680" s="98"/>
      <c r="CK680" s="98"/>
    </row>
    <row r="681" spans="1:89" ht="15" x14ac:dyDescent="0.2">
      <c r="A681" s="119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  <c r="AH681" s="98"/>
      <c r="AI681" s="98"/>
      <c r="AJ681" s="98"/>
      <c r="AK681" s="98"/>
      <c r="AL681" s="98"/>
      <c r="AM681" s="98"/>
      <c r="AN681" s="98"/>
      <c r="AO681" s="98"/>
      <c r="AP681" s="98"/>
      <c r="AQ681" s="98"/>
      <c r="AR681" s="98"/>
      <c r="AS681" s="98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8"/>
      <c r="BL681" s="98"/>
      <c r="BM681" s="98"/>
      <c r="BN681" s="98"/>
      <c r="BO681" s="98"/>
      <c r="BP681" s="98"/>
      <c r="BQ681" s="98"/>
      <c r="BR681" s="98"/>
      <c r="BS681" s="98"/>
      <c r="BT681" s="98"/>
      <c r="BU681" s="98"/>
      <c r="BV681" s="98"/>
      <c r="BW681" s="98"/>
      <c r="BX681" s="98"/>
      <c r="BY681" s="98"/>
      <c r="BZ681" s="98"/>
      <c r="CA681" s="98"/>
      <c r="CB681" s="98"/>
      <c r="CC681" s="98"/>
      <c r="CD681" s="98"/>
      <c r="CE681" s="98"/>
      <c r="CF681" s="98"/>
      <c r="CG681" s="98"/>
      <c r="CH681" s="98"/>
      <c r="CI681" s="98"/>
      <c r="CJ681" s="98"/>
      <c r="CK681" s="98"/>
    </row>
    <row r="682" spans="1:89" ht="15" x14ac:dyDescent="0.2">
      <c r="A682" s="119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  <c r="AH682" s="98"/>
      <c r="AI682" s="98"/>
      <c r="AJ682" s="98"/>
      <c r="AK682" s="98"/>
      <c r="AL682" s="98"/>
      <c r="AM682" s="98"/>
      <c r="AN682" s="98"/>
      <c r="AO682" s="98"/>
      <c r="AP682" s="98"/>
      <c r="AQ682" s="98"/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/>
      <c r="BR682" s="98"/>
      <c r="BS682" s="98"/>
      <c r="BT682" s="98"/>
      <c r="BU682" s="98"/>
      <c r="BV682" s="98"/>
      <c r="BW682" s="98"/>
      <c r="BX682" s="98"/>
      <c r="BY682" s="98"/>
      <c r="BZ682" s="98"/>
      <c r="CA682" s="98"/>
      <c r="CB682" s="98"/>
      <c r="CC682" s="98"/>
      <c r="CD682" s="98"/>
      <c r="CE682" s="98"/>
      <c r="CF682" s="98"/>
      <c r="CG682" s="98"/>
      <c r="CH682" s="98"/>
      <c r="CI682" s="98"/>
      <c r="CJ682" s="98"/>
      <c r="CK682" s="98"/>
    </row>
    <row r="683" spans="1:89" ht="15" x14ac:dyDescent="0.2">
      <c r="A683" s="119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  <c r="AH683" s="98"/>
      <c r="AI683" s="98"/>
      <c r="AJ683" s="98"/>
      <c r="AK683" s="98"/>
      <c r="AL683" s="98"/>
      <c r="AM683" s="98"/>
      <c r="AN683" s="98"/>
      <c r="AO683" s="98"/>
      <c r="AP683" s="98"/>
      <c r="AQ683" s="98"/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/>
      <c r="BR683" s="98"/>
      <c r="BS683" s="98"/>
      <c r="BT683" s="98"/>
      <c r="BU683" s="98"/>
      <c r="BV683" s="98"/>
      <c r="BW683" s="98"/>
      <c r="BX683" s="98"/>
      <c r="BY683" s="98"/>
      <c r="BZ683" s="98"/>
      <c r="CA683" s="98"/>
      <c r="CB683" s="98"/>
      <c r="CC683" s="98"/>
      <c r="CD683" s="98"/>
      <c r="CE683" s="98"/>
      <c r="CF683" s="98"/>
      <c r="CG683" s="98"/>
      <c r="CH683" s="98"/>
      <c r="CI683" s="98"/>
      <c r="CJ683" s="98"/>
      <c r="CK683" s="98"/>
    </row>
    <row r="684" spans="1:89" ht="15" x14ac:dyDescent="0.2">
      <c r="A684" s="119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  <c r="AI684" s="98"/>
      <c r="AJ684" s="98"/>
      <c r="AK684" s="98"/>
      <c r="AL684" s="98"/>
      <c r="AM684" s="98"/>
      <c r="AN684" s="98"/>
      <c r="AO684" s="98"/>
      <c r="AP684" s="98"/>
      <c r="AQ684" s="98"/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/>
      <c r="BR684" s="98"/>
      <c r="BS684" s="98"/>
      <c r="BT684" s="98"/>
      <c r="BU684" s="98"/>
      <c r="BV684" s="98"/>
      <c r="BW684" s="98"/>
      <c r="BX684" s="98"/>
      <c r="BY684" s="98"/>
      <c r="BZ684" s="98"/>
      <c r="CA684" s="98"/>
      <c r="CB684" s="98"/>
      <c r="CC684" s="98"/>
      <c r="CD684" s="98"/>
      <c r="CE684" s="98"/>
      <c r="CF684" s="98"/>
      <c r="CG684" s="98"/>
      <c r="CH684" s="98"/>
      <c r="CI684" s="98"/>
      <c r="CJ684" s="98"/>
      <c r="CK684" s="98"/>
    </row>
    <row r="685" spans="1:89" ht="15" x14ac:dyDescent="0.2">
      <c r="A685" s="119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  <c r="AI685" s="98"/>
      <c r="AJ685" s="98"/>
      <c r="AK685" s="98"/>
      <c r="AL685" s="98"/>
      <c r="AM685" s="98"/>
      <c r="AN685" s="98"/>
      <c r="AO685" s="98"/>
      <c r="AP685" s="98"/>
      <c r="AQ685" s="98"/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/>
      <c r="BR685" s="98"/>
      <c r="BS685" s="98"/>
      <c r="BT685" s="98"/>
      <c r="BU685" s="98"/>
      <c r="BV685" s="98"/>
      <c r="BW685" s="98"/>
      <c r="BX685" s="98"/>
      <c r="BY685" s="98"/>
      <c r="BZ685" s="98"/>
      <c r="CA685" s="98"/>
      <c r="CB685" s="98"/>
      <c r="CC685" s="98"/>
      <c r="CD685" s="98"/>
      <c r="CE685" s="98"/>
      <c r="CF685" s="98"/>
      <c r="CG685" s="98"/>
      <c r="CH685" s="98"/>
      <c r="CI685" s="98"/>
      <c r="CJ685" s="98"/>
      <c r="CK685" s="98"/>
    </row>
    <row r="686" spans="1:89" ht="15" x14ac:dyDescent="0.2">
      <c r="A686" s="119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  <c r="AI686" s="98"/>
      <c r="AJ686" s="98"/>
      <c r="AK686" s="98"/>
      <c r="AL686" s="98"/>
      <c r="AM686" s="98"/>
      <c r="AN686" s="98"/>
      <c r="AO686" s="98"/>
      <c r="AP686" s="98"/>
      <c r="AQ686" s="98"/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/>
      <c r="BR686" s="98"/>
      <c r="BS686" s="98"/>
      <c r="BT686" s="98"/>
      <c r="BU686" s="98"/>
      <c r="BV686" s="98"/>
      <c r="BW686" s="98"/>
      <c r="BX686" s="98"/>
      <c r="BY686" s="98"/>
      <c r="BZ686" s="98"/>
      <c r="CA686" s="98"/>
      <c r="CB686" s="98"/>
      <c r="CC686" s="98"/>
      <c r="CD686" s="98"/>
      <c r="CE686" s="98"/>
      <c r="CF686" s="98"/>
      <c r="CG686" s="98"/>
      <c r="CH686" s="98"/>
      <c r="CI686" s="98"/>
      <c r="CJ686" s="98"/>
      <c r="CK686" s="98"/>
    </row>
    <row r="687" spans="1:89" ht="15" x14ac:dyDescent="0.2">
      <c r="A687" s="119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  <c r="AI687" s="98"/>
      <c r="AJ687" s="98"/>
      <c r="AK687" s="98"/>
      <c r="AL687" s="98"/>
      <c r="AM687" s="98"/>
      <c r="AN687" s="98"/>
      <c r="AO687" s="98"/>
      <c r="AP687" s="98"/>
      <c r="AQ687" s="98"/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/>
      <c r="BR687" s="98"/>
      <c r="BS687" s="98"/>
      <c r="BT687" s="98"/>
      <c r="BU687" s="98"/>
      <c r="BV687" s="98"/>
      <c r="BW687" s="98"/>
      <c r="BX687" s="98"/>
      <c r="BY687" s="98"/>
      <c r="BZ687" s="98"/>
      <c r="CA687" s="98"/>
      <c r="CB687" s="98"/>
      <c r="CC687" s="98"/>
      <c r="CD687" s="98"/>
      <c r="CE687" s="98"/>
      <c r="CF687" s="98"/>
      <c r="CG687" s="98"/>
      <c r="CH687" s="98"/>
      <c r="CI687" s="98"/>
      <c r="CJ687" s="98"/>
      <c r="CK687" s="98"/>
    </row>
    <row r="688" spans="1:89" ht="15" x14ac:dyDescent="0.2">
      <c r="A688" s="119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  <c r="AI688" s="98"/>
      <c r="AJ688" s="98"/>
      <c r="AK688" s="98"/>
      <c r="AL688" s="98"/>
      <c r="AM688" s="98"/>
      <c r="AN688" s="98"/>
      <c r="AO688" s="98"/>
      <c r="AP688" s="98"/>
      <c r="AQ688" s="98"/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/>
      <c r="BR688" s="98"/>
      <c r="BS688" s="98"/>
      <c r="BT688" s="98"/>
      <c r="BU688" s="98"/>
      <c r="BV688" s="98"/>
      <c r="BW688" s="98"/>
      <c r="BX688" s="98"/>
      <c r="BY688" s="98"/>
      <c r="BZ688" s="98"/>
      <c r="CA688" s="98"/>
      <c r="CB688" s="98"/>
      <c r="CC688" s="98"/>
      <c r="CD688" s="98"/>
      <c r="CE688" s="98"/>
      <c r="CF688" s="98"/>
      <c r="CG688" s="98"/>
      <c r="CH688" s="98"/>
      <c r="CI688" s="98"/>
      <c r="CJ688" s="98"/>
      <c r="CK688" s="98"/>
    </row>
    <row r="689" spans="1:89" ht="15" x14ac:dyDescent="0.2">
      <c r="A689" s="119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/>
      <c r="AL689" s="98"/>
      <c r="AM689" s="98"/>
      <c r="AN689" s="98"/>
      <c r="AO689" s="98"/>
      <c r="AP689" s="98"/>
      <c r="AQ689" s="98"/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/>
      <c r="BR689" s="98"/>
      <c r="BS689" s="98"/>
      <c r="BT689" s="98"/>
      <c r="BU689" s="98"/>
      <c r="BV689" s="98"/>
      <c r="BW689" s="98"/>
      <c r="BX689" s="98"/>
      <c r="BY689" s="98"/>
      <c r="BZ689" s="98"/>
      <c r="CA689" s="98"/>
      <c r="CB689" s="98"/>
      <c r="CC689" s="98"/>
      <c r="CD689" s="98"/>
      <c r="CE689" s="98"/>
      <c r="CF689" s="98"/>
      <c r="CG689" s="98"/>
      <c r="CH689" s="98"/>
      <c r="CI689" s="98"/>
      <c r="CJ689" s="98"/>
      <c r="CK689" s="98"/>
    </row>
    <row r="690" spans="1:89" ht="15" x14ac:dyDescent="0.2">
      <c r="A690" s="119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  <c r="AI690" s="98"/>
      <c r="AJ690" s="98"/>
      <c r="AK690" s="98"/>
      <c r="AL690" s="98"/>
      <c r="AM690" s="98"/>
      <c r="AN690" s="98"/>
      <c r="AO690" s="98"/>
      <c r="AP690" s="98"/>
      <c r="AQ690" s="98"/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/>
      <c r="BR690" s="98"/>
      <c r="BS690" s="98"/>
      <c r="BT690" s="98"/>
      <c r="BU690" s="98"/>
      <c r="BV690" s="98"/>
      <c r="BW690" s="98"/>
      <c r="BX690" s="98"/>
      <c r="BY690" s="98"/>
      <c r="BZ690" s="98"/>
      <c r="CA690" s="98"/>
      <c r="CB690" s="98"/>
      <c r="CC690" s="98"/>
      <c r="CD690" s="98"/>
      <c r="CE690" s="98"/>
      <c r="CF690" s="98"/>
      <c r="CG690" s="98"/>
      <c r="CH690" s="98"/>
      <c r="CI690" s="98"/>
      <c r="CJ690" s="98"/>
      <c r="CK690" s="98"/>
    </row>
    <row r="691" spans="1:89" ht="15" x14ac:dyDescent="0.2">
      <c r="A691" s="119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  <c r="AI691" s="98"/>
      <c r="AJ691" s="98"/>
      <c r="AK691" s="98"/>
      <c r="AL691" s="98"/>
      <c r="AM691" s="98"/>
      <c r="AN691" s="98"/>
      <c r="AO691" s="98"/>
      <c r="AP691" s="98"/>
      <c r="AQ691" s="98"/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/>
      <c r="BR691" s="98"/>
      <c r="BS691" s="98"/>
      <c r="BT691" s="98"/>
      <c r="BU691" s="98"/>
      <c r="BV691" s="98"/>
      <c r="BW691" s="98"/>
      <c r="BX691" s="98"/>
      <c r="BY691" s="98"/>
      <c r="BZ691" s="98"/>
      <c r="CA691" s="98"/>
      <c r="CB691" s="98"/>
      <c r="CC691" s="98"/>
      <c r="CD691" s="98"/>
      <c r="CE691" s="98"/>
      <c r="CF691" s="98"/>
      <c r="CG691" s="98"/>
      <c r="CH691" s="98"/>
      <c r="CI691" s="98"/>
      <c r="CJ691" s="98"/>
      <c r="CK691" s="98"/>
    </row>
    <row r="692" spans="1:89" ht="15" x14ac:dyDescent="0.2">
      <c r="A692" s="119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  <c r="AI692" s="98"/>
      <c r="AJ692" s="98"/>
      <c r="AK692" s="98"/>
      <c r="AL692" s="98"/>
      <c r="AM692" s="98"/>
      <c r="AN692" s="98"/>
      <c r="AO692" s="98"/>
      <c r="AP692" s="98"/>
      <c r="AQ692" s="98"/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/>
      <c r="BR692" s="98"/>
      <c r="BS692" s="98"/>
      <c r="BT692" s="98"/>
      <c r="BU692" s="98"/>
      <c r="BV692" s="98"/>
      <c r="BW692" s="98"/>
      <c r="BX692" s="98"/>
      <c r="BY692" s="98"/>
      <c r="BZ692" s="98"/>
      <c r="CA692" s="98"/>
      <c r="CB692" s="98"/>
      <c r="CC692" s="98"/>
      <c r="CD692" s="98"/>
      <c r="CE692" s="98"/>
      <c r="CF692" s="98"/>
      <c r="CG692" s="98"/>
      <c r="CH692" s="98"/>
      <c r="CI692" s="98"/>
      <c r="CJ692" s="98"/>
      <c r="CK692" s="98"/>
    </row>
    <row r="693" spans="1:89" ht="15" x14ac:dyDescent="0.2">
      <c r="A693" s="119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  <c r="AI693" s="98"/>
      <c r="AJ693" s="98"/>
      <c r="AK693" s="98"/>
      <c r="AL693" s="98"/>
      <c r="AM693" s="98"/>
      <c r="AN693" s="98"/>
      <c r="AO693" s="98"/>
      <c r="AP693" s="98"/>
      <c r="AQ693" s="98"/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/>
      <c r="BR693" s="98"/>
      <c r="BS693" s="98"/>
      <c r="BT693" s="98"/>
      <c r="BU693" s="98"/>
      <c r="BV693" s="98"/>
      <c r="BW693" s="98"/>
      <c r="BX693" s="98"/>
      <c r="BY693" s="98"/>
      <c r="BZ693" s="98"/>
      <c r="CA693" s="98"/>
      <c r="CB693" s="98"/>
      <c r="CC693" s="98"/>
      <c r="CD693" s="98"/>
      <c r="CE693" s="98"/>
      <c r="CF693" s="98"/>
      <c r="CG693" s="98"/>
      <c r="CH693" s="98"/>
      <c r="CI693" s="98"/>
      <c r="CJ693" s="98"/>
      <c r="CK693" s="98"/>
    </row>
    <row r="694" spans="1:89" ht="15" x14ac:dyDescent="0.2">
      <c r="A694" s="119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  <c r="AI694" s="98"/>
      <c r="AJ694" s="98"/>
      <c r="AK694" s="98"/>
      <c r="AL694" s="98"/>
      <c r="AM694" s="98"/>
      <c r="AN694" s="98"/>
      <c r="AO694" s="98"/>
      <c r="AP694" s="98"/>
      <c r="AQ694" s="98"/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/>
      <c r="BR694" s="98"/>
      <c r="BS694" s="98"/>
      <c r="BT694" s="98"/>
      <c r="BU694" s="98"/>
      <c r="BV694" s="98"/>
      <c r="BW694" s="98"/>
      <c r="BX694" s="98"/>
      <c r="BY694" s="98"/>
      <c r="BZ694" s="98"/>
      <c r="CA694" s="98"/>
      <c r="CB694" s="98"/>
      <c r="CC694" s="98"/>
      <c r="CD694" s="98"/>
      <c r="CE694" s="98"/>
      <c r="CF694" s="98"/>
      <c r="CG694" s="98"/>
      <c r="CH694" s="98"/>
      <c r="CI694" s="98"/>
      <c r="CJ694" s="98"/>
      <c r="CK694" s="98"/>
    </row>
    <row r="695" spans="1:89" ht="15" x14ac:dyDescent="0.2">
      <c r="A695" s="119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/>
      <c r="AL695" s="98"/>
      <c r="AM695" s="98"/>
      <c r="AN695" s="98"/>
      <c r="AO695" s="98"/>
      <c r="AP695" s="98"/>
      <c r="AQ695" s="98"/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/>
      <c r="BR695" s="98"/>
      <c r="BS695" s="98"/>
      <c r="BT695" s="98"/>
      <c r="BU695" s="98"/>
      <c r="BV695" s="98"/>
      <c r="BW695" s="98"/>
      <c r="BX695" s="98"/>
      <c r="BY695" s="98"/>
      <c r="BZ695" s="98"/>
      <c r="CA695" s="98"/>
      <c r="CB695" s="98"/>
      <c r="CC695" s="98"/>
      <c r="CD695" s="98"/>
      <c r="CE695" s="98"/>
      <c r="CF695" s="98"/>
      <c r="CG695" s="98"/>
      <c r="CH695" s="98"/>
      <c r="CI695" s="98"/>
      <c r="CJ695" s="98"/>
      <c r="CK695" s="98"/>
    </row>
    <row r="696" spans="1:89" ht="15" x14ac:dyDescent="0.2">
      <c r="A696" s="119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  <c r="AI696" s="98"/>
      <c r="AJ696" s="98"/>
      <c r="AK696" s="98"/>
      <c r="AL696" s="98"/>
      <c r="AM696" s="98"/>
      <c r="AN696" s="98"/>
      <c r="AO696" s="98"/>
      <c r="AP696" s="98"/>
      <c r="AQ696" s="98"/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/>
      <c r="BR696" s="98"/>
      <c r="BS696" s="98"/>
      <c r="BT696" s="98"/>
      <c r="BU696" s="98"/>
      <c r="BV696" s="98"/>
      <c r="BW696" s="98"/>
      <c r="BX696" s="98"/>
      <c r="BY696" s="98"/>
      <c r="BZ696" s="98"/>
      <c r="CA696" s="98"/>
      <c r="CB696" s="98"/>
      <c r="CC696" s="98"/>
      <c r="CD696" s="98"/>
      <c r="CE696" s="98"/>
      <c r="CF696" s="98"/>
      <c r="CG696" s="98"/>
      <c r="CH696" s="98"/>
      <c r="CI696" s="98"/>
      <c r="CJ696" s="98"/>
      <c r="CK696" s="98"/>
    </row>
    <row r="697" spans="1:89" ht="15" x14ac:dyDescent="0.2">
      <c r="A697" s="119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98"/>
      <c r="AL697" s="98"/>
      <c r="AM697" s="98"/>
      <c r="AN697" s="98"/>
      <c r="AO697" s="98"/>
      <c r="AP697" s="98"/>
      <c r="AQ697" s="98"/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/>
      <c r="BR697" s="98"/>
      <c r="BS697" s="98"/>
      <c r="BT697" s="98"/>
      <c r="BU697" s="98"/>
      <c r="BV697" s="98"/>
      <c r="BW697" s="98"/>
      <c r="BX697" s="98"/>
      <c r="BY697" s="98"/>
      <c r="BZ697" s="98"/>
      <c r="CA697" s="98"/>
      <c r="CB697" s="98"/>
      <c r="CC697" s="98"/>
      <c r="CD697" s="98"/>
      <c r="CE697" s="98"/>
      <c r="CF697" s="98"/>
      <c r="CG697" s="98"/>
      <c r="CH697" s="98"/>
      <c r="CI697" s="98"/>
      <c r="CJ697" s="98"/>
      <c r="CK697" s="98"/>
    </row>
    <row r="698" spans="1:89" ht="15" x14ac:dyDescent="0.2">
      <c r="A698" s="119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  <c r="AI698" s="98"/>
      <c r="AJ698" s="98"/>
      <c r="AK698" s="98"/>
      <c r="AL698" s="98"/>
      <c r="AM698" s="98"/>
      <c r="AN698" s="98"/>
      <c r="AO698" s="98"/>
      <c r="AP698" s="98"/>
      <c r="AQ698" s="98"/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/>
      <c r="BR698" s="98"/>
      <c r="BS698" s="98"/>
      <c r="BT698" s="98"/>
      <c r="BU698" s="98"/>
      <c r="BV698" s="98"/>
      <c r="BW698" s="98"/>
      <c r="BX698" s="98"/>
      <c r="BY698" s="98"/>
      <c r="BZ698" s="98"/>
      <c r="CA698" s="98"/>
      <c r="CB698" s="98"/>
      <c r="CC698" s="98"/>
      <c r="CD698" s="98"/>
      <c r="CE698" s="98"/>
      <c r="CF698" s="98"/>
      <c r="CG698" s="98"/>
      <c r="CH698" s="98"/>
      <c r="CI698" s="98"/>
      <c r="CJ698" s="98"/>
      <c r="CK698" s="98"/>
    </row>
    <row r="699" spans="1:89" ht="15" x14ac:dyDescent="0.2">
      <c r="A699" s="119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  <c r="AI699" s="98"/>
      <c r="AJ699" s="98"/>
      <c r="AK699" s="98"/>
      <c r="AL699" s="98"/>
      <c r="AM699" s="98"/>
      <c r="AN699" s="98"/>
      <c r="AO699" s="98"/>
      <c r="AP699" s="98"/>
      <c r="AQ699" s="98"/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/>
      <c r="BR699" s="98"/>
      <c r="BS699" s="98"/>
      <c r="BT699" s="98"/>
      <c r="BU699" s="98"/>
      <c r="BV699" s="98"/>
      <c r="BW699" s="98"/>
      <c r="BX699" s="98"/>
      <c r="BY699" s="98"/>
      <c r="BZ699" s="98"/>
      <c r="CA699" s="98"/>
      <c r="CB699" s="98"/>
      <c r="CC699" s="98"/>
      <c r="CD699" s="98"/>
      <c r="CE699" s="98"/>
      <c r="CF699" s="98"/>
      <c r="CG699" s="98"/>
      <c r="CH699" s="98"/>
      <c r="CI699" s="98"/>
      <c r="CJ699" s="98"/>
      <c r="CK699" s="98"/>
    </row>
    <row r="700" spans="1:89" ht="15" x14ac:dyDescent="0.2">
      <c r="A700" s="119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  <c r="AI700" s="98"/>
      <c r="AJ700" s="98"/>
      <c r="AK700" s="98"/>
      <c r="AL700" s="98"/>
      <c r="AM700" s="98"/>
      <c r="AN700" s="98"/>
      <c r="AO700" s="98"/>
      <c r="AP700" s="98"/>
      <c r="AQ700" s="98"/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/>
      <c r="BR700" s="98"/>
      <c r="BS700" s="98"/>
      <c r="BT700" s="98"/>
      <c r="BU700" s="98"/>
      <c r="BV700" s="98"/>
      <c r="BW700" s="98"/>
      <c r="BX700" s="98"/>
      <c r="BY700" s="98"/>
      <c r="BZ700" s="98"/>
      <c r="CA700" s="98"/>
      <c r="CB700" s="98"/>
      <c r="CC700" s="98"/>
      <c r="CD700" s="98"/>
      <c r="CE700" s="98"/>
      <c r="CF700" s="98"/>
      <c r="CG700" s="98"/>
      <c r="CH700" s="98"/>
      <c r="CI700" s="98"/>
      <c r="CJ700" s="98"/>
      <c r="CK700" s="98"/>
    </row>
    <row r="701" spans="1:89" ht="15" x14ac:dyDescent="0.2">
      <c r="A701" s="119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  <c r="AI701" s="98"/>
      <c r="AJ701" s="98"/>
      <c r="AK701" s="98"/>
      <c r="AL701" s="98"/>
      <c r="AM701" s="98"/>
      <c r="AN701" s="98"/>
      <c r="AO701" s="98"/>
      <c r="AP701" s="98"/>
      <c r="AQ701" s="98"/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/>
      <c r="BR701" s="98"/>
      <c r="BS701" s="98"/>
      <c r="BT701" s="98"/>
      <c r="BU701" s="98"/>
      <c r="BV701" s="98"/>
      <c r="BW701" s="98"/>
      <c r="BX701" s="98"/>
      <c r="BY701" s="98"/>
      <c r="BZ701" s="98"/>
      <c r="CA701" s="98"/>
      <c r="CB701" s="98"/>
      <c r="CC701" s="98"/>
      <c r="CD701" s="98"/>
      <c r="CE701" s="98"/>
      <c r="CF701" s="98"/>
      <c r="CG701" s="98"/>
      <c r="CH701" s="98"/>
      <c r="CI701" s="98"/>
      <c r="CJ701" s="98"/>
      <c r="CK701" s="98"/>
    </row>
    <row r="702" spans="1:89" ht="15" x14ac:dyDescent="0.2">
      <c r="A702" s="119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  <c r="AI702" s="98"/>
      <c r="AJ702" s="98"/>
      <c r="AK702" s="98"/>
      <c r="AL702" s="98"/>
      <c r="AM702" s="98"/>
      <c r="AN702" s="98"/>
      <c r="AO702" s="98"/>
      <c r="AP702" s="98"/>
      <c r="AQ702" s="98"/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/>
      <c r="BR702" s="98"/>
      <c r="BS702" s="98"/>
      <c r="BT702" s="98"/>
      <c r="BU702" s="98"/>
      <c r="BV702" s="98"/>
      <c r="BW702" s="98"/>
      <c r="BX702" s="98"/>
      <c r="BY702" s="98"/>
      <c r="BZ702" s="98"/>
      <c r="CA702" s="98"/>
      <c r="CB702" s="98"/>
      <c r="CC702" s="98"/>
      <c r="CD702" s="98"/>
      <c r="CE702" s="98"/>
      <c r="CF702" s="98"/>
      <c r="CG702" s="98"/>
      <c r="CH702" s="98"/>
      <c r="CI702" s="98"/>
      <c r="CJ702" s="98"/>
      <c r="CK702" s="98"/>
    </row>
    <row r="703" spans="1:89" ht="15" x14ac:dyDescent="0.2">
      <c r="A703" s="119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  <c r="AI703" s="98"/>
      <c r="AJ703" s="98"/>
      <c r="AK703" s="98"/>
      <c r="AL703" s="98"/>
      <c r="AM703" s="98"/>
      <c r="AN703" s="98"/>
      <c r="AO703" s="98"/>
      <c r="AP703" s="98"/>
      <c r="AQ703" s="98"/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/>
      <c r="BR703" s="98"/>
      <c r="BS703" s="98"/>
      <c r="BT703" s="98"/>
      <c r="BU703" s="98"/>
      <c r="BV703" s="98"/>
      <c r="BW703" s="98"/>
      <c r="BX703" s="98"/>
      <c r="BY703" s="98"/>
      <c r="BZ703" s="98"/>
      <c r="CA703" s="98"/>
      <c r="CB703" s="98"/>
      <c r="CC703" s="98"/>
      <c r="CD703" s="98"/>
      <c r="CE703" s="98"/>
      <c r="CF703" s="98"/>
      <c r="CG703" s="98"/>
      <c r="CH703" s="98"/>
      <c r="CI703" s="98"/>
      <c r="CJ703" s="98"/>
      <c r="CK703" s="98"/>
    </row>
    <row r="704" spans="1:89" ht="15" x14ac:dyDescent="0.2">
      <c r="A704" s="119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/>
      <c r="AM704" s="98"/>
      <c r="AN704" s="98"/>
      <c r="AO704" s="98"/>
      <c r="AP704" s="98"/>
      <c r="AQ704" s="98"/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/>
      <c r="BR704" s="98"/>
      <c r="BS704" s="98"/>
      <c r="BT704" s="98"/>
      <c r="BU704" s="98"/>
      <c r="BV704" s="98"/>
      <c r="BW704" s="98"/>
      <c r="BX704" s="98"/>
      <c r="BY704" s="98"/>
      <c r="BZ704" s="98"/>
      <c r="CA704" s="98"/>
      <c r="CB704" s="98"/>
      <c r="CC704" s="98"/>
      <c r="CD704" s="98"/>
      <c r="CE704" s="98"/>
      <c r="CF704" s="98"/>
      <c r="CG704" s="98"/>
      <c r="CH704" s="98"/>
      <c r="CI704" s="98"/>
      <c r="CJ704" s="98"/>
      <c r="CK704" s="98"/>
    </row>
    <row r="705" spans="1:89" ht="15" x14ac:dyDescent="0.2">
      <c r="A705" s="119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8"/>
      <c r="AL705" s="98"/>
      <c r="AM705" s="98"/>
      <c r="AN705" s="98"/>
      <c r="AO705" s="98"/>
      <c r="AP705" s="98"/>
      <c r="AQ705" s="98"/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/>
      <c r="BR705" s="98"/>
      <c r="BS705" s="98"/>
      <c r="BT705" s="98"/>
      <c r="BU705" s="98"/>
      <c r="BV705" s="98"/>
      <c r="BW705" s="98"/>
      <c r="BX705" s="98"/>
      <c r="BY705" s="98"/>
      <c r="BZ705" s="98"/>
      <c r="CA705" s="98"/>
      <c r="CB705" s="98"/>
      <c r="CC705" s="98"/>
      <c r="CD705" s="98"/>
      <c r="CE705" s="98"/>
      <c r="CF705" s="98"/>
      <c r="CG705" s="98"/>
      <c r="CH705" s="98"/>
      <c r="CI705" s="98"/>
      <c r="CJ705" s="98"/>
      <c r="CK705" s="98"/>
    </row>
    <row r="706" spans="1:89" ht="15" x14ac:dyDescent="0.2">
      <c r="A706" s="119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  <c r="AI706" s="98"/>
      <c r="AJ706" s="98"/>
      <c r="AK706" s="98"/>
      <c r="AL706" s="98"/>
      <c r="AM706" s="98"/>
      <c r="AN706" s="98"/>
      <c r="AO706" s="98"/>
      <c r="AP706" s="98"/>
      <c r="AQ706" s="98"/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/>
      <c r="BR706" s="98"/>
      <c r="BS706" s="98"/>
      <c r="BT706" s="98"/>
      <c r="BU706" s="98"/>
      <c r="BV706" s="98"/>
      <c r="BW706" s="98"/>
      <c r="BX706" s="98"/>
      <c r="BY706" s="98"/>
      <c r="BZ706" s="98"/>
      <c r="CA706" s="98"/>
      <c r="CB706" s="98"/>
      <c r="CC706" s="98"/>
      <c r="CD706" s="98"/>
      <c r="CE706" s="98"/>
      <c r="CF706" s="98"/>
      <c r="CG706" s="98"/>
      <c r="CH706" s="98"/>
      <c r="CI706" s="98"/>
      <c r="CJ706" s="98"/>
      <c r="CK706" s="98"/>
    </row>
    <row r="707" spans="1:89" ht="15" x14ac:dyDescent="0.2">
      <c r="A707" s="119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/>
      <c r="AL707" s="98"/>
      <c r="AM707" s="98"/>
      <c r="AN707" s="98"/>
      <c r="AO707" s="98"/>
      <c r="AP707" s="98"/>
      <c r="AQ707" s="98"/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/>
      <c r="BR707" s="98"/>
      <c r="BS707" s="98"/>
      <c r="BT707" s="98"/>
      <c r="BU707" s="98"/>
      <c r="BV707" s="98"/>
      <c r="BW707" s="98"/>
      <c r="BX707" s="98"/>
      <c r="BY707" s="98"/>
      <c r="BZ707" s="98"/>
      <c r="CA707" s="98"/>
      <c r="CB707" s="98"/>
      <c r="CC707" s="98"/>
      <c r="CD707" s="98"/>
      <c r="CE707" s="98"/>
      <c r="CF707" s="98"/>
      <c r="CG707" s="98"/>
      <c r="CH707" s="98"/>
      <c r="CI707" s="98"/>
      <c r="CJ707" s="98"/>
      <c r="CK707" s="98"/>
    </row>
    <row r="708" spans="1:89" ht="15" x14ac:dyDescent="0.2">
      <c r="A708" s="119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/>
      <c r="AL708" s="98"/>
      <c r="AM708" s="98"/>
      <c r="AN708" s="98"/>
      <c r="AO708" s="98"/>
      <c r="AP708" s="98"/>
      <c r="AQ708" s="98"/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/>
      <c r="BR708" s="98"/>
      <c r="BS708" s="98"/>
      <c r="BT708" s="98"/>
      <c r="BU708" s="98"/>
      <c r="BV708" s="98"/>
      <c r="BW708" s="98"/>
      <c r="BX708" s="98"/>
      <c r="BY708" s="98"/>
      <c r="BZ708" s="98"/>
      <c r="CA708" s="98"/>
      <c r="CB708" s="98"/>
      <c r="CC708" s="98"/>
      <c r="CD708" s="98"/>
      <c r="CE708" s="98"/>
      <c r="CF708" s="98"/>
      <c r="CG708" s="98"/>
      <c r="CH708" s="98"/>
      <c r="CI708" s="98"/>
      <c r="CJ708" s="98"/>
      <c r="CK708" s="98"/>
    </row>
    <row r="709" spans="1:89" ht="15" x14ac:dyDescent="0.2">
      <c r="A709" s="119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  <c r="AI709" s="98"/>
      <c r="AJ709" s="98"/>
      <c r="AK709" s="98"/>
      <c r="AL709" s="98"/>
      <c r="AM709" s="98"/>
      <c r="AN709" s="98"/>
      <c r="AO709" s="98"/>
      <c r="AP709" s="98"/>
      <c r="AQ709" s="98"/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/>
      <c r="BR709" s="98"/>
      <c r="BS709" s="98"/>
      <c r="BT709" s="98"/>
      <c r="BU709" s="98"/>
      <c r="BV709" s="98"/>
      <c r="BW709" s="98"/>
      <c r="BX709" s="98"/>
      <c r="BY709" s="98"/>
      <c r="BZ709" s="98"/>
      <c r="CA709" s="98"/>
      <c r="CB709" s="98"/>
      <c r="CC709" s="98"/>
      <c r="CD709" s="98"/>
      <c r="CE709" s="98"/>
      <c r="CF709" s="98"/>
      <c r="CG709" s="98"/>
      <c r="CH709" s="98"/>
      <c r="CI709" s="98"/>
      <c r="CJ709" s="98"/>
      <c r="CK709" s="98"/>
    </row>
    <row r="710" spans="1:89" ht="15" x14ac:dyDescent="0.2">
      <c r="A710" s="119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  <c r="AI710" s="98"/>
      <c r="AJ710" s="98"/>
      <c r="AK710" s="98"/>
      <c r="AL710" s="98"/>
      <c r="AM710" s="98"/>
      <c r="AN710" s="98"/>
      <c r="AO710" s="98"/>
      <c r="AP710" s="98"/>
      <c r="AQ710" s="98"/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/>
      <c r="BR710" s="98"/>
      <c r="BS710" s="98"/>
      <c r="BT710" s="98"/>
      <c r="BU710" s="98"/>
      <c r="BV710" s="98"/>
      <c r="BW710" s="98"/>
      <c r="BX710" s="98"/>
      <c r="BY710" s="98"/>
      <c r="BZ710" s="98"/>
      <c r="CA710" s="98"/>
      <c r="CB710" s="98"/>
      <c r="CC710" s="98"/>
      <c r="CD710" s="98"/>
      <c r="CE710" s="98"/>
      <c r="CF710" s="98"/>
      <c r="CG710" s="98"/>
      <c r="CH710" s="98"/>
      <c r="CI710" s="98"/>
      <c r="CJ710" s="98"/>
      <c r="CK710" s="98"/>
    </row>
    <row r="711" spans="1:89" ht="15" x14ac:dyDescent="0.2">
      <c r="A711" s="119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/>
      <c r="AL711" s="98"/>
      <c r="AM711" s="98"/>
      <c r="AN711" s="98"/>
      <c r="AO711" s="98"/>
      <c r="AP711" s="98"/>
      <c r="AQ711" s="98"/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/>
      <c r="BR711" s="98"/>
      <c r="BS711" s="98"/>
      <c r="BT711" s="98"/>
      <c r="BU711" s="98"/>
      <c r="BV711" s="98"/>
      <c r="BW711" s="98"/>
      <c r="BX711" s="98"/>
      <c r="BY711" s="98"/>
      <c r="BZ711" s="98"/>
      <c r="CA711" s="98"/>
      <c r="CB711" s="98"/>
      <c r="CC711" s="98"/>
      <c r="CD711" s="98"/>
      <c r="CE711" s="98"/>
      <c r="CF711" s="98"/>
      <c r="CG711" s="98"/>
      <c r="CH711" s="98"/>
      <c r="CI711" s="98"/>
      <c r="CJ711" s="98"/>
      <c r="CK711" s="98"/>
    </row>
    <row r="712" spans="1:89" ht="15" x14ac:dyDescent="0.2">
      <c r="A712" s="119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  <c r="AI712" s="98"/>
      <c r="AJ712" s="98"/>
      <c r="AK712" s="98"/>
      <c r="AL712" s="98"/>
      <c r="AM712" s="98"/>
      <c r="AN712" s="98"/>
      <c r="AO712" s="98"/>
      <c r="AP712" s="98"/>
      <c r="AQ712" s="98"/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/>
      <c r="BR712" s="98"/>
      <c r="BS712" s="98"/>
      <c r="BT712" s="98"/>
      <c r="BU712" s="98"/>
      <c r="BV712" s="98"/>
      <c r="BW712" s="98"/>
      <c r="BX712" s="98"/>
      <c r="BY712" s="98"/>
      <c r="BZ712" s="98"/>
      <c r="CA712" s="98"/>
      <c r="CB712" s="98"/>
      <c r="CC712" s="98"/>
      <c r="CD712" s="98"/>
      <c r="CE712" s="98"/>
      <c r="CF712" s="98"/>
      <c r="CG712" s="98"/>
      <c r="CH712" s="98"/>
      <c r="CI712" s="98"/>
      <c r="CJ712" s="98"/>
      <c r="CK712" s="98"/>
    </row>
    <row r="713" spans="1:89" ht="15" x14ac:dyDescent="0.2">
      <c r="A713" s="119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  <c r="AI713" s="98"/>
      <c r="AJ713" s="98"/>
      <c r="AK713" s="98"/>
      <c r="AL713" s="98"/>
      <c r="AM713" s="98"/>
      <c r="AN713" s="98"/>
      <c r="AO713" s="98"/>
      <c r="AP713" s="98"/>
      <c r="AQ713" s="98"/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/>
      <c r="BR713" s="98"/>
      <c r="BS713" s="98"/>
      <c r="BT713" s="98"/>
      <c r="BU713" s="98"/>
      <c r="BV713" s="98"/>
      <c r="BW713" s="98"/>
      <c r="BX713" s="98"/>
      <c r="BY713" s="98"/>
      <c r="BZ713" s="98"/>
      <c r="CA713" s="98"/>
      <c r="CB713" s="98"/>
      <c r="CC713" s="98"/>
      <c r="CD713" s="98"/>
      <c r="CE713" s="98"/>
      <c r="CF713" s="98"/>
      <c r="CG713" s="98"/>
      <c r="CH713" s="98"/>
      <c r="CI713" s="98"/>
      <c r="CJ713" s="98"/>
      <c r="CK713" s="98"/>
    </row>
    <row r="714" spans="1:89" ht="15" x14ac:dyDescent="0.2">
      <c r="A714" s="119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  <c r="AI714" s="98"/>
      <c r="AJ714" s="98"/>
      <c r="AK714" s="98"/>
      <c r="AL714" s="98"/>
      <c r="AM714" s="98"/>
      <c r="AN714" s="98"/>
      <c r="AO714" s="98"/>
      <c r="AP714" s="98"/>
      <c r="AQ714" s="98"/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/>
      <c r="BR714" s="98"/>
      <c r="BS714" s="98"/>
      <c r="BT714" s="98"/>
      <c r="BU714" s="98"/>
      <c r="BV714" s="98"/>
      <c r="BW714" s="98"/>
      <c r="BX714" s="98"/>
      <c r="BY714" s="98"/>
      <c r="BZ714" s="98"/>
      <c r="CA714" s="98"/>
      <c r="CB714" s="98"/>
      <c r="CC714" s="98"/>
      <c r="CD714" s="98"/>
      <c r="CE714" s="98"/>
      <c r="CF714" s="98"/>
      <c r="CG714" s="98"/>
      <c r="CH714" s="98"/>
      <c r="CI714" s="98"/>
      <c r="CJ714" s="98"/>
      <c r="CK714" s="98"/>
    </row>
    <row r="715" spans="1:89" ht="15" x14ac:dyDescent="0.2">
      <c r="A715" s="119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  <c r="AI715" s="98"/>
      <c r="AJ715" s="98"/>
      <c r="AK715" s="98"/>
      <c r="AL715" s="98"/>
      <c r="AM715" s="98"/>
      <c r="AN715" s="98"/>
      <c r="AO715" s="98"/>
      <c r="AP715" s="98"/>
      <c r="AQ715" s="98"/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/>
      <c r="BR715" s="98"/>
      <c r="BS715" s="98"/>
      <c r="BT715" s="98"/>
      <c r="BU715" s="98"/>
      <c r="BV715" s="98"/>
      <c r="BW715" s="98"/>
      <c r="BX715" s="98"/>
      <c r="BY715" s="98"/>
      <c r="BZ715" s="98"/>
      <c r="CA715" s="98"/>
      <c r="CB715" s="98"/>
      <c r="CC715" s="98"/>
      <c r="CD715" s="98"/>
      <c r="CE715" s="98"/>
      <c r="CF715" s="98"/>
      <c r="CG715" s="98"/>
      <c r="CH715" s="98"/>
      <c r="CI715" s="98"/>
      <c r="CJ715" s="98"/>
      <c r="CK715" s="98"/>
    </row>
    <row r="716" spans="1:89" ht="15" x14ac:dyDescent="0.2">
      <c r="A716" s="119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  <c r="AI716" s="98"/>
      <c r="AJ716" s="98"/>
      <c r="AK716" s="98"/>
      <c r="AL716" s="98"/>
      <c r="AM716" s="98"/>
      <c r="AN716" s="98"/>
      <c r="AO716" s="98"/>
      <c r="AP716" s="98"/>
      <c r="AQ716" s="98"/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/>
      <c r="BR716" s="98"/>
      <c r="BS716" s="98"/>
      <c r="BT716" s="98"/>
      <c r="BU716" s="98"/>
      <c r="BV716" s="98"/>
      <c r="BW716" s="98"/>
      <c r="BX716" s="98"/>
      <c r="BY716" s="98"/>
      <c r="BZ716" s="98"/>
      <c r="CA716" s="98"/>
      <c r="CB716" s="98"/>
      <c r="CC716" s="98"/>
      <c r="CD716" s="98"/>
      <c r="CE716" s="98"/>
      <c r="CF716" s="98"/>
      <c r="CG716" s="98"/>
      <c r="CH716" s="98"/>
      <c r="CI716" s="98"/>
      <c r="CJ716" s="98"/>
      <c r="CK716" s="98"/>
    </row>
    <row r="717" spans="1:89" ht="15" x14ac:dyDescent="0.2">
      <c r="A717" s="119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  <c r="AI717" s="98"/>
      <c r="AJ717" s="98"/>
      <c r="AK717" s="98"/>
      <c r="AL717" s="98"/>
      <c r="AM717" s="98"/>
      <c r="AN717" s="98"/>
      <c r="AO717" s="98"/>
      <c r="AP717" s="98"/>
      <c r="AQ717" s="98"/>
      <c r="AR717" s="98"/>
      <c r="AS717" s="98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8"/>
      <c r="BL717" s="98"/>
      <c r="BM717" s="98"/>
      <c r="BN717" s="98"/>
      <c r="BO717" s="98"/>
      <c r="BP717" s="98"/>
      <c r="BQ717" s="98"/>
      <c r="BR717" s="98"/>
      <c r="BS717" s="98"/>
      <c r="BT717" s="98"/>
      <c r="BU717" s="98"/>
      <c r="BV717" s="98"/>
      <c r="BW717" s="98"/>
      <c r="BX717" s="98"/>
      <c r="BY717" s="98"/>
      <c r="BZ717" s="98"/>
      <c r="CA717" s="98"/>
      <c r="CB717" s="98"/>
      <c r="CC717" s="98"/>
      <c r="CD717" s="98"/>
      <c r="CE717" s="98"/>
      <c r="CF717" s="98"/>
      <c r="CG717" s="98"/>
      <c r="CH717" s="98"/>
      <c r="CI717" s="98"/>
      <c r="CJ717" s="98"/>
      <c r="CK717" s="98"/>
    </row>
    <row r="718" spans="1:89" ht="15" x14ac:dyDescent="0.2">
      <c r="A718" s="119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  <c r="AI718" s="98"/>
      <c r="AJ718" s="98"/>
      <c r="AK718" s="98"/>
      <c r="AL718" s="98"/>
      <c r="AM718" s="98"/>
      <c r="AN718" s="98"/>
      <c r="AO718" s="98"/>
      <c r="AP718" s="98"/>
      <c r="AQ718" s="98"/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/>
      <c r="BR718" s="98"/>
      <c r="BS718" s="98"/>
      <c r="BT718" s="98"/>
      <c r="BU718" s="98"/>
      <c r="BV718" s="98"/>
      <c r="BW718" s="98"/>
      <c r="BX718" s="98"/>
      <c r="BY718" s="98"/>
      <c r="BZ718" s="98"/>
      <c r="CA718" s="98"/>
      <c r="CB718" s="98"/>
      <c r="CC718" s="98"/>
      <c r="CD718" s="98"/>
      <c r="CE718" s="98"/>
      <c r="CF718" s="98"/>
      <c r="CG718" s="98"/>
      <c r="CH718" s="98"/>
      <c r="CI718" s="98"/>
      <c r="CJ718" s="98"/>
      <c r="CK718" s="98"/>
    </row>
    <row r="719" spans="1:89" ht="15" x14ac:dyDescent="0.2">
      <c r="A719" s="119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  <c r="AI719" s="98"/>
      <c r="AJ719" s="98"/>
      <c r="AK719" s="98"/>
      <c r="AL719" s="98"/>
      <c r="AM719" s="98"/>
      <c r="AN719" s="98"/>
      <c r="AO719" s="98"/>
      <c r="AP719" s="98"/>
      <c r="AQ719" s="98"/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/>
      <c r="BR719" s="98"/>
      <c r="BS719" s="98"/>
      <c r="BT719" s="98"/>
      <c r="BU719" s="98"/>
      <c r="BV719" s="98"/>
      <c r="BW719" s="98"/>
      <c r="BX719" s="98"/>
      <c r="BY719" s="98"/>
      <c r="BZ719" s="98"/>
      <c r="CA719" s="98"/>
      <c r="CB719" s="98"/>
      <c r="CC719" s="98"/>
      <c r="CD719" s="98"/>
      <c r="CE719" s="98"/>
      <c r="CF719" s="98"/>
      <c r="CG719" s="98"/>
      <c r="CH719" s="98"/>
      <c r="CI719" s="98"/>
      <c r="CJ719" s="98"/>
      <c r="CK719" s="98"/>
    </row>
    <row r="720" spans="1:89" ht="15" x14ac:dyDescent="0.2">
      <c r="A720" s="119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  <c r="AI720" s="98"/>
      <c r="AJ720" s="98"/>
      <c r="AK720" s="98"/>
      <c r="AL720" s="98"/>
      <c r="AM720" s="98"/>
      <c r="AN720" s="98"/>
      <c r="AO720" s="98"/>
      <c r="AP720" s="98"/>
      <c r="AQ720" s="98"/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/>
      <c r="BR720" s="98"/>
      <c r="BS720" s="98"/>
      <c r="BT720" s="98"/>
      <c r="BU720" s="98"/>
      <c r="BV720" s="98"/>
      <c r="BW720" s="98"/>
      <c r="BX720" s="98"/>
      <c r="BY720" s="98"/>
      <c r="BZ720" s="98"/>
      <c r="CA720" s="98"/>
      <c r="CB720" s="98"/>
      <c r="CC720" s="98"/>
      <c r="CD720" s="98"/>
      <c r="CE720" s="98"/>
      <c r="CF720" s="98"/>
      <c r="CG720" s="98"/>
      <c r="CH720" s="98"/>
      <c r="CI720" s="98"/>
      <c r="CJ720" s="98"/>
      <c r="CK720" s="98"/>
    </row>
    <row r="721" spans="1:89" ht="15" x14ac:dyDescent="0.2">
      <c r="A721" s="119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  <c r="AI721" s="98"/>
      <c r="AJ721" s="98"/>
      <c r="AK721" s="98"/>
      <c r="AL721" s="98"/>
      <c r="AM721" s="98"/>
      <c r="AN721" s="98"/>
      <c r="AO721" s="98"/>
      <c r="AP721" s="98"/>
      <c r="AQ721" s="98"/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/>
      <c r="BR721" s="98"/>
      <c r="BS721" s="98"/>
      <c r="BT721" s="98"/>
      <c r="BU721" s="98"/>
      <c r="BV721" s="98"/>
      <c r="BW721" s="98"/>
      <c r="BX721" s="98"/>
      <c r="BY721" s="98"/>
      <c r="BZ721" s="98"/>
      <c r="CA721" s="98"/>
      <c r="CB721" s="98"/>
      <c r="CC721" s="98"/>
      <c r="CD721" s="98"/>
      <c r="CE721" s="98"/>
      <c r="CF721" s="98"/>
      <c r="CG721" s="98"/>
      <c r="CH721" s="98"/>
      <c r="CI721" s="98"/>
      <c r="CJ721" s="98"/>
      <c r="CK721" s="98"/>
    </row>
    <row r="722" spans="1:89" ht="15" x14ac:dyDescent="0.2">
      <c r="A722" s="119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  <c r="AI722" s="98"/>
      <c r="AJ722" s="98"/>
      <c r="AK722" s="98"/>
      <c r="AL722" s="98"/>
      <c r="AM722" s="98"/>
      <c r="AN722" s="98"/>
      <c r="AO722" s="98"/>
      <c r="AP722" s="98"/>
      <c r="AQ722" s="98"/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/>
      <c r="BR722" s="98"/>
      <c r="BS722" s="98"/>
      <c r="BT722" s="98"/>
      <c r="BU722" s="98"/>
      <c r="BV722" s="98"/>
      <c r="BW722" s="98"/>
      <c r="BX722" s="98"/>
      <c r="BY722" s="98"/>
      <c r="BZ722" s="98"/>
      <c r="CA722" s="98"/>
      <c r="CB722" s="98"/>
      <c r="CC722" s="98"/>
      <c r="CD722" s="98"/>
      <c r="CE722" s="98"/>
      <c r="CF722" s="98"/>
      <c r="CG722" s="98"/>
      <c r="CH722" s="98"/>
      <c r="CI722" s="98"/>
      <c r="CJ722" s="98"/>
      <c r="CK722" s="98"/>
    </row>
    <row r="723" spans="1:89" ht="15" x14ac:dyDescent="0.2">
      <c r="A723" s="119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  <c r="AI723" s="98"/>
      <c r="AJ723" s="98"/>
      <c r="AK723" s="98"/>
      <c r="AL723" s="98"/>
      <c r="AM723" s="98"/>
      <c r="AN723" s="98"/>
      <c r="AO723" s="98"/>
      <c r="AP723" s="98"/>
      <c r="AQ723" s="98"/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/>
      <c r="BR723" s="98"/>
      <c r="BS723" s="98"/>
      <c r="BT723" s="98"/>
      <c r="BU723" s="98"/>
      <c r="BV723" s="98"/>
      <c r="BW723" s="98"/>
      <c r="BX723" s="98"/>
      <c r="BY723" s="98"/>
      <c r="BZ723" s="98"/>
      <c r="CA723" s="98"/>
      <c r="CB723" s="98"/>
      <c r="CC723" s="98"/>
      <c r="CD723" s="98"/>
      <c r="CE723" s="98"/>
      <c r="CF723" s="98"/>
      <c r="CG723" s="98"/>
      <c r="CH723" s="98"/>
      <c r="CI723" s="98"/>
      <c r="CJ723" s="98"/>
      <c r="CK723" s="98"/>
    </row>
    <row r="724" spans="1:89" ht="15" x14ac:dyDescent="0.2">
      <c r="A724" s="119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  <c r="AM724" s="98"/>
      <c r="AN724" s="98"/>
      <c r="AO724" s="98"/>
      <c r="AP724" s="98"/>
      <c r="AQ724" s="98"/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/>
      <c r="BR724" s="98"/>
      <c r="BS724" s="98"/>
      <c r="BT724" s="98"/>
      <c r="BU724" s="98"/>
      <c r="BV724" s="98"/>
      <c r="BW724" s="98"/>
      <c r="BX724" s="98"/>
      <c r="BY724" s="98"/>
      <c r="BZ724" s="98"/>
      <c r="CA724" s="98"/>
      <c r="CB724" s="98"/>
      <c r="CC724" s="98"/>
      <c r="CD724" s="98"/>
      <c r="CE724" s="98"/>
      <c r="CF724" s="98"/>
      <c r="CG724" s="98"/>
      <c r="CH724" s="98"/>
      <c r="CI724" s="98"/>
      <c r="CJ724" s="98"/>
      <c r="CK724" s="98"/>
    </row>
    <row r="725" spans="1:89" ht="15" x14ac:dyDescent="0.2">
      <c r="A725" s="119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  <c r="AI725" s="98"/>
      <c r="AJ725" s="98"/>
      <c r="AK725" s="98"/>
      <c r="AL725" s="98"/>
      <c r="AM725" s="98"/>
      <c r="AN725" s="98"/>
      <c r="AO725" s="98"/>
      <c r="AP725" s="98"/>
      <c r="AQ725" s="98"/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/>
      <c r="BR725" s="98"/>
      <c r="BS725" s="98"/>
      <c r="BT725" s="98"/>
      <c r="BU725" s="98"/>
      <c r="BV725" s="98"/>
      <c r="BW725" s="98"/>
      <c r="BX725" s="98"/>
      <c r="BY725" s="98"/>
      <c r="BZ725" s="98"/>
      <c r="CA725" s="98"/>
      <c r="CB725" s="98"/>
      <c r="CC725" s="98"/>
      <c r="CD725" s="98"/>
      <c r="CE725" s="98"/>
      <c r="CF725" s="98"/>
      <c r="CG725" s="98"/>
      <c r="CH725" s="98"/>
      <c r="CI725" s="98"/>
      <c r="CJ725" s="98"/>
      <c r="CK725" s="98"/>
    </row>
    <row r="726" spans="1:89" ht="15" x14ac:dyDescent="0.2">
      <c r="A726" s="119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  <c r="AI726" s="98"/>
      <c r="AJ726" s="98"/>
      <c r="AK726" s="98"/>
      <c r="AL726" s="98"/>
      <c r="AM726" s="98"/>
      <c r="AN726" s="98"/>
      <c r="AO726" s="98"/>
      <c r="AP726" s="98"/>
      <c r="AQ726" s="98"/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/>
      <c r="BR726" s="98"/>
      <c r="BS726" s="98"/>
      <c r="BT726" s="98"/>
      <c r="BU726" s="98"/>
      <c r="BV726" s="98"/>
      <c r="BW726" s="98"/>
      <c r="BX726" s="98"/>
      <c r="BY726" s="98"/>
      <c r="BZ726" s="98"/>
      <c r="CA726" s="98"/>
      <c r="CB726" s="98"/>
      <c r="CC726" s="98"/>
      <c r="CD726" s="98"/>
      <c r="CE726" s="98"/>
      <c r="CF726" s="98"/>
      <c r="CG726" s="98"/>
      <c r="CH726" s="98"/>
      <c r="CI726" s="98"/>
      <c r="CJ726" s="98"/>
      <c r="CK726" s="98"/>
    </row>
    <row r="727" spans="1:89" ht="15" x14ac:dyDescent="0.2">
      <c r="A727" s="119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  <c r="AI727" s="98"/>
      <c r="AJ727" s="98"/>
      <c r="AK727" s="98"/>
      <c r="AL727" s="98"/>
      <c r="AM727" s="98"/>
      <c r="AN727" s="98"/>
      <c r="AO727" s="98"/>
      <c r="AP727" s="98"/>
      <c r="AQ727" s="98"/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/>
      <c r="BR727" s="98"/>
      <c r="BS727" s="98"/>
      <c r="BT727" s="98"/>
      <c r="BU727" s="98"/>
      <c r="BV727" s="98"/>
      <c r="BW727" s="98"/>
      <c r="BX727" s="98"/>
      <c r="BY727" s="98"/>
      <c r="BZ727" s="98"/>
      <c r="CA727" s="98"/>
      <c r="CB727" s="98"/>
      <c r="CC727" s="98"/>
      <c r="CD727" s="98"/>
      <c r="CE727" s="98"/>
      <c r="CF727" s="98"/>
      <c r="CG727" s="98"/>
      <c r="CH727" s="98"/>
      <c r="CI727" s="98"/>
      <c r="CJ727" s="98"/>
      <c r="CK727" s="98"/>
    </row>
    <row r="728" spans="1:89" ht="15" x14ac:dyDescent="0.2">
      <c r="A728" s="119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  <c r="AI728" s="98"/>
      <c r="AJ728" s="98"/>
      <c r="AK728" s="98"/>
      <c r="AL728" s="98"/>
      <c r="AM728" s="98"/>
      <c r="AN728" s="98"/>
      <c r="AO728" s="98"/>
      <c r="AP728" s="98"/>
      <c r="AQ728" s="98"/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/>
      <c r="BR728" s="98"/>
      <c r="BS728" s="98"/>
      <c r="BT728" s="98"/>
      <c r="BU728" s="98"/>
      <c r="BV728" s="98"/>
      <c r="BW728" s="98"/>
      <c r="BX728" s="98"/>
      <c r="BY728" s="98"/>
      <c r="BZ728" s="98"/>
      <c r="CA728" s="98"/>
      <c r="CB728" s="98"/>
      <c r="CC728" s="98"/>
      <c r="CD728" s="98"/>
      <c r="CE728" s="98"/>
      <c r="CF728" s="98"/>
      <c r="CG728" s="98"/>
      <c r="CH728" s="98"/>
      <c r="CI728" s="98"/>
      <c r="CJ728" s="98"/>
      <c r="CK728" s="98"/>
    </row>
    <row r="729" spans="1:89" ht="15" x14ac:dyDescent="0.2">
      <c r="A729" s="119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  <c r="AI729" s="98"/>
      <c r="AJ729" s="98"/>
      <c r="AK729" s="98"/>
      <c r="AL729" s="98"/>
      <c r="AM729" s="98"/>
      <c r="AN729" s="98"/>
      <c r="AO729" s="98"/>
      <c r="AP729" s="98"/>
      <c r="AQ729" s="98"/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/>
      <c r="BR729" s="98"/>
      <c r="BS729" s="98"/>
      <c r="BT729" s="98"/>
      <c r="BU729" s="98"/>
      <c r="BV729" s="98"/>
      <c r="BW729" s="98"/>
      <c r="BX729" s="98"/>
      <c r="BY729" s="98"/>
      <c r="BZ729" s="98"/>
      <c r="CA729" s="98"/>
      <c r="CB729" s="98"/>
      <c r="CC729" s="98"/>
      <c r="CD729" s="98"/>
      <c r="CE729" s="98"/>
      <c r="CF729" s="98"/>
      <c r="CG729" s="98"/>
      <c r="CH729" s="98"/>
      <c r="CI729" s="98"/>
      <c r="CJ729" s="98"/>
      <c r="CK729" s="98"/>
    </row>
    <row r="730" spans="1:89" ht="15" x14ac:dyDescent="0.2">
      <c r="A730" s="119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8"/>
      <c r="AJ730" s="98"/>
      <c r="AK730" s="98"/>
      <c r="AL730" s="98"/>
      <c r="AM730" s="98"/>
      <c r="AN730" s="98"/>
      <c r="AO730" s="98"/>
      <c r="AP730" s="98"/>
      <c r="AQ730" s="98"/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/>
      <c r="BX730" s="98"/>
      <c r="BY730" s="98"/>
      <c r="BZ730" s="98"/>
      <c r="CA730" s="98"/>
      <c r="CB730" s="98"/>
      <c r="CC730" s="98"/>
      <c r="CD730" s="98"/>
      <c r="CE730" s="98"/>
      <c r="CF730" s="98"/>
      <c r="CG730" s="98"/>
      <c r="CH730" s="98"/>
      <c r="CI730" s="98"/>
      <c r="CJ730" s="98"/>
      <c r="CK730" s="98"/>
    </row>
    <row r="731" spans="1:89" ht="15" x14ac:dyDescent="0.2">
      <c r="A731" s="119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8"/>
      <c r="AJ731" s="98"/>
      <c r="AK731" s="98"/>
      <c r="AL731" s="98"/>
      <c r="AM731" s="98"/>
      <c r="AN731" s="98"/>
      <c r="AO731" s="98"/>
      <c r="AP731" s="98"/>
      <c r="AQ731" s="98"/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/>
      <c r="BX731" s="98"/>
      <c r="BY731" s="98"/>
      <c r="BZ731" s="98"/>
      <c r="CA731" s="98"/>
      <c r="CB731" s="98"/>
      <c r="CC731" s="98"/>
      <c r="CD731" s="98"/>
      <c r="CE731" s="98"/>
      <c r="CF731" s="98"/>
      <c r="CG731" s="98"/>
      <c r="CH731" s="98"/>
      <c r="CI731" s="98"/>
      <c r="CJ731" s="98"/>
      <c r="CK731" s="98"/>
    </row>
    <row r="732" spans="1:89" ht="15" x14ac:dyDescent="0.2">
      <c r="A732" s="119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8"/>
      <c r="AJ732" s="98"/>
      <c r="AK732" s="98"/>
      <c r="AL732" s="98"/>
      <c r="AM732" s="98"/>
      <c r="AN732" s="98"/>
      <c r="AO732" s="98"/>
      <c r="AP732" s="98"/>
      <c r="AQ732" s="98"/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/>
      <c r="CK732" s="98"/>
    </row>
    <row r="733" spans="1:89" ht="15" x14ac:dyDescent="0.2">
      <c r="A733" s="119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  <c r="AI733" s="98"/>
      <c r="AJ733" s="98"/>
      <c r="AK733" s="98"/>
      <c r="AL733" s="98"/>
      <c r="AM733" s="98"/>
      <c r="AN733" s="98"/>
      <c r="AO733" s="98"/>
      <c r="AP733" s="98"/>
      <c r="AQ733" s="98"/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</row>
    <row r="734" spans="1:89" ht="15" x14ac:dyDescent="0.2">
      <c r="A734" s="119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  <c r="AI734" s="98"/>
      <c r="AJ734" s="98"/>
      <c r="AK734" s="98"/>
      <c r="AL734" s="98"/>
      <c r="AM734" s="98"/>
      <c r="AN734" s="98"/>
      <c r="AO734" s="98"/>
      <c r="AP734" s="98"/>
      <c r="AQ734" s="98"/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</row>
    <row r="735" spans="1:89" ht="15" x14ac:dyDescent="0.2">
      <c r="A735" s="119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  <c r="AM735" s="98"/>
      <c r="AN735" s="98"/>
      <c r="AO735" s="98"/>
      <c r="AP735" s="98"/>
      <c r="AQ735" s="98"/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</row>
    <row r="736" spans="1:89" ht="15" x14ac:dyDescent="0.2">
      <c r="A736" s="119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8"/>
      <c r="AJ736" s="98"/>
      <c r="AK736" s="98"/>
      <c r="AL736" s="98"/>
      <c r="AM736" s="98"/>
      <c r="AN736" s="98"/>
      <c r="AO736" s="98"/>
      <c r="AP736" s="98"/>
      <c r="AQ736" s="98"/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</row>
    <row r="737" spans="1:89" ht="15" x14ac:dyDescent="0.2">
      <c r="A737" s="119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8"/>
      <c r="AJ737" s="98"/>
      <c r="AK737" s="98"/>
      <c r="AL737" s="98"/>
      <c r="AM737" s="98"/>
      <c r="AN737" s="98"/>
      <c r="AO737" s="98"/>
      <c r="AP737" s="98"/>
      <c r="AQ737" s="98"/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</row>
    <row r="738" spans="1:89" ht="15" x14ac:dyDescent="0.2">
      <c r="A738" s="119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  <c r="AI738" s="98"/>
      <c r="AJ738" s="98"/>
      <c r="AK738" s="98"/>
      <c r="AL738" s="98"/>
      <c r="AM738" s="98"/>
      <c r="AN738" s="98"/>
      <c r="AO738" s="98"/>
      <c r="AP738" s="98"/>
      <c r="AQ738" s="98"/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</row>
    <row r="739" spans="1:89" ht="15" x14ac:dyDescent="0.2">
      <c r="A739" s="119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  <c r="AI739" s="98"/>
      <c r="AJ739" s="98"/>
      <c r="AK739" s="98"/>
      <c r="AL739" s="98"/>
      <c r="AM739" s="98"/>
      <c r="AN739" s="98"/>
      <c r="AO739" s="98"/>
      <c r="AP739" s="98"/>
      <c r="AQ739" s="98"/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</row>
    <row r="740" spans="1:89" ht="15" x14ac:dyDescent="0.2">
      <c r="A740" s="119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  <c r="AI740" s="98"/>
      <c r="AJ740" s="98"/>
      <c r="AK740" s="98"/>
      <c r="AL740" s="98"/>
      <c r="AM740" s="98"/>
      <c r="AN740" s="98"/>
      <c r="AO740" s="98"/>
      <c r="AP740" s="98"/>
      <c r="AQ740" s="98"/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</row>
    <row r="741" spans="1:89" ht="15" x14ac:dyDescent="0.2">
      <c r="A741" s="119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  <c r="AI741" s="98"/>
      <c r="AJ741" s="98"/>
      <c r="AK741" s="98"/>
      <c r="AL741" s="98"/>
      <c r="AM741" s="98"/>
      <c r="AN741" s="98"/>
      <c r="AO741" s="98"/>
      <c r="AP741" s="98"/>
      <c r="AQ741" s="98"/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</row>
    <row r="742" spans="1:89" ht="15" x14ac:dyDescent="0.2">
      <c r="A742" s="119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  <c r="AI742" s="98"/>
      <c r="AJ742" s="98"/>
      <c r="AK742" s="98"/>
      <c r="AL742" s="98"/>
      <c r="AM742" s="98"/>
      <c r="AN742" s="98"/>
      <c r="AO742" s="98"/>
      <c r="AP742" s="98"/>
      <c r="AQ742" s="98"/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</row>
    <row r="743" spans="1:89" ht="15" x14ac:dyDescent="0.2">
      <c r="A743" s="119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  <c r="AI743" s="98"/>
      <c r="AJ743" s="98"/>
      <c r="AK743" s="98"/>
      <c r="AL743" s="98"/>
      <c r="AM743" s="98"/>
      <c r="AN743" s="98"/>
      <c r="AO743" s="98"/>
      <c r="AP743" s="98"/>
      <c r="AQ743" s="98"/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</row>
    <row r="744" spans="1:89" ht="15" x14ac:dyDescent="0.2">
      <c r="A744" s="119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  <c r="AI744" s="98"/>
      <c r="AJ744" s="98"/>
      <c r="AK744" s="98"/>
      <c r="AL744" s="98"/>
      <c r="AM744" s="98"/>
      <c r="AN744" s="98"/>
      <c r="AO744" s="98"/>
      <c r="AP744" s="98"/>
      <c r="AQ744" s="98"/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</row>
    <row r="745" spans="1:89" ht="15" x14ac:dyDescent="0.2">
      <c r="A745" s="119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  <c r="AI745" s="98"/>
      <c r="AJ745" s="98"/>
      <c r="AK745" s="98"/>
      <c r="AL745" s="98"/>
      <c r="AM745" s="98"/>
      <c r="AN745" s="98"/>
      <c r="AO745" s="98"/>
      <c r="AP745" s="98"/>
      <c r="AQ745" s="98"/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/>
      <c r="BL745" s="98"/>
      <c r="BM745" s="98"/>
      <c r="BN745" s="98"/>
      <c r="BO745" s="98"/>
      <c r="BP745" s="98"/>
      <c r="BQ745" s="98"/>
      <c r="BR745" s="98"/>
      <c r="BS745" s="98"/>
      <c r="BT745" s="98"/>
      <c r="BU745" s="98"/>
      <c r="BV745" s="98"/>
      <c r="BW745" s="98"/>
      <c r="BX745" s="98"/>
      <c r="BY745" s="98"/>
      <c r="BZ745" s="98"/>
      <c r="CA745" s="98"/>
      <c r="CB745" s="98"/>
      <c r="CC745" s="98"/>
      <c r="CD745" s="98"/>
      <c r="CE745" s="98"/>
      <c r="CF745" s="98"/>
      <c r="CG745" s="98"/>
      <c r="CH745" s="98"/>
      <c r="CI745" s="98"/>
      <c r="CJ745" s="98"/>
      <c r="CK745" s="98"/>
    </row>
    <row r="746" spans="1:89" ht="15" x14ac:dyDescent="0.2">
      <c r="A746" s="119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8"/>
      <c r="AJ746" s="98"/>
      <c r="AK746" s="98"/>
      <c r="AL746" s="98"/>
      <c r="AM746" s="98"/>
      <c r="AN746" s="98"/>
      <c r="AO746" s="98"/>
      <c r="AP746" s="98"/>
      <c r="AQ746" s="98"/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/>
      <c r="BM746" s="98"/>
      <c r="BN746" s="98"/>
      <c r="BO746" s="98"/>
      <c r="BP746" s="98"/>
      <c r="BQ746" s="98"/>
      <c r="BR746" s="98"/>
      <c r="BS746" s="98"/>
      <c r="BT746" s="98"/>
      <c r="BU746" s="98"/>
      <c r="BV746" s="98"/>
      <c r="BW746" s="98"/>
      <c r="BX746" s="98"/>
      <c r="BY746" s="98"/>
      <c r="BZ746" s="98"/>
      <c r="CA746" s="98"/>
      <c r="CB746" s="98"/>
      <c r="CC746" s="98"/>
      <c r="CD746" s="98"/>
      <c r="CE746" s="98"/>
      <c r="CF746" s="98"/>
      <c r="CG746" s="98"/>
      <c r="CH746" s="98"/>
      <c r="CI746" s="98"/>
      <c r="CJ746" s="98"/>
      <c r="CK746" s="98"/>
    </row>
    <row r="747" spans="1:89" ht="15" x14ac:dyDescent="0.2">
      <c r="A747" s="119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  <c r="AM747" s="98"/>
      <c r="AN747" s="98"/>
      <c r="AO747" s="98"/>
      <c r="AP747" s="98"/>
      <c r="AQ747" s="98"/>
      <c r="AR747" s="98"/>
      <c r="AS747" s="98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8"/>
      <c r="BL747" s="98"/>
      <c r="BM747" s="98"/>
      <c r="BN747" s="98"/>
      <c r="BO747" s="98"/>
      <c r="BP747" s="98"/>
      <c r="BQ747" s="98"/>
      <c r="BR747" s="98"/>
      <c r="BS747" s="98"/>
      <c r="BT747" s="98"/>
      <c r="BU747" s="98"/>
      <c r="BV747" s="98"/>
      <c r="BW747" s="98"/>
      <c r="BX747" s="98"/>
      <c r="BY747" s="98"/>
      <c r="BZ747" s="98"/>
      <c r="CA747" s="98"/>
      <c r="CB747" s="98"/>
      <c r="CC747" s="98"/>
      <c r="CD747" s="98"/>
      <c r="CE747" s="98"/>
      <c r="CF747" s="98"/>
      <c r="CG747" s="98"/>
      <c r="CH747" s="98"/>
      <c r="CI747" s="98"/>
      <c r="CJ747" s="98"/>
      <c r="CK747" s="98"/>
    </row>
    <row r="748" spans="1:89" ht="15" x14ac:dyDescent="0.2">
      <c r="A748" s="119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8"/>
      <c r="AJ748" s="98"/>
      <c r="AK748" s="98"/>
      <c r="AL748" s="98"/>
      <c r="AM748" s="98"/>
      <c r="AN748" s="98"/>
      <c r="AO748" s="98"/>
      <c r="AP748" s="98"/>
      <c r="AQ748" s="98"/>
      <c r="AR748" s="98"/>
      <c r="AS748" s="98"/>
      <c r="AT748" s="98"/>
      <c r="AU748" s="98"/>
      <c r="AV748" s="98"/>
      <c r="AW748" s="98"/>
      <c r="AX748" s="98"/>
      <c r="AY748" s="98"/>
      <c r="AZ748" s="98"/>
      <c r="BA748" s="98"/>
      <c r="BB748" s="98"/>
      <c r="BC748" s="98"/>
      <c r="BD748" s="98"/>
      <c r="BE748" s="98"/>
      <c r="BF748" s="98"/>
      <c r="BG748" s="98"/>
      <c r="BH748" s="98"/>
      <c r="BI748" s="98"/>
      <c r="BJ748" s="98"/>
      <c r="BK748" s="98"/>
      <c r="BL748" s="98"/>
      <c r="BM748" s="98"/>
      <c r="BN748" s="98"/>
      <c r="BO748" s="98"/>
      <c r="BP748" s="98"/>
      <c r="BQ748" s="98"/>
      <c r="BR748" s="98"/>
      <c r="BS748" s="98"/>
      <c r="BT748" s="98"/>
      <c r="BU748" s="98"/>
      <c r="BV748" s="98"/>
      <c r="BW748" s="98"/>
      <c r="BX748" s="98"/>
      <c r="BY748" s="98"/>
      <c r="BZ748" s="98"/>
      <c r="CA748" s="98"/>
      <c r="CB748" s="98"/>
      <c r="CC748" s="98"/>
      <c r="CD748" s="98"/>
      <c r="CE748" s="98"/>
      <c r="CF748" s="98"/>
      <c r="CG748" s="98"/>
      <c r="CH748" s="98"/>
      <c r="CI748" s="98"/>
      <c r="CJ748" s="98"/>
      <c r="CK748" s="98"/>
    </row>
    <row r="749" spans="1:89" ht="15" x14ac:dyDescent="0.2">
      <c r="A749" s="119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  <c r="AI749" s="98"/>
      <c r="AJ749" s="98"/>
      <c r="AK749" s="98"/>
      <c r="AL749" s="98"/>
      <c r="AM749" s="98"/>
      <c r="AN749" s="98"/>
      <c r="AO749" s="98"/>
      <c r="AP749" s="98"/>
      <c r="AQ749" s="98"/>
      <c r="AR749" s="98"/>
      <c r="AS749" s="98"/>
      <c r="AT749" s="98"/>
      <c r="AU749" s="98"/>
      <c r="AV749" s="98"/>
      <c r="AW749" s="98"/>
      <c r="AX749" s="98"/>
      <c r="AY749" s="98"/>
      <c r="AZ749" s="98"/>
      <c r="BA749" s="98"/>
      <c r="BB749" s="98"/>
      <c r="BC749" s="98"/>
      <c r="BD749" s="98"/>
      <c r="BE749" s="98"/>
      <c r="BF749" s="98"/>
      <c r="BG749" s="98"/>
      <c r="BH749" s="98"/>
      <c r="BI749" s="98"/>
      <c r="BJ749" s="98"/>
      <c r="BK749" s="98"/>
      <c r="BL749" s="98"/>
      <c r="BM749" s="98"/>
      <c r="BN749" s="98"/>
      <c r="BO749" s="98"/>
      <c r="BP749" s="98"/>
      <c r="BQ749" s="98"/>
      <c r="BR749" s="98"/>
      <c r="BS749" s="98"/>
      <c r="BT749" s="98"/>
      <c r="BU749" s="98"/>
      <c r="BV749" s="98"/>
      <c r="BW749" s="98"/>
      <c r="BX749" s="98"/>
      <c r="BY749" s="98"/>
      <c r="BZ749" s="98"/>
      <c r="CA749" s="98"/>
      <c r="CB749" s="98"/>
      <c r="CC749" s="98"/>
      <c r="CD749" s="98"/>
      <c r="CE749" s="98"/>
      <c r="CF749" s="98"/>
      <c r="CG749" s="98"/>
      <c r="CH749" s="98"/>
      <c r="CI749" s="98"/>
      <c r="CJ749" s="98"/>
      <c r="CK749" s="98"/>
    </row>
    <row r="750" spans="1:89" ht="15" x14ac:dyDescent="0.2">
      <c r="A750" s="119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  <c r="AI750" s="98"/>
      <c r="AJ750" s="98"/>
      <c r="AK750" s="98"/>
      <c r="AL750" s="98"/>
      <c r="AM750" s="98"/>
      <c r="AN750" s="98"/>
      <c r="AO750" s="98"/>
      <c r="AP750" s="98"/>
      <c r="AQ750" s="98"/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/>
      <c r="BH750" s="98"/>
      <c r="BI750" s="98"/>
      <c r="BJ750" s="98"/>
      <c r="BK750" s="98"/>
      <c r="BL750" s="98"/>
      <c r="BM750" s="98"/>
      <c r="BN750" s="98"/>
      <c r="BO750" s="98"/>
      <c r="BP750" s="98"/>
      <c r="BQ750" s="98"/>
      <c r="BR750" s="98"/>
      <c r="BS750" s="98"/>
      <c r="BT750" s="98"/>
      <c r="BU750" s="98"/>
      <c r="BV750" s="98"/>
      <c r="BW750" s="98"/>
      <c r="BX750" s="98"/>
      <c r="BY750" s="98"/>
      <c r="BZ750" s="98"/>
      <c r="CA750" s="98"/>
      <c r="CB750" s="98"/>
      <c r="CC750" s="98"/>
      <c r="CD750" s="98"/>
      <c r="CE750" s="98"/>
      <c r="CF750" s="98"/>
      <c r="CG750" s="98"/>
      <c r="CH750" s="98"/>
      <c r="CI750" s="98"/>
      <c r="CJ750" s="98"/>
      <c r="CK750" s="98"/>
    </row>
    <row r="751" spans="1:89" ht="15" x14ac:dyDescent="0.2">
      <c r="A751" s="119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  <c r="AI751" s="98"/>
      <c r="AJ751" s="98"/>
      <c r="AK751" s="98"/>
      <c r="AL751" s="98"/>
      <c r="AM751" s="98"/>
      <c r="AN751" s="98"/>
      <c r="AO751" s="98"/>
      <c r="AP751" s="98"/>
      <c r="AQ751" s="98"/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</row>
    <row r="752" spans="1:89" ht="15" x14ac:dyDescent="0.2">
      <c r="A752" s="119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  <c r="AI752" s="98"/>
      <c r="AJ752" s="98"/>
      <c r="AK752" s="98"/>
      <c r="AL752" s="98"/>
      <c r="AM752" s="98"/>
      <c r="AN752" s="98"/>
      <c r="AO752" s="98"/>
      <c r="AP752" s="98"/>
      <c r="AQ752" s="98"/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</row>
    <row r="753" spans="1:89" ht="15" x14ac:dyDescent="0.2">
      <c r="A753" s="119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  <c r="AI753" s="98"/>
      <c r="AJ753" s="98"/>
      <c r="AK753" s="98"/>
      <c r="AL753" s="98"/>
      <c r="AM753" s="98"/>
      <c r="AN753" s="98"/>
      <c r="AO753" s="98"/>
      <c r="AP753" s="98"/>
      <c r="AQ753" s="98"/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</row>
    <row r="754" spans="1:89" ht="15" x14ac:dyDescent="0.2">
      <c r="A754" s="119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  <c r="AI754" s="98"/>
      <c r="AJ754" s="98"/>
      <c r="AK754" s="98"/>
      <c r="AL754" s="98"/>
      <c r="AM754" s="98"/>
      <c r="AN754" s="98"/>
      <c r="AO754" s="98"/>
      <c r="AP754" s="98"/>
      <c r="AQ754" s="98"/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</row>
    <row r="755" spans="1:89" ht="15" x14ac:dyDescent="0.2">
      <c r="A755" s="119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  <c r="AI755" s="98"/>
      <c r="AJ755" s="98"/>
      <c r="AK755" s="98"/>
      <c r="AL755" s="98"/>
      <c r="AM755" s="98"/>
      <c r="AN755" s="98"/>
      <c r="AO755" s="98"/>
      <c r="AP755" s="98"/>
      <c r="AQ755" s="98"/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</row>
    <row r="756" spans="1:89" ht="15" x14ac:dyDescent="0.2">
      <c r="A756" s="119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  <c r="AI756" s="98"/>
      <c r="AJ756" s="98"/>
      <c r="AK756" s="98"/>
      <c r="AL756" s="98"/>
      <c r="AM756" s="98"/>
      <c r="AN756" s="98"/>
      <c r="AO756" s="98"/>
      <c r="AP756" s="98"/>
      <c r="AQ756" s="98"/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</row>
    <row r="757" spans="1:89" ht="15" x14ac:dyDescent="0.2">
      <c r="A757" s="119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  <c r="AI757" s="98"/>
      <c r="AJ757" s="98"/>
      <c r="AK757" s="98"/>
      <c r="AL757" s="98"/>
      <c r="AM757" s="98"/>
      <c r="AN757" s="98"/>
      <c r="AO757" s="98"/>
      <c r="AP757" s="98"/>
      <c r="AQ757" s="98"/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</row>
    <row r="758" spans="1:89" ht="15" x14ac:dyDescent="0.2">
      <c r="A758" s="119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  <c r="AI758" s="98"/>
      <c r="AJ758" s="98"/>
      <c r="AK758" s="98"/>
      <c r="AL758" s="98"/>
      <c r="AM758" s="98"/>
      <c r="AN758" s="98"/>
      <c r="AO758" s="98"/>
      <c r="AP758" s="98"/>
      <c r="AQ758" s="98"/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</row>
    <row r="759" spans="1:89" ht="15" x14ac:dyDescent="0.2">
      <c r="A759" s="119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  <c r="AI759" s="98"/>
      <c r="AJ759" s="98"/>
      <c r="AK759" s="98"/>
      <c r="AL759" s="98"/>
      <c r="AM759" s="98"/>
      <c r="AN759" s="98"/>
      <c r="AO759" s="98"/>
      <c r="AP759" s="98"/>
      <c r="AQ759" s="98"/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</row>
    <row r="760" spans="1:89" ht="15" x14ac:dyDescent="0.2">
      <c r="A760" s="119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  <c r="AI760" s="98"/>
      <c r="AJ760" s="98"/>
      <c r="AK760" s="98"/>
      <c r="AL760" s="98"/>
      <c r="AM760" s="98"/>
      <c r="AN760" s="98"/>
      <c r="AO760" s="98"/>
      <c r="AP760" s="98"/>
      <c r="AQ760" s="98"/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</row>
    <row r="761" spans="1:89" ht="15" x14ac:dyDescent="0.2">
      <c r="A761" s="119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  <c r="AI761" s="98"/>
      <c r="AJ761" s="98"/>
      <c r="AK761" s="98"/>
      <c r="AL761" s="98"/>
      <c r="AM761" s="98"/>
      <c r="AN761" s="98"/>
      <c r="AO761" s="98"/>
      <c r="AP761" s="98"/>
      <c r="AQ761" s="98"/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</row>
    <row r="762" spans="1:89" ht="15" x14ac:dyDescent="0.2">
      <c r="A762" s="119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  <c r="AI762" s="98"/>
      <c r="AJ762" s="98"/>
      <c r="AK762" s="98"/>
      <c r="AL762" s="98"/>
      <c r="AM762" s="98"/>
      <c r="AN762" s="98"/>
      <c r="AO762" s="98"/>
      <c r="AP762" s="98"/>
      <c r="AQ762" s="98"/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</row>
    <row r="763" spans="1:89" ht="15" x14ac:dyDescent="0.2">
      <c r="A763" s="119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8"/>
      <c r="AJ763" s="98"/>
      <c r="AK763" s="98"/>
      <c r="AL763" s="98"/>
      <c r="AM763" s="98"/>
      <c r="AN763" s="98"/>
      <c r="AO763" s="98"/>
      <c r="AP763" s="98"/>
      <c r="AQ763" s="98"/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</row>
    <row r="764" spans="1:89" ht="15" x14ac:dyDescent="0.2">
      <c r="A764" s="119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  <c r="AI764" s="98"/>
      <c r="AJ764" s="98"/>
      <c r="AK764" s="98"/>
      <c r="AL764" s="98"/>
      <c r="AM764" s="98"/>
      <c r="AN764" s="98"/>
      <c r="AO764" s="98"/>
      <c r="AP764" s="98"/>
      <c r="AQ764" s="98"/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</row>
    <row r="765" spans="1:89" ht="15" x14ac:dyDescent="0.2">
      <c r="A765" s="119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  <c r="AI765" s="98"/>
      <c r="AJ765" s="98"/>
      <c r="AK765" s="98"/>
      <c r="AL765" s="98"/>
      <c r="AM765" s="98"/>
      <c r="AN765" s="98"/>
      <c r="AO765" s="98"/>
      <c r="AP765" s="98"/>
      <c r="AQ765" s="98"/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</row>
    <row r="766" spans="1:89" ht="15" x14ac:dyDescent="0.2">
      <c r="A766" s="119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  <c r="AI766" s="98"/>
      <c r="AJ766" s="98"/>
      <c r="AK766" s="98"/>
      <c r="AL766" s="98"/>
      <c r="AM766" s="98"/>
      <c r="AN766" s="98"/>
      <c r="AO766" s="98"/>
      <c r="AP766" s="98"/>
      <c r="AQ766" s="98"/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</row>
    <row r="767" spans="1:89" ht="15" x14ac:dyDescent="0.2">
      <c r="A767" s="119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8"/>
      <c r="AJ767" s="98"/>
      <c r="AK767" s="98"/>
      <c r="AL767" s="98"/>
      <c r="AM767" s="98"/>
      <c r="AN767" s="98"/>
      <c r="AO767" s="98"/>
      <c r="AP767" s="98"/>
      <c r="AQ767" s="98"/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</row>
    <row r="768" spans="1:89" ht="15" x14ac:dyDescent="0.2">
      <c r="A768" s="119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8"/>
      <c r="AJ768" s="98"/>
      <c r="AK768" s="98"/>
      <c r="AL768" s="98"/>
      <c r="AM768" s="98"/>
      <c r="AN768" s="98"/>
      <c r="AO768" s="98"/>
      <c r="AP768" s="98"/>
      <c r="AQ768" s="98"/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</row>
    <row r="769" spans="1:89" ht="15" x14ac:dyDescent="0.2">
      <c r="A769" s="119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8"/>
      <c r="AJ769" s="98"/>
      <c r="AK769" s="98"/>
      <c r="AL769" s="98"/>
      <c r="AM769" s="98"/>
      <c r="AN769" s="98"/>
      <c r="AO769" s="98"/>
      <c r="AP769" s="98"/>
      <c r="AQ769" s="98"/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</row>
    <row r="770" spans="1:89" ht="15" x14ac:dyDescent="0.2">
      <c r="A770" s="119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8"/>
      <c r="AJ770" s="98"/>
      <c r="AK770" s="98"/>
      <c r="AL770" s="98"/>
      <c r="AM770" s="98"/>
      <c r="AN770" s="98"/>
      <c r="AO770" s="98"/>
      <c r="AP770" s="98"/>
      <c r="AQ770" s="98"/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</row>
    <row r="771" spans="1:89" ht="15" x14ac:dyDescent="0.2">
      <c r="A771" s="119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8"/>
      <c r="AJ771" s="98"/>
      <c r="AK771" s="98"/>
      <c r="AL771" s="98"/>
      <c r="AM771" s="98"/>
      <c r="AN771" s="98"/>
      <c r="AO771" s="98"/>
      <c r="AP771" s="98"/>
      <c r="AQ771" s="98"/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</row>
    <row r="772" spans="1:89" ht="15" x14ac:dyDescent="0.2">
      <c r="A772" s="119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8"/>
      <c r="AJ772" s="98"/>
      <c r="AK772" s="98"/>
      <c r="AL772" s="98"/>
      <c r="AM772" s="98"/>
      <c r="AN772" s="98"/>
      <c r="AO772" s="98"/>
      <c r="AP772" s="98"/>
      <c r="AQ772" s="98"/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</row>
    <row r="773" spans="1:89" ht="15" x14ac:dyDescent="0.2">
      <c r="A773" s="119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8"/>
      <c r="AJ773" s="98"/>
      <c r="AK773" s="98"/>
      <c r="AL773" s="98"/>
      <c r="AM773" s="98"/>
      <c r="AN773" s="98"/>
      <c r="AO773" s="98"/>
      <c r="AP773" s="98"/>
      <c r="AQ773" s="98"/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</row>
    <row r="774" spans="1:89" ht="15" x14ac:dyDescent="0.2">
      <c r="A774" s="119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8"/>
      <c r="AJ774" s="98"/>
      <c r="AK774" s="98"/>
      <c r="AL774" s="98"/>
      <c r="AM774" s="98"/>
      <c r="AN774" s="98"/>
      <c r="AO774" s="98"/>
      <c r="AP774" s="98"/>
      <c r="AQ774" s="98"/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</row>
    <row r="775" spans="1:89" ht="15" x14ac:dyDescent="0.2">
      <c r="A775" s="119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8"/>
      <c r="AJ775" s="98"/>
      <c r="AK775" s="98"/>
      <c r="AL775" s="98"/>
      <c r="AM775" s="98"/>
      <c r="AN775" s="98"/>
      <c r="AO775" s="98"/>
      <c r="AP775" s="98"/>
      <c r="AQ775" s="98"/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</row>
    <row r="776" spans="1:89" ht="15" x14ac:dyDescent="0.2">
      <c r="A776" s="119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8"/>
      <c r="AJ776" s="98"/>
      <c r="AK776" s="98"/>
      <c r="AL776" s="98"/>
      <c r="AM776" s="98"/>
      <c r="AN776" s="98"/>
      <c r="AO776" s="98"/>
      <c r="AP776" s="98"/>
      <c r="AQ776" s="98"/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</row>
    <row r="777" spans="1:89" ht="15" x14ac:dyDescent="0.2">
      <c r="A777" s="119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8"/>
      <c r="AJ777" s="98"/>
      <c r="AK777" s="98"/>
      <c r="AL777" s="98"/>
      <c r="AM777" s="98"/>
      <c r="AN777" s="98"/>
      <c r="AO777" s="98"/>
      <c r="AP777" s="98"/>
      <c r="AQ777" s="98"/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</row>
    <row r="778" spans="1:89" ht="15" x14ac:dyDescent="0.2">
      <c r="A778" s="119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8"/>
      <c r="AJ778" s="98"/>
      <c r="AK778" s="98"/>
      <c r="AL778" s="98"/>
      <c r="AM778" s="98"/>
      <c r="AN778" s="98"/>
      <c r="AO778" s="98"/>
      <c r="AP778" s="98"/>
      <c r="AQ778" s="98"/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</row>
    <row r="779" spans="1:89" ht="15" x14ac:dyDescent="0.2">
      <c r="A779" s="119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8"/>
      <c r="AJ779" s="98"/>
      <c r="AK779" s="98"/>
      <c r="AL779" s="98"/>
      <c r="AM779" s="98"/>
      <c r="AN779" s="98"/>
      <c r="AO779" s="98"/>
      <c r="AP779" s="98"/>
      <c r="AQ779" s="98"/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</row>
    <row r="780" spans="1:89" ht="15" x14ac:dyDescent="0.2">
      <c r="A780" s="119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8"/>
      <c r="AJ780" s="98"/>
      <c r="AK780" s="98"/>
      <c r="AL780" s="98"/>
      <c r="AM780" s="98"/>
      <c r="AN780" s="98"/>
      <c r="AO780" s="98"/>
      <c r="AP780" s="98"/>
      <c r="AQ780" s="98"/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</row>
    <row r="781" spans="1:89" ht="15" x14ac:dyDescent="0.2">
      <c r="A781" s="119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8"/>
      <c r="AJ781" s="98"/>
      <c r="AK781" s="98"/>
      <c r="AL781" s="98"/>
      <c r="AM781" s="98"/>
      <c r="AN781" s="98"/>
      <c r="AO781" s="98"/>
      <c r="AP781" s="98"/>
      <c r="AQ781" s="98"/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</row>
    <row r="782" spans="1:89" ht="15" x14ac:dyDescent="0.2">
      <c r="A782" s="119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8"/>
      <c r="AJ782" s="98"/>
      <c r="AK782" s="98"/>
      <c r="AL782" s="98"/>
      <c r="AM782" s="98"/>
      <c r="AN782" s="98"/>
      <c r="AO782" s="98"/>
      <c r="AP782" s="98"/>
      <c r="AQ782" s="98"/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</row>
    <row r="783" spans="1:89" ht="15" x14ac:dyDescent="0.2">
      <c r="A783" s="119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8"/>
      <c r="AJ783" s="98"/>
      <c r="AK783" s="98"/>
      <c r="AL783" s="98"/>
      <c r="AM783" s="98"/>
      <c r="AN783" s="98"/>
      <c r="AO783" s="98"/>
      <c r="AP783" s="98"/>
      <c r="AQ783" s="98"/>
      <c r="AR783" s="98"/>
      <c r="AS783" s="98"/>
      <c r="AT783" s="98"/>
      <c r="AU783" s="98"/>
      <c r="AV783" s="98"/>
      <c r="AW783" s="98"/>
      <c r="AX783" s="98"/>
      <c r="AY783" s="98"/>
      <c r="AZ783" s="98"/>
      <c r="BA783" s="98"/>
      <c r="BB783" s="98"/>
      <c r="BC783" s="98"/>
      <c r="BD783" s="98"/>
      <c r="BE783" s="98"/>
      <c r="BF783" s="98"/>
      <c r="BG783" s="98"/>
      <c r="BH783" s="98"/>
      <c r="BI783" s="98"/>
      <c r="BJ783" s="98"/>
      <c r="BK783" s="98"/>
      <c r="BL783" s="98"/>
      <c r="BM783" s="98"/>
      <c r="BN783" s="98"/>
      <c r="BO783" s="98"/>
      <c r="BP783" s="98"/>
      <c r="BQ783" s="98"/>
      <c r="BR783" s="98"/>
      <c r="BS783" s="98"/>
      <c r="BT783" s="98"/>
      <c r="BU783" s="98"/>
      <c r="BV783" s="98"/>
      <c r="BW783" s="98"/>
      <c r="BX783" s="98"/>
      <c r="BY783" s="98"/>
      <c r="BZ783" s="98"/>
      <c r="CA783" s="98"/>
      <c r="CB783" s="98"/>
      <c r="CC783" s="98"/>
      <c r="CD783" s="98"/>
      <c r="CE783" s="98"/>
      <c r="CF783" s="98"/>
      <c r="CG783" s="98"/>
      <c r="CH783" s="98"/>
      <c r="CI783" s="98"/>
      <c r="CJ783" s="98"/>
      <c r="CK783" s="98"/>
    </row>
    <row r="784" spans="1:89" ht="15" x14ac:dyDescent="0.2">
      <c r="A784" s="119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8"/>
      <c r="AJ784" s="98"/>
      <c r="AK784" s="98"/>
      <c r="AL784" s="98"/>
      <c r="AM784" s="98"/>
      <c r="AN784" s="98"/>
      <c r="AO784" s="98"/>
      <c r="AP784" s="98"/>
      <c r="AQ784" s="98"/>
      <c r="AR784" s="98"/>
      <c r="AS784" s="98"/>
      <c r="AT784" s="98"/>
      <c r="AU784" s="98"/>
      <c r="AV784" s="98"/>
      <c r="AW784" s="98"/>
      <c r="AX784" s="98"/>
      <c r="AY784" s="98"/>
      <c r="AZ784" s="98"/>
      <c r="BA784" s="98"/>
      <c r="BB784" s="98"/>
      <c r="BC784" s="98"/>
      <c r="BD784" s="98"/>
      <c r="BE784" s="98"/>
      <c r="BF784" s="98"/>
      <c r="BG784" s="98"/>
      <c r="BH784" s="98"/>
      <c r="BI784" s="98"/>
      <c r="BJ784" s="98"/>
      <c r="BK784" s="98"/>
      <c r="BL784" s="98"/>
      <c r="BM784" s="98"/>
      <c r="BN784" s="98"/>
      <c r="BO784" s="98"/>
      <c r="BP784" s="98"/>
      <c r="BQ784" s="98"/>
      <c r="BR784" s="98"/>
      <c r="BS784" s="98"/>
      <c r="BT784" s="98"/>
      <c r="BU784" s="98"/>
      <c r="BV784" s="98"/>
      <c r="BW784" s="98"/>
      <c r="BX784" s="98"/>
      <c r="BY784" s="98"/>
      <c r="BZ784" s="98"/>
      <c r="CA784" s="98"/>
      <c r="CB784" s="98"/>
      <c r="CC784" s="98"/>
      <c r="CD784" s="98"/>
      <c r="CE784" s="98"/>
      <c r="CF784" s="98"/>
      <c r="CG784" s="98"/>
      <c r="CH784" s="98"/>
      <c r="CI784" s="98"/>
      <c r="CJ784" s="98"/>
      <c r="CK784" s="98"/>
    </row>
    <row r="785" spans="1:89" ht="15" x14ac:dyDescent="0.2">
      <c r="A785" s="119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8"/>
      <c r="AJ785" s="98"/>
      <c r="AK785" s="98"/>
      <c r="AL785" s="98"/>
      <c r="AM785" s="98"/>
      <c r="AN785" s="98"/>
      <c r="AO785" s="98"/>
      <c r="AP785" s="98"/>
      <c r="AQ785" s="98"/>
      <c r="AR785" s="98"/>
      <c r="AS785" s="98"/>
      <c r="AT785" s="98"/>
      <c r="AU785" s="98"/>
      <c r="AV785" s="98"/>
      <c r="AW785" s="98"/>
      <c r="AX785" s="98"/>
      <c r="AY785" s="98"/>
      <c r="AZ785" s="98"/>
      <c r="BA785" s="98"/>
      <c r="BB785" s="98"/>
      <c r="BC785" s="98"/>
      <c r="BD785" s="98"/>
      <c r="BE785" s="98"/>
      <c r="BF785" s="98"/>
      <c r="BG785" s="98"/>
      <c r="BH785" s="98"/>
      <c r="BI785" s="98"/>
      <c r="BJ785" s="98"/>
      <c r="BK785" s="98"/>
      <c r="BL785" s="98"/>
      <c r="BM785" s="98"/>
      <c r="BN785" s="98"/>
      <c r="BO785" s="98"/>
      <c r="BP785" s="98"/>
      <c r="BQ785" s="98"/>
      <c r="BR785" s="98"/>
      <c r="BS785" s="98"/>
      <c r="BT785" s="98"/>
      <c r="BU785" s="98"/>
      <c r="BV785" s="98"/>
      <c r="BW785" s="98"/>
      <c r="BX785" s="98"/>
      <c r="BY785" s="98"/>
      <c r="BZ785" s="98"/>
      <c r="CA785" s="98"/>
      <c r="CB785" s="98"/>
      <c r="CC785" s="98"/>
      <c r="CD785" s="98"/>
      <c r="CE785" s="98"/>
      <c r="CF785" s="98"/>
      <c r="CG785" s="98"/>
      <c r="CH785" s="98"/>
      <c r="CI785" s="98"/>
      <c r="CJ785" s="98"/>
      <c r="CK785" s="98"/>
    </row>
    <row r="786" spans="1:89" ht="15" x14ac:dyDescent="0.2">
      <c r="A786" s="119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  <c r="AM786" s="98"/>
      <c r="AN786" s="98"/>
      <c r="AO786" s="98"/>
      <c r="AP786" s="98"/>
      <c r="AQ786" s="98"/>
      <c r="AR786" s="98"/>
      <c r="AS786" s="98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8"/>
      <c r="BL786" s="98"/>
      <c r="BM786" s="98"/>
      <c r="BN786" s="98"/>
      <c r="BO786" s="98"/>
      <c r="BP786" s="98"/>
      <c r="BQ786" s="98"/>
      <c r="BR786" s="98"/>
      <c r="BS786" s="98"/>
      <c r="BT786" s="98"/>
      <c r="BU786" s="98"/>
      <c r="BV786" s="98"/>
      <c r="BW786" s="98"/>
      <c r="BX786" s="98"/>
      <c r="BY786" s="98"/>
      <c r="BZ786" s="98"/>
      <c r="CA786" s="98"/>
      <c r="CB786" s="98"/>
      <c r="CC786" s="98"/>
      <c r="CD786" s="98"/>
      <c r="CE786" s="98"/>
      <c r="CF786" s="98"/>
      <c r="CG786" s="98"/>
      <c r="CH786" s="98"/>
      <c r="CI786" s="98"/>
      <c r="CJ786" s="98"/>
      <c r="CK786" s="98"/>
    </row>
    <row r="787" spans="1:89" ht="15" x14ac:dyDescent="0.2">
      <c r="A787" s="119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8"/>
      <c r="AJ787" s="98"/>
      <c r="AK787" s="98"/>
      <c r="AL787" s="98"/>
      <c r="AM787" s="98"/>
      <c r="AN787" s="98"/>
      <c r="AO787" s="98"/>
      <c r="AP787" s="98"/>
      <c r="AQ787" s="98"/>
      <c r="AR787" s="98"/>
      <c r="AS787" s="98"/>
      <c r="AT787" s="98"/>
      <c r="AU787" s="98"/>
      <c r="AV787" s="98"/>
      <c r="AW787" s="98"/>
      <c r="AX787" s="98"/>
      <c r="AY787" s="98"/>
      <c r="AZ787" s="98"/>
      <c r="BA787" s="98"/>
      <c r="BB787" s="98"/>
      <c r="BC787" s="98"/>
      <c r="BD787" s="98"/>
      <c r="BE787" s="98"/>
      <c r="BF787" s="98"/>
      <c r="BG787" s="98"/>
      <c r="BH787" s="98"/>
      <c r="BI787" s="98"/>
      <c r="BJ787" s="98"/>
      <c r="BK787" s="98"/>
      <c r="BL787" s="98"/>
      <c r="BM787" s="98"/>
      <c r="BN787" s="98"/>
      <c r="BO787" s="98"/>
      <c r="BP787" s="98"/>
      <c r="BQ787" s="98"/>
      <c r="BR787" s="98"/>
      <c r="BS787" s="98"/>
      <c r="BT787" s="98"/>
      <c r="BU787" s="98"/>
      <c r="BV787" s="98"/>
      <c r="BW787" s="98"/>
      <c r="BX787" s="98"/>
      <c r="BY787" s="98"/>
      <c r="BZ787" s="98"/>
      <c r="CA787" s="98"/>
      <c r="CB787" s="98"/>
      <c r="CC787" s="98"/>
      <c r="CD787" s="98"/>
      <c r="CE787" s="98"/>
      <c r="CF787" s="98"/>
      <c r="CG787" s="98"/>
      <c r="CH787" s="98"/>
      <c r="CI787" s="98"/>
      <c r="CJ787" s="98"/>
      <c r="CK787" s="98"/>
    </row>
    <row r="788" spans="1:89" ht="15" x14ac:dyDescent="0.2">
      <c r="A788" s="119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8"/>
      <c r="AJ788" s="98"/>
      <c r="AK788" s="98"/>
      <c r="AL788" s="98"/>
      <c r="AM788" s="98"/>
      <c r="AN788" s="98"/>
      <c r="AO788" s="98"/>
      <c r="AP788" s="98"/>
      <c r="AQ788" s="98"/>
      <c r="AR788" s="98"/>
      <c r="AS788" s="98"/>
      <c r="AT788" s="98"/>
      <c r="AU788" s="98"/>
      <c r="AV788" s="98"/>
      <c r="AW788" s="98"/>
      <c r="AX788" s="98"/>
      <c r="AY788" s="98"/>
      <c r="AZ788" s="98"/>
      <c r="BA788" s="98"/>
      <c r="BB788" s="98"/>
      <c r="BC788" s="98"/>
      <c r="BD788" s="98"/>
      <c r="BE788" s="98"/>
      <c r="BF788" s="98"/>
      <c r="BG788" s="98"/>
      <c r="BH788" s="98"/>
      <c r="BI788" s="98"/>
      <c r="BJ788" s="98"/>
      <c r="BK788" s="98"/>
      <c r="BL788" s="98"/>
      <c r="BM788" s="98"/>
      <c r="BN788" s="98"/>
      <c r="BO788" s="98"/>
      <c r="BP788" s="98"/>
      <c r="BQ788" s="98"/>
      <c r="BR788" s="98"/>
      <c r="BS788" s="98"/>
      <c r="BT788" s="98"/>
      <c r="BU788" s="98"/>
      <c r="BV788" s="98"/>
      <c r="BW788" s="98"/>
      <c r="BX788" s="98"/>
      <c r="BY788" s="98"/>
      <c r="BZ788" s="98"/>
      <c r="CA788" s="98"/>
      <c r="CB788" s="98"/>
      <c r="CC788" s="98"/>
      <c r="CD788" s="98"/>
      <c r="CE788" s="98"/>
      <c r="CF788" s="98"/>
      <c r="CG788" s="98"/>
      <c r="CH788" s="98"/>
      <c r="CI788" s="98"/>
      <c r="CJ788" s="98"/>
      <c r="CK788" s="98"/>
    </row>
    <row r="789" spans="1:89" ht="15" x14ac:dyDescent="0.2">
      <c r="A789" s="119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8"/>
      <c r="AJ789" s="98"/>
      <c r="AK789" s="98"/>
      <c r="AL789" s="98"/>
      <c r="AM789" s="98"/>
      <c r="AN789" s="98"/>
      <c r="AO789" s="98"/>
      <c r="AP789" s="98"/>
      <c r="AQ789" s="98"/>
      <c r="AR789" s="98"/>
      <c r="AS789" s="98"/>
      <c r="AT789" s="98"/>
      <c r="AU789" s="98"/>
      <c r="AV789" s="98"/>
      <c r="AW789" s="98"/>
      <c r="AX789" s="98"/>
      <c r="AY789" s="98"/>
      <c r="AZ789" s="98"/>
      <c r="BA789" s="98"/>
      <c r="BB789" s="98"/>
      <c r="BC789" s="98"/>
      <c r="BD789" s="98"/>
      <c r="BE789" s="98"/>
      <c r="BF789" s="98"/>
      <c r="BG789" s="98"/>
      <c r="BH789" s="98"/>
      <c r="BI789" s="98"/>
      <c r="BJ789" s="98"/>
      <c r="BK789" s="98"/>
      <c r="BL789" s="98"/>
      <c r="BM789" s="98"/>
      <c r="BN789" s="98"/>
      <c r="BO789" s="98"/>
      <c r="BP789" s="98"/>
      <c r="BQ789" s="98"/>
      <c r="BR789" s="98"/>
      <c r="BS789" s="98"/>
      <c r="BT789" s="98"/>
      <c r="BU789" s="98"/>
      <c r="BV789" s="98"/>
      <c r="BW789" s="98"/>
      <c r="BX789" s="98"/>
      <c r="BY789" s="98"/>
      <c r="BZ789" s="98"/>
      <c r="CA789" s="98"/>
      <c r="CB789" s="98"/>
      <c r="CC789" s="98"/>
      <c r="CD789" s="98"/>
      <c r="CE789" s="98"/>
      <c r="CF789" s="98"/>
      <c r="CG789" s="98"/>
      <c r="CH789" s="98"/>
      <c r="CI789" s="98"/>
      <c r="CJ789" s="98"/>
      <c r="CK789" s="98"/>
    </row>
    <row r="790" spans="1:89" ht="15" x14ac:dyDescent="0.2">
      <c r="A790" s="119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8"/>
      <c r="AJ790" s="98"/>
      <c r="AK790" s="98"/>
      <c r="AL790" s="98"/>
      <c r="AM790" s="98"/>
      <c r="AN790" s="98"/>
      <c r="AO790" s="98"/>
      <c r="AP790" s="98"/>
      <c r="AQ790" s="98"/>
      <c r="AR790" s="98"/>
      <c r="AS790" s="98"/>
      <c r="AT790" s="98"/>
      <c r="AU790" s="98"/>
      <c r="AV790" s="98"/>
      <c r="AW790" s="98"/>
      <c r="AX790" s="98"/>
      <c r="AY790" s="98"/>
      <c r="AZ790" s="98"/>
      <c r="BA790" s="98"/>
      <c r="BB790" s="98"/>
      <c r="BC790" s="98"/>
      <c r="BD790" s="98"/>
      <c r="BE790" s="98"/>
      <c r="BF790" s="98"/>
      <c r="BG790" s="98"/>
      <c r="BH790" s="98"/>
      <c r="BI790" s="98"/>
      <c r="BJ790" s="98"/>
      <c r="BK790" s="98"/>
      <c r="BL790" s="98"/>
      <c r="BM790" s="98"/>
      <c r="BN790" s="98"/>
      <c r="BO790" s="98"/>
      <c r="BP790" s="98"/>
      <c r="BQ790" s="98"/>
      <c r="BR790" s="98"/>
      <c r="BS790" s="98"/>
      <c r="BT790" s="98"/>
      <c r="BU790" s="98"/>
      <c r="BV790" s="98"/>
      <c r="BW790" s="98"/>
      <c r="BX790" s="98"/>
      <c r="BY790" s="98"/>
      <c r="BZ790" s="98"/>
      <c r="CA790" s="98"/>
      <c r="CB790" s="98"/>
      <c r="CC790" s="98"/>
      <c r="CD790" s="98"/>
      <c r="CE790" s="98"/>
      <c r="CF790" s="98"/>
      <c r="CG790" s="98"/>
      <c r="CH790" s="98"/>
      <c r="CI790" s="98"/>
      <c r="CJ790" s="98"/>
      <c r="CK790" s="98"/>
    </row>
    <row r="791" spans="1:89" ht="15" x14ac:dyDescent="0.2">
      <c r="A791" s="119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8"/>
      <c r="AJ791" s="98"/>
      <c r="AK791" s="98"/>
      <c r="AL791" s="98"/>
      <c r="AM791" s="98"/>
      <c r="AN791" s="98"/>
      <c r="AO791" s="98"/>
      <c r="AP791" s="98"/>
      <c r="AQ791" s="98"/>
      <c r="AR791" s="98"/>
      <c r="AS791" s="98"/>
      <c r="AT791" s="98"/>
      <c r="AU791" s="98"/>
      <c r="AV791" s="98"/>
      <c r="AW791" s="98"/>
      <c r="AX791" s="98"/>
      <c r="AY791" s="98"/>
      <c r="AZ791" s="98"/>
      <c r="BA791" s="98"/>
      <c r="BB791" s="98"/>
      <c r="BC791" s="98"/>
      <c r="BD791" s="98"/>
      <c r="BE791" s="98"/>
      <c r="BF791" s="98"/>
      <c r="BG791" s="98"/>
      <c r="BH791" s="98"/>
      <c r="BI791" s="98"/>
      <c r="BJ791" s="98"/>
      <c r="BK791" s="98"/>
      <c r="BL791" s="98"/>
      <c r="BM791" s="98"/>
      <c r="BN791" s="98"/>
      <c r="BO791" s="98"/>
      <c r="BP791" s="98"/>
      <c r="BQ791" s="98"/>
      <c r="BR791" s="98"/>
      <c r="BS791" s="98"/>
      <c r="BT791" s="98"/>
      <c r="BU791" s="98"/>
      <c r="BV791" s="98"/>
      <c r="BW791" s="98"/>
      <c r="BX791" s="98"/>
      <c r="BY791" s="98"/>
      <c r="BZ791" s="98"/>
      <c r="CA791" s="98"/>
      <c r="CB791" s="98"/>
      <c r="CC791" s="98"/>
      <c r="CD791" s="98"/>
      <c r="CE791" s="98"/>
      <c r="CF791" s="98"/>
      <c r="CG791" s="98"/>
      <c r="CH791" s="98"/>
      <c r="CI791" s="98"/>
      <c r="CJ791" s="98"/>
      <c r="CK791" s="98"/>
    </row>
    <row r="792" spans="1:89" ht="15" x14ac:dyDescent="0.2">
      <c r="A792" s="119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8"/>
      <c r="AJ792" s="98"/>
      <c r="AK792" s="98"/>
      <c r="AL792" s="98"/>
      <c r="AM792" s="98"/>
      <c r="AN792" s="98"/>
      <c r="AO792" s="98"/>
      <c r="AP792" s="98"/>
      <c r="AQ792" s="98"/>
      <c r="AR792" s="98"/>
      <c r="AS792" s="98"/>
      <c r="AT792" s="98"/>
      <c r="AU792" s="98"/>
      <c r="AV792" s="98"/>
      <c r="AW792" s="98"/>
      <c r="AX792" s="98"/>
      <c r="AY792" s="98"/>
      <c r="AZ792" s="98"/>
      <c r="BA792" s="98"/>
      <c r="BB792" s="98"/>
      <c r="BC792" s="98"/>
      <c r="BD792" s="98"/>
      <c r="BE792" s="98"/>
      <c r="BF792" s="98"/>
      <c r="BG792" s="98"/>
      <c r="BH792" s="98"/>
      <c r="BI792" s="98"/>
      <c r="BJ792" s="98"/>
      <c r="BK792" s="98"/>
      <c r="BL792" s="98"/>
      <c r="BM792" s="98"/>
      <c r="BN792" s="98"/>
      <c r="BO792" s="98"/>
      <c r="BP792" s="98"/>
      <c r="BQ792" s="98"/>
      <c r="BR792" s="98"/>
      <c r="BS792" s="98"/>
      <c r="BT792" s="98"/>
      <c r="BU792" s="98"/>
      <c r="BV792" s="98"/>
      <c r="BW792" s="98"/>
      <c r="BX792" s="98"/>
      <c r="BY792" s="98"/>
      <c r="BZ792" s="98"/>
      <c r="CA792" s="98"/>
      <c r="CB792" s="98"/>
      <c r="CC792" s="98"/>
      <c r="CD792" s="98"/>
      <c r="CE792" s="98"/>
      <c r="CF792" s="98"/>
      <c r="CG792" s="98"/>
      <c r="CH792" s="98"/>
      <c r="CI792" s="98"/>
      <c r="CJ792" s="98"/>
      <c r="CK792" s="98"/>
    </row>
    <row r="793" spans="1:89" ht="15" x14ac:dyDescent="0.2">
      <c r="A793" s="119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8"/>
      <c r="AJ793" s="98"/>
      <c r="AK793" s="98"/>
      <c r="AL793" s="98"/>
      <c r="AM793" s="98"/>
      <c r="AN793" s="98"/>
      <c r="AO793" s="98"/>
      <c r="AP793" s="98"/>
      <c r="AQ793" s="98"/>
      <c r="AR793" s="98"/>
      <c r="AS793" s="98"/>
      <c r="AT793" s="98"/>
      <c r="AU793" s="98"/>
      <c r="AV793" s="98"/>
      <c r="AW793" s="98"/>
      <c r="AX793" s="98"/>
      <c r="AY793" s="98"/>
      <c r="AZ793" s="98"/>
      <c r="BA793" s="98"/>
      <c r="BB793" s="98"/>
      <c r="BC793" s="98"/>
      <c r="BD793" s="98"/>
      <c r="BE793" s="98"/>
      <c r="BF793" s="98"/>
      <c r="BG793" s="98"/>
      <c r="BH793" s="98"/>
      <c r="BI793" s="98"/>
      <c r="BJ793" s="98"/>
      <c r="BK793" s="98"/>
      <c r="BL793" s="98"/>
      <c r="BM793" s="98"/>
      <c r="BN793" s="98"/>
      <c r="BO793" s="98"/>
      <c r="BP793" s="98"/>
      <c r="BQ793" s="98"/>
      <c r="BR793" s="98"/>
      <c r="BS793" s="98"/>
      <c r="BT793" s="98"/>
      <c r="BU793" s="98"/>
      <c r="BV793" s="98"/>
      <c r="BW793" s="98"/>
      <c r="BX793" s="98"/>
      <c r="BY793" s="98"/>
      <c r="BZ793" s="98"/>
      <c r="CA793" s="98"/>
      <c r="CB793" s="98"/>
      <c r="CC793" s="98"/>
      <c r="CD793" s="98"/>
      <c r="CE793" s="98"/>
      <c r="CF793" s="98"/>
      <c r="CG793" s="98"/>
      <c r="CH793" s="98"/>
      <c r="CI793" s="98"/>
      <c r="CJ793" s="98"/>
      <c r="CK793" s="98"/>
    </row>
    <row r="794" spans="1:89" ht="15" x14ac:dyDescent="0.2">
      <c r="A794" s="119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8"/>
      <c r="AJ794" s="98"/>
      <c r="AK794" s="98"/>
      <c r="AL794" s="98"/>
      <c r="AM794" s="98"/>
      <c r="AN794" s="98"/>
      <c r="AO794" s="98"/>
      <c r="AP794" s="98"/>
      <c r="AQ794" s="98"/>
      <c r="AR794" s="98"/>
      <c r="AS794" s="98"/>
      <c r="AT794" s="98"/>
      <c r="AU794" s="98"/>
      <c r="AV794" s="98"/>
      <c r="AW794" s="98"/>
      <c r="AX794" s="98"/>
      <c r="AY794" s="98"/>
      <c r="AZ794" s="98"/>
      <c r="BA794" s="98"/>
      <c r="BB794" s="98"/>
      <c r="BC794" s="98"/>
      <c r="BD794" s="98"/>
      <c r="BE794" s="98"/>
      <c r="BF794" s="98"/>
      <c r="BG794" s="98"/>
      <c r="BH794" s="98"/>
      <c r="BI794" s="98"/>
      <c r="BJ794" s="98"/>
      <c r="BK794" s="98"/>
      <c r="BL794" s="98"/>
      <c r="BM794" s="98"/>
      <c r="BN794" s="98"/>
      <c r="BO794" s="98"/>
      <c r="BP794" s="98"/>
      <c r="BQ794" s="98"/>
      <c r="BR794" s="98"/>
      <c r="BS794" s="98"/>
      <c r="BT794" s="98"/>
      <c r="BU794" s="98"/>
      <c r="BV794" s="98"/>
      <c r="BW794" s="98"/>
      <c r="BX794" s="98"/>
      <c r="BY794" s="98"/>
      <c r="BZ794" s="98"/>
      <c r="CA794" s="98"/>
      <c r="CB794" s="98"/>
      <c r="CC794" s="98"/>
      <c r="CD794" s="98"/>
      <c r="CE794" s="98"/>
      <c r="CF794" s="98"/>
      <c r="CG794" s="98"/>
      <c r="CH794" s="98"/>
      <c r="CI794" s="98"/>
      <c r="CJ794" s="98"/>
      <c r="CK794" s="98"/>
    </row>
    <row r="795" spans="1:89" ht="15" x14ac:dyDescent="0.2">
      <c r="A795" s="119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8"/>
      <c r="AJ795" s="98"/>
      <c r="AK795" s="98"/>
      <c r="AL795" s="98"/>
      <c r="AM795" s="98"/>
      <c r="AN795" s="98"/>
      <c r="AO795" s="98"/>
      <c r="AP795" s="98"/>
      <c r="AQ795" s="98"/>
      <c r="AR795" s="98"/>
      <c r="AS795" s="98"/>
      <c r="AT795" s="98"/>
      <c r="AU795" s="98"/>
      <c r="AV795" s="98"/>
      <c r="AW795" s="98"/>
      <c r="AX795" s="98"/>
      <c r="AY795" s="98"/>
      <c r="AZ795" s="98"/>
      <c r="BA795" s="98"/>
      <c r="BB795" s="98"/>
      <c r="BC795" s="98"/>
      <c r="BD795" s="98"/>
      <c r="BE795" s="98"/>
      <c r="BF795" s="98"/>
      <c r="BG795" s="98"/>
      <c r="BH795" s="98"/>
      <c r="BI795" s="98"/>
      <c r="BJ795" s="98"/>
      <c r="BK795" s="98"/>
      <c r="BL795" s="98"/>
      <c r="BM795" s="98"/>
      <c r="BN795" s="98"/>
      <c r="BO795" s="98"/>
      <c r="BP795" s="98"/>
      <c r="BQ795" s="98"/>
      <c r="BR795" s="98"/>
      <c r="BS795" s="98"/>
      <c r="BT795" s="98"/>
      <c r="BU795" s="98"/>
      <c r="BV795" s="98"/>
      <c r="BW795" s="98"/>
      <c r="BX795" s="98"/>
      <c r="BY795" s="98"/>
      <c r="BZ795" s="98"/>
      <c r="CA795" s="98"/>
      <c r="CB795" s="98"/>
      <c r="CC795" s="98"/>
      <c r="CD795" s="98"/>
      <c r="CE795" s="98"/>
      <c r="CF795" s="98"/>
      <c r="CG795" s="98"/>
      <c r="CH795" s="98"/>
      <c r="CI795" s="98"/>
      <c r="CJ795" s="98"/>
      <c r="CK795" s="98"/>
    </row>
    <row r="796" spans="1:89" ht="15" x14ac:dyDescent="0.2">
      <c r="A796" s="119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8"/>
      <c r="AJ796" s="98"/>
      <c r="AK796" s="98"/>
      <c r="AL796" s="98"/>
      <c r="AM796" s="98"/>
      <c r="AN796" s="98"/>
      <c r="AO796" s="98"/>
      <c r="AP796" s="98"/>
      <c r="AQ796" s="98"/>
      <c r="AR796" s="98"/>
      <c r="AS796" s="98"/>
      <c r="AT796" s="98"/>
      <c r="AU796" s="98"/>
      <c r="AV796" s="98"/>
      <c r="AW796" s="98"/>
      <c r="AX796" s="98"/>
      <c r="AY796" s="98"/>
      <c r="AZ796" s="98"/>
      <c r="BA796" s="98"/>
      <c r="BB796" s="98"/>
      <c r="BC796" s="98"/>
      <c r="BD796" s="98"/>
      <c r="BE796" s="98"/>
      <c r="BF796" s="98"/>
      <c r="BG796" s="98"/>
      <c r="BH796" s="98"/>
      <c r="BI796" s="98"/>
      <c r="BJ796" s="98"/>
      <c r="BK796" s="98"/>
      <c r="BL796" s="98"/>
      <c r="BM796" s="98"/>
      <c r="BN796" s="98"/>
      <c r="BO796" s="98"/>
      <c r="BP796" s="98"/>
      <c r="BQ796" s="98"/>
      <c r="BR796" s="98"/>
      <c r="BS796" s="98"/>
      <c r="BT796" s="98"/>
      <c r="BU796" s="98"/>
      <c r="BV796" s="98"/>
      <c r="BW796" s="98"/>
      <c r="BX796" s="98"/>
      <c r="BY796" s="98"/>
      <c r="BZ796" s="98"/>
      <c r="CA796" s="98"/>
      <c r="CB796" s="98"/>
      <c r="CC796" s="98"/>
      <c r="CD796" s="98"/>
      <c r="CE796" s="98"/>
      <c r="CF796" s="98"/>
      <c r="CG796" s="98"/>
      <c r="CH796" s="98"/>
      <c r="CI796" s="98"/>
      <c r="CJ796" s="98"/>
      <c r="CK796" s="98"/>
    </row>
    <row r="797" spans="1:89" ht="15" x14ac:dyDescent="0.2">
      <c r="A797" s="119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8"/>
      <c r="AJ797" s="98"/>
      <c r="AK797" s="98"/>
      <c r="AL797" s="98"/>
      <c r="AM797" s="98"/>
      <c r="AN797" s="98"/>
      <c r="AO797" s="98"/>
      <c r="AP797" s="98"/>
      <c r="AQ797" s="98"/>
      <c r="AR797" s="98"/>
      <c r="AS797" s="98"/>
      <c r="AT797" s="98"/>
      <c r="AU797" s="98"/>
      <c r="AV797" s="98"/>
      <c r="AW797" s="98"/>
      <c r="AX797" s="98"/>
      <c r="AY797" s="98"/>
      <c r="AZ797" s="98"/>
      <c r="BA797" s="98"/>
      <c r="BB797" s="98"/>
      <c r="BC797" s="98"/>
      <c r="BD797" s="98"/>
      <c r="BE797" s="98"/>
      <c r="BF797" s="98"/>
      <c r="BG797" s="98"/>
      <c r="BH797" s="98"/>
      <c r="BI797" s="98"/>
      <c r="BJ797" s="98"/>
      <c r="BK797" s="98"/>
      <c r="BL797" s="98"/>
      <c r="BM797" s="98"/>
      <c r="BN797" s="98"/>
      <c r="BO797" s="98"/>
      <c r="BP797" s="98"/>
      <c r="BQ797" s="98"/>
      <c r="BR797" s="98"/>
      <c r="BS797" s="98"/>
      <c r="BT797" s="98"/>
      <c r="BU797" s="98"/>
      <c r="BV797" s="98"/>
      <c r="BW797" s="98"/>
      <c r="BX797" s="98"/>
      <c r="BY797" s="98"/>
      <c r="BZ797" s="98"/>
      <c r="CA797" s="98"/>
      <c r="CB797" s="98"/>
      <c r="CC797" s="98"/>
      <c r="CD797" s="98"/>
      <c r="CE797" s="98"/>
      <c r="CF797" s="98"/>
      <c r="CG797" s="98"/>
      <c r="CH797" s="98"/>
      <c r="CI797" s="98"/>
      <c r="CJ797" s="98"/>
      <c r="CK797" s="98"/>
    </row>
    <row r="798" spans="1:89" ht="15" x14ac:dyDescent="0.2">
      <c r="A798" s="119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8"/>
      <c r="AJ798" s="98"/>
      <c r="AK798" s="98"/>
      <c r="AL798" s="98"/>
      <c r="AM798" s="98"/>
      <c r="AN798" s="98"/>
      <c r="AO798" s="98"/>
      <c r="AP798" s="98"/>
      <c r="AQ798" s="98"/>
      <c r="AR798" s="98"/>
      <c r="AS798" s="98"/>
      <c r="AT798" s="98"/>
      <c r="AU798" s="98"/>
      <c r="AV798" s="98"/>
      <c r="AW798" s="98"/>
      <c r="AX798" s="98"/>
      <c r="AY798" s="98"/>
      <c r="AZ798" s="98"/>
      <c r="BA798" s="98"/>
      <c r="BB798" s="98"/>
      <c r="BC798" s="98"/>
      <c r="BD798" s="98"/>
      <c r="BE798" s="98"/>
      <c r="BF798" s="98"/>
      <c r="BG798" s="98"/>
      <c r="BH798" s="98"/>
      <c r="BI798" s="98"/>
      <c r="BJ798" s="98"/>
      <c r="BK798" s="98"/>
      <c r="BL798" s="98"/>
      <c r="BM798" s="98"/>
      <c r="BN798" s="98"/>
      <c r="BO798" s="98"/>
      <c r="BP798" s="98"/>
      <c r="BQ798" s="98"/>
      <c r="BR798" s="98"/>
      <c r="BS798" s="98"/>
      <c r="BT798" s="98"/>
      <c r="BU798" s="98"/>
      <c r="BV798" s="98"/>
      <c r="BW798" s="98"/>
      <c r="BX798" s="98"/>
      <c r="BY798" s="98"/>
      <c r="BZ798" s="98"/>
      <c r="CA798" s="98"/>
      <c r="CB798" s="98"/>
      <c r="CC798" s="98"/>
      <c r="CD798" s="98"/>
      <c r="CE798" s="98"/>
      <c r="CF798" s="98"/>
      <c r="CG798" s="98"/>
      <c r="CH798" s="98"/>
      <c r="CI798" s="98"/>
      <c r="CJ798" s="98"/>
      <c r="CK798" s="98"/>
    </row>
    <row r="799" spans="1:89" ht="15" x14ac:dyDescent="0.2">
      <c r="A799" s="119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8"/>
      <c r="AJ799" s="98"/>
      <c r="AK799" s="98"/>
      <c r="AL799" s="98"/>
      <c r="AM799" s="98"/>
      <c r="AN799" s="98"/>
      <c r="AO799" s="98"/>
      <c r="AP799" s="98"/>
      <c r="AQ799" s="98"/>
      <c r="AR799" s="98"/>
      <c r="AS799" s="98"/>
      <c r="AT799" s="98"/>
      <c r="AU799" s="98"/>
      <c r="AV799" s="98"/>
      <c r="AW799" s="98"/>
      <c r="AX799" s="98"/>
      <c r="AY799" s="98"/>
      <c r="AZ799" s="98"/>
      <c r="BA799" s="98"/>
      <c r="BB799" s="98"/>
      <c r="BC799" s="98"/>
      <c r="BD799" s="98"/>
      <c r="BE799" s="98"/>
      <c r="BF799" s="98"/>
      <c r="BG799" s="98"/>
      <c r="BH799" s="98"/>
      <c r="BI799" s="98"/>
      <c r="BJ799" s="98"/>
      <c r="BK799" s="98"/>
      <c r="BL799" s="98"/>
      <c r="BM799" s="98"/>
      <c r="BN799" s="98"/>
      <c r="BO799" s="98"/>
      <c r="BP799" s="98"/>
      <c r="BQ799" s="98"/>
      <c r="BR799" s="98"/>
      <c r="BS799" s="98"/>
      <c r="BT799" s="98"/>
      <c r="BU799" s="98"/>
      <c r="BV799" s="98"/>
      <c r="BW799" s="98"/>
      <c r="BX799" s="98"/>
      <c r="BY799" s="98"/>
      <c r="BZ799" s="98"/>
      <c r="CA799" s="98"/>
      <c r="CB799" s="98"/>
      <c r="CC799" s="98"/>
      <c r="CD799" s="98"/>
      <c r="CE799" s="98"/>
      <c r="CF799" s="98"/>
      <c r="CG799" s="98"/>
      <c r="CH799" s="98"/>
      <c r="CI799" s="98"/>
      <c r="CJ799" s="98"/>
      <c r="CK799" s="98"/>
    </row>
    <row r="800" spans="1:89" ht="15" x14ac:dyDescent="0.2">
      <c r="A800" s="119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8"/>
      <c r="AJ800" s="98"/>
      <c r="AK800" s="98"/>
      <c r="AL800" s="98"/>
      <c r="AM800" s="98"/>
      <c r="AN800" s="98"/>
      <c r="AO800" s="98"/>
      <c r="AP800" s="98"/>
      <c r="AQ800" s="98"/>
      <c r="AR800" s="98"/>
      <c r="AS800" s="98"/>
      <c r="AT800" s="98"/>
      <c r="AU800" s="98"/>
      <c r="AV800" s="98"/>
      <c r="AW800" s="98"/>
      <c r="AX800" s="98"/>
      <c r="AY800" s="98"/>
      <c r="AZ800" s="98"/>
      <c r="BA800" s="98"/>
      <c r="BB800" s="98"/>
      <c r="BC800" s="98"/>
      <c r="BD800" s="98"/>
      <c r="BE800" s="98"/>
      <c r="BF800" s="98"/>
      <c r="BG800" s="98"/>
      <c r="BH800" s="98"/>
      <c r="BI800" s="98"/>
      <c r="BJ800" s="98"/>
      <c r="BK800" s="98"/>
      <c r="BL800" s="98"/>
      <c r="BM800" s="98"/>
      <c r="BN800" s="98"/>
      <c r="BO800" s="98"/>
      <c r="BP800" s="98"/>
      <c r="BQ800" s="98"/>
      <c r="BR800" s="98"/>
      <c r="BS800" s="98"/>
      <c r="BT800" s="98"/>
      <c r="BU800" s="98"/>
      <c r="BV800" s="98"/>
      <c r="BW800" s="98"/>
      <c r="BX800" s="98"/>
      <c r="BY800" s="98"/>
      <c r="BZ800" s="98"/>
      <c r="CA800" s="98"/>
      <c r="CB800" s="98"/>
      <c r="CC800" s="98"/>
      <c r="CD800" s="98"/>
      <c r="CE800" s="98"/>
      <c r="CF800" s="98"/>
      <c r="CG800" s="98"/>
      <c r="CH800" s="98"/>
      <c r="CI800" s="98"/>
      <c r="CJ800" s="98"/>
      <c r="CK800" s="98"/>
    </row>
    <row r="801" spans="1:89" ht="15" x14ac:dyDescent="0.2">
      <c r="A801" s="119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8"/>
      <c r="AJ801" s="98"/>
      <c r="AK801" s="98"/>
      <c r="AL801" s="98"/>
      <c r="AM801" s="98"/>
      <c r="AN801" s="98"/>
      <c r="AO801" s="98"/>
      <c r="AP801" s="98"/>
      <c r="AQ801" s="98"/>
      <c r="AR801" s="98"/>
      <c r="AS801" s="98"/>
      <c r="AT801" s="98"/>
      <c r="AU801" s="98"/>
      <c r="AV801" s="98"/>
      <c r="AW801" s="98"/>
      <c r="AX801" s="98"/>
      <c r="AY801" s="98"/>
      <c r="AZ801" s="98"/>
      <c r="BA801" s="98"/>
      <c r="BB801" s="98"/>
      <c r="BC801" s="98"/>
      <c r="BD801" s="98"/>
      <c r="BE801" s="98"/>
      <c r="BF801" s="98"/>
      <c r="BG801" s="98"/>
      <c r="BH801" s="98"/>
      <c r="BI801" s="98"/>
      <c r="BJ801" s="98"/>
      <c r="BK801" s="98"/>
      <c r="BL801" s="98"/>
      <c r="BM801" s="98"/>
      <c r="BN801" s="98"/>
      <c r="BO801" s="98"/>
      <c r="BP801" s="98"/>
      <c r="BQ801" s="98"/>
      <c r="BR801" s="98"/>
      <c r="BS801" s="98"/>
      <c r="BT801" s="98"/>
      <c r="BU801" s="98"/>
      <c r="BV801" s="98"/>
      <c r="BW801" s="98"/>
      <c r="BX801" s="98"/>
      <c r="BY801" s="98"/>
      <c r="BZ801" s="98"/>
      <c r="CA801" s="98"/>
      <c r="CB801" s="98"/>
      <c r="CC801" s="98"/>
      <c r="CD801" s="98"/>
      <c r="CE801" s="98"/>
      <c r="CF801" s="98"/>
      <c r="CG801" s="98"/>
      <c r="CH801" s="98"/>
      <c r="CI801" s="98"/>
      <c r="CJ801" s="98"/>
      <c r="CK801" s="98"/>
    </row>
    <row r="802" spans="1:89" ht="15" x14ac:dyDescent="0.2">
      <c r="A802" s="119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8"/>
      <c r="AJ802" s="98"/>
      <c r="AK802" s="98"/>
      <c r="AL802" s="98"/>
      <c r="AM802" s="98"/>
      <c r="AN802" s="98"/>
      <c r="AO802" s="98"/>
      <c r="AP802" s="98"/>
      <c r="AQ802" s="98"/>
      <c r="AR802" s="98"/>
      <c r="AS802" s="98"/>
      <c r="AT802" s="98"/>
      <c r="AU802" s="98"/>
      <c r="AV802" s="98"/>
      <c r="AW802" s="98"/>
      <c r="AX802" s="98"/>
      <c r="AY802" s="98"/>
      <c r="AZ802" s="98"/>
      <c r="BA802" s="98"/>
      <c r="BB802" s="98"/>
      <c r="BC802" s="98"/>
      <c r="BD802" s="98"/>
      <c r="BE802" s="98"/>
      <c r="BF802" s="98"/>
      <c r="BG802" s="98"/>
      <c r="BH802" s="98"/>
      <c r="BI802" s="98"/>
      <c r="BJ802" s="98"/>
      <c r="BK802" s="98"/>
      <c r="BL802" s="98"/>
      <c r="BM802" s="98"/>
      <c r="BN802" s="98"/>
      <c r="BO802" s="98"/>
      <c r="BP802" s="98"/>
      <c r="BQ802" s="98"/>
      <c r="BR802" s="98"/>
      <c r="BS802" s="98"/>
      <c r="BT802" s="98"/>
      <c r="BU802" s="98"/>
      <c r="BV802" s="98"/>
      <c r="BW802" s="98"/>
      <c r="BX802" s="98"/>
      <c r="BY802" s="98"/>
      <c r="BZ802" s="98"/>
      <c r="CA802" s="98"/>
      <c r="CB802" s="98"/>
      <c r="CC802" s="98"/>
      <c r="CD802" s="98"/>
      <c r="CE802" s="98"/>
      <c r="CF802" s="98"/>
      <c r="CG802" s="98"/>
      <c r="CH802" s="98"/>
      <c r="CI802" s="98"/>
      <c r="CJ802" s="98"/>
      <c r="CK802" s="98"/>
    </row>
    <row r="803" spans="1:89" ht="15" x14ac:dyDescent="0.2">
      <c r="A803" s="119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8"/>
      <c r="AJ803" s="98"/>
      <c r="AK803" s="98"/>
      <c r="AL803" s="98"/>
      <c r="AM803" s="98"/>
      <c r="AN803" s="98"/>
      <c r="AO803" s="98"/>
      <c r="AP803" s="98"/>
      <c r="AQ803" s="98"/>
      <c r="AR803" s="98"/>
      <c r="AS803" s="98"/>
      <c r="AT803" s="98"/>
      <c r="AU803" s="98"/>
      <c r="AV803" s="98"/>
      <c r="AW803" s="98"/>
      <c r="AX803" s="98"/>
      <c r="AY803" s="98"/>
      <c r="AZ803" s="98"/>
      <c r="BA803" s="98"/>
      <c r="BB803" s="98"/>
      <c r="BC803" s="98"/>
      <c r="BD803" s="98"/>
      <c r="BE803" s="98"/>
      <c r="BF803" s="98"/>
      <c r="BG803" s="98"/>
      <c r="BH803" s="98"/>
      <c r="BI803" s="98"/>
      <c r="BJ803" s="98"/>
      <c r="BK803" s="98"/>
      <c r="BL803" s="98"/>
      <c r="BM803" s="98"/>
      <c r="BN803" s="98"/>
      <c r="BO803" s="98"/>
      <c r="BP803" s="98"/>
      <c r="BQ803" s="98"/>
      <c r="BR803" s="98"/>
      <c r="BS803" s="98"/>
      <c r="BT803" s="98"/>
      <c r="BU803" s="98"/>
      <c r="BV803" s="98"/>
      <c r="BW803" s="98"/>
      <c r="BX803" s="98"/>
      <c r="BY803" s="98"/>
      <c r="BZ803" s="98"/>
      <c r="CA803" s="98"/>
      <c r="CB803" s="98"/>
      <c r="CC803" s="98"/>
      <c r="CD803" s="98"/>
      <c r="CE803" s="98"/>
      <c r="CF803" s="98"/>
      <c r="CG803" s="98"/>
      <c r="CH803" s="98"/>
      <c r="CI803" s="98"/>
      <c r="CJ803" s="98"/>
      <c r="CK803" s="98"/>
    </row>
    <row r="804" spans="1:89" ht="15" x14ac:dyDescent="0.2">
      <c r="A804" s="119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8"/>
      <c r="AJ804" s="98"/>
      <c r="AK804" s="98"/>
      <c r="AL804" s="98"/>
      <c r="AM804" s="98"/>
      <c r="AN804" s="98"/>
      <c r="AO804" s="98"/>
      <c r="AP804" s="98"/>
      <c r="AQ804" s="98"/>
      <c r="AR804" s="98"/>
      <c r="AS804" s="98"/>
      <c r="AT804" s="98"/>
      <c r="AU804" s="98"/>
      <c r="AV804" s="98"/>
      <c r="AW804" s="98"/>
      <c r="AX804" s="98"/>
      <c r="AY804" s="98"/>
      <c r="AZ804" s="98"/>
      <c r="BA804" s="98"/>
      <c r="BB804" s="98"/>
      <c r="BC804" s="98"/>
      <c r="BD804" s="98"/>
      <c r="BE804" s="98"/>
      <c r="BF804" s="98"/>
      <c r="BG804" s="98"/>
      <c r="BH804" s="98"/>
      <c r="BI804" s="98"/>
      <c r="BJ804" s="98"/>
      <c r="BK804" s="98"/>
      <c r="BL804" s="98"/>
      <c r="BM804" s="98"/>
      <c r="BN804" s="98"/>
      <c r="BO804" s="98"/>
      <c r="BP804" s="98"/>
      <c r="BQ804" s="98"/>
      <c r="BR804" s="98"/>
      <c r="BS804" s="98"/>
      <c r="BT804" s="98"/>
      <c r="BU804" s="98"/>
      <c r="BV804" s="98"/>
      <c r="BW804" s="98"/>
      <c r="BX804" s="98"/>
      <c r="BY804" s="98"/>
      <c r="BZ804" s="98"/>
      <c r="CA804" s="98"/>
      <c r="CB804" s="98"/>
      <c r="CC804" s="98"/>
      <c r="CD804" s="98"/>
      <c r="CE804" s="98"/>
      <c r="CF804" s="98"/>
      <c r="CG804" s="98"/>
      <c r="CH804" s="98"/>
      <c r="CI804" s="98"/>
      <c r="CJ804" s="98"/>
      <c r="CK804" s="98"/>
    </row>
    <row r="805" spans="1:89" ht="15" x14ac:dyDescent="0.2">
      <c r="A805" s="119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8"/>
      <c r="AJ805" s="98"/>
      <c r="AK805" s="98"/>
      <c r="AL805" s="98"/>
      <c r="AM805" s="98"/>
      <c r="AN805" s="98"/>
      <c r="AO805" s="98"/>
      <c r="AP805" s="98"/>
      <c r="AQ805" s="98"/>
      <c r="AR805" s="98"/>
      <c r="AS805" s="98"/>
      <c r="AT805" s="98"/>
      <c r="AU805" s="98"/>
      <c r="AV805" s="98"/>
      <c r="AW805" s="98"/>
      <c r="AX805" s="98"/>
      <c r="AY805" s="98"/>
      <c r="AZ805" s="98"/>
      <c r="BA805" s="98"/>
      <c r="BB805" s="98"/>
      <c r="BC805" s="98"/>
      <c r="BD805" s="98"/>
      <c r="BE805" s="98"/>
      <c r="BF805" s="98"/>
      <c r="BG805" s="98"/>
      <c r="BH805" s="98"/>
      <c r="BI805" s="98"/>
      <c r="BJ805" s="98"/>
      <c r="BK805" s="98"/>
      <c r="BL805" s="98"/>
      <c r="BM805" s="98"/>
      <c r="BN805" s="98"/>
      <c r="BO805" s="98"/>
      <c r="BP805" s="98"/>
      <c r="BQ805" s="98"/>
      <c r="BR805" s="98"/>
      <c r="BS805" s="98"/>
      <c r="BT805" s="98"/>
      <c r="BU805" s="98"/>
      <c r="BV805" s="98"/>
      <c r="BW805" s="98"/>
      <c r="BX805" s="98"/>
      <c r="BY805" s="98"/>
      <c r="BZ805" s="98"/>
      <c r="CA805" s="98"/>
      <c r="CB805" s="98"/>
      <c r="CC805" s="98"/>
      <c r="CD805" s="98"/>
      <c r="CE805" s="98"/>
      <c r="CF805" s="98"/>
      <c r="CG805" s="98"/>
      <c r="CH805" s="98"/>
      <c r="CI805" s="98"/>
      <c r="CJ805" s="98"/>
      <c r="CK805" s="98"/>
    </row>
    <row r="806" spans="1:89" ht="15" x14ac:dyDescent="0.2">
      <c r="A806" s="119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8"/>
      <c r="AJ806" s="98"/>
      <c r="AK806" s="98"/>
      <c r="AL806" s="98"/>
      <c r="AM806" s="98"/>
      <c r="AN806" s="98"/>
      <c r="AO806" s="98"/>
      <c r="AP806" s="98"/>
      <c r="AQ806" s="98"/>
      <c r="AR806" s="98"/>
      <c r="AS806" s="98"/>
      <c r="AT806" s="98"/>
      <c r="AU806" s="98"/>
      <c r="AV806" s="98"/>
      <c r="AW806" s="98"/>
      <c r="AX806" s="98"/>
      <c r="AY806" s="98"/>
      <c r="AZ806" s="98"/>
      <c r="BA806" s="98"/>
      <c r="BB806" s="98"/>
      <c r="BC806" s="98"/>
      <c r="BD806" s="98"/>
      <c r="BE806" s="98"/>
      <c r="BF806" s="98"/>
      <c r="BG806" s="98"/>
      <c r="BH806" s="98"/>
      <c r="BI806" s="98"/>
      <c r="BJ806" s="98"/>
      <c r="BK806" s="98"/>
      <c r="BL806" s="98"/>
      <c r="BM806" s="98"/>
      <c r="BN806" s="98"/>
      <c r="BO806" s="98"/>
      <c r="BP806" s="98"/>
      <c r="BQ806" s="98"/>
      <c r="BR806" s="98"/>
      <c r="BS806" s="98"/>
      <c r="BT806" s="98"/>
      <c r="BU806" s="98"/>
      <c r="BV806" s="98"/>
      <c r="BW806" s="98"/>
      <c r="BX806" s="98"/>
      <c r="BY806" s="98"/>
      <c r="BZ806" s="98"/>
      <c r="CA806" s="98"/>
      <c r="CB806" s="98"/>
      <c r="CC806" s="98"/>
      <c r="CD806" s="98"/>
      <c r="CE806" s="98"/>
      <c r="CF806" s="98"/>
      <c r="CG806" s="98"/>
      <c r="CH806" s="98"/>
      <c r="CI806" s="98"/>
      <c r="CJ806" s="98"/>
      <c r="CK806" s="98"/>
    </row>
    <row r="807" spans="1:89" ht="15" x14ac:dyDescent="0.2">
      <c r="A807" s="119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8"/>
      <c r="AJ807" s="98"/>
      <c r="AK807" s="98"/>
      <c r="AL807" s="98"/>
      <c r="AM807" s="98"/>
      <c r="AN807" s="98"/>
      <c r="AO807" s="98"/>
      <c r="AP807" s="98"/>
      <c r="AQ807" s="98"/>
      <c r="AR807" s="98"/>
      <c r="AS807" s="98"/>
      <c r="AT807" s="98"/>
      <c r="AU807" s="98"/>
      <c r="AV807" s="98"/>
      <c r="AW807" s="98"/>
      <c r="AX807" s="98"/>
      <c r="AY807" s="98"/>
      <c r="AZ807" s="98"/>
      <c r="BA807" s="98"/>
      <c r="BB807" s="98"/>
      <c r="BC807" s="98"/>
      <c r="BD807" s="98"/>
      <c r="BE807" s="98"/>
      <c r="BF807" s="98"/>
      <c r="BG807" s="98"/>
      <c r="BH807" s="98"/>
      <c r="BI807" s="98"/>
      <c r="BJ807" s="98"/>
      <c r="BK807" s="98"/>
      <c r="BL807" s="98"/>
      <c r="BM807" s="98"/>
      <c r="BN807" s="98"/>
      <c r="BO807" s="98"/>
      <c r="BP807" s="98"/>
      <c r="BQ807" s="98"/>
      <c r="BR807" s="98"/>
      <c r="BS807" s="98"/>
      <c r="BT807" s="98"/>
      <c r="BU807" s="98"/>
      <c r="BV807" s="98"/>
      <c r="BW807" s="98"/>
      <c r="BX807" s="98"/>
      <c r="BY807" s="98"/>
      <c r="BZ807" s="98"/>
      <c r="CA807" s="98"/>
      <c r="CB807" s="98"/>
      <c r="CC807" s="98"/>
      <c r="CD807" s="98"/>
      <c r="CE807" s="98"/>
      <c r="CF807" s="98"/>
      <c r="CG807" s="98"/>
      <c r="CH807" s="98"/>
      <c r="CI807" s="98"/>
      <c r="CJ807" s="98"/>
      <c r="CK807" s="98"/>
    </row>
    <row r="808" spans="1:89" ht="15" x14ac:dyDescent="0.2">
      <c r="A808" s="119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8"/>
      <c r="AJ808" s="98"/>
      <c r="AK808" s="98"/>
      <c r="AL808" s="98"/>
      <c r="AM808" s="98"/>
      <c r="AN808" s="98"/>
      <c r="AO808" s="98"/>
      <c r="AP808" s="98"/>
      <c r="AQ808" s="98"/>
      <c r="AR808" s="98"/>
      <c r="AS808" s="98"/>
      <c r="AT808" s="98"/>
      <c r="AU808" s="98"/>
      <c r="AV808" s="98"/>
      <c r="AW808" s="98"/>
      <c r="AX808" s="98"/>
      <c r="AY808" s="98"/>
      <c r="AZ808" s="98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8"/>
      <c r="BL808" s="98"/>
      <c r="BM808" s="98"/>
      <c r="BN808" s="98"/>
      <c r="BO808" s="98"/>
      <c r="BP808" s="98"/>
      <c r="BQ808" s="98"/>
      <c r="BR808" s="98"/>
      <c r="BS808" s="98"/>
      <c r="BT808" s="98"/>
      <c r="BU808" s="98"/>
      <c r="BV808" s="98"/>
      <c r="BW808" s="98"/>
      <c r="BX808" s="98"/>
      <c r="BY808" s="98"/>
      <c r="BZ808" s="98"/>
      <c r="CA808" s="98"/>
      <c r="CB808" s="98"/>
      <c r="CC808" s="98"/>
      <c r="CD808" s="98"/>
      <c r="CE808" s="98"/>
      <c r="CF808" s="98"/>
      <c r="CG808" s="98"/>
      <c r="CH808" s="98"/>
      <c r="CI808" s="98"/>
      <c r="CJ808" s="98"/>
      <c r="CK808" s="98"/>
    </row>
    <row r="809" spans="1:89" ht="15" x14ac:dyDescent="0.2">
      <c r="A809" s="119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8"/>
      <c r="AJ809" s="98"/>
      <c r="AK809" s="98"/>
      <c r="AL809" s="98"/>
      <c r="AM809" s="98"/>
      <c r="AN809" s="98"/>
      <c r="AO809" s="98"/>
      <c r="AP809" s="98"/>
      <c r="AQ809" s="98"/>
      <c r="AR809" s="98"/>
      <c r="AS809" s="98"/>
      <c r="AT809" s="98"/>
      <c r="AU809" s="98"/>
      <c r="AV809" s="98"/>
      <c r="AW809" s="98"/>
      <c r="AX809" s="98"/>
      <c r="AY809" s="98"/>
      <c r="AZ809" s="98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8"/>
      <c r="BL809" s="98"/>
      <c r="BM809" s="98"/>
      <c r="BN809" s="98"/>
      <c r="BO809" s="98"/>
      <c r="BP809" s="98"/>
      <c r="BQ809" s="98"/>
      <c r="BR809" s="98"/>
      <c r="BS809" s="98"/>
      <c r="BT809" s="98"/>
      <c r="BU809" s="98"/>
      <c r="BV809" s="98"/>
      <c r="BW809" s="98"/>
      <c r="BX809" s="98"/>
      <c r="BY809" s="98"/>
      <c r="BZ809" s="98"/>
      <c r="CA809" s="98"/>
      <c r="CB809" s="98"/>
      <c r="CC809" s="98"/>
      <c r="CD809" s="98"/>
      <c r="CE809" s="98"/>
      <c r="CF809" s="98"/>
      <c r="CG809" s="98"/>
      <c r="CH809" s="98"/>
      <c r="CI809" s="98"/>
      <c r="CJ809" s="98"/>
      <c r="CK809" s="98"/>
    </row>
    <row r="810" spans="1:89" ht="15" x14ac:dyDescent="0.2">
      <c r="A810" s="119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8"/>
      <c r="AJ810" s="98"/>
      <c r="AK810" s="98"/>
      <c r="AL810" s="98"/>
      <c r="AM810" s="98"/>
      <c r="AN810" s="98"/>
      <c r="AO810" s="98"/>
      <c r="AP810" s="98"/>
      <c r="AQ810" s="98"/>
      <c r="AR810" s="98"/>
      <c r="AS810" s="98"/>
      <c r="AT810" s="98"/>
      <c r="AU810" s="98"/>
      <c r="AV810" s="98"/>
      <c r="AW810" s="98"/>
      <c r="AX810" s="98"/>
      <c r="AY810" s="98"/>
      <c r="AZ810" s="98"/>
      <c r="BA810" s="98"/>
      <c r="BB810" s="98"/>
      <c r="BC810" s="98"/>
      <c r="BD810" s="98"/>
      <c r="BE810" s="98"/>
      <c r="BF810" s="98"/>
      <c r="BG810" s="98"/>
      <c r="BH810" s="98"/>
      <c r="BI810" s="98"/>
      <c r="BJ810" s="98"/>
      <c r="BK810" s="98"/>
      <c r="BL810" s="98"/>
      <c r="BM810" s="98"/>
      <c r="BN810" s="98"/>
      <c r="BO810" s="98"/>
      <c r="BP810" s="98"/>
      <c r="BQ810" s="98"/>
      <c r="BR810" s="98"/>
      <c r="BS810" s="98"/>
      <c r="BT810" s="98"/>
      <c r="BU810" s="98"/>
      <c r="BV810" s="98"/>
      <c r="BW810" s="98"/>
      <c r="BX810" s="98"/>
      <c r="BY810" s="98"/>
      <c r="BZ810" s="98"/>
      <c r="CA810" s="98"/>
      <c r="CB810" s="98"/>
      <c r="CC810" s="98"/>
      <c r="CD810" s="98"/>
      <c r="CE810" s="98"/>
      <c r="CF810" s="98"/>
      <c r="CG810" s="98"/>
      <c r="CH810" s="98"/>
      <c r="CI810" s="98"/>
      <c r="CJ810" s="98"/>
      <c r="CK810" s="98"/>
    </row>
    <row r="811" spans="1:89" ht="15" x14ac:dyDescent="0.2">
      <c r="A811" s="119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8"/>
      <c r="AJ811" s="98"/>
      <c r="AK811" s="98"/>
      <c r="AL811" s="98"/>
      <c r="AM811" s="98"/>
      <c r="AN811" s="98"/>
      <c r="AO811" s="98"/>
      <c r="AP811" s="98"/>
      <c r="AQ811" s="98"/>
      <c r="AR811" s="98"/>
      <c r="AS811" s="98"/>
      <c r="AT811" s="98"/>
      <c r="AU811" s="98"/>
      <c r="AV811" s="98"/>
      <c r="AW811" s="98"/>
      <c r="AX811" s="98"/>
      <c r="AY811" s="98"/>
      <c r="AZ811" s="98"/>
      <c r="BA811" s="98"/>
      <c r="BB811" s="98"/>
      <c r="BC811" s="98"/>
      <c r="BD811" s="98"/>
      <c r="BE811" s="98"/>
      <c r="BF811" s="98"/>
      <c r="BG811" s="98"/>
      <c r="BH811" s="98"/>
      <c r="BI811" s="98"/>
      <c r="BJ811" s="98"/>
      <c r="BK811" s="98"/>
      <c r="BL811" s="98"/>
      <c r="BM811" s="98"/>
      <c r="BN811" s="98"/>
      <c r="BO811" s="98"/>
      <c r="BP811" s="98"/>
      <c r="BQ811" s="98"/>
      <c r="BR811" s="98"/>
      <c r="BS811" s="98"/>
      <c r="BT811" s="98"/>
      <c r="BU811" s="98"/>
      <c r="BV811" s="98"/>
      <c r="BW811" s="98"/>
      <c r="BX811" s="98"/>
      <c r="BY811" s="98"/>
      <c r="BZ811" s="98"/>
      <c r="CA811" s="98"/>
      <c r="CB811" s="98"/>
      <c r="CC811" s="98"/>
      <c r="CD811" s="98"/>
      <c r="CE811" s="98"/>
      <c r="CF811" s="98"/>
      <c r="CG811" s="98"/>
      <c r="CH811" s="98"/>
      <c r="CI811" s="98"/>
      <c r="CJ811" s="98"/>
      <c r="CK811" s="98"/>
    </row>
    <row r="812" spans="1:89" ht="15" x14ac:dyDescent="0.2">
      <c r="A812" s="119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8"/>
      <c r="AJ812" s="98"/>
      <c r="AK812" s="98"/>
      <c r="AL812" s="98"/>
      <c r="AM812" s="98"/>
      <c r="AN812" s="98"/>
      <c r="AO812" s="98"/>
      <c r="AP812" s="98"/>
      <c r="AQ812" s="98"/>
      <c r="AR812" s="98"/>
      <c r="AS812" s="98"/>
      <c r="AT812" s="98"/>
      <c r="AU812" s="98"/>
      <c r="AV812" s="98"/>
      <c r="AW812" s="98"/>
      <c r="AX812" s="98"/>
      <c r="AY812" s="98"/>
      <c r="AZ812" s="98"/>
      <c r="BA812" s="98"/>
      <c r="BB812" s="98"/>
      <c r="BC812" s="98"/>
      <c r="BD812" s="98"/>
      <c r="BE812" s="98"/>
      <c r="BF812" s="98"/>
      <c r="BG812" s="98"/>
      <c r="BH812" s="98"/>
      <c r="BI812" s="98"/>
      <c r="BJ812" s="98"/>
      <c r="BK812" s="98"/>
      <c r="BL812" s="98"/>
      <c r="BM812" s="98"/>
      <c r="BN812" s="98"/>
      <c r="BO812" s="98"/>
      <c r="BP812" s="98"/>
      <c r="BQ812" s="98"/>
      <c r="BR812" s="98"/>
      <c r="BS812" s="98"/>
      <c r="BT812" s="98"/>
      <c r="BU812" s="98"/>
      <c r="BV812" s="98"/>
      <c r="BW812" s="98"/>
      <c r="BX812" s="98"/>
      <c r="BY812" s="98"/>
      <c r="BZ812" s="98"/>
      <c r="CA812" s="98"/>
      <c r="CB812" s="98"/>
      <c r="CC812" s="98"/>
      <c r="CD812" s="98"/>
      <c r="CE812" s="98"/>
      <c r="CF812" s="98"/>
      <c r="CG812" s="98"/>
      <c r="CH812" s="98"/>
      <c r="CI812" s="98"/>
      <c r="CJ812" s="98"/>
      <c r="CK812" s="98"/>
    </row>
    <row r="813" spans="1:89" ht="15" x14ac:dyDescent="0.2">
      <c r="A813" s="119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8"/>
      <c r="AJ813" s="98"/>
      <c r="AK813" s="98"/>
      <c r="AL813" s="98"/>
      <c r="AM813" s="98"/>
      <c r="AN813" s="98"/>
      <c r="AO813" s="98"/>
      <c r="AP813" s="98"/>
      <c r="AQ813" s="98"/>
      <c r="AR813" s="98"/>
      <c r="AS813" s="98"/>
      <c r="AT813" s="98"/>
      <c r="AU813" s="98"/>
      <c r="AV813" s="98"/>
      <c r="AW813" s="98"/>
      <c r="AX813" s="98"/>
      <c r="AY813" s="98"/>
      <c r="AZ813" s="98"/>
      <c r="BA813" s="98"/>
      <c r="BB813" s="98"/>
      <c r="BC813" s="98"/>
      <c r="BD813" s="98"/>
      <c r="BE813" s="98"/>
      <c r="BF813" s="98"/>
      <c r="BG813" s="98"/>
      <c r="BH813" s="98"/>
      <c r="BI813" s="98"/>
      <c r="BJ813" s="98"/>
      <c r="BK813" s="98"/>
      <c r="BL813" s="98"/>
      <c r="BM813" s="98"/>
      <c r="BN813" s="98"/>
      <c r="BO813" s="98"/>
      <c r="BP813" s="98"/>
      <c r="BQ813" s="98"/>
      <c r="BR813" s="98"/>
      <c r="BS813" s="98"/>
      <c r="BT813" s="98"/>
      <c r="BU813" s="98"/>
      <c r="BV813" s="98"/>
      <c r="BW813" s="98"/>
      <c r="BX813" s="98"/>
      <c r="BY813" s="98"/>
      <c r="BZ813" s="98"/>
      <c r="CA813" s="98"/>
      <c r="CB813" s="98"/>
      <c r="CC813" s="98"/>
      <c r="CD813" s="98"/>
      <c r="CE813" s="98"/>
      <c r="CF813" s="98"/>
      <c r="CG813" s="98"/>
      <c r="CH813" s="98"/>
      <c r="CI813" s="98"/>
      <c r="CJ813" s="98"/>
      <c r="CK813" s="98"/>
    </row>
    <row r="814" spans="1:89" ht="15" x14ac:dyDescent="0.2">
      <c r="A814" s="119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8"/>
      <c r="AJ814" s="98"/>
      <c r="AK814" s="98"/>
      <c r="AL814" s="98"/>
      <c r="AM814" s="98"/>
      <c r="AN814" s="98"/>
      <c r="AO814" s="98"/>
      <c r="AP814" s="98"/>
      <c r="AQ814" s="98"/>
      <c r="AR814" s="98"/>
      <c r="AS814" s="98"/>
      <c r="AT814" s="98"/>
      <c r="AU814" s="98"/>
      <c r="AV814" s="98"/>
      <c r="AW814" s="98"/>
      <c r="AX814" s="98"/>
      <c r="AY814" s="98"/>
      <c r="AZ814" s="98"/>
      <c r="BA814" s="98"/>
      <c r="BB814" s="98"/>
      <c r="BC814" s="98"/>
      <c r="BD814" s="98"/>
      <c r="BE814" s="98"/>
      <c r="BF814" s="98"/>
      <c r="BG814" s="98"/>
      <c r="BH814" s="98"/>
      <c r="BI814" s="98"/>
      <c r="BJ814" s="98"/>
      <c r="BK814" s="98"/>
      <c r="BL814" s="98"/>
      <c r="BM814" s="98"/>
      <c r="BN814" s="98"/>
      <c r="BO814" s="98"/>
      <c r="BP814" s="98"/>
      <c r="BQ814" s="98"/>
      <c r="BR814" s="98"/>
      <c r="BS814" s="98"/>
      <c r="BT814" s="98"/>
      <c r="BU814" s="98"/>
      <c r="BV814" s="98"/>
      <c r="BW814" s="98"/>
      <c r="BX814" s="98"/>
      <c r="BY814" s="98"/>
      <c r="BZ814" s="98"/>
      <c r="CA814" s="98"/>
      <c r="CB814" s="98"/>
      <c r="CC814" s="98"/>
      <c r="CD814" s="98"/>
      <c r="CE814" s="98"/>
      <c r="CF814" s="98"/>
      <c r="CG814" s="98"/>
      <c r="CH814" s="98"/>
      <c r="CI814" s="98"/>
      <c r="CJ814" s="98"/>
      <c r="CK814" s="98"/>
    </row>
    <row r="815" spans="1:89" ht="15" x14ac:dyDescent="0.2">
      <c r="A815" s="119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8"/>
      <c r="AJ815" s="98"/>
      <c r="AK815" s="98"/>
      <c r="AL815" s="98"/>
      <c r="AM815" s="98"/>
      <c r="AN815" s="98"/>
      <c r="AO815" s="98"/>
      <c r="AP815" s="98"/>
      <c r="AQ815" s="98"/>
      <c r="AR815" s="98"/>
      <c r="AS815" s="98"/>
      <c r="AT815" s="98"/>
      <c r="AU815" s="98"/>
      <c r="AV815" s="98"/>
      <c r="AW815" s="98"/>
      <c r="AX815" s="98"/>
      <c r="AY815" s="98"/>
      <c r="AZ815" s="98"/>
      <c r="BA815" s="98"/>
      <c r="BB815" s="98"/>
      <c r="BC815" s="98"/>
      <c r="BD815" s="98"/>
      <c r="BE815" s="98"/>
      <c r="BF815" s="98"/>
      <c r="BG815" s="98"/>
      <c r="BH815" s="98"/>
      <c r="BI815" s="98"/>
      <c r="BJ815" s="98"/>
      <c r="BK815" s="98"/>
      <c r="BL815" s="98"/>
      <c r="BM815" s="98"/>
      <c r="BN815" s="98"/>
      <c r="BO815" s="98"/>
      <c r="BP815" s="98"/>
      <c r="BQ815" s="98"/>
      <c r="BR815" s="98"/>
      <c r="BS815" s="98"/>
      <c r="BT815" s="98"/>
      <c r="BU815" s="98"/>
      <c r="BV815" s="98"/>
      <c r="BW815" s="98"/>
      <c r="BX815" s="98"/>
      <c r="BY815" s="98"/>
      <c r="BZ815" s="98"/>
      <c r="CA815" s="98"/>
      <c r="CB815" s="98"/>
      <c r="CC815" s="98"/>
      <c r="CD815" s="98"/>
      <c r="CE815" s="98"/>
      <c r="CF815" s="98"/>
      <c r="CG815" s="98"/>
      <c r="CH815" s="98"/>
      <c r="CI815" s="98"/>
      <c r="CJ815" s="98"/>
      <c r="CK815" s="98"/>
    </row>
    <row r="816" spans="1:89" ht="15" x14ac:dyDescent="0.2">
      <c r="A816" s="119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8"/>
      <c r="AJ816" s="98"/>
      <c r="AK816" s="98"/>
      <c r="AL816" s="98"/>
      <c r="AM816" s="98"/>
      <c r="AN816" s="98"/>
      <c r="AO816" s="98"/>
      <c r="AP816" s="98"/>
      <c r="AQ816" s="98"/>
      <c r="AR816" s="98"/>
      <c r="AS816" s="98"/>
      <c r="AT816" s="98"/>
      <c r="AU816" s="98"/>
      <c r="AV816" s="98"/>
      <c r="AW816" s="98"/>
      <c r="AX816" s="98"/>
      <c r="AY816" s="98"/>
      <c r="AZ816" s="98"/>
      <c r="BA816" s="98"/>
      <c r="BB816" s="98"/>
      <c r="BC816" s="98"/>
      <c r="BD816" s="98"/>
      <c r="BE816" s="98"/>
      <c r="BF816" s="98"/>
      <c r="BG816" s="98"/>
      <c r="BH816" s="98"/>
      <c r="BI816" s="98"/>
      <c r="BJ816" s="98"/>
      <c r="BK816" s="98"/>
      <c r="BL816" s="98"/>
      <c r="BM816" s="98"/>
      <c r="BN816" s="98"/>
      <c r="BO816" s="98"/>
      <c r="BP816" s="98"/>
      <c r="BQ816" s="98"/>
      <c r="BR816" s="98"/>
      <c r="BS816" s="98"/>
      <c r="BT816" s="98"/>
      <c r="BU816" s="98"/>
      <c r="BV816" s="98"/>
      <c r="BW816" s="98"/>
      <c r="BX816" s="98"/>
      <c r="BY816" s="98"/>
      <c r="BZ816" s="98"/>
      <c r="CA816" s="98"/>
      <c r="CB816" s="98"/>
      <c r="CC816" s="98"/>
      <c r="CD816" s="98"/>
      <c r="CE816" s="98"/>
      <c r="CF816" s="98"/>
      <c r="CG816" s="98"/>
      <c r="CH816" s="98"/>
      <c r="CI816" s="98"/>
      <c r="CJ816" s="98"/>
      <c r="CK816" s="98"/>
    </row>
    <row r="817" spans="1:89" ht="15" x14ac:dyDescent="0.2">
      <c r="A817" s="119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8"/>
      <c r="AJ817" s="98"/>
      <c r="AK817" s="98"/>
      <c r="AL817" s="98"/>
      <c r="AM817" s="98"/>
      <c r="AN817" s="98"/>
      <c r="AO817" s="98"/>
      <c r="AP817" s="98"/>
      <c r="AQ817" s="98"/>
      <c r="AR817" s="98"/>
      <c r="AS817" s="98"/>
      <c r="AT817" s="98"/>
      <c r="AU817" s="98"/>
      <c r="AV817" s="98"/>
      <c r="AW817" s="98"/>
      <c r="AX817" s="98"/>
      <c r="AY817" s="98"/>
      <c r="AZ817" s="98"/>
      <c r="BA817" s="98"/>
      <c r="BB817" s="98"/>
      <c r="BC817" s="98"/>
      <c r="BD817" s="98"/>
      <c r="BE817" s="98"/>
      <c r="BF817" s="98"/>
      <c r="BG817" s="98"/>
      <c r="BH817" s="98"/>
      <c r="BI817" s="98"/>
      <c r="BJ817" s="98"/>
      <c r="BK817" s="98"/>
      <c r="BL817" s="98"/>
      <c r="BM817" s="98"/>
      <c r="BN817" s="98"/>
      <c r="BO817" s="98"/>
      <c r="BP817" s="98"/>
      <c r="BQ817" s="98"/>
      <c r="BR817" s="98"/>
      <c r="BS817" s="98"/>
      <c r="BT817" s="98"/>
      <c r="BU817" s="98"/>
      <c r="BV817" s="98"/>
      <c r="BW817" s="98"/>
      <c r="BX817" s="98"/>
      <c r="BY817" s="98"/>
      <c r="BZ817" s="98"/>
      <c r="CA817" s="98"/>
      <c r="CB817" s="98"/>
      <c r="CC817" s="98"/>
      <c r="CD817" s="98"/>
      <c r="CE817" s="98"/>
      <c r="CF817" s="98"/>
      <c r="CG817" s="98"/>
      <c r="CH817" s="98"/>
      <c r="CI817" s="98"/>
      <c r="CJ817" s="98"/>
      <c r="CK817" s="98"/>
    </row>
    <row r="818" spans="1:89" ht="15" x14ac:dyDescent="0.2">
      <c r="A818" s="119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  <c r="AI818" s="98"/>
      <c r="AJ818" s="98"/>
      <c r="AK818" s="98"/>
      <c r="AL818" s="98"/>
      <c r="AM818" s="98"/>
      <c r="AN818" s="98"/>
      <c r="AO818" s="98"/>
      <c r="AP818" s="98"/>
      <c r="AQ818" s="98"/>
      <c r="AR818" s="98"/>
      <c r="AS818" s="98"/>
      <c r="AT818" s="98"/>
      <c r="AU818" s="98"/>
      <c r="AV818" s="98"/>
      <c r="AW818" s="98"/>
      <c r="AX818" s="98"/>
      <c r="AY818" s="98"/>
      <c r="AZ818" s="98"/>
      <c r="BA818" s="98"/>
      <c r="BB818" s="98"/>
      <c r="BC818" s="98"/>
      <c r="BD818" s="98"/>
      <c r="BE818" s="98"/>
      <c r="BF818" s="98"/>
      <c r="BG818" s="98"/>
      <c r="BH818" s="98"/>
      <c r="BI818" s="98"/>
      <c r="BJ818" s="98"/>
      <c r="BK818" s="98"/>
      <c r="BL818" s="98"/>
      <c r="BM818" s="98"/>
      <c r="BN818" s="98"/>
      <c r="BO818" s="98"/>
      <c r="BP818" s="98"/>
      <c r="BQ818" s="98"/>
      <c r="BR818" s="98"/>
      <c r="BS818" s="98"/>
      <c r="BT818" s="98"/>
      <c r="BU818" s="98"/>
      <c r="BV818" s="98"/>
      <c r="BW818" s="98"/>
      <c r="BX818" s="98"/>
      <c r="BY818" s="98"/>
      <c r="BZ818" s="98"/>
      <c r="CA818" s="98"/>
      <c r="CB818" s="98"/>
      <c r="CC818" s="98"/>
      <c r="CD818" s="98"/>
      <c r="CE818" s="98"/>
      <c r="CF818" s="98"/>
      <c r="CG818" s="98"/>
      <c r="CH818" s="98"/>
      <c r="CI818" s="98"/>
      <c r="CJ818" s="98"/>
      <c r="CK818" s="98"/>
    </row>
    <row r="819" spans="1:89" ht="15" x14ac:dyDescent="0.2">
      <c r="A819" s="119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  <c r="AI819" s="98"/>
      <c r="AJ819" s="98"/>
      <c r="AK819" s="98"/>
      <c r="AL819" s="98"/>
      <c r="AM819" s="98"/>
      <c r="AN819" s="98"/>
      <c r="AO819" s="98"/>
      <c r="AP819" s="98"/>
      <c r="AQ819" s="98"/>
      <c r="AR819" s="98"/>
      <c r="AS819" s="98"/>
      <c r="AT819" s="98"/>
      <c r="AU819" s="98"/>
      <c r="AV819" s="98"/>
      <c r="AW819" s="98"/>
      <c r="AX819" s="98"/>
      <c r="AY819" s="98"/>
      <c r="AZ819" s="98"/>
      <c r="BA819" s="98"/>
      <c r="BB819" s="98"/>
      <c r="BC819" s="98"/>
      <c r="BD819" s="98"/>
      <c r="BE819" s="98"/>
      <c r="BF819" s="98"/>
      <c r="BG819" s="98"/>
      <c r="BH819" s="98"/>
      <c r="BI819" s="98"/>
      <c r="BJ819" s="98"/>
      <c r="BK819" s="98"/>
      <c r="BL819" s="98"/>
      <c r="BM819" s="98"/>
      <c r="BN819" s="98"/>
      <c r="BO819" s="98"/>
      <c r="BP819" s="98"/>
      <c r="BQ819" s="98"/>
      <c r="BR819" s="98"/>
      <c r="BS819" s="98"/>
      <c r="BT819" s="98"/>
      <c r="BU819" s="98"/>
      <c r="BV819" s="98"/>
      <c r="BW819" s="98"/>
      <c r="BX819" s="98"/>
      <c r="BY819" s="98"/>
      <c r="BZ819" s="98"/>
      <c r="CA819" s="98"/>
      <c r="CB819" s="98"/>
      <c r="CC819" s="98"/>
      <c r="CD819" s="98"/>
      <c r="CE819" s="98"/>
      <c r="CF819" s="98"/>
      <c r="CG819" s="98"/>
      <c r="CH819" s="98"/>
      <c r="CI819" s="98"/>
      <c r="CJ819" s="98"/>
      <c r="CK819" s="98"/>
    </row>
    <row r="820" spans="1:89" ht="15" x14ac:dyDescent="0.2">
      <c r="A820" s="119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  <c r="AI820" s="98"/>
      <c r="AJ820" s="98"/>
      <c r="AK820" s="98"/>
      <c r="AL820" s="98"/>
      <c r="AM820" s="98"/>
      <c r="AN820" s="98"/>
      <c r="AO820" s="98"/>
      <c r="AP820" s="98"/>
      <c r="AQ820" s="98"/>
      <c r="AR820" s="98"/>
      <c r="AS820" s="98"/>
      <c r="AT820" s="98"/>
      <c r="AU820" s="98"/>
      <c r="AV820" s="98"/>
      <c r="AW820" s="98"/>
      <c r="AX820" s="98"/>
      <c r="AY820" s="98"/>
      <c r="AZ820" s="98"/>
      <c r="BA820" s="98"/>
      <c r="BB820" s="98"/>
      <c r="BC820" s="98"/>
      <c r="BD820" s="98"/>
      <c r="BE820" s="98"/>
      <c r="BF820" s="98"/>
      <c r="BG820" s="98"/>
      <c r="BH820" s="98"/>
      <c r="BI820" s="98"/>
      <c r="BJ820" s="98"/>
      <c r="BK820" s="98"/>
      <c r="BL820" s="98"/>
      <c r="BM820" s="98"/>
      <c r="BN820" s="98"/>
      <c r="BO820" s="98"/>
      <c r="BP820" s="98"/>
      <c r="BQ820" s="98"/>
      <c r="BR820" s="98"/>
      <c r="BS820" s="98"/>
      <c r="BT820" s="98"/>
      <c r="BU820" s="98"/>
      <c r="BV820" s="98"/>
      <c r="BW820" s="98"/>
      <c r="BX820" s="98"/>
      <c r="BY820" s="98"/>
      <c r="BZ820" s="98"/>
      <c r="CA820" s="98"/>
      <c r="CB820" s="98"/>
      <c r="CC820" s="98"/>
      <c r="CD820" s="98"/>
      <c r="CE820" s="98"/>
      <c r="CF820" s="98"/>
      <c r="CG820" s="98"/>
      <c r="CH820" s="98"/>
      <c r="CI820" s="98"/>
      <c r="CJ820" s="98"/>
      <c r="CK820" s="98"/>
    </row>
    <row r="821" spans="1:89" ht="15" x14ac:dyDescent="0.2">
      <c r="A821" s="119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  <c r="AI821" s="98"/>
      <c r="AJ821" s="98"/>
      <c r="AK821" s="98"/>
      <c r="AL821" s="98"/>
      <c r="AM821" s="98"/>
      <c r="AN821" s="98"/>
      <c r="AO821" s="98"/>
      <c r="AP821" s="98"/>
      <c r="AQ821" s="98"/>
      <c r="AR821" s="98"/>
      <c r="AS821" s="98"/>
      <c r="AT821" s="98"/>
      <c r="AU821" s="98"/>
      <c r="AV821" s="98"/>
      <c r="AW821" s="98"/>
      <c r="AX821" s="98"/>
      <c r="AY821" s="98"/>
      <c r="AZ821" s="98"/>
      <c r="BA821" s="98"/>
      <c r="BB821" s="98"/>
      <c r="BC821" s="98"/>
      <c r="BD821" s="98"/>
      <c r="BE821" s="98"/>
      <c r="BF821" s="98"/>
      <c r="BG821" s="98"/>
      <c r="BH821" s="98"/>
      <c r="BI821" s="98"/>
      <c r="BJ821" s="98"/>
      <c r="BK821" s="98"/>
      <c r="BL821" s="98"/>
      <c r="BM821" s="98"/>
      <c r="BN821" s="98"/>
      <c r="BO821" s="98"/>
      <c r="BP821" s="98"/>
      <c r="BQ821" s="98"/>
      <c r="BR821" s="98"/>
      <c r="BS821" s="98"/>
      <c r="BT821" s="98"/>
      <c r="BU821" s="98"/>
      <c r="BV821" s="98"/>
      <c r="BW821" s="98"/>
      <c r="BX821" s="98"/>
      <c r="BY821" s="98"/>
      <c r="BZ821" s="98"/>
      <c r="CA821" s="98"/>
      <c r="CB821" s="98"/>
      <c r="CC821" s="98"/>
      <c r="CD821" s="98"/>
      <c r="CE821" s="98"/>
      <c r="CF821" s="98"/>
      <c r="CG821" s="98"/>
      <c r="CH821" s="98"/>
      <c r="CI821" s="98"/>
      <c r="CJ821" s="98"/>
      <c r="CK821" s="98"/>
    </row>
    <row r="822" spans="1:89" ht="15" x14ac:dyDescent="0.2">
      <c r="A822" s="119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8"/>
      <c r="AJ822" s="98"/>
      <c r="AK822" s="98"/>
      <c r="AL822" s="98"/>
      <c r="AM822" s="98"/>
      <c r="AN822" s="98"/>
      <c r="AO822" s="98"/>
      <c r="AP822" s="98"/>
      <c r="AQ822" s="98"/>
      <c r="AR822" s="98"/>
      <c r="AS822" s="98"/>
      <c r="AT822" s="98"/>
      <c r="AU822" s="98"/>
      <c r="AV822" s="98"/>
      <c r="AW822" s="98"/>
      <c r="AX822" s="98"/>
      <c r="AY822" s="98"/>
      <c r="AZ822" s="98"/>
      <c r="BA822" s="98"/>
      <c r="BB822" s="98"/>
      <c r="BC822" s="98"/>
      <c r="BD822" s="98"/>
      <c r="BE822" s="98"/>
      <c r="BF822" s="98"/>
      <c r="BG822" s="98"/>
      <c r="BH822" s="98"/>
      <c r="BI822" s="98"/>
      <c r="BJ822" s="98"/>
      <c r="BK822" s="98"/>
      <c r="BL822" s="98"/>
      <c r="BM822" s="98"/>
      <c r="BN822" s="98"/>
      <c r="BO822" s="98"/>
      <c r="BP822" s="98"/>
      <c r="BQ822" s="98"/>
      <c r="BR822" s="98"/>
      <c r="BS822" s="98"/>
      <c r="BT822" s="98"/>
      <c r="BU822" s="98"/>
      <c r="BV822" s="98"/>
      <c r="BW822" s="98"/>
      <c r="BX822" s="98"/>
      <c r="BY822" s="98"/>
      <c r="BZ822" s="98"/>
      <c r="CA822" s="98"/>
      <c r="CB822" s="98"/>
      <c r="CC822" s="98"/>
      <c r="CD822" s="98"/>
      <c r="CE822" s="98"/>
      <c r="CF822" s="98"/>
      <c r="CG822" s="98"/>
      <c r="CH822" s="98"/>
      <c r="CI822" s="98"/>
      <c r="CJ822" s="98"/>
      <c r="CK822" s="98"/>
    </row>
    <row r="823" spans="1:89" ht="15" x14ac:dyDescent="0.2">
      <c r="A823" s="119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8"/>
      <c r="AJ823" s="98"/>
      <c r="AK823" s="98"/>
      <c r="AL823" s="98"/>
      <c r="AM823" s="98"/>
      <c r="AN823" s="98"/>
      <c r="AO823" s="98"/>
      <c r="AP823" s="98"/>
      <c r="AQ823" s="98"/>
      <c r="AR823" s="98"/>
      <c r="AS823" s="98"/>
      <c r="AT823" s="98"/>
      <c r="AU823" s="98"/>
      <c r="AV823" s="98"/>
      <c r="AW823" s="98"/>
      <c r="AX823" s="98"/>
      <c r="AY823" s="98"/>
      <c r="AZ823" s="98"/>
      <c r="BA823" s="98"/>
      <c r="BB823" s="98"/>
      <c r="BC823" s="98"/>
      <c r="BD823" s="98"/>
      <c r="BE823" s="98"/>
      <c r="BF823" s="98"/>
      <c r="BG823" s="98"/>
      <c r="BH823" s="98"/>
      <c r="BI823" s="98"/>
      <c r="BJ823" s="98"/>
      <c r="BK823" s="98"/>
      <c r="BL823" s="98"/>
      <c r="BM823" s="98"/>
      <c r="BN823" s="98"/>
      <c r="BO823" s="98"/>
      <c r="BP823" s="98"/>
      <c r="BQ823" s="98"/>
      <c r="BR823" s="98"/>
      <c r="BS823" s="98"/>
      <c r="BT823" s="98"/>
      <c r="BU823" s="98"/>
      <c r="BV823" s="98"/>
      <c r="BW823" s="98"/>
      <c r="BX823" s="98"/>
      <c r="BY823" s="98"/>
      <c r="BZ823" s="98"/>
      <c r="CA823" s="98"/>
      <c r="CB823" s="98"/>
      <c r="CC823" s="98"/>
      <c r="CD823" s="98"/>
      <c r="CE823" s="98"/>
      <c r="CF823" s="98"/>
      <c r="CG823" s="98"/>
      <c r="CH823" s="98"/>
      <c r="CI823" s="98"/>
      <c r="CJ823" s="98"/>
      <c r="CK823" s="98"/>
    </row>
    <row r="824" spans="1:89" ht="15" x14ac:dyDescent="0.2">
      <c r="A824" s="119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  <c r="AI824" s="98"/>
      <c r="AJ824" s="98"/>
      <c r="AK824" s="98"/>
      <c r="AL824" s="98"/>
      <c r="AM824" s="98"/>
      <c r="AN824" s="98"/>
      <c r="AO824" s="98"/>
      <c r="AP824" s="98"/>
      <c r="AQ824" s="98"/>
      <c r="AR824" s="98"/>
      <c r="AS824" s="98"/>
      <c r="AT824" s="98"/>
      <c r="AU824" s="98"/>
      <c r="AV824" s="98"/>
      <c r="AW824" s="98"/>
      <c r="AX824" s="98"/>
      <c r="AY824" s="98"/>
      <c r="AZ824" s="98"/>
      <c r="BA824" s="98"/>
      <c r="BB824" s="98"/>
      <c r="BC824" s="98"/>
      <c r="BD824" s="98"/>
      <c r="BE824" s="98"/>
      <c r="BF824" s="98"/>
      <c r="BG824" s="98"/>
      <c r="BH824" s="98"/>
      <c r="BI824" s="98"/>
      <c r="BJ824" s="98"/>
      <c r="BK824" s="98"/>
      <c r="BL824" s="98"/>
      <c r="BM824" s="98"/>
      <c r="BN824" s="98"/>
      <c r="BO824" s="98"/>
      <c r="BP824" s="98"/>
      <c r="BQ824" s="98"/>
      <c r="BR824" s="98"/>
      <c r="BS824" s="98"/>
      <c r="BT824" s="98"/>
      <c r="BU824" s="98"/>
      <c r="BV824" s="98"/>
      <c r="BW824" s="98"/>
      <c r="BX824" s="98"/>
      <c r="BY824" s="98"/>
      <c r="BZ824" s="98"/>
      <c r="CA824" s="98"/>
      <c r="CB824" s="98"/>
      <c r="CC824" s="98"/>
      <c r="CD824" s="98"/>
      <c r="CE824" s="98"/>
      <c r="CF824" s="98"/>
      <c r="CG824" s="98"/>
      <c r="CH824" s="98"/>
      <c r="CI824" s="98"/>
      <c r="CJ824" s="98"/>
      <c r="CK824" s="98"/>
    </row>
    <row r="825" spans="1:89" ht="15" x14ac:dyDescent="0.2">
      <c r="A825" s="119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  <c r="AI825" s="98"/>
      <c r="AJ825" s="98"/>
      <c r="AK825" s="98"/>
      <c r="AL825" s="98"/>
      <c r="AM825" s="98"/>
      <c r="AN825" s="98"/>
      <c r="AO825" s="98"/>
      <c r="AP825" s="98"/>
      <c r="AQ825" s="98"/>
      <c r="AR825" s="98"/>
      <c r="AS825" s="98"/>
      <c r="AT825" s="98"/>
      <c r="AU825" s="98"/>
      <c r="AV825" s="98"/>
      <c r="AW825" s="98"/>
      <c r="AX825" s="98"/>
      <c r="AY825" s="98"/>
      <c r="AZ825" s="98"/>
      <c r="BA825" s="98"/>
      <c r="BB825" s="98"/>
      <c r="BC825" s="98"/>
      <c r="BD825" s="98"/>
      <c r="BE825" s="98"/>
      <c r="BF825" s="98"/>
      <c r="BG825" s="98"/>
      <c r="BH825" s="98"/>
      <c r="BI825" s="98"/>
      <c r="BJ825" s="98"/>
      <c r="BK825" s="98"/>
      <c r="BL825" s="98"/>
      <c r="BM825" s="98"/>
      <c r="BN825" s="98"/>
      <c r="BO825" s="98"/>
      <c r="BP825" s="98"/>
      <c r="BQ825" s="98"/>
      <c r="BR825" s="98"/>
      <c r="BS825" s="98"/>
      <c r="BT825" s="98"/>
      <c r="BU825" s="98"/>
      <c r="BV825" s="98"/>
      <c r="BW825" s="98"/>
      <c r="BX825" s="98"/>
      <c r="BY825" s="98"/>
      <c r="BZ825" s="98"/>
      <c r="CA825" s="98"/>
      <c r="CB825" s="98"/>
      <c r="CC825" s="98"/>
      <c r="CD825" s="98"/>
      <c r="CE825" s="98"/>
      <c r="CF825" s="98"/>
      <c r="CG825" s="98"/>
      <c r="CH825" s="98"/>
      <c r="CI825" s="98"/>
      <c r="CJ825" s="98"/>
      <c r="CK825" s="98"/>
    </row>
    <row r="826" spans="1:89" ht="15" x14ac:dyDescent="0.2">
      <c r="A826" s="119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  <c r="AI826" s="98"/>
      <c r="AJ826" s="98"/>
      <c r="AK826" s="98"/>
      <c r="AL826" s="98"/>
      <c r="AM826" s="98"/>
      <c r="AN826" s="98"/>
      <c r="AO826" s="98"/>
      <c r="AP826" s="98"/>
      <c r="AQ826" s="98"/>
      <c r="AR826" s="98"/>
      <c r="AS826" s="98"/>
      <c r="AT826" s="98"/>
      <c r="AU826" s="98"/>
      <c r="AV826" s="98"/>
      <c r="AW826" s="98"/>
      <c r="AX826" s="98"/>
      <c r="AY826" s="98"/>
      <c r="AZ826" s="98"/>
      <c r="BA826" s="98"/>
      <c r="BB826" s="98"/>
      <c r="BC826" s="98"/>
      <c r="BD826" s="98"/>
      <c r="BE826" s="98"/>
      <c r="BF826" s="98"/>
      <c r="BG826" s="98"/>
      <c r="BH826" s="98"/>
      <c r="BI826" s="98"/>
      <c r="BJ826" s="98"/>
      <c r="BK826" s="98"/>
      <c r="BL826" s="98"/>
      <c r="BM826" s="98"/>
      <c r="BN826" s="98"/>
      <c r="BO826" s="98"/>
      <c r="BP826" s="98"/>
      <c r="BQ826" s="98"/>
      <c r="BR826" s="98"/>
      <c r="BS826" s="98"/>
      <c r="BT826" s="98"/>
      <c r="BU826" s="98"/>
      <c r="BV826" s="98"/>
      <c r="BW826" s="98"/>
      <c r="BX826" s="98"/>
      <c r="BY826" s="98"/>
      <c r="BZ826" s="98"/>
      <c r="CA826" s="98"/>
      <c r="CB826" s="98"/>
      <c r="CC826" s="98"/>
      <c r="CD826" s="98"/>
      <c r="CE826" s="98"/>
      <c r="CF826" s="98"/>
      <c r="CG826" s="98"/>
      <c r="CH826" s="98"/>
      <c r="CI826" s="98"/>
      <c r="CJ826" s="98"/>
      <c r="CK826" s="98"/>
    </row>
    <row r="827" spans="1:89" ht="15" x14ac:dyDescent="0.2">
      <c r="A827" s="119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  <c r="AI827" s="98"/>
      <c r="AJ827" s="98"/>
      <c r="AK827" s="98"/>
      <c r="AL827" s="98"/>
      <c r="AM827" s="98"/>
      <c r="AN827" s="98"/>
      <c r="AO827" s="98"/>
      <c r="AP827" s="98"/>
      <c r="AQ827" s="98"/>
      <c r="AR827" s="98"/>
      <c r="AS827" s="98"/>
      <c r="AT827" s="98"/>
      <c r="AU827" s="98"/>
      <c r="AV827" s="98"/>
      <c r="AW827" s="98"/>
      <c r="AX827" s="98"/>
      <c r="AY827" s="98"/>
      <c r="AZ827" s="98"/>
      <c r="BA827" s="98"/>
      <c r="BB827" s="98"/>
      <c r="BC827" s="98"/>
      <c r="BD827" s="98"/>
      <c r="BE827" s="98"/>
      <c r="BF827" s="98"/>
      <c r="BG827" s="98"/>
      <c r="BH827" s="98"/>
      <c r="BI827" s="98"/>
      <c r="BJ827" s="98"/>
      <c r="BK827" s="98"/>
      <c r="BL827" s="98"/>
      <c r="BM827" s="98"/>
      <c r="BN827" s="98"/>
      <c r="BO827" s="98"/>
      <c r="BP827" s="98"/>
      <c r="BQ827" s="98"/>
      <c r="BR827" s="98"/>
      <c r="BS827" s="98"/>
      <c r="BT827" s="98"/>
      <c r="BU827" s="98"/>
      <c r="BV827" s="98"/>
      <c r="BW827" s="98"/>
      <c r="BX827" s="98"/>
      <c r="BY827" s="98"/>
      <c r="BZ827" s="98"/>
      <c r="CA827" s="98"/>
      <c r="CB827" s="98"/>
      <c r="CC827" s="98"/>
      <c r="CD827" s="98"/>
      <c r="CE827" s="98"/>
      <c r="CF827" s="98"/>
      <c r="CG827" s="98"/>
      <c r="CH827" s="98"/>
      <c r="CI827" s="98"/>
      <c r="CJ827" s="98"/>
      <c r="CK827" s="98"/>
    </row>
    <row r="828" spans="1:89" ht="15" x14ac:dyDescent="0.2">
      <c r="A828" s="119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  <c r="AI828" s="98"/>
      <c r="AJ828" s="98"/>
      <c r="AK828" s="98"/>
      <c r="AL828" s="98"/>
      <c r="AM828" s="98"/>
      <c r="AN828" s="98"/>
      <c r="AO828" s="98"/>
      <c r="AP828" s="98"/>
      <c r="AQ828" s="98"/>
      <c r="AR828" s="98"/>
      <c r="AS828" s="98"/>
      <c r="AT828" s="98"/>
      <c r="AU828" s="98"/>
      <c r="AV828" s="98"/>
      <c r="AW828" s="98"/>
      <c r="AX828" s="98"/>
      <c r="AY828" s="98"/>
      <c r="AZ828" s="98"/>
      <c r="BA828" s="98"/>
      <c r="BB828" s="98"/>
      <c r="BC828" s="98"/>
      <c r="BD828" s="98"/>
      <c r="BE828" s="98"/>
      <c r="BF828" s="98"/>
      <c r="BG828" s="98"/>
      <c r="BH828" s="98"/>
      <c r="BI828" s="98"/>
      <c r="BJ828" s="98"/>
      <c r="BK828" s="98"/>
      <c r="BL828" s="98"/>
      <c r="BM828" s="98"/>
      <c r="BN828" s="98"/>
      <c r="BO828" s="98"/>
      <c r="BP828" s="98"/>
      <c r="BQ828" s="98"/>
      <c r="BR828" s="98"/>
      <c r="BS828" s="98"/>
      <c r="BT828" s="98"/>
      <c r="BU828" s="98"/>
      <c r="BV828" s="98"/>
      <c r="BW828" s="98"/>
      <c r="BX828" s="98"/>
      <c r="BY828" s="98"/>
      <c r="BZ828" s="98"/>
      <c r="CA828" s="98"/>
      <c r="CB828" s="98"/>
      <c r="CC828" s="98"/>
      <c r="CD828" s="98"/>
      <c r="CE828" s="98"/>
      <c r="CF828" s="98"/>
      <c r="CG828" s="98"/>
      <c r="CH828" s="98"/>
      <c r="CI828" s="98"/>
      <c r="CJ828" s="98"/>
      <c r="CK828" s="98"/>
    </row>
    <row r="829" spans="1:89" ht="15" x14ac:dyDescent="0.2">
      <c r="A829" s="119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  <c r="AI829" s="98"/>
      <c r="AJ829" s="98"/>
      <c r="AK829" s="98"/>
      <c r="AL829" s="98"/>
      <c r="AM829" s="98"/>
      <c r="AN829" s="98"/>
      <c r="AO829" s="98"/>
      <c r="AP829" s="98"/>
      <c r="AQ829" s="98"/>
      <c r="AR829" s="98"/>
      <c r="AS829" s="98"/>
      <c r="AT829" s="98"/>
      <c r="AU829" s="98"/>
      <c r="AV829" s="98"/>
      <c r="AW829" s="98"/>
      <c r="AX829" s="98"/>
      <c r="AY829" s="98"/>
      <c r="AZ829" s="98"/>
      <c r="BA829" s="98"/>
      <c r="BB829" s="98"/>
      <c r="BC829" s="98"/>
      <c r="BD829" s="98"/>
      <c r="BE829" s="98"/>
      <c r="BF829" s="98"/>
      <c r="BG829" s="98"/>
      <c r="BH829" s="98"/>
      <c r="BI829" s="98"/>
      <c r="BJ829" s="98"/>
      <c r="BK829" s="98"/>
      <c r="BL829" s="98"/>
      <c r="BM829" s="98"/>
      <c r="BN829" s="98"/>
      <c r="BO829" s="98"/>
      <c r="BP829" s="98"/>
      <c r="BQ829" s="98"/>
      <c r="BR829" s="98"/>
      <c r="BS829" s="98"/>
      <c r="BT829" s="98"/>
      <c r="BU829" s="98"/>
      <c r="BV829" s="98"/>
      <c r="BW829" s="98"/>
      <c r="BX829" s="98"/>
      <c r="BY829" s="98"/>
      <c r="BZ829" s="98"/>
      <c r="CA829" s="98"/>
      <c r="CB829" s="98"/>
      <c r="CC829" s="98"/>
      <c r="CD829" s="98"/>
      <c r="CE829" s="98"/>
      <c r="CF829" s="98"/>
      <c r="CG829" s="98"/>
      <c r="CH829" s="98"/>
      <c r="CI829" s="98"/>
      <c r="CJ829" s="98"/>
      <c r="CK829" s="98"/>
    </row>
    <row r="830" spans="1:89" ht="15" x14ac:dyDescent="0.2">
      <c r="A830" s="119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  <c r="AM830" s="98"/>
      <c r="AN830" s="98"/>
      <c r="AO830" s="98"/>
      <c r="AP830" s="98"/>
      <c r="AQ830" s="98"/>
      <c r="AR830" s="98"/>
      <c r="AS830" s="98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98"/>
      <c r="BE830" s="98"/>
      <c r="BF830" s="98"/>
      <c r="BG830" s="98"/>
      <c r="BH830" s="98"/>
      <c r="BI830" s="98"/>
      <c r="BJ830" s="98"/>
      <c r="BK830" s="98"/>
      <c r="BL830" s="98"/>
      <c r="BM830" s="98"/>
      <c r="BN830" s="98"/>
      <c r="BO830" s="98"/>
      <c r="BP830" s="98"/>
      <c r="BQ830" s="98"/>
      <c r="BR830" s="98"/>
      <c r="BS830" s="98"/>
      <c r="BT830" s="98"/>
      <c r="BU830" s="98"/>
      <c r="BV830" s="98"/>
      <c r="BW830" s="98"/>
      <c r="BX830" s="98"/>
      <c r="BY830" s="98"/>
      <c r="BZ830" s="98"/>
      <c r="CA830" s="98"/>
      <c r="CB830" s="98"/>
      <c r="CC830" s="98"/>
      <c r="CD830" s="98"/>
      <c r="CE830" s="98"/>
      <c r="CF830" s="98"/>
      <c r="CG830" s="98"/>
      <c r="CH830" s="98"/>
      <c r="CI830" s="98"/>
      <c r="CJ830" s="98"/>
      <c r="CK830" s="98"/>
    </row>
    <row r="831" spans="1:89" ht="15" x14ac:dyDescent="0.2">
      <c r="A831" s="119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8"/>
      <c r="AJ831" s="98"/>
      <c r="AK831" s="98"/>
      <c r="AL831" s="98"/>
      <c r="AM831" s="98"/>
      <c r="AN831" s="98"/>
      <c r="AO831" s="98"/>
      <c r="AP831" s="98"/>
      <c r="AQ831" s="98"/>
      <c r="AR831" s="98"/>
      <c r="AS831" s="98"/>
      <c r="AT831" s="98"/>
      <c r="AU831" s="98"/>
      <c r="AV831" s="98"/>
      <c r="AW831" s="98"/>
      <c r="AX831" s="98"/>
      <c r="AY831" s="98"/>
      <c r="AZ831" s="98"/>
      <c r="BA831" s="98"/>
      <c r="BB831" s="98"/>
      <c r="BC831" s="98"/>
      <c r="BD831" s="98"/>
      <c r="BE831" s="98"/>
      <c r="BF831" s="98"/>
      <c r="BG831" s="98"/>
      <c r="BH831" s="98"/>
      <c r="BI831" s="98"/>
      <c r="BJ831" s="98"/>
      <c r="BK831" s="98"/>
      <c r="BL831" s="98"/>
      <c r="BM831" s="98"/>
      <c r="BN831" s="98"/>
      <c r="BO831" s="98"/>
      <c r="BP831" s="98"/>
      <c r="BQ831" s="98"/>
      <c r="BR831" s="98"/>
      <c r="BS831" s="98"/>
      <c r="BT831" s="98"/>
      <c r="BU831" s="98"/>
      <c r="BV831" s="98"/>
      <c r="BW831" s="98"/>
      <c r="BX831" s="98"/>
      <c r="BY831" s="98"/>
      <c r="BZ831" s="98"/>
      <c r="CA831" s="98"/>
      <c r="CB831" s="98"/>
      <c r="CC831" s="98"/>
      <c r="CD831" s="98"/>
      <c r="CE831" s="98"/>
      <c r="CF831" s="98"/>
      <c r="CG831" s="98"/>
      <c r="CH831" s="98"/>
      <c r="CI831" s="98"/>
      <c r="CJ831" s="98"/>
      <c r="CK831" s="98"/>
    </row>
    <row r="832" spans="1:89" ht="15" x14ac:dyDescent="0.2">
      <c r="A832" s="119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8"/>
      <c r="AJ832" s="98"/>
      <c r="AK832" s="98"/>
      <c r="AL832" s="98"/>
      <c r="AM832" s="98"/>
      <c r="AN832" s="98"/>
      <c r="AO832" s="98"/>
      <c r="AP832" s="98"/>
      <c r="AQ832" s="98"/>
      <c r="AR832" s="98"/>
      <c r="AS832" s="98"/>
      <c r="AT832" s="98"/>
      <c r="AU832" s="98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98"/>
      <c r="BG832" s="98"/>
      <c r="BH832" s="98"/>
      <c r="BI832" s="98"/>
      <c r="BJ832" s="98"/>
      <c r="BK832" s="98"/>
      <c r="BL832" s="98"/>
      <c r="BM832" s="98"/>
      <c r="BN832" s="98"/>
      <c r="BO832" s="98"/>
      <c r="BP832" s="98"/>
      <c r="BQ832" s="98"/>
      <c r="BR832" s="98"/>
      <c r="BS832" s="98"/>
      <c r="BT832" s="98"/>
      <c r="BU832" s="98"/>
      <c r="BV832" s="98"/>
      <c r="BW832" s="98"/>
      <c r="BX832" s="98"/>
      <c r="BY832" s="98"/>
      <c r="BZ832" s="98"/>
      <c r="CA832" s="98"/>
      <c r="CB832" s="98"/>
      <c r="CC832" s="98"/>
      <c r="CD832" s="98"/>
      <c r="CE832" s="98"/>
      <c r="CF832" s="98"/>
      <c r="CG832" s="98"/>
      <c r="CH832" s="98"/>
      <c r="CI832" s="98"/>
      <c r="CJ832" s="98"/>
      <c r="CK832" s="98"/>
    </row>
    <row r="833" spans="1:89" ht="15" x14ac:dyDescent="0.2">
      <c r="A833" s="119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8"/>
      <c r="AJ833" s="98"/>
      <c r="AK833" s="98"/>
      <c r="AL833" s="98"/>
      <c r="AM833" s="98"/>
      <c r="AN833" s="98"/>
      <c r="AO833" s="98"/>
      <c r="AP833" s="98"/>
      <c r="AQ833" s="98"/>
      <c r="AR833" s="98"/>
      <c r="AS833" s="98"/>
      <c r="AT833" s="98"/>
      <c r="AU833" s="98"/>
      <c r="AV833" s="98"/>
      <c r="AW833" s="98"/>
      <c r="AX833" s="98"/>
      <c r="AY833" s="98"/>
      <c r="AZ833" s="98"/>
      <c r="BA833" s="98"/>
      <c r="BB833" s="98"/>
      <c r="BC833" s="98"/>
      <c r="BD833" s="98"/>
      <c r="BE833" s="98"/>
      <c r="BF833" s="98"/>
      <c r="BG833" s="98"/>
      <c r="BH833" s="98"/>
      <c r="BI833" s="98"/>
      <c r="BJ833" s="98"/>
      <c r="BK833" s="98"/>
      <c r="BL833" s="98"/>
      <c r="BM833" s="98"/>
      <c r="BN833" s="98"/>
      <c r="BO833" s="98"/>
      <c r="BP833" s="98"/>
      <c r="BQ833" s="98"/>
      <c r="BR833" s="98"/>
      <c r="BS833" s="98"/>
      <c r="BT833" s="98"/>
      <c r="BU833" s="98"/>
      <c r="BV833" s="98"/>
      <c r="BW833" s="98"/>
      <c r="BX833" s="98"/>
      <c r="BY833" s="98"/>
      <c r="BZ833" s="98"/>
      <c r="CA833" s="98"/>
      <c r="CB833" s="98"/>
      <c r="CC833" s="98"/>
      <c r="CD833" s="98"/>
      <c r="CE833" s="98"/>
      <c r="CF833" s="98"/>
      <c r="CG833" s="98"/>
      <c r="CH833" s="98"/>
      <c r="CI833" s="98"/>
      <c r="CJ833" s="98"/>
      <c r="CK833" s="98"/>
    </row>
    <row r="834" spans="1:89" ht="15" x14ac:dyDescent="0.2">
      <c r="A834" s="119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8"/>
      <c r="AJ834" s="98"/>
      <c r="AK834" s="98"/>
      <c r="AL834" s="98"/>
      <c r="AM834" s="98"/>
      <c r="AN834" s="98"/>
      <c r="AO834" s="98"/>
      <c r="AP834" s="98"/>
      <c r="AQ834" s="98"/>
      <c r="AR834" s="98"/>
      <c r="AS834" s="98"/>
      <c r="AT834" s="98"/>
      <c r="AU834" s="98"/>
      <c r="AV834" s="98"/>
      <c r="AW834" s="98"/>
      <c r="AX834" s="98"/>
      <c r="AY834" s="98"/>
      <c r="AZ834" s="98"/>
      <c r="BA834" s="98"/>
      <c r="BB834" s="98"/>
      <c r="BC834" s="98"/>
      <c r="BD834" s="98"/>
      <c r="BE834" s="98"/>
      <c r="BF834" s="98"/>
      <c r="BG834" s="98"/>
      <c r="BH834" s="98"/>
      <c r="BI834" s="98"/>
      <c r="BJ834" s="98"/>
      <c r="BK834" s="98"/>
      <c r="BL834" s="98"/>
      <c r="BM834" s="98"/>
      <c r="BN834" s="98"/>
      <c r="BO834" s="98"/>
      <c r="BP834" s="98"/>
      <c r="BQ834" s="98"/>
      <c r="BR834" s="98"/>
      <c r="BS834" s="98"/>
      <c r="BT834" s="98"/>
      <c r="BU834" s="98"/>
      <c r="BV834" s="98"/>
      <c r="BW834" s="98"/>
      <c r="BX834" s="98"/>
      <c r="BY834" s="98"/>
      <c r="BZ834" s="98"/>
      <c r="CA834" s="98"/>
      <c r="CB834" s="98"/>
      <c r="CC834" s="98"/>
      <c r="CD834" s="98"/>
      <c r="CE834" s="98"/>
      <c r="CF834" s="98"/>
      <c r="CG834" s="98"/>
      <c r="CH834" s="98"/>
      <c r="CI834" s="98"/>
      <c r="CJ834" s="98"/>
      <c r="CK834" s="98"/>
    </row>
    <row r="835" spans="1:89" ht="15" x14ac:dyDescent="0.2">
      <c r="A835" s="119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8"/>
      <c r="AJ835" s="98"/>
      <c r="AK835" s="98"/>
      <c r="AL835" s="98"/>
      <c r="AM835" s="98"/>
      <c r="AN835" s="98"/>
      <c r="AO835" s="98"/>
      <c r="AP835" s="98"/>
      <c r="AQ835" s="98"/>
      <c r="AR835" s="98"/>
      <c r="AS835" s="98"/>
      <c r="AT835" s="98"/>
      <c r="AU835" s="98"/>
      <c r="AV835" s="98"/>
      <c r="AW835" s="98"/>
      <c r="AX835" s="98"/>
      <c r="AY835" s="98"/>
      <c r="AZ835" s="98"/>
      <c r="BA835" s="98"/>
      <c r="BB835" s="98"/>
      <c r="BC835" s="98"/>
      <c r="BD835" s="98"/>
      <c r="BE835" s="98"/>
      <c r="BF835" s="98"/>
      <c r="BG835" s="98"/>
      <c r="BH835" s="98"/>
      <c r="BI835" s="98"/>
      <c r="BJ835" s="98"/>
      <c r="BK835" s="98"/>
      <c r="BL835" s="98"/>
      <c r="BM835" s="98"/>
      <c r="BN835" s="98"/>
      <c r="BO835" s="98"/>
      <c r="BP835" s="98"/>
      <c r="BQ835" s="98"/>
      <c r="BR835" s="98"/>
      <c r="BS835" s="98"/>
      <c r="BT835" s="98"/>
      <c r="BU835" s="98"/>
      <c r="BV835" s="98"/>
      <c r="BW835" s="98"/>
      <c r="BX835" s="98"/>
      <c r="BY835" s="98"/>
      <c r="BZ835" s="98"/>
      <c r="CA835" s="98"/>
      <c r="CB835" s="98"/>
      <c r="CC835" s="98"/>
      <c r="CD835" s="98"/>
      <c r="CE835" s="98"/>
      <c r="CF835" s="98"/>
      <c r="CG835" s="98"/>
      <c r="CH835" s="98"/>
      <c r="CI835" s="98"/>
      <c r="CJ835" s="98"/>
      <c r="CK835" s="98"/>
    </row>
    <row r="836" spans="1:89" ht="15" x14ac:dyDescent="0.2">
      <c r="A836" s="119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8"/>
      <c r="AJ836" s="98"/>
      <c r="AK836" s="98"/>
      <c r="AL836" s="98"/>
      <c r="AM836" s="98"/>
      <c r="AN836" s="98"/>
      <c r="AO836" s="98"/>
      <c r="AP836" s="98"/>
      <c r="AQ836" s="98"/>
      <c r="AR836" s="98"/>
      <c r="AS836" s="98"/>
      <c r="AT836" s="98"/>
      <c r="AU836" s="98"/>
      <c r="AV836" s="98"/>
      <c r="AW836" s="98"/>
      <c r="AX836" s="98"/>
      <c r="AY836" s="98"/>
      <c r="AZ836" s="98"/>
      <c r="BA836" s="98"/>
      <c r="BB836" s="98"/>
      <c r="BC836" s="98"/>
      <c r="BD836" s="98"/>
      <c r="BE836" s="98"/>
      <c r="BF836" s="98"/>
      <c r="BG836" s="98"/>
      <c r="BH836" s="98"/>
      <c r="BI836" s="98"/>
      <c r="BJ836" s="98"/>
      <c r="BK836" s="98"/>
      <c r="BL836" s="98"/>
      <c r="BM836" s="98"/>
      <c r="BN836" s="98"/>
      <c r="BO836" s="98"/>
      <c r="BP836" s="98"/>
      <c r="BQ836" s="98"/>
      <c r="BR836" s="98"/>
      <c r="BS836" s="98"/>
      <c r="BT836" s="98"/>
      <c r="BU836" s="98"/>
      <c r="BV836" s="98"/>
      <c r="BW836" s="98"/>
      <c r="BX836" s="98"/>
      <c r="BY836" s="98"/>
      <c r="BZ836" s="98"/>
      <c r="CA836" s="98"/>
      <c r="CB836" s="98"/>
      <c r="CC836" s="98"/>
      <c r="CD836" s="98"/>
      <c r="CE836" s="98"/>
      <c r="CF836" s="98"/>
      <c r="CG836" s="98"/>
      <c r="CH836" s="98"/>
      <c r="CI836" s="98"/>
      <c r="CJ836" s="98"/>
      <c r="CK836" s="98"/>
    </row>
    <row r="837" spans="1:89" ht="15" x14ac:dyDescent="0.2">
      <c r="A837" s="119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8"/>
      <c r="AJ837" s="98"/>
      <c r="AK837" s="98"/>
      <c r="AL837" s="98"/>
      <c r="AM837" s="98"/>
      <c r="AN837" s="98"/>
      <c r="AO837" s="98"/>
      <c r="AP837" s="98"/>
      <c r="AQ837" s="98"/>
      <c r="AR837" s="98"/>
      <c r="AS837" s="98"/>
      <c r="AT837" s="98"/>
      <c r="AU837" s="98"/>
      <c r="AV837" s="98"/>
      <c r="AW837" s="98"/>
      <c r="AX837" s="98"/>
      <c r="AY837" s="98"/>
      <c r="AZ837" s="98"/>
      <c r="BA837" s="98"/>
      <c r="BB837" s="98"/>
      <c r="BC837" s="98"/>
      <c r="BD837" s="98"/>
      <c r="BE837" s="98"/>
      <c r="BF837" s="98"/>
      <c r="BG837" s="98"/>
      <c r="BH837" s="98"/>
      <c r="BI837" s="98"/>
      <c r="BJ837" s="98"/>
      <c r="BK837" s="98"/>
      <c r="BL837" s="98"/>
      <c r="BM837" s="98"/>
      <c r="BN837" s="98"/>
      <c r="BO837" s="98"/>
      <c r="BP837" s="98"/>
      <c r="BQ837" s="98"/>
      <c r="BR837" s="98"/>
      <c r="BS837" s="98"/>
      <c r="BT837" s="98"/>
      <c r="BU837" s="98"/>
      <c r="BV837" s="98"/>
      <c r="BW837" s="98"/>
      <c r="BX837" s="98"/>
      <c r="BY837" s="98"/>
      <c r="BZ837" s="98"/>
      <c r="CA837" s="98"/>
      <c r="CB837" s="98"/>
      <c r="CC837" s="98"/>
      <c r="CD837" s="98"/>
      <c r="CE837" s="98"/>
      <c r="CF837" s="98"/>
      <c r="CG837" s="98"/>
      <c r="CH837" s="98"/>
      <c r="CI837" s="98"/>
      <c r="CJ837" s="98"/>
      <c r="CK837" s="98"/>
    </row>
    <row r="838" spans="1:89" ht="15" x14ac:dyDescent="0.2">
      <c r="A838" s="119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8"/>
      <c r="AJ838" s="98"/>
      <c r="AK838" s="98"/>
      <c r="AL838" s="98"/>
      <c r="AM838" s="98"/>
      <c r="AN838" s="98"/>
      <c r="AO838" s="98"/>
      <c r="AP838" s="98"/>
      <c r="AQ838" s="98"/>
      <c r="AR838" s="98"/>
      <c r="AS838" s="98"/>
      <c r="AT838" s="98"/>
      <c r="AU838" s="98"/>
      <c r="AV838" s="98"/>
      <c r="AW838" s="98"/>
      <c r="AX838" s="98"/>
      <c r="AY838" s="98"/>
      <c r="AZ838" s="98"/>
      <c r="BA838" s="98"/>
      <c r="BB838" s="98"/>
      <c r="BC838" s="98"/>
      <c r="BD838" s="98"/>
      <c r="BE838" s="98"/>
      <c r="BF838" s="98"/>
      <c r="BG838" s="98"/>
      <c r="BH838" s="98"/>
      <c r="BI838" s="98"/>
      <c r="BJ838" s="98"/>
      <c r="BK838" s="98"/>
      <c r="BL838" s="98"/>
      <c r="BM838" s="98"/>
      <c r="BN838" s="98"/>
      <c r="BO838" s="98"/>
      <c r="BP838" s="98"/>
      <c r="BQ838" s="98"/>
      <c r="BR838" s="98"/>
      <c r="BS838" s="98"/>
      <c r="BT838" s="98"/>
      <c r="BU838" s="98"/>
      <c r="BV838" s="98"/>
      <c r="BW838" s="98"/>
      <c r="BX838" s="98"/>
      <c r="BY838" s="98"/>
      <c r="BZ838" s="98"/>
      <c r="CA838" s="98"/>
      <c r="CB838" s="98"/>
      <c r="CC838" s="98"/>
      <c r="CD838" s="98"/>
      <c r="CE838" s="98"/>
      <c r="CF838" s="98"/>
      <c r="CG838" s="98"/>
      <c r="CH838" s="98"/>
      <c r="CI838" s="98"/>
      <c r="CJ838" s="98"/>
      <c r="CK838" s="98"/>
    </row>
    <row r="839" spans="1:89" ht="15" x14ac:dyDescent="0.2">
      <c r="A839" s="119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  <c r="AI839" s="98"/>
      <c r="AJ839" s="98"/>
      <c r="AK839" s="98"/>
      <c r="AL839" s="98"/>
      <c r="AM839" s="98"/>
      <c r="AN839" s="98"/>
      <c r="AO839" s="98"/>
      <c r="AP839" s="98"/>
      <c r="AQ839" s="98"/>
      <c r="AR839" s="98"/>
      <c r="AS839" s="98"/>
      <c r="AT839" s="98"/>
      <c r="AU839" s="98"/>
      <c r="AV839" s="98"/>
      <c r="AW839" s="98"/>
      <c r="AX839" s="98"/>
      <c r="AY839" s="98"/>
      <c r="AZ839" s="98"/>
      <c r="BA839" s="98"/>
      <c r="BB839" s="98"/>
      <c r="BC839" s="98"/>
      <c r="BD839" s="98"/>
      <c r="BE839" s="98"/>
      <c r="BF839" s="98"/>
      <c r="BG839" s="98"/>
      <c r="BH839" s="98"/>
      <c r="BI839" s="98"/>
      <c r="BJ839" s="98"/>
      <c r="BK839" s="98"/>
      <c r="BL839" s="98"/>
      <c r="BM839" s="98"/>
      <c r="BN839" s="98"/>
      <c r="BO839" s="98"/>
      <c r="BP839" s="98"/>
      <c r="BQ839" s="98"/>
      <c r="BR839" s="98"/>
      <c r="BS839" s="98"/>
      <c r="BT839" s="98"/>
      <c r="BU839" s="98"/>
      <c r="BV839" s="98"/>
      <c r="BW839" s="98"/>
      <c r="BX839" s="98"/>
      <c r="BY839" s="98"/>
      <c r="BZ839" s="98"/>
      <c r="CA839" s="98"/>
      <c r="CB839" s="98"/>
      <c r="CC839" s="98"/>
      <c r="CD839" s="98"/>
      <c r="CE839" s="98"/>
      <c r="CF839" s="98"/>
      <c r="CG839" s="98"/>
      <c r="CH839" s="98"/>
      <c r="CI839" s="98"/>
      <c r="CJ839" s="98"/>
      <c r="CK839" s="98"/>
    </row>
    <row r="840" spans="1:89" ht="15" x14ac:dyDescent="0.2">
      <c r="A840" s="119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  <c r="AI840" s="98"/>
      <c r="AJ840" s="98"/>
      <c r="AK840" s="98"/>
      <c r="AL840" s="98"/>
      <c r="AM840" s="98"/>
      <c r="AN840" s="98"/>
      <c r="AO840" s="98"/>
      <c r="AP840" s="98"/>
      <c r="AQ840" s="98"/>
      <c r="AR840" s="98"/>
      <c r="AS840" s="98"/>
      <c r="AT840" s="98"/>
      <c r="AU840" s="98"/>
      <c r="AV840" s="98"/>
      <c r="AW840" s="98"/>
      <c r="AX840" s="98"/>
      <c r="AY840" s="98"/>
      <c r="AZ840" s="98"/>
      <c r="BA840" s="98"/>
      <c r="BB840" s="98"/>
      <c r="BC840" s="98"/>
      <c r="BD840" s="98"/>
      <c r="BE840" s="98"/>
      <c r="BF840" s="98"/>
      <c r="BG840" s="98"/>
      <c r="BH840" s="98"/>
      <c r="BI840" s="98"/>
      <c r="BJ840" s="98"/>
      <c r="BK840" s="98"/>
      <c r="BL840" s="98"/>
      <c r="BM840" s="98"/>
      <c r="BN840" s="98"/>
      <c r="BO840" s="98"/>
      <c r="BP840" s="98"/>
      <c r="BQ840" s="98"/>
      <c r="BR840" s="98"/>
      <c r="BS840" s="98"/>
      <c r="BT840" s="98"/>
      <c r="BU840" s="98"/>
      <c r="BV840" s="98"/>
      <c r="BW840" s="98"/>
      <c r="BX840" s="98"/>
      <c r="BY840" s="98"/>
      <c r="BZ840" s="98"/>
      <c r="CA840" s="98"/>
      <c r="CB840" s="98"/>
      <c r="CC840" s="98"/>
      <c r="CD840" s="98"/>
      <c r="CE840" s="98"/>
      <c r="CF840" s="98"/>
      <c r="CG840" s="98"/>
      <c r="CH840" s="98"/>
      <c r="CI840" s="98"/>
      <c r="CJ840" s="98"/>
      <c r="CK840" s="98"/>
    </row>
    <row r="841" spans="1:89" ht="15" x14ac:dyDescent="0.2">
      <c r="A841" s="119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  <c r="AI841" s="98"/>
      <c r="AJ841" s="98"/>
      <c r="AK841" s="98"/>
      <c r="AL841" s="98"/>
      <c r="AM841" s="98"/>
      <c r="AN841" s="98"/>
      <c r="AO841" s="98"/>
      <c r="AP841" s="98"/>
      <c r="AQ841" s="98"/>
      <c r="AR841" s="98"/>
      <c r="AS841" s="98"/>
      <c r="AT841" s="98"/>
      <c r="AU841" s="98"/>
      <c r="AV841" s="98"/>
      <c r="AW841" s="98"/>
      <c r="AX841" s="98"/>
      <c r="AY841" s="98"/>
      <c r="AZ841" s="98"/>
      <c r="BA841" s="98"/>
      <c r="BB841" s="98"/>
      <c r="BC841" s="98"/>
      <c r="BD841" s="98"/>
      <c r="BE841" s="98"/>
      <c r="BF841" s="98"/>
      <c r="BG841" s="98"/>
      <c r="BH841" s="98"/>
      <c r="BI841" s="98"/>
      <c r="BJ841" s="98"/>
      <c r="BK841" s="98"/>
      <c r="BL841" s="98"/>
      <c r="BM841" s="98"/>
      <c r="BN841" s="98"/>
      <c r="BO841" s="98"/>
      <c r="BP841" s="98"/>
      <c r="BQ841" s="98"/>
      <c r="BR841" s="98"/>
      <c r="BS841" s="98"/>
      <c r="BT841" s="98"/>
      <c r="BU841" s="98"/>
      <c r="BV841" s="98"/>
      <c r="BW841" s="98"/>
      <c r="BX841" s="98"/>
      <c r="BY841" s="98"/>
      <c r="BZ841" s="98"/>
      <c r="CA841" s="98"/>
      <c r="CB841" s="98"/>
      <c r="CC841" s="98"/>
      <c r="CD841" s="98"/>
      <c r="CE841" s="98"/>
      <c r="CF841" s="98"/>
      <c r="CG841" s="98"/>
      <c r="CH841" s="98"/>
      <c r="CI841" s="98"/>
      <c r="CJ841" s="98"/>
      <c r="CK841" s="98"/>
    </row>
    <row r="842" spans="1:89" ht="15" x14ac:dyDescent="0.2">
      <c r="A842" s="119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8"/>
      <c r="AJ842" s="98"/>
      <c r="AK842" s="98"/>
      <c r="AL842" s="98"/>
      <c r="AM842" s="98"/>
      <c r="AN842" s="98"/>
      <c r="AO842" s="98"/>
      <c r="AP842" s="98"/>
      <c r="AQ842" s="98"/>
      <c r="AR842" s="98"/>
      <c r="AS842" s="98"/>
      <c r="AT842" s="98"/>
      <c r="AU842" s="98"/>
      <c r="AV842" s="98"/>
      <c r="AW842" s="98"/>
      <c r="AX842" s="98"/>
      <c r="AY842" s="98"/>
      <c r="AZ842" s="98"/>
      <c r="BA842" s="98"/>
      <c r="BB842" s="98"/>
      <c r="BC842" s="98"/>
      <c r="BD842" s="98"/>
      <c r="BE842" s="98"/>
      <c r="BF842" s="98"/>
      <c r="BG842" s="98"/>
      <c r="BH842" s="98"/>
      <c r="BI842" s="98"/>
      <c r="BJ842" s="98"/>
      <c r="BK842" s="98"/>
      <c r="BL842" s="98"/>
      <c r="BM842" s="98"/>
      <c r="BN842" s="98"/>
      <c r="BO842" s="98"/>
      <c r="BP842" s="98"/>
      <c r="BQ842" s="98"/>
      <c r="BR842" s="98"/>
      <c r="BS842" s="98"/>
      <c r="BT842" s="98"/>
      <c r="BU842" s="98"/>
      <c r="BV842" s="98"/>
      <c r="BW842" s="98"/>
      <c r="BX842" s="98"/>
      <c r="BY842" s="98"/>
      <c r="BZ842" s="98"/>
      <c r="CA842" s="98"/>
      <c r="CB842" s="98"/>
      <c r="CC842" s="98"/>
      <c r="CD842" s="98"/>
      <c r="CE842" s="98"/>
      <c r="CF842" s="98"/>
      <c r="CG842" s="98"/>
      <c r="CH842" s="98"/>
      <c r="CI842" s="98"/>
      <c r="CJ842" s="98"/>
      <c r="CK842" s="98"/>
    </row>
    <row r="843" spans="1:89" ht="15" x14ac:dyDescent="0.2">
      <c r="A843" s="119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8"/>
      <c r="AJ843" s="98"/>
      <c r="AK843" s="98"/>
      <c r="AL843" s="98"/>
      <c r="AM843" s="98"/>
      <c r="AN843" s="98"/>
      <c r="AO843" s="98"/>
      <c r="AP843" s="98"/>
      <c r="AQ843" s="98"/>
      <c r="AR843" s="98"/>
      <c r="AS843" s="98"/>
      <c r="AT843" s="98"/>
      <c r="AU843" s="98"/>
      <c r="AV843" s="98"/>
      <c r="AW843" s="98"/>
      <c r="AX843" s="98"/>
      <c r="AY843" s="98"/>
      <c r="AZ843" s="98"/>
      <c r="BA843" s="98"/>
      <c r="BB843" s="98"/>
      <c r="BC843" s="98"/>
      <c r="BD843" s="98"/>
      <c r="BE843" s="98"/>
      <c r="BF843" s="98"/>
      <c r="BG843" s="98"/>
      <c r="BH843" s="98"/>
      <c r="BI843" s="98"/>
      <c r="BJ843" s="98"/>
      <c r="BK843" s="98"/>
      <c r="BL843" s="98"/>
      <c r="BM843" s="98"/>
      <c r="BN843" s="98"/>
      <c r="BO843" s="98"/>
      <c r="BP843" s="98"/>
      <c r="BQ843" s="98"/>
      <c r="BR843" s="98"/>
      <c r="BS843" s="98"/>
      <c r="BT843" s="98"/>
      <c r="BU843" s="98"/>
      <c r="BV843" s="98"/>
      <c r="BW843" s="98"/>
      <c r="BX843" s="98"/>
      <c r="BY843" s="98"/>
      <c r="BZ843" s="98"/>
      <c r="CA843" s="98"/>
      <c r="CB843" s="98"/>
      <c r="CC843" s="98"/>
      <c r="CD843" s="98"/>
      <c r="CE843" s="98"/>
      <c r="CF843" s="98"/>
      <c r="CG843" s="98"/>
      <c r="CH843" s="98"/>
      <c r="CI843" s="98"/>
      <c r="CJ843" s="98"/>
      <c r="CK843" s="98"/>
    </row>
    <row r="844" spans="1:89" ht="15" x14ac:dyDescent="0.2">
      <c r="A844" s="119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8"/>
      <c r="AJ844" s="98"/>
      <c r="AK844" s="98"/>
      <c r="AL844" s="98"/>
      <c r="AM844" s="98"/>
      <c r="AN844" s="98"/>
      <c r="AO844" s="98"/>
      <c r="AP844" s="98"/>
      <c r="AQ844" s="98"/>
      <c r="AR844" s="98"/>
      <c r="AS844" s="98"/>
      <c r="AT844" s="98"/>
      <c r="AU844" s="98"/>
      <c r="AV844" s="98"/>
      <c r="AW844" s="98"/>
      <c r="AX844" s="98"/>
      <c r="AY844" s="98"/>
      <c r="AZ844" s="98"/>
      <c r="BA844" s="98"/>
      <c r="BB844" s="98"/>
      <c r="BC844" s="98"/>
      <c r="BD844" s="98"/>
      <c r="BE844" s="98"/>
      <c r="BF844" s="98"/>
      <c r="BG844" s="98"/>
      <c r="BH844" s="98"/>
      <c r="BI844" s="98"/>
      <c r="BJ844" s="98"/>
      <c r="BK844" s="98"/>
      <c r="BL844" s="98"/>
      <c r="BM844" s="98"/>
      <c r="BN844" s="98"/>
      <c r="BO844" s="98"/>
      <c r="BP844" s="98"/>
      <c r="BQ844" s="98"/>
      <c r="BR844" s="98"/>
      <c r="BS844" s="98"/>
      <c r="BT844" s="98"/>
      <c r="BU844" s="98"/>
      <c r="BV844" s="98"/>
      <c r="BW844" s="98"/>
      <c r="BX844" s="98"/>
      <c r="BY844" s="98"/>
      <c r="BZ844" s="98"/>
      <c r="CA844" s="98"/>
      <c r="CB844" s="98"/>
      <c r="CC844" s="98"/>
      <c r="CD844" s="98"/>
      <c r="CE844" s="98"/>
      <c r="CF844" s="98"/>
      <c r="CG844" s="98"/>
      <c r="CH844" s="98"/>
      <c r="CI844" s="98"/>
      <c r="CJ844" s="98"/>
      <c r="CK844" s="98"/>
    </row>
    <row r="845" spans="1:89" ht="15" x14ac:dyDescent="0.2">
      <c r="A845" s="119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8"/>
      <c r="AJ845" s="98"/>
      <c r="AK845" s="98"/>
      <c r="AL845" s="98"/>
      <c r="AM845" s="98"/>
      <c r="AN845" s="98"/>
      <c r="AO845" s="98"/>
      <c r="AP845" s="98"/>
      <c r="AQ845" s="98"/>
      <c r="AR845" s="98"/>
      <c r="AS845" s="98"/>
      <c r="AT845" s="98"/>
      <c r="AU845" s="98"/>
      <c r="AV845" s="98"/>
      <c r="AW845" s="98"/>
      <c r="AX845" s="98"/>
      <c r="AY845" s="98"/>
      <c r="AZ845" s="98"/>
      <c r="BA845" s="98"/>
      <c r="BB845" s="98"/>
      <c r="BC845" s="98"/>
      <c r="BD845" s="98"/>
      <c r="BE845" s="98"/>
      <c r="BF845" s="98"/>
      <c r="BG845" s="98"/>
      <c r="BH845" s="98"/>
      <c r="BI845" s="98"/>
      <c r="BJ845" s="98"/>
      <c r="BK845" s="98"/>
      <c r="BL845" s="98"/>
      <c r="BM845" s="98"/>
      <c r="BN845" s="98"/>
      <c r="BO845" s="98"/>
      <c r="BP845" s="98"/>
      <c r="BQ845" s="98"/>
      <c r="BR845" s="98"/>
      <c r="BS845" s="98"/>
      <c r="BT845" s="98"/>
      <c r="BU845" s="98"/>
      <c r="BV845" s="98"/>
      <c r="BW845" s="98"/>
      <c r="BX845" s="98"/>
      <c r="BY845" s="98"/>
      <c r="BZ845" s="98"/>
      <c r="CA845" s="98"/>
      <c r="CB845" s="98"/>
      <c r="CC845" s="98"/>
      <c r="CD845" s="98"/>
      <c r="CE845" s="98"/>
      <c r="CF845" s="98"/>
      <c r="CG845" s="98"/>
      <c r="CH845" s="98"/>
      <c r="CI845" s="98"/>
      <c r="CJ845" s="98"/>
      <c r="CK845" s="98"/>
    </row>
    <row r="846" spans="1:89" ht="15" x14ac:dyDescent="0.2">
      <c r="A846" s="119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8"/>
      <c r="AJ846" s="98"/>
      <c r="AK846" s="98"/>
      <c r="AL846" s="98"/>
      <c r="AM846" s="98"/>
      <c r="AN846" s="98"/>
      <c r="AO846" s="98"/>
      <c r="AP846" s="98"/>
      <c r="AQ846" s="98"/>
      <c r="AR846" s="98"/>
      <c r="AS846" s="98"/>
      <c r="AT846" s="98"/>
      <c r="AU846" s="98"/>
      <c r="AV846" s="98"/>
      <c r="AW846" s="98"/>
      <c r="AX846" s="98"/>
      <c r="AY846" s="98"/>
      <c r="AZ846" s="98"/>
      <c r="BA846" s="98"/>
      <c r="BB846" s="98"/>
      <c r="BC846" s="98"/>
      <c r="BD846" s="98"/>
      <c r="BE846" s="98"/>
      <c r="BF846" s="98"/>
      <c r="BG846" s="98"/>
      <c r="BH846" s="98"/>
      <c r="BI846" s="98"/>
      <c r="BJ846" s="98"/>
      <c r="BK846" s="98"/>
      <c r="BL846" s="98"/>
      <c r="BM846" s="98"/>
      <c r="BN846" s="98"/>
      <c r="BO846" s="98"/>
      <c r="BP846" s="98"/>
      <c r="BQ846" s="98"/>
      <c r="BR846" s="98"/>
      <c r="BS846" s="98"/>
      <c r="BT846" s="98"/>
      <c r="BU846" s="98"/>
      <c r="BV846" s="98"/>
      <c r="BW846" s="98"/>
      <c r="BX846" s="98"/>
      <c r="BY846" s="98"/>
      <c r="BZ846" s="98"/>
      <c r="CA846" s="98"/>
      <c r="CB846" s="98"/>
      <c r="CC846" s="98"/>
      <c r="CD846" s="98"/>
      <c r="CE846" s="98"/>
      <c r="CF846" s="98"/>
      <c r="CG846" s="98"/>
      <c r="CH846" s="98"/>
      <c r="CI846" s="98"/>
      <c r="CJ846" s="98"/>
      <c r="CK846" s="98"/>
    </row>
    <row r="847" spans="1:89" ht="15" x14ac:dyDescent="0.2">
      <c r="A847" s="119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8"/>
      <c r="AJ847" s="98"/>
      <c r="AK847" s="98"/>
      <c r="AL847" s="98"/>
      <c r="AM847" s="98"/>
      <c r="AN847" s="98"/>
      <c r="AO847" s="98"/>
      <c r="AP847" s="98"/>
      <c r="AQ847" s="98"/>
      <c r="AR847" s="98"/>
      <c r="AS847" s="98"/>
      <c r="AT847" s="98"/>
      <c r="AU847" s="98"/>
      <c r="AV847" s="98"/>
      <c r="AW847" s="98"/>
      <c r="AX847" s="98"/>
      <c r="AY847" s="98"/>
      <c r="AZ847" s="98"/>
      <c r="BA847" s="98"/>
      <c r="BB847" s="98"/>
      <c r="BC847" s="98"/>
      <c r="BD847" s="98"/>
      <c r="BE847" s="98"/>
      <c r="BF847" s="98"/>
      <c r="BG847" s="98"/>
      <c r="BH847" s="98"/>
      <c r="BI847" s="98"/>
      <c r="BJ847" s="98"/>
      <c r="BK847" s="98"/>
      <c r="BL847" s="98"/>
      <c r="BM847" s="98"/>
      <c r="BN847" s="98"/>
      <c r="BO847" s="98"/>
      <c r="BP847" s="98"/>
      <c r="BQ847" s="98"/>
      <c r="BR847" s="98"/>
      <c r="BS847" s="98"/>
      <c r="BT847" s="98"/>
      <c r="BU847" s="98"/>
      <c r="BV847" s="98"/>
      <c r="BW847" s="98"/>
      <c r="BX847" s="98"/>
      <c r="BY847" s="98"/>
      <c r="BZ847" s="98"/>
      <c r="CA847" s="98"/>
      <c r="CB847" s="98"/>
      <c r="CC847" s="98"/>
      <c r="CD847" s="98"/>
      <c r="CE847" s="98"/>
      <c r="CF847" s="98"/>
      <c r="CG847" s="98"/>
      <c r="CH847" s="98"/>
      <c r="CI847" s="98"/>
      <c r="CJ847" s="98"/>
      <c r="CK847" s="98"/>
    </row>
    <row r="848" spans="1:89" ht="15" x14ac:dyDescent="0.2">
      <c r="A848" s="119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8"/>
      <c r="AJ848" s="98"/>
      <c r="AK848" s="98"/>
      <c r="AL848" s="98"/>
      <c r="AM848" s="98"/>
      <c r="AN848" s="98"/>
      <c r="AO848" s="98"/>
      <c r="AP848" s="98"/>
      <c r="AQ848" s="98"/>
      <c r="AR848" s="98"/>
      <c r="AS848" s="98"/>
      <c r="AT848" s="98"/>
      <c r="AU848" s="98"/>
      <c r="AV848" s="98"/>
      <c r="AW848" s="98"/>
      <c r="AX848" s="98"/>
      <c r="AY848" s="98"/>
      <c r="AZ848" s="98"/>
      <c r="BA848" s="98"/>
      <c r="BB848" s="98"/>
      <c r="BC848" s="98"/>
      <c r="BD848" s="98"/>
      <c r="BE848" s="98"/>
      <c r="BF848" s="98"/>
      <c r="BG848" s="98"/>
      <c r="BH848" s="98"/>
      <c r="BI848" s="98"/>
      <c r="BJ848" s="98"/>
      <c r="BK848" s="98"/>
      <c r="BL848" s="98"/>
      <c r="BM848" s="98"/>
      <c r="BN848" s="98"/>
      <c r="BO848" s="98"/>
      <c r="BP848" s="98"/>
      <c r="BQ848" s="98"/>
      <c r="BR848" s="98"/>
      <c r="BS848" s="98"/>
      <c r="BT848" s="98"/>
      <c r="BU848" s="98"/>
      <c r="BV848" s="98"/>
      <c r="BW848" s="98"/>
      <c r="BX848" s="98"/>
      <c r="BY848" s="98"/>
      <c r="BZ848" s="98"/>
      <c r="CA848" s="98"/>
      <c r="CB848" s="98"/>
      <c r="CC848" s="98"/>
      <c r="CD848" s="98"/>
      <c r="CE848" s="98"/>
      <c r="CF848" s="98"/>
      <c r="CG848" s="98"/>
      <c r="CH848" s="98"/>
      <c r="CI848" s="98"/>
      <c r="CJ848" s="98"/>
      <c r="CK848" s="98"/>
    </row>
    <row r="849" spans="1:89" ht="15" x14ac:dyDescent="0.2">
      <c r="A849" s="119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8"/>
      <c r="AJ849" s="98"/>
      <c r="AK849" s="98"/>
      <c r="AL849" s="98"/>
      <c r="AM849" s="98"/>
      <c r="AN849" s="98"/>
      <c r="AO849" s="98"/>
      <c r="AP849" s="98"/>
      <c r="AQ849" s="98"/>
      <c r="AR849" s="98"/>
      <c r="AS849" s="98"/>
      <c r="AT849" s="98"/>
      <c r="AU849" s="98"/>
      <c r="AV849" s="98"/>
      <c r="AW849" s="98"/>
      <c r="AX849" s="98"/>
      <c r="AY849" s="98"/>
      <c r="AZ849" s="98"/>
      <c r="BA849" s="98"/>
      <c r="BB849" s="98"/>
      <c r="BC849" s="98"/>
      <c r="BD849" s="98"/>
      <c r="BE849" s="98"/>
      <c r="BF849" s="98"/>
      <c r="BG849" s="98"/>
      <c r="BH849" s="98"/>
      <c r="BI849" s="98"/>
      <c r="BJ849" s="98"/>
      <c r="BK849" s="98"/>
      <c r="BL849" s="98"/>
      <c r="BM849" s="98"/>
      <c r="BN849" s="98"/>
      <c r="BO849" s="98"/>
      <c r="BP849" s="98"/>
      <c r="BQ849" s="98"/>
      <c r="BR849" s="98"/>
      <c r="BS849" s="98"/>
      <c r="BT849" s="98"/>
      <c r="BU849" s="98"/>
      <c r="BV849" s="98"/>
      <c r="BW849" s="98"/>
      <c r="BX849" s="98"/>
      <c r="BY849" s="98"/>
      <c r="BZ849" s="98"/>
      <c r="CA849" s="98"/>
      <c r="CB849" s="98"/>
      <c r="CC849" s="98"/>
      <c r="CD849" s="98"/>
      <c r="CE849" s="98"/>
      <c r="CF849" s="98"/>
      <c r="CG849" s="98"/>
      <c r="CH849" s="98"/>
      <c r="CI849" s="98"/>
      <c r="CJ849" s="98"/>
      <c r="CK849" s="98"/>
    </row>
    <row r="850" spans="1:89" ht="15" x14ac:dyDescent="0.2">
      <c r="A850" s="119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8"/>
      <c r="AJ850" s="98"/>
      <c r="AK850" s="98"/>
      <c r="AL850" s="98"/>
      <c r="AM850" s="98"/>
      <c r="AN850" s="98"/>
      <c r="AO850" s="98"/>
      <c r="AP850" s="98"/>
      <c r="AQ850" s="98"/>
      <c r="AR850" s="98"/>
      <c r="AS850" s="98"/>
      <c r="AT850" s="98"/>
      <c r="AU850" s="98"/>
      <c r="AV850" s="98"/>
      <c r="AW850" s="98"/>
      <c r="AX850" s="98"/>
      <c r="AY850" s="98"/>
      <c r="AZ850" s="98"/>
      <c r="BA850" s="98"/>
      <c r="BB850" s="98"/>
      <c r="BC850" s="98"/>
      <c r="BD850" s="98"/>
      <c r="BE850" s="98"/>
      <c r="BF850" s="98"/>
      <c r="BG850" s="98"/>
      <c r="BH850" s="98"/>
      <c r="BI850" s="98"/>
      <c r="BJ850" s="98"/>
      <c r="BK850" s="98"/>
      <c r="BL850" s="98"/>
      <c r="BM850" s="98"/>
      <c r="BN850" s="98"/>
      <c r="BO850" s="98"/>
      <c r="BP850" s="98"/>
      <c r="BQ850" s="98"/>
      <c r="BR850" s="98"/>
      <c r="BS850" s="98"/>
      <c r="BT850" s="98"/>
      <c r="BU850" s="98"/>
      <c r="BV850" s="98"/>
      <c r="BW850" s="98"/>
      <c r="BX850" s="98"/>
      <c r="BY850" s="98"/>
      <c r="BZ850" s="98"/>
      <c r="CA850" s="98"/>
      <c r="CB850" s="98"/>
      <c r="CC850" s="98"/>
      <c r="CD850" s="98"/>
      <c r="CE850" s="98"/>
      <c r="CF850" s="98"/>
      <c r="CG850" s="98"/>
      <c r="CH850" s="98"/>
      <c r="CI850" s="98"/>
      <c r="CJ850" s="98"/>
      <c r="CK850" s="98"/>
    </row>
    <row r="851" spans="1:89" ht="15" x14ac:dyDescent="0.2">
      <c r="A851" s="119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8"/>
      <c r="AJ851" s="98"/>
      <c r="AK851" s="98"/>
      <c r="AL851" s="98"/>
      <c r="AM851" s="98"/>
      <c r="AN851" s="98"/>
      <c r="AO851" s="98"/>
      <c r="AP851" s="98"/>
      <c r="AQ851" s="98"/>
      <c r="AR851" s="98"/>
      <c r="AS851" s="98"/>
      <c r="AT851" s="98"/>
      <c r="AU851" s="98"/>
      <c r="AV851" s="98"/>
      <c r="AW851" s="98"/>
      <c r="AX851" s="98"/>
      <c r="AY851" s="98"/>
      <c r="AZ851" s="98"/>
      <c r="BA851" s="98"/>
      <c r="BB851" s="98"/>
      <c r="BC851" s="98"/>
      <c r="BD851" s="98"/>
      <c r="BE851" s="98"/>
      <c r="BF851" s="98"/>
      <c r="BG851" s="98"/>
      <c r="BH851" s="98"/>
      <c r="BI851" s="98"/>
      <c r="BJ851" s="98"/>
      <c r="BK851" s="98"/>
      <c r="BL851" s="98"/>
      <c r="BM851" s="98"/>
      <c r="BN851" s="98"/>
      <c r="BO851" s="98"/>
      <c r="BP851" s="98"/>
      <c r="BQ851" s="98"/>
      <c r="BR851" s="98"/>
      <c r="BS851" s="98"/>
      <c r="BT851" s="98"/>
      <c r="BU851" s="98"/>
      <c r="BV851" s="98"/>
      <c r="BW851" s="98"/>
      <c r="BX851" s="98"/>
      <c r="BY851" s="98"/>
      <c r="BZ851" s="98"/>
      <c r="CA851" s="98"/>
      <c r="CB851" s="98"/>
      <c r="CC851" s="98"/>
      <c r="CD851" s="98"/>
      <c r="CE851" s="98"/>
      <c r="CF851" s="98"/>
      <c r="CG851" s="98"/>
      <c r="CH851" s="98"/>
      <c r="CI851" s="98"/>
      <c r="CJ851" s="98"/>
      <c r="CK851" s="98"/>
    </row>
    <row r="852" spans="1:89" ht="15" x14ac:dyDescent="0.2">
      <c r="A852" s="119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8"/>
      <c r="AJ852" s="98"/>
      <c r="AK852" s="98"/>
      <c r="AL852" s="98"/>
      <c r="AM852" s="98"/>
      <c r="AN852" s="98"/>
      <c r="AO852" s="98"/>
      <c r="AP852" s="98"/>
      <c r="AQ852" s="98"/>
      <c r="AR852" s="98"/>
      <c r="AS852" s="98"/>
      <c r="AT852" s="98"/>
      <c r="AU852" s="98"/>
      <c r="AV852" s="98"/>
      <c r="AW852" s="98"/>
      <c r="AX852" s="98"/>
      <c r="AY852" s="98"/>
      <c r="AZ852" s="98"/>
      <c r="BA852" s="98"/>
      <c r="BB852" s="98"/>
      <c r="BC852" s="98"/>
      <c r="BD852" s="98"/>
      <c r="BE852" s="98"/>
      <c r="BF852" s="98"/>
      <c r="BG852" s="98"/>
      <c r="BH852" s="98"/>
      <c r="BI852" s="98"/>
      <c r="BJ852" s="98"/>
      <c r="BK852" s="98"/>
      <c r="BL852" s="98"/>
      <c r="BM852" s="98"/>
      <c r="BN852" s="98"/>
      <c r="BO852" s="98"/>
      <c r="BP852" s="98"/>
      <c r="BQ852" s="98"/>
      <c r="BR852" s="98"/>
      <c r="BS852" s="98"/>
      <c r="BT852" s="98"/>
      <c r="BU852" s="98"/>
      <c r="BV852" s="98"/>
      <c r="BW852" s="98"/>
      <c r="BX852" s="98"/>
      <c r="BY852" s="98"/>
      <c r="BZ852" s="98"/>
      <c r="CA852" s="98"/>
      <c r="CB852" s="98"/>
      <c r="CC852" s="98"/>
      <c r="CD852" s="98"/>
      <c r="CE852" s="98"/>
      <c r="CF852" s="98"/>
      <c r="CG852" s="98"/>
      <c r="CH852" s="98"/>
      <c r="CI852" s="98"/>
      <c r="CJ852" s="98"/>
      <c r="CK852" s="98"/>
    </row>
    <row r="853" spans="1:89" ht="15" x14ac:dyDescent="0.2">
      <c r="A853" s="119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8"/>
      <c r="AJ853" s="98"/>
      <c r="AK853" s="98"/>
      <c r="AL853" s="98"/>
      <c r="AM853" s="98"/>
      <c r="AN853" s="98"/>
      <c r="AO853" s="98"/>
      <c r="AP853" s="98"/>
      <c r="AQ853" s="98"/>
      <c r="AR853" s="98"/>
      <c r="AS853" s="98"/>
      <c r="AT853" s="98"/>
      <c r="AU853" s="98"/>
      <c r="AV853" s="98"/>
      <c r="AW853" s="98"/>
      <c r="AX853" s="98"/>
      <c r="AY853" s="98"/>
      <c r="AZ853" s="98"/>
      <c r="BA853" s="98"/>
      <c r="BB853" s="98"/>
      <c r="BC853" s="98"/>
      <c r="BD853" s="98"/>
      <c r="BE853" s="98"/>
      <c r="BF853" s="98"/>
      <c r="BG853" s="98"/>
      <c r="BH853" s="98"/>
      <c r="BI853" s="98"/>
      <c r="BJ853" s="98"/>
      <c r="BK853" s="98"/>
      <c r="BL853" s="98"/>
      <c r="BM853" s="98"/>
      <c r="BN853" s="98"/>
      <c r="BO853" s="98"/>
      <c r="BP853" s="98"/>
      <c r="BQ853" s="98"/>
      <c r="BR853" s="98"/>
      <c r="BS853" s="98"/>
      <c r="BT853" s="98"/>
      <c r="BU853" s="98"/>
      <c r="BV853" s="98"/>
      <c r="BW853" s="98"/>
      <c r="BX853" s="98"/>
      <c r="BY853" s="98"/>
      <c r="BZ853" s="98"/>
      <c r="CA853" s="98"/>
      <c r="CB853" s="98"/>
      <c r="CC853" s="98"/>
      <c r="CD853" s="98"/>
      <c r="CE853" s="98"/>
      <c r="CF853" s="98"/>
      <c r="CG853" s="98"/>
      <c r="CH853" s="98"/>
      <c r="CI853" s="98"/>
      <c r="CJ853" s="98"/>
      <c r="CK853" s="98"/>
    </row>
    <row r="854" spans="1:89" ht="15" x14ac:dyDescent="0.2">
      <c r="A854" s="119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  <c r="AM854" s="98"/>
      <c r="AN854" s="98"/>
      <c r="AO854" s="98"/>
      <c r="AP854" s="98"/>
      <c r="AQ854" s="98"/>
      <c r="AR854" s="98"/>
      <c r="AS854" s="98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8"/>
      <c r="BL854" s="98"/>
      <c r="BM854" s="98"/>
      <c r="BN854" s="98"/>
      <c r="BO854" s="98"/>
      <c r="BP854" s="98"/>
      <c r="BQ854" s="98"/>
      <c r="BR854" s="98"/>
      <c r="BS854" s="98"/>
      <c r="BT854" s="98"/>
      <c r="BU854" s="98"/>
      <c r="BV854" s="98"/>
      <c r="BW854" s="98"/>
      <c r="BX854" s="98"/>
      <c r="BY854" s="98"/>
      <c r="BZ854" s="98"/>
      <c r="CA854" s="98"/>
      <c r="CB854" s="98"/>
      <c r="CC854" s="98"/>
      <c r="CD854" s="98"/>
      <c r="CE854" s="98"/>
      <c r="CF854" s="98"/>
      <c r="CG854" s="98"/>
      <c r="CH854" s="98"/>
      <c r="CI854" s="98"/>
      <c r="CJ854" s="98"/>
      <c r="CK854" s="98"/>
    </row>
    <row r="855" spans="1:89" ht="15" x14ac:dyDescent="0.2">
      <c r="A855" s="119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8"/>
      <c r="AJ855" s="98"/>
      <c r="AK855" s="98"/>
      <c r="AL855" s="98"/>
      <c r="AM855" s="98"/>
      <c r="AN855" s="98"/>
      <c r="AO855" s="98"/>
      <c r="AP855" s="98"/>
      <c r="AQ855" s="98"/>
      <c r="AR855" s="98"/>
      <c r="AS855" s="98"/>
      <c r="AT855" s="98"/>
      <c r="AU855" s="98"/>
      <c r="AV855" s="98"/>
      <c r="AW855" s="98"/>
      <c r="AX855" s="98"/>
      <c r="AY855" s="98"/>
      <c r="AZ855" s="98"/>
      <c r="BA855" s="98"/>
      <c r="BB855" s="98"/>
      <c r="BC855" s="98"/>
      <c r="BD855" s="98"/>
      <c r="BE855" s="98"/>
      <c r="BF855" s="98"/>
      <c r="BG855" s="98"/>
      <c r="BH855" s="98"/>
      <c r="BI855" s="98"/>
      <c r="BJ855" s="98"/>
      <c r="BK855" s="98"/>
      <c r="BL855" s="98"/>
      <c r="BM855" s="98"/>
      <c r="BN855" s="98"/>
      <c r="BO855" s="98"/>
      <c r="BP855" s="98"/>
      <c r="BQ855" s="98"/>
      <c r="BR855" s="98"/>
      <c r="BS855" s="98"/>
      <c r="BT855" s="98"/>
      <c r="BU855" s="98"/>
      <c r="BV855" s="98"/>
      <c r="BW855" s="98"/>
      <c r="BX855" s="98"/>
      <c r="BY855" s="98"/>
      <c r="BZ855" s="98"/>
      <c r="CA855" s="98"/>
      <c r="CB855" s="98"/>
      <c r="CC855" s="98"/>
      <c r="CD855" s="98"/>
      <c r="CE855" s="98"/>
      <c r="CF855" s="98"/>
      <c r="CG855" s="98"/>
      <c r="CH855" s="98"/>
      <c r="CI855" s="98"/>
      <c r="CJ855" s="98"/>
      <c r="CK855" s="98"/>
    </row>
    <row r="856" spans="1:89" ht="15" x14ac:dyDescent="0.2">
      <c r="A856" s="119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8"/>
      <c r="AJ856" s="98"/>
      <c r="AK856" s="98"/>
      <c r="AL856" s="98"/>
      <c r="AM856" s="98"/>
      <c r="AN856" s="98"/>
      <c r="AO856" s="98"/>
      <c r="AP856" s="98"/>
      <c r="AQ856" s="98"/>
      <c r="AR856" s="98"/>
      <c r="AS856" s="98"/>
      <c r="AT856" s="98"/>
      <c r="AU856" s="98"/>
      <c r="AV856" s="98"/>
      <c r="AW856" s="98"/>
      <c r="AX856" s="98"/>
      <c r="AY856" s="98"/>
      <c r="AZ856" s="98"/>
      <c r="BA856" s="98"/>
      <c r="BB856" s="98"/>
      <c r="BC856" s="98"/>
      <c r="BD856" s="98"/>
      <c r="BE856" s="98"/>
      <c r="BF856" s="98"/>
      <c r="BG856" s="98"/>
      <c r="BH856" s="98"/>
      <c r="BI856" s="98"/>
      <c r="BJ856" s="98"/>
      <c r="BK856" s="98"/>
      <c r="BL856" s="98"/>
      <c r="BM856" s="98"/>
      <c r="BN856" s="98"/>
      <c r="BO856" s="98"/>
      <c r="BP856" s="98"/>
      <c r="BQ856" s="98"/>
      <c r="BR856" s="98"/>
      <c r="BS856" s="98"/>
      <c r="BT856" s="98"/>
      <c r="BU856" s="98"/>
      <c r="BV856" s="98"/>
      <c r="BW856" s="98"/>
      <c r="BX856" s="98"/>
      <c r="BY856" s="98"/>
      <c r="BZ856" s="98"/>
      <c r="CA856" s="98"/>
      <c r="CB856" s="98"/>
      <c r="CC856" s="98"/>
      <c r="CD856" s="98"/>
      <c r="CE856" s="98"/>
      <c r="CF856" s="98"/>
      <c r="CG856" s="98"/>
      <c r="CH856" s="98"/>
      <c r="CI856" s="98"/>
      <c r="CJ856" s="98"/>
      <c r="CK856" s="98"/>
    </row>
    <row r="857" spans="1:89" ht="15" x14ac:dyDescent="0.2">
      <c r="A857" s="119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8"/>
      <c r="AJ857" s="98"/>
      <c r="AK857" s="98"/>
      <c r="AL857" s="98"/>
      <c r="AM857" s="98"/>
      <c r="AN857" s="98"/>
      <c r="AO857" s="98"/>
      <c r="AP857" s="98"/>
      <c r="AQ857" s="98"/>
      <c r="AR857" s="98"/>
      <c r="AS857" s="98"/>
      <c r="AT857" s="98"/>
      <c r="AU857" s="98"/>
      <c r="AV857" s="98"/>
      <c r="AW857" s="98"/>
      <c r="AX857" s="98"/>
      <c r="AY857" s="98"/>
      <c r="AZ857" s="98"/>
      <c r="BA857" s="98"/>
      <c r="BB857" s="98"/>
      <c r="BC857" s="98"/>
      <c r="BD857" s="98"/>
      <c r="BE857" s="98"/>
      <c r="BF857" s="98"/>
      <c r="BG857" s="98"/>
      <c r="BH857" s="98"/>
      <c r="BI857" s="98"/>
      <c r="BJ857" s="98"/>
      <c r="BK857" s="98"/>
      <c r="BL857" s="98"/>
      <c r="BM857" s="98"/>
      <c r="BN857" s="98"/>
      <c r="BO857" s="98"/>
      <c r="BP857" s="98"/>
      <c r="BQ857" s="98"/>
      <c r="BR857" s="98"/>
      <c r="BS857" s="98"/>
      <c r="BT857" s="98"/>
      <c r="BU857" s="98"/>
      <c r="BV857" s="98"/>
      <c r="BW857" s="98"/>
      <c r="BX857" s="98"/>
      <c r="BY857" s="98"/>
      <c r="BZ857" s="98"/>
      <c r="CA857" s="98"/>
      <c r="CB857" s="98"/>
      <c r="CC857" s="98"/>
      <c r="CD857" s="98"/>
      <c r="CE857" s="98"/>
      <c r="CF857" s="98"/>
      <c r="CG857" s="98"/>
      <c r="CH857" s="98"/>
      <c r="CI857" s="98"/>
      <c r="CJ857" s="98"/>
      <c r="CK857" s="98"/>
    </row>
    <row r="858" spans="1:89" ht="15" x14ac:dyDescent="0.2">
      <c r="A858" s="119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8"/>
      <c r="AJ858" s="98"/>
      <c r="AK858" s="98"/>
      <c r="AL858" s="98"/>
      <c r="AM858" s="98"/>
      <c r="AN858" s="98"/>
      <c r="AO858" s="98"/>
      <c r="AP858" s="98"/>
      <c r="AQ858" s="98"/>
      <c r="AR858" s="98"/>
      <c r="AS858" s="98"/>
      <c r="AT858" s="98"/>
      <c r="AU858" s="98"/>
      <c r="AV858" s="98"/>
      <c r="AW858" s="98"/>
      <c r="AX858" s="98"/>
      <c r="AY858" s="98"/>
      <c r="AZ858" s="98"/>
      <c r="BA858" s="98"/>
      <c r="BB858" s="98"/>
      <c r="BC858" s="98"/>
      <c r="BD858" s="98"/>
      <c r="BE858" s="98"/>
      <c r="BF858" s="98"/>
      <c r="BG858" s="98"/>
      <c r="BH858" s="98"/>
      <c r="BI858" s="98"/>
      <c r="BJ858" s="98"/>
      <c r="BK858" s="98"/>
      <c r="BL858" s="98"/>
      <c r="BM858" s="98"/>
      <c r="BN858" s="98"/>
      <c r="BO858" s="98"/>
      <c r="BP858" s="98"/>
      <c r="BQ858" s="98"/>
      <c r="BR858" s="98"/>
      <c r="BS858" s="98"/>
      <c r="BT858" s="98"/>
      <c r="BU858" s="98"/>
      <c r="BV858" s="98"/>
      <c r="BW858" s="98"/>
      <c r="BX858" s="98"/>
      <c r="BY858" s="98"/>
      <c r="BZ858" s="98"/>
      <c r="CA858" s="98"/>
      <c r="CB858" s="98"/>
      <c r="CC858" s="98"/>
      <c r="CD858" s="98"/>
      <c r="CE858" s="98"/>
      <c r="CF858" s="98"/>
      <c r="CG858" s="98"/>
      <c r="CH858" s="98"/>
      <c r="CI858" s="98"/>
      <c r="CJ858" s="98"/>
      <c r="CK858" s="98"/>
    </row>
    <row r="859" spans="1:89" ht="15" x14ac:dyDescent="0.2">
      <c r="A859" s="119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8"/>
      <c r="AJ859" s="98"/>
      <c r="AK859" s="98"/>
      <c r="AL859" s="98"/>
      <c r="AM859" s="98"/>
      <c r="AN859" s="98"/>
      <c r="AO859" s="98"/>
      <c r="AP859" s="98"/>
      <c r="AQ859" s="98"/>
      <c r="AR859" s="98"/>
      <c r="AS859" s="98"/>
      <c r="AT859" s="98"/>
      <c r="AU859" s="98"/>
      <c r="AV859" s="98"/>
      <c r="AW859" s="98"/>
      <c r="AX859" s="98"/>
      <c r="AY859" s="98"/>
      <c r="AZ859" s="98"/>
      <c r="BA859" s="98"/>
      <c r="BB859" s="98"/>
      <c r="BC859" s="98"/>
      <c r="BD859" s="98"/>
      <c r="BE859" s="98"/>
      <c r="BF859" s="98"/>
      <c r="BG859" s="98"/>
      <c r="BH859" s="98"/>
      <c r="BI859" s="98"/>
      <c r="BJ859" s="98"/>
      <c r="BK859" s="98"/>
      <c r="BL859" s="98"/>
      <c r="BM859" s="98"/>
      <c r="BN859" s="98"/>
      <c r="BO859" s="98"/>
      <c r="BP859" s="98"/>
      <c r="BQ859" s="98"/>
      <c r="BR859" s="98"/>
      <c r="BS859" s="98"/>
      <c r="BT859" s="98"/>
      <c r="BU859" s="98"/>
      <c r="BV859" s="98"/>
      <c r="BW859" s="98"/>
      <c r="BX859" s="98"/>
      <c r="BY859" s="98"/>
      <c r="BZ859" s="98"/>
      <c r="CA859" s="98"/>
      <c r="CB859" s="98"/>
      <c r="CC859" s="98"/>
      <c r="CD859" s="98"/>
      <c r="CE859" s="98"/>
      <c r="CF859" s="98"/>
      <c r="CG859" s="98"/>
      <c r="CH859" s="98"/>
      <c r="CI859" s="98"/>
      <c r="CJ859" s="98"/>
      <c r="CK859" s="98"/>
    </row>
    <row r="860" spans="1:89" ht="15" x14ac:dyDescent="0.2">
      <c r="A860" s="119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8"/>
      <c r="AJ860" s="98"/>
      <c r="AK860" s="98"/>
      <c r="AL860" s="98"/>
      <c r="AM860" s="98"/>
      <c r="AN860" s="98"/>
      <c r="AO860" s="98"/>
      <c r="AP860" s="98"/>
      <c r="AQ860" s="98"/>
      <c r="AR860" s="98"/>
      <c r="AS860" s="98"/>
      <c r="AT860" s="98"/>
      <c r="AU860" s="98"/>
      <c r="AV860" s="98"/>
      <c r="AW860" s="98"/>
      <c r="AX860" s="98"/>
      <c r="AY860" s="98"/>
      <c r="AZ860" s="98"/>
      <c r="BA860" s="98"/>
      <c r="BB860" s="98"/>
      <c r="BC860" s="98"/>
      <c r="BD860" s="98"/>
      <c r="BE860" s="98"/>
      <c r="BF860" s="98"/>
      <c r="BG860" s="98"/>
      <c r="BH860" s="98"/>
      <c r="BI860" s="98"/>
      <c r="BJ860" s="98"/>
      <c r="BK860" s="98"/>
      <c r="BL860" s="98"/>
      <c r="BM860" s="98"/>
      <c r="BN860" s="98"/>
      <c r="BO860" s="98"/>
      <c r="BP860" s="98"/>
      <c r="BQ860" s="98"/>
      <c r="BR860" s="98"/>
      <c r="BS860" s="98"/>
      <c r="BT860" s="98"/>
      <c r="BU860" s="98"/>
      <c r="BV860" s="98"/>
      <c r="BW860" s="98"/>
      <c r="BX860" s="98"/>
      <c r="BY860" s="98"/>
      <c r="BZ860" s="98"/>
      <c r="CA860" s="98"/>
      <c r="CB860" s="98"/>
      <c r="CC860" s="98"/>
      <c r="CD860" s="98"/>
      <c r="CE860" s="98"/>
      <c r="CF860" s="98"/>
      <c r="CG860" s="98"/>
      <c r="CH860" s="98"/>
      <c r="CI860" s="98"/>
      <c r="CJ860" s="98"/>
      <c r="CK860" s="98"/>
    </row>
    <row r="861" spans="1:89" ht="15" x14ac:dyDescent="0.2">
      <c r="A861" s="119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  <c r="AM861" s="98"/>
      <c r="AN861" s="98"/>
      <c r="AO861" s="98"/>
      <c r="AP861" s="98"/>
      <c r="AQ861" s="98"/>
      <c r="AR861" s="98"/>
      <c r="AS861" s="98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8"/>
      <c r="BL861" s="98"/>
      <c r="BM861" s="98"/>
      <c r="BN861" s="98"/>
      <c r="BO861" s="98"/>
      <c r="BP861" s="98"/>
      <c r="BQ861" s="98"/>
      <c r="BR861" s="98"/>
      <c r="BS861" s="98"/>
      <c r="BT861" s="98"/>
      <c r="BU861" s="98"/>
      <c r="BV861" s="98"/>
      <c r="BW861" s="98"/>
      <c r="BX861" s="98"/>
      <c r="BY861" s="98"/>
      <c r="BZ861" s="98"/>
      <c r="CA861" s="98"/>
      <c r="CB861" s="98"/>
      <c r="CC861" s="98"/>
      <c r="CD861" s="98"/>
      <c r="CE861" s="98"/>
      <c r="CF861" s="98"/>
      <c r="CG861" s="98"/>
      <c r="CH861" s="98"/>
      <c r="CI861" s="98"/>
      <c r="CJ861" s="98"/>
      <c r="CK861" s="98"/>
    </row>
    <row r="862" spans="1:89" ht="15" x14ac:dyDescent="0.2">
      <c r="A862" s="119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8"/>
      <c r="AJ862" s="98"/>
      <c r="AK862" s="98"/>
      <c r="AL862" s="98"/>
      <c r="AM862" s="98"/>
      <c r="AN862" s="98"/>
      <c r="AO862" s="98"/>
      <c r="AP862" s="98"/>
      <c r="AQ862" s="98"/>
      <c r="AR862" s="98"/>
      <c r="AS862" s="98"/>
      <c r="AT862" s="98"/>
      <c r="AU862" s="98"/>
      <c r="AV862" s="98"/>
      <c r="AW862" s="98"/>
      <c r="AX862" s="98"/>
      <c r="AY862" s="98"/>
      <c r="AZ862" s="98"/>
      <c r="BA862" s="98"/>
      <c r="BB862" s="98"/>
      <c r="BC862" s="98"/>
      <c r="BD862" s="98"/>
      <c r="BE862" s="98"/>
      <c r="BF862" s="98"/>
      <c r="BG862" s="98"/>
      <c r="BH862" s="98"/>
      <c r="BI862" s="98"/>
      <c r="BJ862" s="98"/>
      <c r="BK862" s="98"/>
      <c r="BL862" s="98"/>
      <c r="BM862" s="98"/>
      <c r="BN862" s="98"/>
      <c r="BO862" s="98"/>
      <c r="BP862" s="98"/>
      <c r="BQ862" s="98"/>
      <c r="BR862" s="98"/>
      <c r="BS862" s="98"/>
      <c r="BT862" s="98"/>
      <c r="BU862" s="98"/>
      <c r="BV862" s="98"/>
      <c r="BW862" s="98"/>
      <c r="BX862" s="98"/>
      <c r="BY862" s="98"/>
      <c r="BZ862" s="98"/>
      <c r="CA862" s="98"/>
      <c r="CB862" s="98"/>
      <c r="CC862" s="98"/>
      <c r="CD862" s="98"/>
      <c r="CE862" s="98"/>
      <c r="CF862" s="98"/>
      <c r="CG862" s="98"/>
      <c r="CH862" s="98"/>
      <c r="CI862" s="98"/>
      <c r="CJ862" s="98"/>
      <c r="CK862" s="98"/>
    </row>
    <row r="863" spans="1:89" ht="15" x14ac:dyDescent="0.2">
      <c r="A863" s="119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8"/>
      <c r="AJ863" s="98"/>
      <c r="AK863" s="98"/>
      <c r="AL863" s="98"/>
      <c r="AM863" s="98"/>
      <c r="AN863" s="98"/>
      <c r="AO863" s="98"/>
      <c r="AP863" s="98"/>
      <c r="AQ863" s="98"/>
      <c r="AR863" s="98"/>
      <c r="AS863" s="98"/>
      <c r="AT863" s="98"/>
      <c r="AU863" s="98"/>
      <c r="AV863" s="98"/>
      <c r="AW863" s="98"/>
      <c r="AX863" s="98"/>
      <c r="AY863" s="98"/>
      <c r="AZ863" s="98"/>
      <c r="BA863" s="98"/>
      <c r="BB863" s="98"/>
      <c r="BC863" s="98"/>
      <c r="BD863" s="98"/>
      <c r="BE863" s="98"/>
      <c r="BF863" s="98"/>
      <c r="BG863" s="98"/>
      <c r="BH863" s="98"/>
      <c r="BI863" s="98"/>
      <c r="BJ863" s="98"/>
      <c r="BK863" s="98"/>
      <c r="BL863" s="98"/>
      <c r="BM863" s="98"/>
      <c r="BN863" s="98"/>
      <c r="BO863" s="98"/>
      <c r="BP863" s="98"/>
      <c r="BQ863" s="98"/>
      <c r="BR863" s="98"/>
      <c r="BS863" s="98"/>
      <c r="BT863" s="98"/>
      <c r="BU863" s="98"/>
      <c r="BV863" s="98"/>
      <c r="BW863" s="98"/>
      <c r="BX863" s="98"/>
      <c r="BY863" s="98"/>
      <c r="BZ863" s="98"/>
      <c r="CA863" s="98"/>
      <c r="CB863" s="98"/>
      <c r="CC863" s="98"/>
      <c r="CD863" s="98"/>
      <c r="CE863" s="98"/>
      <c r="CF863" s="98"/>
      <c r="CG863" s="98"/>
      <c r="CH863" s="98"/>
      <c r="CI863" s="98"/>
      <c r="CJ863" s="98"/>
      <c r="CK863" s="98"/>
    </row>
    <row r="864" spans="1:89" ht="15" x14ac:dyDescent="0.2">
      <c r="A864" s="119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  <c r="AI864" s="98"/>
      <c r="AJ864" s="98"/>
      <c r="AK864" s="98"/>
      <c r="AL864" s="98"/>
      <c r="AM864" s="98"/>
      <c r="AN864" s="98"/>
      <c r="AO864" s="98"/>
      <c r="AP864" s="98"/>
      <c r="AQ864" s="98"/>
      <c r="AR864" s="98"/>
      <c r="AS864" s="98"/>
      <c r="AT864" s="98"/>
      <c r="AU864" s="98"/>
      <c r="AV864" s="98"/>
      <c r="AW864" s="98"/>
      <c r="AX864" s="98"/>
      <c r="AY864" s="98"/>
      <c r="AZ864" s="98"/>
      <c r="BA864" s="98"/>
      <c r="BB864" s="98"/>
      <c r="BC864" s="98"/>
      <c r="BD864" s="98"/>
      <c r="BE864" s="98"/>
      <c r="BF864" s="98"/>
      <c r="BG864" s="98"/>
      <c r="BH864" s="98"/>
      <c r="BI864" s="98"/>
      <c r="BJ864" s="98"/>
      <c r="BK864" s="98"/>
      <c r="BL864" s="98"/>
      <c r="BM864" s="98"/>
      <c r="BN864" s="98"/>
      <c r="BO864" s="98"/>
      <c r="BP864" s="98"/>
      <c r="BQ864" s="98"/>
      <c r="BR864" s="98"/>
      <c r="BS864" s="98"/>
      <c r="BT864" s="98"/>
      <c r="BU864" s="98"/>
      <c r="BV864" s="98"/>
      <c r="BW864" s="98"/>
      <c r="BX864" s="98"/>
      <c r="BY864" s="98"/>
      <c r="BZ864" s="98"/>
      <c r="CA864" s="98"/>
      <c r="CB864" s="98"/>
      <c r="CC864" s="98"/>
      <c r="CD864" s="98"/>
      <c r="CE864" s="98"/>
      <c r="CF864" s="98"/>
      <c r="CG864" s="98"/>
      <c r="CH864" s="98"/>
      <c r="CI864" s="98"/>
      <c r="CJ864" s="98"/>
      <c r="CK864" s="98"/>
    </row>
    <row r="865" spans="1:89" ht="15" x14ac:dyDescent="0.2">
      <c r="A865" s="119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  <c r="AI865" s="98"/>
      <c r="AJ865" s="98"/>
      <c r="AK865" s="98"/>
      <c r="AL865" s="98"/>
      <c r="AM865" s="98"/>
      <c r="AN865" s="98"/>
      <c r="AO865" s="98"/>
      <c r="AP865" s="98"/>
      <c r="AQ865" s="98"/>
      <c r="AR865" s="98"/>
      <c r="AS865" s="98"/>
      <c r="AT865" s="98"/>
      <c r="AU865" s="98"/>
      <c r="AV865" s="98"/>
      <c r="AW865" s="98"/>
      <c r="AX865" s="98"/>
      <c r="AY865" s="98"/>
      <c r="AZ865" s="98"/>
      <c r="BA865" s="98"/>
      <c r="BB865" s="98"/>
      <c r="BC865" s="98"/>
      <c r="BD865" s="98"/>
      <c r="BE865" s="98"/>
      <c r="BF865" s="98"/>
      <c r="BG865" s="98"/>
      <c r="BH865" s="98"/>
      <c r="BI865" s="98"/>
      <c r="BJ865" s="98"/>
      <c r="BK865" s="98"/>
      <c r="BL865" s="98"/>
      <c r="BM865" s="98"/>
      <c r="BN865" s="98"/>
      <c r="BO865" s="98"/>
      <c r="BP865" s="98"/>
      <c r="BQ865" s="98"/>
      <c r="BR865" s="98"/>
      <c r="BS865" s="98"/>
      <c r="BT865" s="98"/>
      <c r="BU865" s="98"/>
      <c r="BV865" s="98"/>
      <c r="BW865" s="98"/>
      <c r="BX865" s="98"/>
      <c r="BY865" s="98"/>
      <c r="BZ865" s="98"/>
      <c r="CA865" s="98"/>
      <c r="CB865" s="98"/>
      <c r="CC865" s="98"/>
      <c r="CD865" s="98"/>
      <c r="CE865" s="98"/>
      <c r="CF865" s="98"/>
      <c r="CG865" s="98"/>
      <c r="CH865" s="98"/>
      <c r="CI865" s="98"/>
      <c r="CJ865" s="98"/>
      <c r="CK865" s="98"/>
    </row>
    <row r="866" spans="1:89" ht="15" x14ac:dyDescent="0.2">
      <c r="A866" s="119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8"/>
      <c r="AJ866" s="98"/>
      <c r="AK866" s="98"/>
      <c r="AL866" s="98"/>
      <c r="AM866" s="98"/>
      <c r="AN866" s="98"/>
      <c r="AO866" s="98"/>
      <c r="AP866" s="98"/>
      <c r="AQ866" s="98"/>
      <c r="AR866" s="98"/>
      <c r="AS866" s="98"/>
      <c r="AT866" s="98"/>
      <c r="AU866" s="98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98"/>
      <c r="BG866" s="98"/>
      <c r="BH866" s="98"/>
      <c r="BI866" s="98"/>
      <c r="BJ866" s="98"/>
      <c r="BK866" s="98"/>
      <c r="BL866" s="98"/>
      <c r="BM866" s="98"/>
      <c r="BN866" s="98"/>
      <c r="BO866" s="98"/>
      <c r="BP866" s="98"/>
      <c r="BQ866" s="98"/>
      <c r="BR866" s="98"/>
      <c r="BS866" s="98"/>
      <c r="BT866" s="98"/>
      <c r="BU866" s="98"/>
      <c r="BV866" s="98"/>
      <c r="BW866" s="98"/>
      <c r="BX866" s="98"/>
      <c r="BY866" s="98"/>
      <c r="BZ866" s="98"/>
      <c r="CA866" s="98"/>
      <c r="CB866" s="98"/>
      <c r="CC866" s="98"/>
      <c r="CD866" s="98"/>
      <c r="CE866" s="98"/>
      <c r="CF866" s="98"/>
      <c r="CG866" s="98"/>
      <c r="CH866" s="98"/>
      <c r="CI866" s="98"/>
      <c r="CJ866" s="98"/>
      <c r="CK866" s="98"/>
    </row>
    <row r="867" spans="1:89" ht="15" x14ac:dyDescent="0.2">
      <c r="A867" s="119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  <c r="AM867" s="98"/>
      <c r="AN867" s="98"/>
      <c r="AO867" s="98"/>
      <c r="AP867" s="98"/>
      <c r="AQ867" s="98"/>
      <c r="AR867" s="98"/>
      <c r="AS867" s="98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8"/>
      <c r="BL867" s="98"/>
      <c r="BM867" s="98"/>
      <c r="BN867" s="98"/>
      <c r="BO867" s="98"/>
      <c r="BP867" s="98"/>
      <c r="BQ867" s="98"/>
      <c r="BR867" s="98"/>
      <c r="BS867" s="98"/>
      <c r="BT867" s="98"/>
      <c r="BU867" s="98"/>
      <c r="BV867" s="98"/>
      <c r="BW867" s="98"/>
      <c r="BX867" s="98"/>
      <c r="BY867" s="98"/>
      <c r="BZ867" s="98"/>
      <c r="CA867" s="98"/>
      <c r="CB867" s="98"/>
      <c r="CC867" s="98"/>
      <c r="CD867" s="98"/>
      <c r="CE867" s="98"/>
      <c r="CF867" s="98"/>
      <c r="CG867" s="98"/>
      <c r="CH867" s="98"/>
      <c r="CI867" s="98"/>
      <c r="CJ867" s="98"/>
      <c r="CK867" s="98"/>
    </row>
    <row r="868" spans="1:89" ht="15" x14ac:dyDescent="0.2">
      <c r="A868" s="119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  <c r="AI868" s="98"/>
      <c r="AJ868" s="98"/>
      <c r="AK868" s="98"/>
      <c r="AL868" s="98"/>
      <c r="AM868" s="98"/>
      <c r="AN868" s="98"/>
      <c r="AO868" s="98"/>
      <c r="AP868" s="98"/>
      <c r="AQ868" s="98"/>
      <c r="AR868" s="98"/>
      <c r="AS868" s="98"/>
      <c r="AT868" s="98"/>
      <c r="AU868" s="98"/>
      <c r="AV868" s="98"/>
      <c r="AW868" s="98"/>
      <c r="AX868" s="98"/>
      <c r="AY868" s="98"/>
      <c r="AZ868" s="98"/>
      <c r="BA868" s="98"/>
      <c r="BB868" s="98"/>
      <c r="BC868" s="98"/>
      <c r="BD868" s="98"/>
      <c r="BE868" s="98"/>
      <c r="BF868" s="98"/>
      <c r="BG868" s="98"/>
      <c r="BH868" s="98"/>
      <c r="BI868" s="98"/>
      <c r="BJ868" s="98"/>
      <c r="BK868" s="98"/>
      <c r="BL868" s="98"/>
      <c r="BM868" s="98"/>
      <c r="BN868" s="98"/>
      <c r="BO868" s="98"/>
      <c r="BP868" s="98"/>
      <c r="BQ868" s="98"/>
      <c r="BR868" s="98"/>
      <c r="BS868" s="98"/>
      <c r="BT868" s="98"/>
      <c r="BU868" s="98"/>
      <c r="BV868" s="98"/>
      <c r="BW868" s="98"/>
      <c r="BX868" s="98"/>
      <c r="BY868" s="98"/>
      <c r="BZ868" s="98"/>
      <c r="CA868" s="98"/>
      <c r="CB868" s="98"/>
      <c r="CC868" s="98"/>
      <c r="CD868" s="98"/>
      <c r="CE868" s="98"/>
      <c r="CF868" s="98"/>
      <c r="CG868" s="98"/>
      <c r="CH868" s="98"/>
      <c r="CI868" s="98"/>
      <c r="CJ868" s="98"/>
      <c r="CK868" s="98"/>
    </row>
    <row r="869" spans="1:89" ht="15" x14ac:dyDescent="0.2">
      <c r="A869" s="119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8"/>
      <c r="AJ869" s="98"/>
      <c r="AK869" s="98"/>
      <c r="AL869" s="98"/>
      <c r="AM869" s="98"/>
      <c r="AN869" s="98"/>
      <c r="AO869" s="98"/>
      <c r="AP869" s="98"/>
      <c r="AQ869" s="98"/>
      <c r="AR869" s="98"/>
      <c r="AS869" s="98"/>
      <c r="AT869" s="98"/>
      <c r="AU869" s="98"/>
      <c r="AV869" s="98"/>
      <c r="AW869" s="98"/>
      <c r="AX869" s="98"/>
      <c r="AY869" s="98"/>
      <c r="AZ869" s="98"/>
      <c r="BA869" s="98"/>
      <c r="BB869" s="98"/>
      <c r="BC869" s="98"/>
      <c r="BD869" s="98"/>
      <c r="BE869" s="98"/>
      <c r="BF869" s="98"/>
      <c r="BG869" s="98"/>
      <c r="BH869" s="98"/>
      <c r="BI869" s="98"/>
      <c r="BJ869" s="98"/>
      <c r="BK869" s="98"/>
      <c r="BL869" s="98"/>
      <c r="BM869" s="98"/>
      <c r="BN869" s="98"/>
      <c r="BO869" s="98"/>
      <c r="BP869" s="98"/>
      <c r="BQ869" s="98"/>
      <c r="BR869" s="98"/>
      <c r="BS869" s="98"/>
      <c r="BT869" s="98"/>
      <c r="BU869" s="98"/>
      <c r="BV869" s="98"/>
      <c r="BW869" s="98"/>
      <c r="BX869" s="98"/>
      <c r="BY869" s="98"/>
      <c r="BZ869" s="98"/>
      <c r="CA869" s="98"/>
      <c r="CB869" s="98"/>
      <c r="CC869" s="98"/>
      <c r="CD869" s="98"/>
      <c r="CE869" s="98"/>
      <c r="CF869" s="98"/>
      <c r="CG869" s="98"/>
      <c r="CH869" s="98"/>
      <c r="CI869" s="98"/>
      <c r="CJ869" s="98"/>
      <c r="CK869" s="98"/>
    </row>
    <row r="870" spans="1:89" ht="15" x14ac:dyDescent="0.2">
      <c r="A870" s="119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8"/>
      <c r="AJ870" s="98"/>
      <c r="AK870" s="98"/>
      <c r="AL870" s="98"/>
      <c r="AM870" s="98"/>
      <c r="AN870" s="98"/>
      <c r="AO870" s="98"/>
      <c r="AP870" s="98"/>
      <c r="AQ870" s="98"/>
      <c r="AR870" s="98"/>
      <c r="AS870" s="98"/>
      <c r="AT870" s="98"/>
      <c r="AU870" s="98"/>
      <c r="AV870" s="98"/>
      <c r="AW870" s="98"/>
      <c r="AX870" s="98"/>
      <c r="AY870" s="98"/>
      <c r="AZ870" s="98"/>
      <c r="BA870" s="98"/>
      <c r="BB870" s="98"/>
      <c r="BC870" s="98"/>
      <c r="BD870" s="98"/>
      <c r="BE870" s="98"/>
      <c r="BF870" s="98"/>
      <c r="BG870" s="98"/>
      <c r="BH870" s="98"/>
      <c r="BI870" s="98"/>
      <c r="BJ870" s="98"/>
      <c r="BK870" s="98"/>
      <c r="BL870" s="98"/>
      <c r="BM870" s="98"/>
      <c r="BN870" s="98"/>
      <c r="BO870" s="98"/>
      <c r="BP870" s="98"/>
      <c r="BQ870" s="98"/>
      <c r="BR870" s="98"/>
      <c r="BS870" s="98"/>
      <c r="BT870" s="98"/>
      <c r="BU870" s="98"/>
      <c r="BV870" s="98"/>
      <c r="BW870" s="98"/>
      <c r="BX870" s="98"/>
      <c r="BY870" s="98"/>
      <c r="BZ870" s="98"/>
      <c r="CA870" s="98"/>
      <c r="CB870" s="98"/>
      <c r="CC870" s="98"/>
      <c r="CD870" s="98"/>
      <c r="CE870" s="98"/>
      <c r="CF870" s="98"/>
      <c r="CG870" s="98"/>
      <c r="CH870" s="98"/>
      <c r="CI870" s="98"/>
      <c r="CJ870" s="98"/>
      <c r="CK870" s="98"/>
    </row>
    <row r="871" spans="1:89" ht="15" x14ac:dyDescent="0.2">
      <c r="A871" s="119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8"/>
      <c r="AJ871" s="98"/>
      <c r="AK871" s="98"/>
      <c r="AL871" s="98"/>
      <c r="AM871" s="98"/>
      <c r="AN871" s="98"/>
      <c r="AO871" s="98"/>
      <c r="AP871" s="98"/>
      <c r="AQ871" s="98"/>
      <c r="AR871" s="98"/>
      <c r="AS871" s="98"/>
      <c r="AT871" s="98"/>
      <c r="AU871" s="98"/>
      <c r="AV871" s="98"/>
      <c r="AW871" s="98"/>
      <c r="AX871" s="98"/>
      <c r="AY871" s="98"/>
      <c r="AZ871" s="98"/>
      <c r="BA871" s="98"/>
      <c r="BB871" s="98"/>
      <c r="BC871" s="98"/>
      <c r="BD871" s="98"/>
      <c r="BE871" s="98"/>
      <c r="BF871" s="98"/>
      <c r="BG871" s="98"/>
      <c r="BH871" s="98"/>
      <c r="BI871" s="98"/>
      <c r="BJ871" s="98"/>
      <c r="BK871" s="98"/>
      <c r="BL871" s="98"/>
      <c r="BM871" s="98"/>
      <c r="BN871" s="98"/>
      <c r="BO871" s="98"/>
      <c r="BP871" s="98"/>
      <c r="BQ871" s="98"/>
      <c r="BR871" s="98"/>
      <c r="BS871" s="98"/>
      <c r="BT871" s="98"/>
      <c r="BU871" s="98"/>
      <c r="BV871" s="98"/>
      <c r="BW871" s="98"/>
      <c r="BX871" s="98"/>
      <c r="BY871" s="98"/>
      <c r="BZ871" s="98"/>
      <c r="CA871" s="98"/>
      <c r="CB871" s="98"/>
      <c r="CC871" s="98"/>
      <c r="CD871" s="98"/>
      <c r="CE871" s="98"/>
      <c r="CF871" s="98"/>
      <c r="CG871" s="98"/>
      <c r="CH871" s="98"/>
      <c r="CI871" s="98"/>
      <c r="CJ871" s="98"/>
      <c r="CK871" s="98"/>
    </row>
    <row r="872" spans="1:89" ht="15" x14ac:dyDescent="0.2">
      <c r="A872" s="119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8"/>
      <c r="AJ872" s="98"/>
      <c r="AK872" s="98"/>
      <c r="AL872" s="98"/>
      <c r="AM872" s="98"/>
      <c r="AN872" s="98"/>
      <c r="AO872" s="98"/>
      <c r="AP872" s="98"/>
      <c r="AQ872" s="98"/>
      <c r="AR872" s="98"/>
      <c r="AS872" s="98"/>
      <c r="AT872" s="98"/>
      <c r="AU872" s="98"/>
      <c r="AV872" s="98"/>
      <c r="AW872" s="98"/>
      <c r="AX872" s="98"/>
      <c r="AY872" s="98"/>
      <c r="AZ872" s="98"/>
      <c r="BA872" s="98"/>
      <c r="BB872" s="98"/>
      <c r="BC872" s="98"/>
      <c r="BD872" s="98"/>
      <c r="BE872" s="98"/>
      <c r="BF872" s="98"/>
      <c r="BG872" s="98"/>
      <c r="BH872" s="98"/>
      <c r="BI872" s="98"/>
      <c r="BJ872" s="98"/>
      <c r="BK872" s="98"/>
      <c r="BL872" s="98"/>
      <c r="BM872" s="98"/>
      <c r="BN872" s="98"/>
      <c r="BO872" s="98"/>
      <c r="BP872" s="98"/>
      <c r="BQ872" s="98"/>
      <c r="BR872" s="98"/>
      <c r="BS872" s="98"/>
      <c r="BT872" s="98"/>
      <c r="BU872" s="98"/>
      <c r="BV872" s="98"/>
      <c r="BW872" s="98"/>
      <c r="BX872" s="98"/>
      <c r="BY872" s="98"/>
      <c r="BZ872" s="98"/>
      <c r="CA872" s="98"/>
      <c r="CB872" s="98"/>
      <c r="CC872" s="98"/>
      <c r="CD872" s="98"/>
      <c r="CE872" s="98"/>
      <c r="CF872" s="98"/>
      <c r="CG872" s="98"/>
      <c r="CH872" s="98"/>
      <c r="CI872" s="98"/>
      <c r="CJ872" s="98"/>
      <c r="CK872" s="98"/>
    </row>
    <row r="873" spans="1:89" ht="15" x14ac:dyDescent="0.2">
      <c r="A873" s="119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8"/>
      <c r="AJ873" s="98"/>
      <c r="AK873" s="98"/>
      <c r="AL873" s="98"/>
      <c r="AM873" s="98"/>
      <c r="AN873" s="98"/>
      <c r="AO873" s="98"/>
      <c r="AP873" s="98"/>
      <c r="AQ873" s="98"/>
      <c r="AR873" s="98"/>
      <c r="AS873" s="98"/>
      <c r="AT873" s="98"/>
      <c r="AU873" s="98"/>
      <c r="AV873" s="98"/>
      <c r="AW873" s="98"/>
      <c r="AX873" s="98"/>
      <c r="AY873" s="98"/>
      <c r="AZ873" s="98"/>
      <c r="BA873" s="98"/>
      <c r="BB873" s="98"/>
      <c r="BC873" s="98"/>
      <c r="BD873" s="98"/>
      <c r="BE873" s="98"/>
      <c r="BF873" s="98"/>
      <c r="BG873" s="98"/>
      <c r="BH873" s="98"/>
      <c r="BI873" s="98"/>
      <c r="BJ873" s="98"/>
      <c r="BK873" s="98"/>
      <c r="BL873" s="98"/>
      <c r="BM873" s="98"/>
      <c r="BN873" s="98"/>
      <c r="BO873" s="98"/>
      <c r="BP873" s="98"/>
      <c r="BQ873" s="98"/>
      <c r="BR873" s="98"/>
      <c r="BS873" s="98"/>
      <c r="BT873" s="98"/>
      <c r="BU873" s="98"/>
      <c r="BV873" s="98"/>
      <c r="BW873" s="98"/>
      <c r="BX873" s="98"/>
      <c r="BY873" s="98"/>
      <c r="BZ873" s="98"/>
      <c r="CA873" s="98"/>
      <c r="CB873" s="98"/>
      <c r="CC873" s="98"/>
      <c r="CD873" s="98"/>
      <c r="CE873" s="98"/>
      <c r="CF873" s="98"/>
      <c r="CG873" s="98"/>
      <c r="CH873" s="98"/>
      <c r="CI873" s="98"/>
      <c r="CJ873" s="98"/>
      <c r="CK873" s="98"/>
    </row>
    <row r="874" spans="1:89" ht="15" x14ac:dyDescent="0.2">
      <c r="A874" s="119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8"/>
      <c r="AJ874" s="98"/>
      <c r="AK874" s="98"/>
      <c r="AL874" s="98"/>
      <c r="AM874" s="98"/>
      <c r="AN874" s="98"/>
      <c r="AO874" s="98"/>
      <c r="AP874" s="98"/>
      <c r="AQ874" s="98"/>
      <c r="AR874" s="98"/>
      <c r="AS874" s="98"/>
      <c r="AT874" s="98"/>
      <c r="AU874" s="98"/>
      <c r="AV874" s="98"/>
      <c r="AW874" s="98"/>
      <c r="AX874" s="98"/>
      <c r="AY874" s="98"/>
      <c r="AZ874" s="98"/>
      <c r="BA874" s="98"/>
      <c r="BB874" s="98"/>
      <c r="BC874" s="98"/>
      <c r="BD874" s="98"/>
      <c r="BE874" s="98"/>
      <c r="BF874" s="98"/>
      <c r="BG874" s="98"/>
      <c r="BH874" s="98"/>
      <c r="BI874" s="98"/>
      <c r="BJ874" s="98"/>
      <c r="BK874" s="98"/>
      <c r="BL874" s="98"/>
      <c r="BM874" s="98"/>
      <c r="BN874" s="98"/>
      <c r="BO874" s="98"/>
      <c r="BP874" s="98"/>
      <c r="BQ874" s="98"/>
      <c r="BR874" s="98"/>
      <c r="BS874" s="98"/>
      <c r="BT874" s="98"/>
      <c r="BU874" s="98"/>
      <c r="BV874" s="98"/>
      <c r="BW874" s="98"/>
      <c r="BX874" s="98"/>
      <c r="BY874" s="98"/>
      <c r="BZ874" s="98"/>
      <c r="CA874" s="98"/>
      <c r="CB874" s="98"/>
      <c r="CC874" s="98"/>
      <c r="CD874" s="98"/>
      <c r="CE874" s="98"/>
      <c r="CF874" s="98"/>
      <c r="CG874" s="98"/>
      <c r="CH874" s="98"/>
      <c r="CI874" s="98"/>
      <c r="CJ874" s="98"/>
      <c r="CK874" s="98"/>
    </row>
    <row r="875" spans="1:89" ht="15" x14ac:dyDescent="0.2">
      <c r="A875" s="119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8"/>
      <c r="AJ875" s="98"/>
      <c r="AK875" s="98"/>
      <c r="AL875" s="98"/>
      <c r="AM875" s="98"/>
      <c r="AN875" s="98"/>
      <c r="AO875" s="98"/>
      <c r="AP875" s="98"/>
      <c r="AQ875" s="98"/>
      <c r="AR875" s="98"/>
      <c r="AS875" s="98"/>
      <c r="AT875" s="98"/>
      <c r="AU875" s="98"/>
      <c r="AV875" s="98"/>
      <c r="AW875" s="98"/>
      <c r="AX875" s="98"/>
      <c r="AY875" s="98"/>
      <c r="AZ875" s="98"/>
      <c r="BA875" s="98"/>
      <c r="BB875" s="98"/>
      <c r="BC875" s="98"/>
      <c r="BD875" s="98"/>
      <c r="BE875" s="98"/>
      <c r="BF875" s="98"/>
      <c r="BG875" s="98"/>
      <c r="BH875" s="98"/>
      <c r="BI875" s="98"/>
      <c r="BJ875" s="98"/>
      <c r="BK875" s="98"/>
      <c r="BL875" s="98"/>
      <c r="BM875" s="98"/>
      <c r="BN875" s="98"/>
      <c r="BO875" s="98"/>
      <c r="BP875" s="98"/>
      <c r="BQ875" s="98"/>
      <c r="BR875" s="98"/>
      <c r="BS875" s="98"/>
      <c r="BT875" s="98"/>
      <c r="BU875" s="98"/>
      <c r="BV875" s="98"/>
      <c r="BW875" s="98"/>
      <c r="BX875" s="98"/>
      <c r="BY875" s="98"/>
      <c r="BZ875" s="98"/>
      <c r="CA875" s="98"/>
      <c r="CB875" s="98"/>
      <c r="CC875" s="98"/>
      <c r="CD875" s="98"/>
      <c r="CE875" s="98"/>
      <c r="CF875" s="98"/>
      <c r="CG875" s="98"/>
      <c r="CH875" s="98"/>
      <c r="CI875" s="98"/>
      <c r="CJ875" s="98"/>
      <c r="CK875" s="98"/>
    </row>
    <row r="876" spans="1:89" ht="15" x14ac:dyDescent="0.2">
      <c r="A876" s="119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8"/>
      <c r="AJ876" s="98"/>
      <c r="AK876" s="98"/>
      <c r="AL876" s="98"/>
      <c r="AM876" s="98"/>
      <c r="AN876" s="98"/>
      <c r="AO876" s="98"/>
      <c r="AP876" s="98"/>
      <c r="AQ876" s="98"/>
      <c r="AR876" s="98"/>
      <c r="AS876" s="98"/>
      <c r="AT876" s="98"/>
      <c r="AU876" s="98"/>
      <c r="AV876" s="98"/>
      <c r="AW876" s="98"/>
      <c r="AX876" s="98"/>
      <c r="AY876" s="98"/>
      <c r="AZ876" s="98"/>
      <c r="BA876" s="98"/>
      <c r="BB876" s="98"/>
      <c r="BC876" s="98"/>
      <c r="BD876" s="98"/>
      <c r="BE876" s="98"/>
      <c r="BF876" s="98"/>
      <c r="BG876" s="98"/>
      <c r="BH876" s="98"/>
      <c r="BI876" s="98"/>
      <c r="BJ876" s="98"/>
      <c r="BK876" s="98"/>
      <c r="BL876" s="98"/>
      <c r="BM876" s="98"/>
      <c r="BN876" s="98"/>
      <c r="BO876" s="98"/>
      <c r="BP876" s="98"/>
      <c r="BQ876" s="98"/>
      <c r="BR876" s="98"/>
      <c r="BS876" s="98"/>
      <c r="BT876" s="98"/>
      <c r="BU876" s="98"/>
      <c r="BV876" s="98"/>
      <c r="BW876" s="98"/>
      <c r="BX876" s="98"/>
      <c r="BY876" s="98"/>
      <c r="BZ876" s="98"/>
      <c r="CA876" s="98"/>
      <c r="CB876" s="98"/>
      <c r="CC876" s="98"/>
      <c r="CD876" s="98"/>
      <c r="CE876" s="98"/>
      <c r="CF876" s="98"/>
      <c r="CG876" s="98"/>
      <c r="CH876" s="98"/>
      <c r="CI876" s="98"/>
      <c r="CJ876" s="98"/>
      <c r="CK876" s="98"/>
    </row>
    <row r="877" spans="1:89" ht="15" x14ac:dyDescent="0.2">
      <c r="A877" s="119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8"/>
      <c r="AJ877" s="98"/>
      <c r="AK877" s="98"/>
      <c r="AL877" s="98"/>
      <c r="AM877" s="98"/>
      <c r="AN877" s="98"/>
      <c r="AO877" s="98"/>
      <c r="AP877" s="98"/>
      <c r="AQ877" s="98"/>
      <c r="AR877" s="98"/>
      <c r="AS877" s="98"/>
      <c r="AT877" s="98"/>
      <c r="AU877" s="98"/>
      <c r="AV877" s="98"/>
      <c r="AW877" s="98"/>
      <c r="AX877" s="98"/>
      <c r="AY877" s="98"/>
      <c r="AZ877" s="98"/>
      <c r="BA877" s="98"/>
      <c r="BB877" s="98"/>
      <c r="BC877" s="98"/>
      <c r="BD877" s="98"/>
      <c r="BE877" s="98"/>
      <c r="BF877" s="98"/>
      <c r="BG877" s="98"/>
      <c r="BH877" s="98"/>
      <c r="BI877" s="98"/>
      <c r="BJ877" s="98"/>
      <c r="BK877" s="98"/>
      <c r="BL877" s="98"/>
      <c r="BM877" s="98"/>
      <c r="BN877" s="98"/>
      <c r="BO877" s="98"/>
      <c r="BP877" s="98"/>
      <c r="BQ877" s="98"/>
      <c r="BR877" s="98"/>
      <c r="BS877" s="98"/>
      <c r="BT877" s="98"/>
      <c r="BU877" s="98"/>
      <c r="BV877" s="98"/>
      <c r="BW877" s="98"/>
      <c r="BX877" s="98"/>
      <c r="BY877" s="98"/>
      <c r="BZ877" s="98"/>
      <c r="CA877" s="98"/>
      <c r="CB877" s="98"/>
      <c r="CC877" s="98"/>
      <c r="CD877" s="98"/>
      <c r="CE877" s="98"/>
      <c r="CF877" s="98"/>
      <c r="CG877" s="98"/>
      <c r="CH877" s="98"/>
      <c r="CI877" s="98"/>
      <c r="CJ877" s="98"/>
      <c r="CK877" s="98"/>
    </row>
    <row r="878" spans="1:89" ht="15" x14ac:dyDescent="0.2">
      <c r="A878" s="119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8"/>
      <c r="AJ878" s="98"/>
      <c r="AK878" s="98"/>
      <c r="AL878" s="98"/>
      <c r="AM878" s="98"/>
      <c r="AN878" s="98"/>
      <c r="AO878" s="98"/>
      <c r="AP878" s="98"/>
      <c r="AQ878" s="98"/>
      <c r="AR878" s="98"/>
      <c r="AS878" s="98"/>
      <c r="AT878" s="98"/>
      <c r="AU878" s="98"/>
      <c r="AV878" s="98"/>
      <c r="AW878" s="98"/>
      <c r="AX878" s="98"/>
      <c r="AY878" s="98"/>
      <c r="AZ878" s="98"/>
      <c r="BA878" s="98"/>
      <c r="BB878" s="98"/>
      <c r="BC878" s="98"/>
      <c r="BD878" s="98"/>
      <c r="BE878" s="98"/>
      <c r="BF878" s="98"/>
      <c r="BG878" s="98"/>
      <c r="BH878" s="98"/>
      <c r="BI878" s="98"/>
      <c r="BJ878" s="98"/>
      <c r="BK878" s="98"/>
      <c r="BL878" s="98"/>
      <c r="BM878" s="98"/>
      <c r="BN878" s="98"/>
      <c r="BO878" s="98"/>
      <c r="BP878" s="98"/>
      <c r="BQ878" s="98"/>
      <c r="BR878" s="98"/>
      <c r="BS878" s="98"/>
      <c r="BT878" s="98"/>
      <c r="BU878" s="98"/>
      <c r="BV878" s="98"/>
      <c r="BW878" s="98"/>
      <c r="BX878" s="98"/>
      <c r="BY878" s="98"/>
      <c r="BZ878" s="98"/>
      <c r="CA878" s="98"/>
      <c r="CB878" s="98"/>
      <c r="CC878" s="98"/>
      <c r="CD878" s="98"/>
      <c r="CE878" s="98"/>
      <c r="CF878" s="98"/>
      <c r="CG878" s="98"/>
      <c r="CH878" s="98"/>
      <c r="CI878" s="98"/>
      <c r="CJ878" s="98"/>
      <c r="CK878" s="98"/>
    </row>
    <row r="879" spans="1:89" ht="15" x14ac:dyDescent="0.2">
      <c r="A879" s="119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  <c r="AI879" s="98"/>
      <c r="AJ879" s="98"/>
      <c r="AK879" s="98"/>
      <c r="AL879" s="98"/>
      <c r="AM879" s="98"/>
      <c r="AN879" s="98"/>
      <c r="AO879" s="98"/>
      <c r="AP879" s="98"/>
      <c r="AQ879" s="98"/>
      <c r="AR879" s="98"/>
      <c r="AS879" s="98"/>
      <c r="AT879" s="98"/>
      <c r="AU879" s="98"/>
      <c r="AV879" s="98"/>
      <c r="AW879" s="98"/>
      <c r="AX879" s="98"/>
      <c r="AY879" s="98"/>
      <c r="AZ879" s="98"/>
      <c r="BA879" s="98"/>
      <c r="BB879" s="98"/>
      <c r="BC879" s="98"/>
      <c r="BD879" s="98"/>
      <c r="BE879" s="98"/>
      <c r="BF879" s="98"/>
      <c r="BG879" s="98"/>
      <c r="BH879" s="98"/>
      <c r="BI879" s="98"/>
      <c r="BJ879" s="98"/>
      <c r="BK879" s="98"/>
      <c r="BL879" s="98"/>
      <c r="BM879" s="98"/>
      <c r="BN879" s="98"/>
      <c r="BO879" s="98"/>
      <c r="BP879" s="98"/>
      <c r="BQ879" s="98"/>
      <c r="BR879" s="98"/>
      <c r="BS879" s="98"/>
      <c r="BT879" s="98"/>
      <c r="BU879" s="98"/>
      <c r="BV879" s="98"/>
      <c r="BW879" s="98"/>
      <c r="BX879" s="98"/>
      <c r="BY879" s="98"/>
      <c r="BZ879" s="98"/>
      <c r="CA879" s="98"/>
      <c r="CB879" s="98"/>
      <c r="CC879" s="98"/>
      <c r="CD879" s="98"/>
      <c r="CE879" s="98"/>
      <c r="CF879" s="98"/>
      <c r="CG879" s="98"/>
      <c r="CH879" s="98"/>
      <c r="CI879" s="98"/>
      <c r="CJ879" s="98"/>
      <c r="CK879" s="98"/>
    </row>
    <row r="880" spans="1:89" ht="15" x14ac:dyDescent="0.2">
      <c r="A880" s="119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  <c r="AI880" s="98"/>
      <c r="AJ880" s="98"/>
      <c r="AK880" s="98"/>
      <c r="AL880" s="98"/>
      <c r="AM880" s="98"/>
      <c r="AN880" s="98"/>
      <c r="AO880" s="98"/>
      <c r="AP880" s="98"/>
      <c r="AQ880" s="98"/>
      <c r="AR880" s="98"/>
      <c r="AS880" s="98"/>
      <c r="AT880" s="98"/>
      <c r="AU880" s="98"/>
      <c r="AV880" s="98"/>
      <c r="AW880" s="98"/>
      <c r="AX880" s="98"/>
      <c r="AY880" s="98"/>
      <c r="AZ880" s="98"/>
      <c r="BA880" s="98"/>
      <c r="BB880" s="98"/>
      <c r="BC880" s="98"/>
      <c r="BD880" s="98"/>
      <c r="BE880" s="98"/>
      <c r="BF880" s="98"/>
      <c r="BG880" s="98"/>
      <c r="BH880" s="98"/>
      <c r="BI880" s="98"/>
      <c r="BJ880" s="98"/>
      <c r="BK880" s="98"/>
      <c r="BL880" s="98"/>
      <c r="BM880" s="98"/>
      <c r="BN880" s="98"/>
      <c r="BO880" s="98"/>
      <c r="BP880" s="98"/>
      <c r="BQ880" s="98"/>
      <c r="BR880" s="98"/>
      <c r="BS880" s="98"/>
      <c r="BT880" s="98"/>
      <c r="BU880" s="98"/>
      <c r="BV880" s="98"/>
      <c r="BW880" s="98"/>
      <c r="BX880" s="98"/>
      <c r="BY880" s="98"/>
      <c r="BZ880" s="98"/>
      <c r="CA880" s="98"/>
      <c r="CB880" s="98"/>
      <c r="CC880" s="98"/>
      <c r="CD880" s="98"/>
      <c r="CE880" s="98"/>
      <c r="CF880" s="98"/>
      <c r="CG880" s="98"/>
      <c r="CH880" s="98"/>
      <c r="CI880" s="98"/>
      <c r="CJ880" s="98"/>
      <c r="CK880" s="98"/>
    </row>
    <row r="881" spans="1:89" ht="15" x14ac:dyDescent="0.2">
      <c r="A881" s="119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  <c r="AI881" s="98"/>
      <c r="AJ881" s="98"/>
      <c r="AK881" s="98"/>
      <c r="AL881" s="98"/>
      <c r="AM881" s="98"/>
      <c r="AN881" s="98"/>
      <c r="AO881" s="98"/>
      <c r="AP881" s="98"/>
      <c r="AQ881" s="98"/>
      <c r="AR881" s="98"/>
      <c r="AS881" s="98"/>
      <c r="AT881" s="98"/>
      <c r="AU881" s="98"/>
      <c r="AV881" s="98"/>
      <c r="AW881" s="98"/>
      <c r="AX881" s="98"/>
      <c r="AY881" s="98"/>
      <c r="AZ881" s="98"/>
      <c r="BA881" s="98"/>
      <c r="BB881" s="98"/>
      <c r="BC881" s="98"/>
      <c r="BD881" s="98"/>
      <c r="BE881" s="98"/>
      <c r="BF881" s="98"/>
      <c r="BG881" s="98"/>
      <c r="BH881" s="98"/>
      <c r="BI881" s="98"/>
      <c r="BJ881" s="98"/>
      <c r="BK881" s="98"/>
      <c r="BL881" s="98"/>
      <c r="BM881" s="98"/>
      <c r="BN881" s="98"/>
      <c r="BO881" s="98"/>
      <c r="BP881" s="98"/>
      <c r="BQ881" s="98"/>
      <c r="BR881" s="98"/>
      <c r="BS881" s="98"/>
      <c r="BT881" s="98"/>
      <c r="BU881" s="98"/>
      <c r="BV881" s="98"/>
      <c r="BW881" s="98"/>
      <c r="BX881" s="98"/>
      <c r="BY881" s="98"/>
      <c r="BZ881" s="98"/>
      <c r="CA881" s="98"/>
      <c r="CB881" s="98"/>
      <c r="CC881" s="98"/>
      <c r="CD881" s="98"/>
      <c r="CE881" s="98"/>
      <c r="CF881" s="98"/>
      <c r="CG881" s="98"/>
      <c r="CH881" s="98"/>
      <c r="CI881" s="98"/>
      <c r="CJ881" s="98"/>
      <c r="CK881" s="98"/>
    </row>
    <row r="882" spans="1:89" ht="15" x14ac:dyDescent="0.2">
      <c r="A882" s="119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  <c r="AI882" s="98"/>
      <c r="AJ882" s="98"/>
      <c r="AK882" s="98"/>
      <c r="AL882" s="98"/>
      <c r="AM882" s="98"/>
      <c r="AN882" s="98"/>
      <c r="AO882" s="98"/>
      <c r="AP882" s="98"/>
      <c r="AQ882" s="98"/>
      <c r="AR882" s="98"/>
      <c r="AS882" s="98"/>
      <c r="AT882" s="98"/>
      <c r="AU882" s="98"/>
      <c r="AV882" s="98"/>
      <c r="AW882" s="98"/>
      <c r="AX882" s="98"/>
      <c r="AY882" s="98"/>
      <c r="AZ882" s="98"/>
      <c r="BA882" s="98"/>
      <c r="BB882" s="98"/>
      <c r="BC882" s="98"/>
      <c r="BD882" s="98"/>
      <c r="BE882" s="98"/>
      <c r="BF882" s="98"/>
      <c r="BG882" s="98"/>
      <c r="BH882" s="98"/>
      <c r="BI882" s="98"/>
      <c r="BJ882" s="98"/>
      <c r="BK882" s="98"/>
      <c r="BL882" s="98"/>
      <c r="BM882" s="98"/>
      <c r="BN882" s="98"/>
      <c r="BO882" s="98"/>
      <c r="BP882" s="98"/>
      <c r="BQ882" s="98"/>
      <c r="BR882" s="98"/>
      <c r="BS882" s="98"/>
      <c r="BT882" s="98"/>
      <c r="BU882" s="98"/>
      <c r="BV882" s="98"/>
      <c r="BW882" s="98"/>
      <c r="BX882" s="98"/>
      <c r="BY882" s="98"/>
      <c r="BZ882" s="98"/>
      <c r="CA882" s="98"/>
      <c r="CB882" s="98"/>
      <c r="CC882" s="98"/>
      <c r="CD882" s="98"/>
      <c r="CE882" s="98"/>
      <c r="CF882" s="98"/>
      <c r="CG882" s="98"/>
      <c r="CH882" s="98"/>
      <c r="CI882" s="98"/>
      <c r="CJ882" s="98"/>
      <c r="CK882" s="98"/>
    </row>
    <row r="883" spans="1:89" ht="15" x14ac:dyDescent="0.2">
      <c r="A883" s="119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  <c r="AI883" s="98"/>
      <c r="AJ883" s="98"/>
      <c r="AK883" s="98"/>
      <c r="AL883" s="98"/>
      <c r="AM883" s="98"/>
      <c r="AN883" s="98"/>
      <c r="AO883" s="98"/>
      <c r="AP883" s="98"/>
      <c r="AQ883" s="98"/>
      <c r="AR883" s="98"/>
      <c r="AS883" s="98"/>
      <c r="AT883" s="98"/>
      <c r="AU883" s="98"/>
      <c r="AV883" s="98"/>
      <c r="AW883" s="98"/>
      <c r="AX883" s="98"/>
      <c r="AY883" s="98"/>
      <c r="AZ883" s="98"/>
      <c r="BA883" s="98"/>
      <c r="BB883" s="98"/>
      <c r="BC883" s="98"/>
      <c r="BD883" s="98"/>
      <c r="BE883" s="98"/>
      <c r="BF883" s="98"/>
      <c r="BG883" s="98"/>
      <c r="BH883" s="98"/>
      <c r="BI883" s="98"/>
      <c r="BJ883" s="98"/>
      <c r="BK883" s="98"/>
      <c r="BL883" s="98"/>
      <c r="BM883" s="98"/>
      <c r="BN883" s="98"/>
      <c r="BO883" s="98"/>
      <c r="BP883" s="98"/>
      <c r="BQ883" s="98"/>
      <c r="BR883" s="98"/>
      <c r="BS883" s="98"/>
      <c r="BT883" s="98"/>
      <c r="BU883" s="98"/>
      <c r="BV883" s="98"/>
      <c r="BW883" s="98"/>
      <c r="BX883" s="98"/>
      <c r="BY883" s="98"/>
      <c r="BZ883" s="98"/>
      <c r="CA883" s="98"/>
      <c r="CB883" s="98"/>
      <c r="CC883" s="98"/>
      <c r="CD883" s="98"/>
      <c r="CE883" s="98"/>
      <c r="CF883" s="98"/>
      <c r="CG883" s="98"/>
      <c r="CH883" s="98"/>
      <c r="CI883" s="98"/>
      <c r="CJ883" s="98"/>
      <c r="CK883" s="98"/>
    </row>
    <row r="884" spans="1:89" ht="15" x14ac:dyDescent="0.2">
      <c r="A884" s="119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  <c r="AI884" s="98"/>
      <c r="AJ884" s="98"/>
      <c r="AK884" s="98"/>
      <c r="AL884" s="98"/>
      <c r="AM884" s="98"/>
      <c r="AN884" s="98"/>
      <c r="AO884" s="98"/>
      <c r="AP884" s="98"/>
      <c r="AQ884" s="98"/>
      <c r="AR884" s="98"/>
      <c r="AS884" s="98"/>
      <c r="AT884" s="98"/>
      <c r="AU884" s="98"/>
      <c r="AV884" s="98"/>
      <c r="AW884" s="98"/>
      <c r="AX884" s="98"/>
      <c r="AY884" s="98"/>
      <c r="AZ884" s="98"/>
      <c r="BA884" s="98"/>
      <c r="BB884" s="98"/>
      <c r="BC884" s="98"/>
      <c r="BD884" s="98"/>
      <c r="BE884" s="98"/>
      <c r="BF884" s="98"/>
      <c r="BG884" s="98"/>
      <c r="BH884" s="98"/>
      <c r="BI884" s="98"/>
      <c r="BJ884" s="98"/>
      <c r="BK884" s="98"/>
      <c r="BL884" s="98"/>
      <c r="BM884" s="98"/>
      <c r="BN884" s="98"/>
      <c r="BO884" s="98"/>
      <c r="BP884" s="98"/>
      <c r="BQ884" s="98"/>
      <c r="BR884" s="98"/>
      <c r="BS884" s="98"/>
      <c r="BT884" s="98"/>
      <c r="BU884" s="98"/>
      <c r="BV884" s="98"/>
      <c r="BW884" s="98"/>
      <c r="BX884" s="98"/>
      <c r="BY884" s="98"/>
      <c r="BZ884" s="98"/>
      <c r="CA884" s="98"/>
      <c r="CB884" s="98"/>
      <c r="CC884" s="98"/>
      <c r="CD884" s="98"/>
      <c r="CE884" s="98"/>
      <c r="CF884" s="98"/>
      <c r="CG884" s="98"/>
      <c r="CH884" s="98"/>
      <c r="CI884" s="98"/>
      <c r="CJ884" s="98"/>
      <c r="CK884" s="98"/>
    </row>
    <row r="885" spans="1:89" ht="15" x14ac:dyDescent="0.2">
      <c r="A885" s="119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  <c r="AI885" s="98"/>
      <c r="AJ885" s="98"/>
      <c r="AK885" s="98"/>
      <c r="AL885" s="98"/>
      <c r="AM885" s="98"/>
      <c r="AN885" s="98"/>
      <c r="AO885" s="98"/>
      <c r="AP885" s="98"/>
      <c r="AQ885" s="98"/>
      <c r="AR885" s="98"/>
      <c r="AS885" s="98"/>
      <c r="AT885" s="98"/>
      <c r="AU885" s="98"/>
      <c r="AV885" s="98"/>
      <c r="AW885" s="98"/>
      <c r="AX885" s="98"/>
      <c r="AY885" s="98"/>
      <c r="AZ885" s="98"/>
      <c r="BA885" s="98"/>
      <c r="BB885" s="98"/>
      <c r="BC885" s="98"/>
      <c r="BD885" s="98"/>
      <c r="BE885" s="98"/>
      <c r="BF885" s="98"/>
      <c r="BG885" s="98"/>
      <c r="BH885" s="98"/>
      <c r="BI885" s="98"/>
      <c r="BJ885" s="98"/>
      <c r="BK885" s="98"/>
      <c r="BL885" s="98"/>
      <c r="BM885" s="98"/>
      <c r="BN885" s="98"/>
      <c r="BO885" s="98"/>
      <c r="BP885" s="98"/>
      <c r="BQ885" s="98"/>
      <c r="BR885" s="98"/>
      <c r="BS885" s="98"/>
      <c r="BT885" s="98"/>
      <c r="BU885" s="98"/>
      <c r="BV885" s="98"/>
      <c r="BW885" s="98"/>
      <c r="BX885" s="98"/>
      <c r="BY885" s="98"/>
      <c r="BZ885" s="98"/>
      <c r="CA885" s="98"/>
      <c r="CB885" s="98"/>
      <c r="CC885" s="98"/>
      <c r="CD885" s="98"/>
      <c r="CE885" s="98"/>
      <c r="CF885" s="98"/>
      <c r="CG885" s="98"/>
      <c r="CH885" s="98"/>
      <c r="CI885" s="98"/>
      <c r="CJ885" s="98"/>
      <c r="CK885" s="98"/>
    </row>
    <row r="886" spans="1:89" ht="15" x14ac:dyDescent="0.2">
      <c r="A886" s="119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  <c r="AI886" s="98"/>
      <c r="AJ886" s="98"/>
      <c r="AK886" s="98"/>
      <c r="AL886" s="98"/>
      <c r="AM886" s="98"/>
      <c r="AN886" s="98"/>
      <c r="AO886" s="98"/>
      <c r="AP886" s="98"/>
      <c r="AQ886" s="98"/>
      <c r="AR886" s="98"/>
      <c r="AS886" s="98"/>
      <c r="AT886" s="98"/>
      <c r="AU886" s="98"/>
      <c r="AV886" s="98"/>
      <c r="AW886" s="98"/>
      <c r="AX886" s="98"/>
      <c r="AY886" s="98"/>
      <c r="AZ886" s="98"/>
      <c r="BA886" s="98"/>
      <c r="BB886" s="98"/>
      <c r="BC886" s="98"/>
      <c r="BD886" s="98"/>
      <c r="BE886" s="98"/>
      <c r="BF886" s="98"/>
      <c r="BG886" s="98"/>
      <c r="BH886" s="98"/>
      <c r="BI886" s="98"/>
      <c r="BJ886" s="98"/>
      <c r="BK886" s="98"/>
      <c r="BL886" s="98"/>
      <c r="BM886" s="98"/>
      <c r="BN886" s="98"/>
      <c r="BO886" s="98"/>
      <c r="BP886" s="98"/>
      <c r="BQ886" s="98"/>
      <c r="BR886" s="98"/>
      <c r="BS886" s="98"/>
      <c r="BT886" s="98"/>
      <c r="BU886" s="98"/>
      <c r="BV886" s="98"/>
      <c r="BW886" s="98"/>
      <c r="BX886" s="98"/>
      <c r="BY886" s="98"/>
      <c r="BZ886" s="98"/>
      <c r="CA886" s="98"/>
      <c r="CB886" s="98"/>
      <c r="CC886" s="98"/>
      <c r="CD886" s="98"/>
      <c r="CE886" s="98"/>
      <c r="CF886" s="98"/>
      <c r="CG886" s="98"/>
      <c r="CH886" s="98"/>
      <c r="CI886" s="98"/>
      <c r="CJ886" s="98"/>
      <c r="CK886" s="98"/>
    </row>
    <row r="887" spans="1:89" ht="15" x14ac:dyDescent="0.2">
      <c r="A887" s="119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  <c r="AI887" s="98"/>
      <c r="AJ887" s="98"/>
      <c r="AK887" s="98"/>
      <c r="AL887" s="98"/>
      <c r="AM887" s="98"/>
      <c r="AN887" s="98"/>
      <c r="AO887" s="98"/>
      <c r="AP887" s="98"/>
      <c r="AQ887" s="98"/>
      <c r="AR887" s="98"/>
      <c r="AS887" s="98"/>
      <c r="AT887" s="98"/>
      <c r="AU887" s="98"/>
      <c r="AV887" s="98"/>
      <c r="AW887" s="98"/>
      <c r="AX887" s="98"/>
      <c r="AY887" s="98"/>
      <c r="AZ887" s="98"/>
      <c r="BA887" s="98"/>
      <c r="BB887" s="98"/>
      <c r="BC887" s="98"/>
      <c r="BD887" s="98"/>
      <c r="BE887" s="98"/>
      <c r="BF887" s="98"/>
      <c r="BG887" s="98"/>
      <c r="BH887" s="98"/>
      <c r="BI887" s="98"/>
      <c r="BJ887" s="98"/>
      <c r="BK887" s="98"/>
      <c r="BL887" s="98"/>
      <c r="BM887" s="98"/>
      <c r="BN887" s="98"/>
      <c r="BO887" s="98"/>
      <c r="BP887" s="98"/>
      <c r="BQ887" s="98"/>
      <c r="BR887" s="98"/>
      <c r="BS887" s="98"/>
      <c r="BT887" s="98"/>
      <c r="BU887" s="98"/>
      <c r="BV887" s="98"/>
      <c r="BW887" s="98"/>
      <c r="BX887" s="98"/>
      <c r="BY887" s="98"/>
      <c r="BZ887" s="98"/>
      <c r="CA887" s="98"/>
      <c r="CB887" s="98"/>
      <c r="CC887" s="98"/>
      <c r="CD887" s="98"/>
      <c r="CE887" s="98"/>
      <c r="CF887" s="98"/>
      <c r="CG887" s="98"/>
      <c r="CH887" s="98"/>
      <c r="CI887" s="98"/>
      <c r="CJ887" s="98"/>
      <c r="CK887" s="98"/>
    </row>
    <row r="888" spans="1:89" ht="15" x14ac:dyDescent="0.2">
      <c r="A888" s="119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  <c r="AI888" s="98"/>
      <c r="AJ888" s="98"/>
      <c r="AK888" s="98"/>
      <c r="AL888" s="98"/>
      <c r="AM888" s="98"/>
      <c r="AN888" s="98"/>
      <c r="AO888" s="98"/>
      <c r="AP888" s="98"/>
      <c r="AQ888" s="98"/>
      <c r="AR888" s="98"/>
      <c r="AS888" s="98"/>
      <c r="AT888" s="98"/>
      <c r="AU888" s="98"/>
      <c r="AV888" s="98"/>
      <c r="AW888" s="98"/>
      <c r="AX888" s="98"/>
      <c r="AY888" s="98"/>
      <c r="AZ888" s="98"/>
      <c r="BA888" s="98"/>
      <c r="BB888" s="98"/>
      <c r="BC888" s="98"/>
      <c r="BD888" s="98"/>
      <c r="BE888" s="98"/>
      <c r="BF888" s="98"/>
      <c r="BG888" s="98"/>
      <c r="BH888" s="98"/>
      <c r="BI888" s="98"/>
      <c r="BJ888" s="98"/>
      <c r="BK888" s="98"/>
      <c r="BL888" s="98"/>
      <c r="BM888" s="98"/>
      <c r="BN888" s="98"/>
      <c r="BO888" s="98"/>
      <c r="BP888" s="98"/>
      <c r="BQ888" s="98"/>
      <c r="BR888" s="98"/>
      <c r="BS888" s="98"/>
      <c r="BT888" s="98"/>
      <c r="BU888" s="98"/>
      <c r="BV888" s="98"/>
      <c r="BW888" s="98"/>
      <c r="BX888" s="98"/>
      <c r="BY888" s="98"/>
      <c r="BZ888" s="98"/>
      <c r="CA888" s="98"/>
      <c r="CB888" s="98"/>
      <c r="CC888" s="98"/>
      <c r="CD888" s="98"/>
      <c r="CE888" s="98"/>
      <c r="CF888" s="98"/>
      <c r="CG888" s="98"/>
      <c r="CH888" s="98"/>
      <c r="CI888" s="98"/>
      <c r="CJ888" s="98"/>
      <c r="CK888" s="98"/>
    </row>
    <row r="889" spans="1:89" ht="15" x14ac:dyDescent="0.2">
      <c r="A889" s="119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  <c r="AI889" s="98"/>
      <c r="AJ889" s="98"/>
      <c r="AK889" s="98"/>
      <c r="AL889" s="98"/>
      <c r="AM889" s="98"/>
      <c r="AN889" s="98"/>
      <c r="AO889" s="98"/>
      <c r="AP889" s="98"/>
      <c r="AQ889" s="98"/>
      <c r="AR889" s="98"/>
      <c r="AS889" s="98"/>
      <c r="AT889" s="98"/>
      <c r="AU889" s="98"/>
      <c r="AV889" s="98"/>
      <c r="AW889" s="98"/>
      <c r="AX889" s="98"/>
      <c r="AY889" s="98"/>
      <c r="AZ889" s="98"/>
      <c r="BA889" s="98"/>
      <c r="BB889" s="98"/>
      <c r="BC889" s="98"/>
      <c r="BD889" s="98"/>
      <c r="BE889" s="98"/>
      <c r="BF889" s="98"/>
      <c r="BG889" s="98"/>
      <c r="BH889" s="98"/>
      <c r="BI889" s="98"/>
      <c r="BJ889" s="98"/>
      <c r="BK889" s="98"/>
      <c r="BL889" s="98"/>
      <c r="BM889" s="98"/>
      <c r="BN889" s="98"/>
      <c r="BO889" s="98"/>
      <c r="BP889" s="98"/>
      <c r="BQ889" s="98"/>
      <c r="BR889" s="98"/>
      <c r="BS889" s="98"/>
      <c r="BT889" s="98"/>
      <c r="BU889" s="98"/>
      <c r="BV889" s="98"/>
      <c r="BW889" s="98"/>
      <c r="BX889" s="98"/>
      <c r="BY889" s="98"/>
      <c r="BZ889" s="98"/>
      <c r="CA889" s="98"/>
      <c r="CB889" s="98"/>
      <c r="CC889" s="98"/>
      <c r="CD889" s="98"/>
      <c r="CE889" s="98"/>
      <c r="CF889" s="98"/>
      <c r="CG889" s="98"/>
      <c r="CH889" s="98"/>
      <c r="CI889" s="98"/>
      <c r="CJ889" s="98"/>
      <c r="CK889" s="98"/>
    </row>
    <row r="890" spans="1:89" ht="15" x14ac:dyDescent="0.2">
      <c r="A890" s="119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  <c r="AI890" s="98"/>
      <c r="AJ890" s="98"/>
      <c r="AK890" s="98"/>
      <c r="AL890" s="98"/>
      <c r="AM890" s="98"/>
      <c r="AN890" s="98"/>
      <c r="AO890" s="98"/>
      <c r="AP890" s="98"/>
      <c r="AQ890" s="98"/>
      <c r="AR890" s="98"/>
      <c r="AS890" s="98"/>
      <c r="AT890" s="98"/>
      <c r="AU890" s="98"/>
      <c r="AV890" s="98"/>
      <c r="AW890" s="98"/>
      <c r="AX890" s="98"/>
      <c r="AY890" s="98"/>
      <c r="AZ890" s="98"/>
      <c r="BA890" s="98"/>
      <c r="BB890" s="98"/>
      <c r="BC890" s="98"/>
      <c r="BD890" s="98"/>
      <c r="BE890" s="98"/>
      <c r="BF890" s="98"/>
      <c r="BG890" s="98"/>
      <c r="BH890" s="98"/>
      <c r="BI890" s="98"/>
      <c r="BJ890" s="98"/>
      <c r="BK890" s="98"/>
      <c r="BL890" s="98"/>
      <c r="BM890" s="98"/>
      <c r="BN890" s="98"/>
      <c r="BO890" s="98"/>
      <c r="BP890" s="98"/>
      <c r="BQ890" s="98"/>
      <c r="BR890" s="98"/>
      <c r="BS890" s="98"/>
      <c r="BT890" s="98"/>
      <c r="BU890" s="98"/>
      <c r="BV890" s="98"/>
      <c r="BW890" s="98"/>
      <c r="BX890" s="98"/>
      <c r="BY890" s="98"/>
      <c r="BZ890" s="98"/>
      <c r="CA890" s="98"/>
      <c r="CB890" s="98"/>
      <c r="CC890" s="98"/>
      <c r="CD890" s="98"/>
      <c r="CE890" s="98"/>
      <c r="CF890" s="98"/>
      <c r="CG890" s="98"/>
      <c r="CH890" s="98"/>
      <c r="CI890" s="98"/>
      <c r="CJ890" s="98"/>
      <c r="CK890" s="98"/>
    </row>
    <row r="891" spans="1:89" ht="15" x14ac:dyDescent="0.2">
      <c r="A891" s="119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  <c r="AI891" s="98"/>
      <c r="AJ891" s="98"/>
      <c r="AK891" s="98"/>
      <c r="AL891" s="98"/>
      <c r="AM891" s="98"/>
      <c r="AN891" s="98"/>
      <c r="AO891" s="98"/>
      <c r="AP891" s="98"/>
      <c r="AQ891" s="98"/>
      <c r="AR891" s="98"/>
      <c r="AS891" s="98"/>
      <c r="AT891" s="98"/>
      <c r="AU891" s="98"/>
      <c r="AV891" s="98"/>
      <c r="AW891" s="98"/>
      <c r="AX891" s="98"/>
      <c r="AY891" s="98"/>
      <c r="AZ891" s="98"/>
      <c r="BA891" s="98"/>
      <c r="BB891" s="98"/>
      <c r="BC891" s="98"/>
      <c r="BD891" s="98"/>
      <c r="BE891" s="98"/>
      <c r="BF891" s="98"/>
      <c r="BG891" s="98"/>
      <c r="BH891" s="98"/>
      <c r="BI891" s="98"/>
      <c r="BJ891" s="98"/>
      <c r="BK891" s="98"/>
      <c r="BL891" s="98"/>
      <c r="BM891" s="98"/>
      <c r="BN891" s="98"/>
      <c r="BO891" s="98"/>
      <c r="BP891" s="98"/>
      <c r="BQ891" s="98"/>
      <c r="BR891" s="98"/>
      <c r="BS891" s="98"/>
      <c r="BT891" s="98"/>
      <c r="BU891" s="98"/>
      <c r="BV891" s="98"/>
      <c r="BW891" s="98"/>
      <c r="BX891" s="98"/>
      <c r="BY891" s="98"/>
      <c r="BZ891" s="98"/>
      <c r="CA891" s="98"/>
      <c r="CB891" s="98"/>
      <c r="CC891" s="98"/>
      <c r="CD891" s="98"/>
      <c r="CE891" s="98"/>
      <c r="CF891" s="98"/>
      <c r="CG891" s="98"/>
      <c r="CH891" s="98"/>
      <c r="CI891" s="98"/>
      <c r="CJ891" s="98"/>
      <c r="CK891" s="98"/>
    </row>
    <row r="892" spans="1:89" ht="15" x14ac:dyDescent="0.2">
      <c r="A892" s="119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  <c r="AI892" s="98"/>
      <c r="AJ892" s="98"/>
      <c r="AK892" s="98"/>
      <c r="AL892" s="98"/>
      <c r="AM892" s="98"/>
      <c r="AN892" s="98"/>
      <c r="AO892" s="98"/>
      <c r="AP892" s="98"/>
      <c r="AQ892" s="98"/>
      <c r="AR892" s="98"/>
      <c r="AS892" s="98"/>
      <c r="AT892" s="98"/>
      <c r="AU892" s="98"/>
      <c r="AV892" s="98"/>
      <c r="AW892" s="98"/>
      <c r="AX892" s="98"/>
      <c r="AY892" s="98"/>
      <c r="AZ892" s="98"/>
      <c r="BA892" s="98"/>
      <c r="BB892" s="98"/>
      <c r="BC892" s="98"/>
      <c r="BD892" s="98"/>
      <c r="BE892" s="98"/>
      <c r="BF892" s="98"/>
      <c r="BG892" s="98"/>
      <c r="BH892" s="98"/>
      <c r="BI892" s="98"/>
      <c r="BJ892" s="98"/>
      <c r="BK892" s="98"/>
      <c r="BL892" s="98"/>
      <c r="BM892" s="98"/>
      <c r="BN892" s="98"/>
      <c r="BO892" s="98"/>
      <c r="BP892" s="98"/>
      <c r="BQ892" s="98"/>
      <c r="BR892" s="98"/>
      <c r="BS892" s="98"/>
      <c r="BT892" s="98"/>
      <c r="BU892" s="98"/>
      <c r="BV892" s="98"/>
      <c r="BW892" s="98"/>
      <c r="BX892" s="98"/>
      <c r="BY892" s="98"/>
      <c r="BZ892" s="98"/>
      <c r="CA892" s="98"/>
      <c r="CB892" s="98"/>
      <c r="CC892" s="98"/>
      <c r="CD892" s="98"/>
      <c r="CE892" s="98"/>
      <c r="CF892" s="98"/>
      <c r="CG892" s="98"/>
      <c r="CH892" s="98"/>
      <c r="CI892" s="98"/>
      <c r="CJ892" s="98"/>
      <c r="CK892" s="98"/>
    </row>
    <row r="893" spans="1:89" ht="15" x14ac:dyDescent="0.2">
      <c r="A893" s="119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  <c r="AI893" s="98"/>
      <c r="AJ893" s="98"/>
      <c r="AK893" s="98"/>
      <c r="AL893" s="98"/>
      <c r="AM893" s="98"/>
      <c r="AN893" s="98"/>
      <c r="AO893" s="98"/>
      <c r="AP893" s="98"/>
      <c r="AQ893" s="98"/>
      <c r="AR893" s="98"/>
      <c r="AS893" s="98"/>
      <c r="AT893" s="98"/>
      <c r="AU893" s="98"/>
      <c r="AV893" s="98"/>
      <c r="AW893" s="98"/>
      <c r="AX893" s="98"/>
      <c r="AY893" s="98"/>
      <c r="AZ893" s="98"/>
      <c r="BA893" s="98"/>
      <c r="BB893" s="98"/>
      <c r="BC893" s="98"/>
      <c r="BD893" s="98"/>
      <c r="BE893" s="98"/>
      <c r="BF893" s="98"/>
      <c r="BG893" s="98"/>
      <c r="BH893" s="98"/>
      <c r="BI893" s="98"/>
      <c r="BJ893" s="98"/>
      <c r="BK893" s="98"/>
      <c r="BL893" s="98"/>
      <c r="BM893" s="98"/>
      <c r="BN893" s="98"/>
      <c r="BO893" s="98"/>
      <c r="BP893" s="98"/>
      <c r="BQ893" s="98"/>
      <c r="BR893" s="98"/>
      <c r="BS893" s="98"/>
      <c r="BT893" s="98"/>
      <c r="BU893" s="98"/>
      <c r="BV893" s="98"/>
      <c r="BW893" s="98"/>
      <c r="BX893" s="98"/>
      <c r="BY893" s="98"/>
      <c r="BZ893" s="98"/>
      <c r="CA893" s="98"/>
      <c r="CB893" s="98"/>
      <c r="CC893" s="98"/>
      <c r="CD893" s="98"/>
      <c r="CE893" s="98"/>
      <c r="CF893" s="98"/>
      <c r="CG893" s="98"/>
      <c r="CH893" s="98"/>
      <c r="CI893" s="98"/>
      <c r="CJ893" s="98"/>
      <c r="CK893" s="98"/>
    </row>
    <row r="894" spans="1:89" ht="15" x14ac:dyDescent="0.2">
      <c r="A894" s="119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  <c r="AI894" s="98"/>
      <c r="AJ894" s="98"/>
      <c r="AK894" s="98"/>
      <c r="AL894" s="98"/>
      <c r="AM894" s="98"/>
      <c r="AN894" s="98"/>
      <c r="AO894" s="98"/>
      <c r="AP894" s="98"/>
      <c r="AQ894" s="98"/>
      <c r="AR894" s="98"/>
      <c r="AS894" s="98"/>
      <c r="AT894" s="98"/>
      <c r="AU894" s="98"/>
      <c r="AV894" s="98"/>
      <c r="AW894" s="98"/>
      <c r="AX894" s="98"/>
      <c r="AY894" s="98"/>
      <c r="AZ894" s="98"/>
      <c r="BA894" s="98"/>
      <c r="BB894" s="98"/>
      <c r="BC894" s="98"/>
      <c r="BD894" s="98"/>
      <c r="BE894" s="98"/>
      <c r="BF894" s="98"/>
      <c r="BG894" s="98"/>
      <c r="BH894" s="98"/>
      <c r="BI894" s="98"/>
      <c r="BJ894" s="98"/>
      <c r="BK894" s="98"/>
      <c r="BL894" s="98"/>
      <c r="BM894" s="98"/>
      <c r="BN894" s="98"/>
      <c r="BO894" s="98"/>
      <c r="BP894" s="98"/>
      <c r="BQ894" s="98"/>
      <c r="BR894" s="98"/>
      <c r="BS894" s="98"/>
      <c r="BT894" s="98"/>
      <c r="BU894" s="98"/>
      <c r="BV894" s="98"/>
      <c r="BW894" s="98"/>
      <c r="BX894" s="98"/>
      <c r="BY894" s="98"/>
      <c r="BZ894" s="98"/>
      <c r="CA894" s="98"/>
      <c r="CB894" s="98"/>
      <c r="CC894" s="98"/>
      <c r="CD894" s="98"/>
      <c r="CE894" s="98"/>
      <c r="CF894" s="98"/>
      <c r="CG894" s="98"/>
      <c r="CH894" s="98"/>
      <c r="CI894" s="98"/>
      <c r="CJ894" s="98"/>
      <c r="CK894" s="98"/>
    </row>
    <row r="895" spans="1:89" ht="15" x14ac:dyDescent="0.2">
      <c r="A895" s="119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  <c r="AI895" s="98"/>
      <c r="AJ895" s="98"/>
      <c r="AK895" s="98"/>
      <c r="AL895" s="98"/>
      <c r="AM895" s="98"/>
      <c r="AN895" s="98"/>
      <c r="AO895" s="98"/>
      <c r="AP895" s="98"/>
      <c r="AQ895" s="98"/>
      <c r="AR895" s="98"/>
      <c r="AS895" s="98"/>
      <c r="AT895" s="98"/>
      <c r="AU895" s="98"/>
      <c r="AV895" s="98"/>
      <c r="AW895" s="98"/>
      <c r="AX895" s="98"/>
      <c r="AY895" s="98"/>
      <c r="AZ895" s="98"/>
      <c r="BA895" s="98"/>
      <c r="BB895" s="98"/>
      <c r="BC895" s="98"/>
      <c r="BD895" s="98"/>
      <c r="BE895" s="98"/>
      <c r="BF895" s="98"/>
      <c r="BG895" s="98"/>
      <c r="BH895" s="98"/>
      <c r="BI895" s="98"/>
      <c r="BJ895" s="98"/>
      <c r="BK895" s="98"/>
      <c r="BL895" s="98"/>
      <c r="BM895" s="98"/>
      <c r="BN895" s="98"/>
      <c r="BO895" s="98"/>
      <c r="BP895" s="98"/>
      <c r="BQ895" s="98"/>
      <c r="BR895" s="98"/>
      <c r="BS895" s="98"/>
      <c r="BT895" s="98"/>
      <c r="BU895" s="98"/>
      <c r="BV895" s="98"/>
      <c r="BW895" s="98"/>
      <c r="BX895" s="98"/>
      <c r="BY895" s="98"/>
      <c r="BZ895" s="98"/>
      <c r="CA895" s="98"/>
      <c r="CB895" s="98"/>
      <c r="CC895" s="98"/>
      <c r="CD895" s="98"/>
      <c r="CE895" s="98"/>
      <c r="CF895" s="98"/>
      <c r="CG895" s="98"/>
      <c r="CH895" s="98"/>
      <c r="CI895" s="98"/>
      <c r="CJ895" s="98"/>
      <c r="CK895" s="98"/>
    </row>
    <row r="896" spans="1:89" ht="15" x14ac:dyDescent="0.2">
      <c r="A896" s="119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  <c r="AI896" s="98"/>
      <c r="AJ896" s="98"/>
      <c r="AK896" s="98"/>
      <c r="AL896" s="98"/>
      <c r="AM896" s="98"/>
      <c r="AN896" s="98"/>
      <c r="AO896" s="98"/>
      <c r="AP896" s="98"/>
      <c r="AQ896" s="98"/>
      <c r="AR896" s="98"/>
      <c r="AS896" s="98"/>
      <c r="AT896" s="98"/>
      <c r="AU896" s="98"/>
      <c r="AV896" s="98"/>
      <c r="AW896" s="98"/>
      <c r="AX896" s="98"/>
      <c r="AY896" s="98"/>
      <c r="AZ896" s="98"/>
      <c r="BA896" s="98"/>
      <c r="BB896" s="98"/>
      <c r="BC896" s="98"/>
      <c r="BD896" s="98"/>
      <c r="BE896" s="98"/>
      <c r="BF896" s="98"/>
      <c r="BG896" s="98"/>
      <c r="BH896" s="98"/>
      <c r="BI896" s="98"/>
      <c r="BJ896" s="98"/>
      <c r="BK896" s="98"/>
      <c r="BL896" s="98"/>
      <c r="BM896" s="98"/>
      <c r="BN896" s="98"/>
      <c r="BO896" s="98"/>
      <c r="BP896" s="98"/>
      <c r="BQ896" s="98"/>
      <c r="BR896" s="98"/>
      <c r="BS896" s="98"/>
      <c r="BT896" s="98"/>
      <c r="BU896" s="98"/>
      <c r="BV896" s="98"/>
      <c r="BW896" s="98"/>
      <c r="BX896" s="98"/>
      <c r="BY896" s="98"/>
      <c r="BZ896" s="98"/>
      <c r="CA896" s="98"/>
      <c r="CB896" s="98"/>
      <c r="CC896" s="98"/>
      <c r="CD896" s="98"/>
      <c r="CE896" s="98"/>
      <c r="CF896" s="98"/>
      <c r="CG896" s="98"/>
      <c r="CH896" s="98"/>
      <c r="CI896" s="98"/>
      <c r="CJ896" s="98"/>
      <c r="CK896" s="98"/>
    </row>
    <row r="897" spans="1:89" ht="15" x14ac:dyDescent="0.2">
      <c r="A897" s="119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8"/>
      <c r="AJ897" s="98"/>
      <c r="AK897" s="98"/>
      <c r="AL897" s="98"/>
      <c r="AM897" s="98"/>
      <c r="AN897" s="98"/>
      <c r="AO897" s="98"/>
      <c r="AP897" s="98"/>
      <c r="AQ897" s="98"/>
      <c r="AR897" s="98"/>
      <c r="AS897" s="98"/>
      <c r="AT897" s="98"/>
      <c r="AU897" s="98"/>
      <c r="AV897" s="98"/>
      <c r="AW897" s="98"/>
      <c r="AX897" s="98"/>
      <c r="AY897" s="98"/>
      <c r="AZ897" s="98"/>
      <c r="BA897" s="98"/>
      <c r="BB897" s="98"/>
      <c r="BC897" s="98"/>
      <c r="BD897" s="98"/>
      <c r="BE897" s="98"/>
      <c r="BF897" s="98"/>
      <c r="BG897" s="98"/>
      <c r="BH897" s="98"/>
      <c r="BI897" s="98"/>
      <c r="BJ897" s="98"/>
      <c r="BK897" s="98"/>
      <c r="BL897" s="98"/>
      <c r="BM897" s="98"/>
      <c r="BN897" s="98"/>
      <c r="BO897" s="98"/>
      <c r="BP897" s="98"/>
      <c r="BQ897" s="98"/>
      <c r="BR897" s="98"/>
      <c r="BS897" s="98"/>
      <c r="BT897" s="98"/>
      <c r="BU897" s="98"/>
      <c r="BV897" s="98"/>
      <c r="BW897" s="98"/>
      <c r="BX897" s="98"/>
      <c r="BY897" s="98"/>
      <c r="BZ897" s="98"/>
      <c r="CA897" s="98"/>
      <c r="CB897" s="98"/>
      <c r="CC897" s="98"/>
      <c r="CD897" s="98"/>
      <c r="CE897" s="98"/>
      <c r="CF897" s="98"/>
      <c r="CG897" s="98"/>
      <c r="CH897" s="98"/>
      <c r="CI897" s="98"/>
      <c r="CJ897" s="98"/>
      <c r="CK897" s="98"/>
    </row>
    <row r="898" spans="1:89" ht="15" x14ac:dyDescent="0.2">
      <c r="A898" s="119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8"/>
      <c r="AJ898" s="98"/>
      <c r="AK898" s="98"/>
      <c r="AL898" s="98"/>
      <c r="AM898" s="98"/>
      <c r="AN898" s="98"/>
      <c r="AO898" s="98"/>
      <c r="AP898" s="98"/>
      <c r="AQ898" s="98"/>
      <c r="AR898" s="98"/>
      <c r="AS898" s="98"/>
      <c r="AT898" s="98"/>
      <c r="AU898" s="98"/>
      <c r="AV898" s="98"/>
      <c r="AW898" s="98"/>
      <c r="AX898" s="98"/>
      <c r="AY898" s="98"/>
      <c r="AZ898" s="98"/>
      <c r="BA898" s="98"/>
      <c r="BB898" s="98"/>
      <c r="BC898" s="98"/>
      <c r="BD898" s="98"/>
      <c r="BE898" s="98"/>
      <c r="BF898" s="98"/>
      <c r="BG898" s="98"/>
      <c r="BH898" s="98"/>
      <c r="BI898" s="98"/>
      <c r="BJ898" s="98"/>
      <c r="BK898" s="98"/>
      <c r="BL898" s="98"/>
      <c r="BM898" s="98"/>
      <c r="BN898" s="98"/>
      <c r="BO898" s="98"/>
      <c r="BP898" s="98"/>
      <c r="BQ898" s="98"/>
      <c r="BR898" s="98"/>
      <c r="BS898" s="98"/>
      <c r="BT898" s="98"/>
      <c r="BU898" s="98"/>
      <c r="BV898" s="98"/>
      <c r="BW898" s="98"/>
      <c r="BX898" s="98"/>
      <c r="BY898" s="98"/>
      <c r="BZ898" s="98"/>
      <c r="CA898" s="98"/>
      <c r="CB898" s="98"/>
      <c r="CC898" s="98"/>
      <c r="CD898" s="98"/>
      <c r="CE898" s="98"/>
      <c r="CF898" s="98"/>
      <c r="CG898" s="98"/>
      <c r="CH898" s="98"/>
      <c r="CI898" s="98"/>
      <c r="CJ898" s="98"/>
      <c r="CK898" s="98"/>
    </row>
    <row r="899" spans="1:89" ht="15" x14ac:dyDescent="0.2">
      <c r="A899" s="119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  <c r="AI899" s="98"/>
      <c r="AJ899" s="98"/>
      <c r="AK899" s="98"/>
      <c r="AL899" s="98"/>
      <c r="AM899" s="98"/>
      <c r="AN899" s="98"/>
      <c r="AO899" s="98"/>
      <c r="AP899" s="98"/>
      <c r="AQ899" s="98"/>
      <c r="AR899" s="98"/>
      <c r="AS899" s="98"/>
      <c r="AT899" s="98"/>
      <c r="AU899" s="98"/>
      <c r="AV899" s="98"/>
      <c r="AW899" s="98"/>
      <c r="AX899" s="98"/>
      <c r="AY899" s="98"/>
      <c r="AZ899" s="98"/>
      <c r="BA899" s="98"/>
      <c r="BB899" s="98"/>
      <c r="BC899" s="98"/>
      <c r="BD899" s="98"/>
      <c r="BE899" s="98"/>
      <c r="BF899" s="98"/>
      <c r="BG899" s="98"/>
      <c r="BH899" s="98"/>
      <c r="BI899" s="98"/>
      <c r="BJ899" s="98"/>
      <c r="BK899" s="98"/>
      <c r="BL899" s="98"/>
      <c r="BM899" s="98"/>
      <c r="BN899" s="98"/>
      <c r="BO899" s="98"/>
      <c r="BP899" s="98"/>
      <c r="BQ899" s="98"/>
      <c r="BR899" s="98"/>
      <c r="BS899" s="98"/>
      <c r="BT899" s="98"/>
      <c r="BU899" s="98"/>
      <c r="BV899" s="98"/>
      <c r="BW899" s="98"/>
      <c r="BX899" s="98"/>
      <c r="BY899" s="98"/>
      <c r="BZ899" s="98"/>
      <c r="CA899" s="98"/>
      <c r="CB899" s="98"/>
      <c r="CC899" s="98"/>
      <c r="CD899" s="98"/>
      <c r="CE899" s="98"/>
      <c r="CF899" s="98"/>
      <c r="CG899" s="98"/>
      <c r="CH899" s="98"/>
      <c r="CI899" s="98"/>
      <c r="CJ899" s="98"/>
      <c r="CK899" s="98"/>
    </row>
    <row r="900" spans="1:89" ht="15" x14ac:dyDescent="0.2">
      <c r="A900" s="119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  <c r="AI900" s="98"/>
      <c r="AJ900" s="98"/>
      <c r="AK900" s="98"/>
      <c r="AL900" s="98"/>
      <c r="AM900" s="98"/>
      <c r="AN900" s="98"/>
      <c r="AO900" s="98"/>
      <c r="AP900" s="98"/>
      <c r="AQ900" s="98"/>
      <c r="AR900" s="98"/>
      <c r="AS900" s="98"/>
      <c r="AT900" s="98"/>
      <c r="AU900" s="98"/>
      <c r="AV900" s="98"/>
      <c r="AW900" s="98"/>
      <c r="AX900" s="98"/>
      <c r="AY900" s="98"/>
      <c r="AZ900" s="98"/>
      <c r="BA900" s="98"/>
      <c r="BB900" s="98"/>
      <c r="BC900" s="98"/>
      <c r="BD900" s="98"/>
      <c r="BE900" s="98"/>
      <c r="BF900" s="98"/>
      <c r="BG900" s="98"/>
      <c r="BH900" s="98"/>
      <c r="BI900" s="98"/>
      <c r="BJ900" s="98"/>
      <c r="BK900" s="98"/>
      <c r="BL900" s="98"/>
      <c r="BM900" s="98"/>
      <c r="BN900" s="98"/>
      <c r="BO900" s="98"/>
      <c r="BP900" s="98"/>
      <c r="BQ900" s="98"/>
      <c r="BR900" s="98"/>
      <c r="BS900" s="98"/>
      <c r="BT900" s="98"/>
      <c r="BU900" s="98"/>
      <c r="BV900" s="98"/>
      <c r="BW900" s="98"/>
      <c r="BX900" s="98"/>
      <c r="BY900" s="98"/>
      <c r="BZ900" s="98"/>
      <c r="CA900" s="98"/>
      <c r="CB900" s="98"/>
      <c r="CC900" s="98"/>
      <c r="CD900" s="98"/>
      <c r="CE900" s="98"/>
      <c r="CF900" s="98"/>
      <c r="CG900" s="98"/>
      <c r="CH900" s="98"/>
      <c r="CI900" s="98"/>
      <c r="CJ900" s="98"/>
      <c r="CK900" s="98"/>
    </row>
    <row r="901" spans="1:89" ht="15" x14ac:dyDescent="0.2">
      <c r="A901" s="119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  <c r="AI901" s="98"/>
      <c r="AJ901" s="98"/>
      <c r="AK901" s="98"/>
      <c r="AL901" s="98"/>
      <c r="AM901" s="98"/>
      <c r="AN901" s="98"/>
      <c r="AO901" s="98"/>
      <c r="AP901" s="98"/>
      <c r="AQ901" s="98"/>
      <c r="AR901" s="98"/>
      <c r="AS901" s="98"/>
      <c r="AT901" s="98"/>
      <c r="AU901" s="98"/>
      <c r="AV901" s="98"/>
      <c r="AW901" s="98"/>
      <c r="AX901" s="98"/>
      <c r="AY901" s="98"/>
      <c r="AZ901" s="98"/>
      <c r="BA901" s="98"/>
      <c r="BB901" s="98"/>
      <c r="BC901" s="98"/>
      <c r="BD901" s="98"/>
      <c r="BE901" s="98"/>
      <c r="BF901" s="98"/>
      <c r="BG901" s="98"/>
      <c r="BH901" s="98"/>
      <c r="BI901" s="98"/>
      <c r="BJ901" s="98"/>
      <c r="BK901" s="98"/>
      <c r="BL901" s="98"/>
      <c r="BM901" s="98"/>
      <c r="BN901" s="98"/>
      <c r="BO901" s="98"/>
      <c r="BP901" s="98"/>
      <c r="BQ901" s="98"/>
      <c r="BR901" s="98"/>
      <c r="BS901" s="98"/>
      <c r="BT901" s="98"/>
      <c r="BU901" s="98"/>
      <c r="BV901" s="98"/>
      <c r="BW901" s="98"/>
      <c r="BX901" s="98"/>
      <c r="BY901" s="98"/>
      <c r="BZ901" s="98"/>
      <c r="CA901" s="98"/>
      <c r="CB901" s="98"/>
      <c r="CC901" s="98"/>
      <c r="CD901" s="98"/>
      <c r="CE901" s="98"/>
      <c r="CF901" s="98"/>
      <c r="CG901" s="98"/>
      <c r="CH901" s="98"/>
      <c r="CI901" s="98"/>
      <c r="CJ901" s="98"/>
      <c r="CK901" s="98"/>
    </row>
    <row r="902" spans="1:89" ht="15" x14ac:dyDescent="0.2">
      <c r="A902" s="119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  <c r="AI902" s="98"/>
      <c r="AJ902" s="98"/>
      <c r="AK902" s="98"/>
      <c r="AL902" s="98"/>
      <c r="AM902" s="98"/>
      <c r="AN902" s="98"/>
      <c r="AO902" s="98"/>
      <c r="AP902" s="98"/>
      <c r="AQ902" s="98"/>
      <c r="AR902" s="98"/>
      <c r="AS902" s="98"/>
      <c r="AT902" s="98"/>
      <c r="AU902" s="98"/>
      <c r="AV902" s="98"/>
      <c r="AW902" s="98"/>
      <c r="AX902" s="98"/>
      <c r="AY902" s="98"/>
      <c r="AZ902" s="98"/>
      <c r="BA902" s="98"/>
      <c r="BB902" s="98"/>
      <c r="BC902" s="98"/>
      <c r="BD902" s="98"/>
      <c r="BE902" s="98"/>
      <c r="BF902" s="98"/>
      <c r="BG902" s="98"/>
      <c r="BH902" s="98"/>
      <c r="BI902" s="98"/>
      <c r="BJ902" s="98"/>
      <c r="BK902" s="98"/>
      <c r="BL902" s="98"/>
      <c r="BM902" s="98"/>
      <c r="BN902" s="98"/>
      <c r="BO902" s="98"/>
      <c r="BP902" s="98"/>
      <c r="BQ902" s="98"/>
      <c r="BR902" s="98"/>
      <c r="BS902" s="98"/>
      <c r="BT902" s="98"/>
      <c r="BU902" s="98"/>
      <c r="BV902" s="98"/>
      <c r="BW902" s="98"/>
      <c r="BX902" s="98"/>
      <c r="BY902" s="98"/>
      <c r="BZ902" s="98"/>
      <c r="CA902" s="98"/>
      <c r="CB902" s="98"/>
      <c r="CC902" s="98"/>
      <c r="CD902" s="98"/>
      <c r="CE902" s="98"/>
      <c r="CF902" s="98"/>
      <c r="CG902" s="98"/>
      <c r="CH902" s="98"/>
      <c r="CI902" s="98"/>
      <c r="CJ902" s="98"/>
      <c r="CK902" s="98"/>
    </row>
    <row r="903" spans="1:89" ht="15" x14ac:dyDescent="0.2">
      <c r="A903" s="119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  <c r="AI903" s="98"/>
      <c r="AJ903" s="98"/>
      <c r="AK903" s="98"/>
      <c r="AL903" s="98"/>
      <c r="AM903" s="98"/>
      <c r="AN903" s="98"/>
      <c r="AO903" s="98"/>
      <c r="AP903" s="98"/>
      <c r="AQ903" s="98"/>
      <c r="AR903" s="98"/>
      <c r="AS903" s="98"/>
      <c r="AT903" s="98"/>
      <c r="AU903" s="98"/>
      <c r="AV903" s="98"/>
      <c r="AW903" s="98"/>
      <c r="AX903" s="98"/>
      <c r="AY903" s="98"/>
      <c r="AZ903" s="98"/>
      <c r="BA903" s="98"/>
      <c r="BB903" s="98"/>
      <c r="BC903" s="98"/>
      <c r="BD903" s="98"/>
      <c r="BE903" s="98"/>
      <c r="BF903" s="98"/>
      <c r="BG903" s="98"/>
      <c r="BH903" s="98"/>
      <c r="BI903" s="98"/>
      <c r="BJ903" s="98"/>
      <c r="BK903" s="98"/>
      <c r="BL903" s="98"/>
      <c r="BM903" s="98"/>
      <c r="BN903" s="98"/>
      <c r="BO903" s="98"/>
      <c r="BP903" s="98"/>
      <c r="BQ903" s="98"/>
      <c r="BR903" s="98"/>
      <c r="BS903" s="98"/>
      <c r="BT903" s="98"/>
      <c r="BU903" s="98"/>
      <c r="BV903" s="98"/>
      <c r="BW903" s="98"/>
      <c r="BX903" s="98"/>
      <c r="BY903" s="98"/>
      <c r="BZ903" s="98"/>
      <c r="CA903" s="98"/>
      <c r="CB903" s="98"/>
      <c r="CC903" s="98"/>
      <c r="CD903" s="98"/>
      <c r="CE903" s="98"/>
      <c r="CF903" s="98"/>
      <c r="CG903" s="98"/>
      <c r="CH903" s="98"/>
      <c r="CI903" s="98"/>
      <c r="CJ903" s="98"/>
      <c r="CK903" s="98"/>
    </row>
    <row r="904" spans="1:89" ht="15" x14ac:dyDescent="0.2">
      <c r="A904" s="119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  <c r="AI904" s="98"/>
      <c r="AJ904" s="98"/>
      <c r="AK904" s="98"/>
      <c r="AL904" s="98"/>
      <c r="AM904" s="98"/>
      <c r="AN904" s="98"/>
      <c r="AO904" s="98"/>
      <c r="AP904" s="98"/>
      <c r="AQ904" s="98"/>
      <c r="AR904" s="98"/>
      <c r="AS904" s="98"/>
      <c r="AT904" s="98"/>
      <c r="AU904" s="98"/>
      <c r="AV904" s="98"/>
      <c r="AW904" s="98"/>
      <c r="AX904" s="98"/>
      <c r="AY904" s="98"/>
      <c r="AZ904" s="98"/>
      <c r="BA904" s="98"/>
      <c r="BB904" s="98"/>
      <c r="BC904" s="98"/>
      <c r="BD904" s="98"/>
      <c r="BE904" s="98"/>
      <c r="BF904" s="98"/>
      <c r="BG904" s="98"/>
      <c r="BH904" s="98"/>
      <c r="BI904" s="98"/>
      <c r="BJ904" s="98"/>
      <c r="BK904" s="98"/>
      <c r="BL904" s="98"/>
      <c r="BM904" s="98"/>
      <c r="BN904" s="98"/>
      <c r="BO904" s="98"/>
      <c r="BP904" s="98"/>
      <c r="BQ904" s="98"/>
      <c r="BR904" s="98"/>
      <c r="BS904" s="98"/>
      <c r="BT904" s="98"/>
      <c r="BU904" s="98"/>
      <c r="BV904" s="98"/>
      <c r="BW904" s="98"/>
      <c r="BX904" s="98"/>
      <c r="BY904" s="98"/>
      <c r="BZ904" s="98"/>
      <c r="CA904" s="98"/>
      <c r="CB904" s="98"/>
      <c r="CC904" s="98"/>
      <c r="CD904" s="98"/>
      <c r="CE904" s="98"/>
      <c r="CF904" s="98"/>
      <c r="CG904" s="98"/>
      <c r="CH904" s="98"/>
      <c r="CI904" s="98"/>
      <c r="CJ904" s="98"/>
      <c r="CK904" s="98"/>
    </row>
    <row r="905" spans="1:89" ht="15" x14ac:dyDescent="0.2">
      <c r="A905" s="119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  <c r="AI905" s="98"/>
      <c r="AJ905" s="98"/>
      <c r="AK905" s="98"/>
      <c r="AL905" s="98"/>
      <c r="AM905" s="98"/>
      <c r="AN905" s="98"/>
      <c r="AO905" s="98"/>
      <c r="AP905" s="98"/>
      <c r="AQ905" s="98"/>
      <c r="AR905" s="98"/>
      <c r="AS905" s="98"/>
      <c r="AT905" s="98"/>
      <c r="AU905" s="98"/>
      <c r="AV905" s="98"/>
      <c r="AW905" s="98"/>
      <c r="AX905" s="98"/>
      <c r="AY905" s="98"/>
      <c r="AZ905" s="98"/>
      <c r="BA905" s="98"/>
      <c r="BB905" s="98"/>
      <c r="BC905" s="98"/>
      <c r="BD905" s="98"/>
      <c r="BE905" s="98"/>
      <c r="BF905" s="98"/>
      <c r="BG905" s="98"/>
      <c r="BH905" s="98"/>
      <c r="BI905" s="98"/>
      <c r="BJ905" s="98"/>
      <c r="BK905" s="98"/>
      <c r="BL905" s="98"/>
      <c r="BM905" s="98"/>
      <c r="BN905" s="98"/>
      <c r="BO905" s="98"/>
      <c r="BP905" s="98"/>
      <c r="BQ905" s="98"/>
      <c r="BR905" s="98"/>
      <c r="BS905" s="98"/>
      <c r="BT905" s="98"/>
      <c r="BU905" s="98"/>
      <c r="BV905" s="98"/>
      <c r="BW905" s="98"/>
      <c r="BX905" s="98"/>
      <c r="BY905" s="98"/>
      <c r="BZ905" s="98"/>
      <c r="CA905" s="98"/>
      <c r="CB905" s="98"/>
      <c r="CC905" s="98"/>
      <c r="CD905" s="98"/>
      <c r="CE905" s="98"/>
      <c r="CF905" s="98"/>
      <c r="CG905" s="98"/>
      <c r="CH905" s="98"/>
      <c r="CI905" s="98"/>
      <c r="CJ905" s="98"/>
      <c r="CK905" s="98"/>
    </row>
    <row r="906" spans="1:89" ht="15" x14ac:dyDescent="0.2">
      <c r="A906" s="119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  <c r="AI906" s="98"/>
      <c r="AJ906" s="98"/>
      <c r="AK906" s="98"/>
      <c r="AL906" s="98"/>
      <c r="AM906" s="98"/>
      <c r="AN906" s="98"/>
      <c r="AO906" s="98"/>
      <c r="AP906" s="98"/>
      <c r="AQ906" s="98"/>
      <c r="AR906" s="98"/>
      <c r="AS906" s="98"/>
      <c r="AT906" s="98"/>
      <c r="AU906" s="98"/>
      <c r="AV906" s="98"/>
      <c r="AW906" s="98"/>
      <c r="AX906" s="98"/>
      <c r="AY906" s="98"/>
      <c r="AZ906" s="98"/>
      <c r="BA906" s="98"/>
      <c r="BB906" s="98"/>
      <c r="BC906" s="98"/>
      <c r="BD906" s="98"/>
      <c r="BE906" s="98"/>
      <c r="BF906" s="98"/>
      <c r="BG906" s="98"/>
      <c r="BH906" s="98"/>
      <c r="BI906" s="98"/>
      <c r="BJ906" s="98"/>
      <c r="BK906" s="98"/>
      <c r="BL906" s="98"/>
      <c r="BM906" s="98"/>
      <c r="BN906" s="98"/>
      <c r="BO906" s="98"/>
      <c r="BP906" s="98"/>
      <c r="BQ906" s="98"/>
      <c r="BR906" s="98"/>
      <c r="BS906" s="98"/>
      <c r="BT906" s="98"/>
      <c r="BU906" s="98"/>
      <c r="BV906" s="98"/>
      <c r="BW906" s="98"/>
      <c r="BX906" s="98"/>
      <c r="BY906" s="98"/>
      <c r="BZ906" s="98"/>
      <c r="CA906" s="98"/>
      <c r="CB906" s="98"/>
      <c r="CC906" s="98"/>
      <c r="CD906" s="98"/>
      <c r="CE906" s="98"/>
      <c r="CF906" s="98"/>
      <c r="CG906" s="98"/>
      <c r="CH906" s="98"/>
      <c r="CI906" s="98"/>
      <c r="CJ906" s="98"/>
      <c r="CK906" s="98"/>
    </row>
    <row r="907" spans="1:89" ht="15" x14ac:dyDescent="0.2">
      <c r="A907" s="119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  <c r="AI907" s="98"/>
      <c r="AJ907" s="98"/>
      <c r="AK907" s="98"/>
      <c r="AL907" s="98"/>
      <c r="AM907" s="98"/>
      <c r="AN907" s="98"/>
      <c r="AO907" s="98"/>
      <c r="AP907" s="98"/>
      <c r="AQ907" s="98"/>
      <c r="AR907" s="98"/>
      <c r="AS907" s="98"/>
      <c r="AT907" s="98"/>
      <c r="AU907" s="98"/>
      <c r="AV907" s="98"/>
      <c r="AW907" s="98"/>
      <c r="AX907" s="98"/>
      <c r="AY907" s="98"/>
      <c r="AZ907" s="98"/>
      <c r="BA907" s="98"/>
      <c r="BB907" s="98"/>
      <c r="BC907" s="98"/>
      <c r="BD907" s="98"/>
      <c r="BE907" s="98"/>
      <c r="BF907" s="98"/>
      <c r="BG907" s="98"/>
      <c r="BH907" s="98"/>
      <c r="BI907" s="98"/>
      <c r="BJ907" s="98"/>
      <c r="BK907" s="98"/>
      <c r="BL907" s="98"/>
      <c r="BM907" s="98"/>
      <c r="BN907" s="98"/>
      <c r="BO907" s="98"/>
      <c r="BP907" s="98"/>
      <c r="BQ907" s="98"/>
      <c r="BR907" s="98"/>
      <c r="BS907" s="98"/>
      <c r="BT907" s="98"/>
      <c r="BU907" s="98"/>
      <c r="BV907" s="98"/>
      <c r="BW907" s="98"/>
      <c r="BX907" s="98"/>
      <c r="BY907" s="98"/>
      <c r="BZ907" s="98"/>
      <c r="CA907" s="98"/>
      <c r="CB907" s="98"/>
      <c r="CC907" s="98"/>
      <c r="CD907" s="98"/>
      <c r="CE907" s="98"/>
      <c r="CF907" s="98"/>
      <c r="CG907" s="98"/>
      <c r="CH907" s="98"/>
      <c r="CI907" s="98"/>
      <c r="CJ907" s="98"/>
      <c r="CK907" s="98"/>
    </row>
    <row r="908" spans="1:89" ht="15" x14ac:dyDescent="0.2">
      <c r="A908" s="119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  <c r="AI908" s="98"/>
      <c r="AJ908" s="98"/>
      <c r="AK908" s="98"/>
      <c r="AL908" s="98"/>
      <c r="AM908" s="98"/>
      <c r="AN908" s="98"/>
      <c r="AO908" s="98"/>
      <c r="AP908" s="98"/>
      <c r="AQ908" s="98"/>
      <c r="AR908" s="98"/>
      <c r="AS908" s="98"/>
      <c r="AT908" s="98"/>
      <c r="AU908" s="98"/>
      <c r="AV908" s="98"/>
      <c r="AW908" s="98"/>
      <c r="AX908" s="98"/>
      <c r="AY908" s="98"/>
      <c r="AZ908" s="98"/>
      <c r="BA908" s="98"/>
      <c r="BB908" s="98"/>
      <c r="BC908" s="98"/>
      <c r="BD908" s="98"/>
      <c r="BE908" s="98"/>
      <c r="BF908" s="98"/>
      <c r="BG908" s="98"/>
      <c r="BH908" s="98"/>
      <c r="BI908" s="98"/>
      <c r="BJ908" s="98"/>
      <c r="BK908" s="98"/>
      <c r="BL908" s="98"/>
      <c r="BM908" s="98"/>
      <c r="BN908" s="98"/>
      <c r="BO908" s="98"/>
      <c r="BP908" s="98"/>
      <c r="BQ908" s="98"/>
      <c r="BR908" s="98"/>
      <c r="BS908" s="98"/>
      <c r="BT908" s="98"/>
      <c r="BU908" s="98"/>
      <c r="BV908" s="98"/>
      <c r="BW908" s="98"/>
      <c r="BX908" s="98"/>
      <c r="BY908" s="98"/>
      <c r="BZ908" s="98"/>
      <c r="CA908" s="98"/>
      <c r="CB908" s="98"/>
      <c r="CC908" s="98"/>
      <c r="CD908" s="98"/>
      <c r="CE908" s="98"/>
      <c r="CF908" s="98"/>
      <c r="CG908" s="98"/>
      <c r="CH908" s="98"/>
      <c r="CI908" s="98"/>
      <c r="CJ908" s="98"/>
      <c r="CK908" s="98"/>
    </row>
    <row r="909" spans="1:89" ht="15" x14ac:dyDescent="0.2">
      <c r="A909" s="119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  <c r="AI909" s="98"/>
      <c r="AJ909" s="98"/>
      <c r="AK909" s="98"/>
      <c r="AL909" s="98"/>
      <c r="AM909" s="98"/>
      <c r="AN909" s="98"/>
      <c r="AO909" s="98"/>
      <c r="AP909" s="98"/>
      <c r="AQ909" s="98"/>
      <c r="AR909" s="98"/>
      <c r="AS909" s="98"/>
      <c r="AT909" s="98"/>
      <c r="AU909" s="98"/>
      <c r="AV909" s="98"/>
      <c r="AW909" s="98"/>
      <c r="AX909" s="98"/>
      <c r="AY909" s="98"/>
      <c r="AZ909" s="98"/>
      <c r="BA909" s="98"/>
      <c r="BB909" s="98"/>
      <c r="BC909" s="98"/>
      <c r="BD909" s="98"/>
      <c r="BE909" s="98"/>
      <c r="BF909" s="98"/>
      <c r="BG909" s="98"/>
      <c r="BH909" s="98"/>
      <c r="BI909" s="98"/>
      <c r="BJ909" s="98"/>
      <c r="BK909" s="98"/>
      <c r="BL909" s="98"/>
      <c r="BM909" s="98"/>
      <c r="BN909" s="98"/>
      <c r="BO909" s="98"/>
      <c r="BP909" s="98"/>
      <c r="BQ909" s="98"/>
      <c r="BR909" s="98"/>
      <c r="BS909" s="98"/>
      <c r="BT909" s="98"/>
      <c r="BU909" s="98"/>
      <c r="BV909" s="98"/>
      <c r="BW909" s="98"/>
      <c r="BX909" s="98"/>
      <c r="BY909" s="98"/>
      <c r="BZ909" s="98"/>
      <c r="CA909" s="98"/>
      <c r="CB909" s="98"/>
      <c r="CC909" s="98"/>
      <c r="CD909" s="98"/>
      <c r="CE909" s="98"/>
      <c r="CF909" s="98"/>
      <c r="CG909" s="98"/>
      <c r="CH909" s="98"/>
      <c r="CI909" s="98"/>
      <c r="CJ909" s="98"/>
      <c r="CK909" s="98"/>
    </row>
    <row r="910" spans="1:89" ht="15" x14ac:dyDescent="0.2">
      <c r="A910" s="119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  <c r="AI910" s="98"/>
      <c r="AJ910" s="98"/>
      <c r="AK910" s="98"/>
      <c r="AL910" s="98"/>
      <c r="AM910" s="98"/>
      <c r="AN910" s="98"/>
      <c r="AO910" s="98"/>
      <c r="AP910" s="98"/>
      <c r="AQ910" s="98"/>
      <c r="AR910" s="98"/>
      <c r="AS910" s="98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98"/>
      <c r="BG910" s="98"/>
      <c r="BH910" s="98"/>
      <c r="BI910" s="98"/>
      <c r="BJ910" s="98"/>
      <c r="BK910" s="98"/>
      <c r="BL910" s="98"/>
      <c r="BM910" s="98"/>
      <c r="BN910" s="98"/>
      <c r="BO910" s="98"/>
      <c r="BP910" s="98"/>
      <c r="BQ910" s="98"/>
      <c r="BR910" s="98"/>
      <c r="BS910" s="98"/>
      <c r="BT910" s="98"/>
      <c r="BU910" s="98"/>
      <c r="BV910" s="98"/>
      <c r="BW910" s="98"/>
      <c r="BX910" s="98"/>
      <c r="BY910" s="98"/>
      <c r="BZ910" s="98"/>
      <c r="CA910" s="98"/>
      <c r="CB910" s="98"/>
      <c r="CC910" s="98"/>
      <c r="CD910" s="98"/>
      <c r="CE910" s="98"/>
      <c r="CF910" s="98"/>
      <c r="CG910" s="98"/>
      <c r="CH910" s="98"/>
      <c r="CI910" s="98"/>
      <c r="CJ910" s="98"/>
      <c r="CK910" s="98"/>
    </row>
    <row r="911" spans="1:89" ht="15" x14ac:dyDescent="0.2">
      <c r="A911" s="119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  <c r="AI911" s="98"/>
      <c r="AJ911" s="98"/>
      <c r="AK911" s="98"/>
      <c r="AL911" s="98"/>
      <c r="AM911" s="98"/>
      <c r="AN911" s="98"/>
      <c r="AO911" s="98"/>
      <c r="AP911" s="98"/>
      <c r="AQ911" s="98"/>
      <c r="AR911" s="98"/>
      <c r="AS911" s="98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98"/>
      <c r="BG911" s="98"/>
      <c r="BH911" s="98"/>
      <c r="BI911" s="98"/>
      <c r="BJ911" s="98"/>
      <c r="BK911" s="98"/>
      <c r="BL911" s="98"/>
      <c r="BM911" s="98"/>
      <c r="BN911" s="98"/>
      <c r="BO911" s="98"/>
      <c r="BP911" s="98"/>
      <c r="BQ911" s="98"/>
      <c r="BR911" s="98"/>
      <c r="BS911" s="98"/>
      <c r="BT911" s="98"/>
      <c r="BU911" s="98"/>
      <c r="BV911" s="98"/>
      <c r="BW911" s="98"/>
      <c r="BX911" s="98"/>
      <c r="BY911" s="98"/>
      <c r="BZ911" s="98"/>
      <c r="CA911" s="98"/>
      <c r="CB911" s="98"/>
      <c r="CC911" s="98"/>
      <c r="CD911" s="98"/>
      <c r="CE911" s="98"/>
      <c r="CF911" s="98"/>
      <c r="CG911" s="98"/>
      <c r="CH911" s="98"/>
      <c r="CI911" s="98"/>
      <c r="CJ911" s="98"/>
      <c r="CK911" s="98"/>
    </row>
    <row r="912" spans="1:89" ht="15" x14ac:dyDescent="0.2">
      <c r="A912" s="119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8"/>
      <c r="AJ912" s="98"/>
      <c r="AK912" s="98"/>
      <c r="AL912" s="98"/>
      <c r="AM912" s="98"/>
      <c r="AN912" s="98"/>
      <c r="AO912" s="98"/>
      <c r="AP912" s="98"/>
      <c r="AQ912" s="98"/>
      <c r="AR912" s="98"/>
      <c r="AS912" s="98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98"/>
      <c r="BG912" s="98"/>
      <c r="BH912" s="98"/>
      <c r="BI912" s="98"/>
      <c r="BJ912" s="98"/>
      <c r="BK912" s="98"/>
      <c r="BL912" s="98"/>
      <c r="BM912" s="98"/>
      <c r="BN912" s="98"/>
      <c r="BO912" s="98"/>
      <c r="BP912" s="98"/>
      <c r="BQ912" s="98"/>
      <c r="BR912" s="98"/>
      <c r="BS912" s="98"/>
      <c r="BT912" s="98"/>
      <c r="BU912" s="98"/>
      <c r="BV912" s="98"/>
      <c r="BW912" s="98"/>
      <c r="BX912" s="98"/>
      <c r="BY912" s="98"/>
      <c r="BZ912" s="98"/>
      <c r="CA912" s="98"/>
      <c r="CB912" s="98"/>
      <c r="CC912" s="98"/>
      <c r="CD912" s="98"/>
      <c r="CE912" s="98"/>
      <c r="CF912" s="98"/>
      <c r="CG912" s="98"/>
      <c r="CH912" s="98"/>
      <c r="CI912" s="98"/>
      <c r="CJ912" s="98"/>
      <c r="CK912" s="98"/>
    </row>
    <row r="913" spans="1:89" ht="15" x14ac:dyDescent="0.2">
      <c r="A913" s="119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8"/>
      <c r="AJ913" s="98"/>
      <c r="AK913" s="98"/>
      <c r="AL913" s="98"/>
      <c r="AM913" s="98"/>
      <c r="AN913" s="98"/>
      <c r="AO913" s="98"/>
      <c r="AP913" s="98"/>
      <c r="AQ913" s="98"/>
      <c r="AR913" s="98"/>
      <c r="AS913" s="98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98"/>
      <c r="BG913" s="98"/>
      <c r="BH913" s="98"/>
      <c r="BI913" s="98"/>
      <c r="BJ913" s="98"/>
      <c r="BK913" s="98"/>
      <c r="BL913" s="98"/>
      <c r="BM913" s="98"/>
      <c r="BN913" s="98"/>
      <c r="BO913" s="98"/>
      <c r="BP913" s="98"/>
      <c r="BQ913" s="98"/>
      <c r="BR913" s="98"/>
      <c r="BS913" s="98"/>
      <c r="BT913" s="98"/>
      <c r="BU913" s="98"/>
      <c r="BV913" s="98"/>
      <c r="BW913" s="98"/>
      <c r="BX913" s="98"/>
      <c r="BY913" s="98"/>
      <c r="BZ913" s="98"/>
      <c r="CA913" s="98"/>
      <c r="CB913" s="98"/>
      <c r="CC913" s="98"/>
      <c r="CD913" s="98"/>
      <c r="CE913" s="98"/>
      <c r="CF913" s="98"/>
      <c r="CG913" s="98"/>
      <c r="CH913" s="98"/>
      <c r="CI913" s="98"/>
      <c r="CJ913" s="98"/>
      <c r="CK913" s="98"/>
    </row>
    <row r="914" spans="1:89" ht="15" x14ac:dyDescent="0.2">
      <c r="A914" s="119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8"/>
      <c r="AJ914" s="98"/>
      <c r="AK914" s="98"/>
      <c r="AL914" s="98"/>
      <c r="AM914" s="98"/>
      <c r="AN914" s="98"/>
      <c r="AO914" s="98"/>
      <c r="AP914" s="98"/>
      <c r="AQ914" s="98"/>
      <c r="AR914" s="98"/>
      <c r="AS914" s="98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98"/>
      <c r="BG914" s="98"/>
      <c r="BH914" s="98"/>
      <c r="BI914" s="98"/>
      <c r="BJ914" s="98"/>
      <c r="BK914" s="98"/>
      <c r="BL914" s="98"/>
      <c r="BM914" s="98"/>
      <c r="BN914" s="98"/>
      <c r="BO914" s="98"/>
      <c r="BP914" s="98"/>
      <c r="BQ914" s="98"/>
      <c r="BR914" s="98"/>
      <c r="BS914" s="98"/>
      <c r="BT914" s="98"/>
      <c r="BU914" s="98"/>
      <c r="BV914" s="98"/>
      <c r="BW914" s="98"/>
      <c r="BX914" s="98"/>
      <c r="BY914" s="98"/>
      <c r="BZ914" s="98"/>
      <c r="CA914" s="98"/>
      <c r="CB914" s="98"/>
      <c r="CC914" s="98"/>
      <c r="CD914" s="98"/>
      <c r="CE914" s="98"/>
      <c r="CF914" s="98"/>
      <c r="CG914" s="98"/>
      <c r="CH914" s="98"/>
      <c r="CI914" s="98"/>
      <c r="CJ914" s="98"/>
      <c r="CK914" s="98"/>
    </row>
    <row r="915" spans="1:89" ht="15" x14ac:dyDescent="0.2">
      <c r="A915" s="119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8"/>
      <c r="AJ915" s="98"/>
      <c r="AK915" s="98"/>
      <c r="AL915" s="98"/>
      <c r="AM915" s="98"/>
      <c r="AN915" s="98"/>
      <c r="AO915" s="98"/>
      <c r="AP915" s="98"/>
      <c r="AQ915" s="98"/>
      <c r="AR915" s="98"/>
      <c r="AS915" s="98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98"/>
      <c r="BG915" s="98"/>
      <c r="BH915" s="98"/>
      <c r="BI915" s="98"/>
      <c r="BJ915" s="98"/>
      <c r="BK915" s="98"/>
      <c r="BL915" s="98"/>
      <c r="BM915" s="98"/>
      <c r="BN915" s="98"/>
      <c r="BO915" s="98"/>
      <c r="BP915" s="98"/>
      <c r="BQ915" s="98"/>
      <c r="BR915" s="98"/>
      <c r="BS915" s="98"/>
      <c r="BT915" s="98"/>
      <c r="BU915" s="98"/>
      <c r="BV915" s="98"/>
      <c r="BW915" s="98"/>
      <c r="BX915" s="98"/>
      <c r="BY915" s="98"/>
      <c r="BZ915" s="98"/>
      <c r="CA915" s="98"/>
      <c r="CB915" s="98"/>
      <c r="CC915" s="98"/>
      <c r="CD915" s="98"/>
      <c r="CE915" s="98"/>
      <c r="CF915" s="98"/>
      <c r="CG915" s="98"/>
      <c r="CH915" s="98"/>
      <c r="CI915" s="98"/>
      <c r="CJ915" s="98"/>
      <c r="CK915" s="98"/>
    </row>
    <row r="916" spans="1:89" ht="15" x14ac:dyDescent="0.2">
      <c r="A916" s="119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8"/>
      <c r="AJ916" s="98"/>
      <c r="AK916" s="98"/>
      <c r="AL916" s="98"/>
      <c r="AM916" s="98"/>
      <c r="AN916" s="98"/>
      <c r="AO916" s="98"/>
      <c r="AP916" s="98"/>
      <c r="AQ916" s="98"/>
      <c r="AR916" s="98"/>
      <c r="AS916" s="98"/>
      <c r="AT916" s="98"/>
      <c r="AU916" s="98"/>
      <c r="AV916" s="98"/>
      <c r="AW916" s="98"/>
      <c r="AX916" s="98"/>
      <c r="AY916" s="98"/>
      <c r="AZ916" s="98"/>
      <c r="BA916" s="98"/>
      <c r="BB916" s="98"/>
      <c r="BC916" s="98"/>
      <c r="BD916" s="98"/>
      <c r="BE916" s="98"/>
      <c r="BF916" s="98"/>
      <c r="BG916" s="98"/>
      <c r="BH916" s="98"/>
      <c r="BI916" s="98"/>
      <c r="BJ916" s="98"/>
      <c r="BK916" s="98"/>
      <c r="BL916" s="98"/>
      <c r="BM916" s="98"/>
      <c r="BN916" s="98"/>
      <c r="BO916" s="98"/>
      <c r="BP916" s="98"/>
      <c r="BQ916" s="98"/>
      <c r="BR916" s="98"/>
      <c r="BS916" s="98"/>
      <c r="BT916" s="98"/>
      <c r="BU916" s="98"/>
      <c r="BV916" s="98"/>
      <c r="BW916" s="98"/>
      <c r="BX916" s="98"/>
      <c r="BY916" s="98"/>
      <c r="BZ916" s="98"/>
      <c r="CA916" s="98"/>
      <c r="CB916" s="98"/>
      <c r="CC916" s="98"/>
      <c r="CD916" s="98"/>
      <c r="CE916" s="98"/>
      <c r="CF916" s="98"/>
      <c r="CG916" s="98"/>
      <c r="CH916" s="98"/>
      <c r="CI916" s="98"/>
      <c r="CJ916" s="98"/>
      <c r="CK916" s="98"/>
    </row>
    <row r="917" spans="1:89" ht="15" x14ac:dyDescent="0.2">
      <c r="A917" s="119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8"/>
      <c r="AJ917" s="98"/>
      <c r="AK917" s="98"/>
      <c r="AL917" s="98"/>
      <c r="AM917" s="98"/>
      <c r="AN917" s="98"/>
      <c r="AO917" s="98"/>
      <c r="AP917" s="98"/>
      <c r="AQ917" s="98"/>
      <c r="AR917" s="98"/>
      <c r="AS917" s="98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98"/>
      <c r="BG917" s="98"/>
      <c r="BH917" s="98"/>
      <c r="BI917" s="98"/>
      <c r="BJ917" s="98"/>
      <c r="BK917" s="98"/>
      <c r="BL917" s="98"/>
      <c r="BM917" s="98"/>
      <c r="BN917" s="98"/>
      <c r="BO917" s="98"/>
      <c r="BP917" s="98"/>
      <c r="BQ917" s="98"/>
      <c r="BR917" s="98"/>
      <c r="BS917" s="98"/>
      <c r="BT917" s="98"/>
      <c r="BU917" s="98"/>
      <c r="BV917" s="98"/>
      <c r="BW917" s="98"/>
      <c r="BX917" s="98"/>
      <c r="BY917" s="98"/>
      <c r="BZ917" s="98"/>
      <c r="CA917" s="98"/>
      <c r="CB917" s="98"/>
      <c r="CC917" s="98"/>
      <c r="CD917" s="98"/>
      <c r="CE917" s="98"/>
      <c r="CF917" s="98"/>
      <c r="CG917" s="98"/>
      <c r="CH917" s="98"/>
      <c r="CI917" s="98"/>
      <c r="CJ917" s="98"/>
      <c r="CK917" s="98"/>
    </row>
    <row r="918" spans="1:89" ht="15" x14ac:dyDescent="0.2">
      <c r="A918" s="119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8"/>
      <c r="AJ918" s="98"/>
      <c r="AK918" s="98"/>
      <c r="AL918" s="98"/>
      <c r="AM918" s="98"/>
      <c r="AN918" s="98"/>
      <c r="AO918" s="98"/>
      <c r="AP918" s="98"/>
      <c r="AQ918" s="98"/>
      <c r="AR918" s="98"/>
      <c r="AS918" s="98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98"/>
      <c r="BG918" s="98"/>
      <c r="BH918" s="98"/>
      <c r="BI918" s="98"/>
      <c r="BJ918" s="98"/>
      <c r="BK918" s="98"/>
      <c r="BL918" s="98"/>
      <c r="BM918" s="98"/>
      <c r="BN918" s="98"/>
      <c r="BO918" s="98"/>
      <c r="BP918" s="98"/>
      <c r="BQ918" s="98"/>
      <c r="BR918" s="98"/>
      <c r="BS918" s="98"/>
      <c r="BT918" s="98"/>
      <c r="BU918" s="98"/>
      <c r="BV918" s="98"/>
      <c r="BW918" s="98"/>
      <c r="BX918" s="98"/>
      <c r="BY918" s="98"/>
      <c r="BZ918" s="98"/>
      <c r="CA918" s="98"/>
      <c r="CB918" s="98"/>
      <c r="CC918" s="98"/>
      <c r="CD918" s="98"/>
      <c r="CE918" s="98"/>
      <c r="CF918" s="98"/>
      <c r="CG918" s="98"/>
      <c r="CH918" s="98"/>
      <c r="CI918" s="98"/>
      <c r="CJ918" s="98"/>
      <c r="CK918" s="98"/>
    </row>
    <row r="919" spans="1:89" ht="15" x14ac:dyDescent="0.2">
      <c r="A919" s="119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8"/>
      <c r="AJ919" s="98"/>
      <c r="AK919" s="98"/>
      <c r="AL919" s="98"/>
      <c r="AM919" s="98"/>
      <c r="AN919" s="98"/>
      <c r="AO919" s="98"/>
      <c r="AP919" s="98"/>
      <c r="AQ919" s="98"/>
      <c r="AR919" s="98"/>
      <c r="AS919" s="98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8"/>
      <c r="BG919" s="98"/>
      <c r="BH919" s="98"/>
      <c r="BI919" s="98"/>
      <c r="BJ919" s="98"/>
      <c r="BK919" s="98"/>
      <c r="BL919" s="98"/>
      <c r="BM919" s="98"/>
      <c r="BN919" s="98"/>
      <c r="BO919" s="98"/>
      <c r="BP919" s="98"/>
      <c r="BQ919" s="98"/>
      <c r="BR919" s="98"/>
      <c r="BS919" s="98"/>
      <c r="BT919" s="98"/>
      <c r="BU919" s="98"/>
      <c r="BV919" s="98"/>
      <c r="BW919" s="98"/>
      <c r="BX919" s="98"/>
      <c r="BY919" s="98"/>
      <c r="BZ919" s="98"/>
      <c r="CA919" s="98"/>
      <c r="CB919" s="98"/>
      <c r="CC919" s="98"/>
      <c r="CD919" s="98"/>
      <c r="CE919" s="98"/>
      <c r="CF919" s="98"/>
      <c r="CG919" s="98"/>
      <c r="CH919" s="98"/>
      <c r="CI919" s="98"/>
      <c r="CJ919" s="98"/>
      <c r="CK919" s="98"/>
    </row>
    <row r="920" spans="1:89" ht="15" x14ac:dyDescent="0.2">
      <c r="A920" s="119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8"/>
      <c r="AJ920" s="98"/>
      <c r="AK920" s="98"/>
      <c r="AL920" s="98"/>
      <c r="AM920" s="98"/>
      <c r="AN920" s="98"/>
      <c r="AO920" s="98"/>
      <c r="AP920" s="98"/>
      <c r="AQ920" s="98"/>
      <c r="AR920" s="98"/>
      <c r="AS920" s="98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8"/>
      <c r="BG920" s="98"/>
      <c r="BH920" s="98"/>
      <c r="BI920" s="98"/>
      <c r="BJ920" s="98"/>
      <c r="BK920" s="98"/>
      <c r="BL920" s="98"/>
      <c r="BM920" s="98"/>
      <c r="BN920" s="98"/>
      <c r="BO920" s="98"/>
      <c r="BP920" s="98"/>
      <c r="BQ920" s="98"/>
      <c r="BR920" s="98"/>
      <c r="BS920" s="98"/>
      <c r="BT920" s="98"/>
      <c r="BU920" s="98"/>
      <c r="BV920" s="98"/>
      <c r="BW920" s="98"/>
      <c r="BX920" s="98"/>
      <c r="BY920" s="98"/>
      <c r="BZ920" s="98"/>
      <c r="CA920" s="98"/>
      <c r="CB920" s="98"/>
      <c r="CC920" s="98"/>
      <c r="CD920" s="98"/>
      <c r="CE920" s="98"/>
      <c r="CF920" s="98"/>
      <c r="CG920" s="98"/>
      <c r="CH920" s="98"/>
      <c r="CI920" s="98"/>
      <c r="CJ920" s="98"/>
      <c r="CK920" s="98"/>
    </row>
    <row r="921" spans="1:89" ht="15" x14ac:dyDescent="0.2">
      <c r="A921" s="119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8"/>
      <c r="AJ921" s="98"/>
      <c r="AK921" s="98"/>
      <c r="AL921" s="98"/>
      <c r="AM921" s="98"/>
      <c r="AN921" s="98"/>
      <c r="AO921" s="98"/>
      <c r="AP921" s="98"/>
      <c r="AQ921" s="98"/>
      <c r="AR921" s="98"/>
      <c r="AS921" s="98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8"/>
      <c r="BG921" s="98"/>
      <c r="BH921" s="98"/>
      <c r="BI921" s="98"/>
      <c r="BJ921" s="98"/>
      <c r="BK921" s="98"/>
      <c r="BL921" s="98"/>
      <c r="BM921" s="98"/>
      <c r="BN921" s="98"/>
      <c r="BO921" s="98"/>
      <c r="BP921" s="98"/>
      <c r="BQ921" s="98"/>
      <c r="BR921" s="98"/>
      <c r="BS921" s="98"/>
      <c r="BT921" s="98"/>
      <c r="BU921" s="98"/>
      <c r="BV921" s="98"/>
      <c r="BW921" s="98"/>
      <c r="BX921" s="98"/>
      <c r="BY921" s="98"/>
      <c r="BZ921" s="98"/>
      <c r="CA921" s="98"/>
      <c r="CB921" s="98"/>
      <c r="CC921" s="98"/>
      <c r="CD921" s="98"/>
      <c r="CE921" s="98"/>
      <c r="CF921" s="98"/>
      <c r="CG921" s="98"/>
      <c r="CH921" s="98"/>
      <c r="CI921" s="98"/>
      <c r="CJ921" s="98"/>
      <c r="CK921" s="98"/>
    </row>
    <row r="922" spans="1:89" ht="15" x14ac:dyDescent="0.2">
      <c r="A922" s="119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8"/>
      <c r="AJ922" s="98"/>
      <c r="AK922" s="98"/>
      <c r="AL922" s="98"/>
      <c r="AM922" s="98"/>
      <c r="AN922" s="98"/>
      <c r="AO922" s="98"/>
      <c r="AP922" s="98"/>
      <c r="AQ922" s="98"/>
      <c r="AR922" s="98"/>
      <c r="AS922" s="98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8"/>
      <c r="BG922" s="98"/>
      <c r="BH922" s="98"/>
      <c r="BI922" s="98"/>
      <c r="BJ922" s="98"/>
      <c r="BK922" s="98"/>
      <c r="BL922" s="98"/>
      <c r="BM922" s="98"/>
      <c r="BN922" s="98"/>
      <c r="BO922" s="98"/>
      <c r="BP922" s="98"/>
      <c r="BQ922" s="98"/>
      <c r="BR922" s="98"/>
      <c r="BS922" s="98"/>
      <c r="BT922" s="98"/>
      <c r="BU922" s="98"/>
      <c r="BV922" s="98"/>
      <c r="BW922" s="98"/>
      <c r="BX922" s="98"/>
      <c r="BY922" s="98"/>
      <c r="BZ922" s="98"/>
      <c r="CA922" s="98"/>
      <c r="CB922" s="98"/>
      <c r="CC922" s="98"/>
      <c r="CD922" s="98"/>
      <c r="CE922" s="98"/>
      <c r="CF922" s="98"/>
      <c r="CG922" s="98"/>
      <c r="CH922" s="98"/>
      <c r="CI922" s="98"/>
      <c r="CJ922" s="98"/>
      <c r="CK922" s="98"/>
    </row>
    <row r="923" spans="1:89" ht="15" x14ac:dyDescent="0.2">
      <c r="A923" s="119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8"/>
      <c r="AJ923" s="98"/>
      <c r="AK923" s="98"/>
      <c r="AL923" s="98"/>
      <c r="AM923" s="98"/>
      <c r="AN923" s="98"/>
      <c r="AO923" s="98"/>
      <c r="AP923" s="98"/>
      <c r="AQ923" s="98"/>
      <c r="AR923" s="98"/>
      <c r="AS923" s="98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8"/>
      <c r="BG923" s="98"/>
      <c r="BH923" s="98"/>
      <c r="BI923" s="98"/>
      <c r="BJ923" s="98"/>
      <c r="BK923" s="98"/>
      <c r="BL923" s="98"/>
      <c r="BM923" s="98"/>
      <c r="BN923" s="98"/>
      <c r="BO923" s="98"/>
      <c r="BP923" s="98"/>
      <c r="BQ923" s="98"/>
      <c r="BR923" s="98"/>
      <c r="BS923" s="98"/>
      <c r="BT923" s="98"/>
      <c r="BU923" s="98"/>
      <c r="BV923" s="98"/>
      <c r="BW923" s="98"/>
      <c r="BX923" s="98"/>
      <c r="BY923" s="98"/>
      <c r="BZ923" s="98"/>
      <c r="CA923" s="98"/>
      <c r="CB923" s="98"/>
      <c r="CC923" s="98"/>
      <c r="CD923" s="98"/>
      <c r="CE923" s="98"/>
      <c r="CF923" s="98"/>
      <c r="CG923" s="98"/>
      <c r="CH923" s="98"/>
      <c r="CI923" s="98"/>
      <c r="CJ923" s="98"/>
      <c r="CK923" s="98"/>
    </row>
    <row r="924" spans="1:89" ht="15" x14ac:dyDescent="0.2">
      <c r="A924" s="119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8"/>
      <c r="AJ924" s="98"/>
      <c r="AK924" s="98"/>
      <c r="AL924" s="98"/>
      <c r="AM924" s="98"/>
      <c r="AN924" s="98"/>
      <c r="AO924" s="98"/>
      <c r="AP924" s="98"/>
      <c r="AQ924" s="98"/>
      <c r="AR924" s="98"/>
      <c r="AS924" s="98"/>
      <c r="AT924" s="98"/>
      <c r="AU924" s="98"/>
      <c r="AV924" s="98"/>
      <c r="AW924" s="98"/>
      <c r="AX924" s="98"/>
      <c r="AY924" s="98"/>
      <c r="AZ924" s="98"/>
      <c r="BA924" s="98"/>
      <c r="BB924" s="98"/>
      <c r="BC924" s="98"/>
      <c r="BD924" s="98"/>
      <c r="BE924" s="98"/>
      <c r="BF924" s="98"/>
      <c r="BG924" s="98"/>
      <c r="BH924" s="98"/>
      <c r="BI924" s="98"/>
      <c r="BJ924" s="98"/>
      <c r="BK924" s="98"/>
      <c r="BL924" s="98"/>
      <c r="BM924" s="98"/>
      <c r="BN924" s="98"/>
      <c r="BO924" s="98"/>
      <c r="BP924" s="98"/>
      <c r="BQ924" s="98"/>
      <c r="BR924" s="98"/>
      <c r="BS924" s="98"/>
      <c r="BT924" s="98"/>
      <c r="BU924" s="98"/>
      <c r="BV924" s="98"/>
      <c r="BW924" s="98"/>
      <c r="BX924" s="98"/>
      <c r="BY924" s="98"/>
      <c r="BZ924" s="98"/>
      <c r="CA924" s="98"/>
      <c r="CB924" s="98"/>
      <c r="CC924" s="98"/>
      <c r="CD924" s="98"/>
      <c r="CE924" s="98"/>
      <c r="CF924" s="98"/>
      <c r="CG924" s="98"/>
      <c r="CH924" s="98"/>
      <c r="CI924" s="98"/>
      <c r="CJ924" s="98"/>
      <c r="CK924" s="98"/>
    </row>
    <row r="925" spans="1:89" ht="15" x14ac:dyDescent="0.2">
      <c r="A925" s="119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8"/>
      <c r="AJ925" s="98"/>
      <c r="AK925" s="98"/>
      <c r="AL925" s="98"/>
      <c r="AM925" s="98"/>
      <c r="AN925" s="98"/>
      <c r="AO925" s="98"/>
      <c r="AP925" s="98"/>
      <c r="AQ925" s="98"/>
      <c r="AR925" s="98"/>
      <c r="AS925" s="98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8"/>
      <c r="BG925" s="98"/>
      <c r="BH925" s="98"/>
      <c r="BI925" s="98"/>
      <c r="BJ925" s="98"/>
      <c r="BK925" s="98"/>
      <c r="BL925" s="98"/>
      <c r="BM925" s="98"/>
      <c r="BN925" s="98"/>
      <c r="BO925" s="98"/>
      <c r="BP925" s="98"/>
      <c r="BQ925" s="98"/>
      <c r="BR925" s="98"/>
      <c r="BS925" s="98"/>
      <c r="BT925" s="98"/>
      <c r="BU925" s="98"/>
      <c r="BV925" s="98"/>
      <c r="BW925" s="98"/>
      <c r="BX925" s="98"/>
      <c r="BY925" s="98"/>
      <c r="BZ925" s="98"/>
      <c r="CA925" s="98"/>
      <c r="CB925" s="98"/>
      <c r="CC925" s="98"/>
      <c r="CD925" s="98"/>
      <c r="CE925" s="98"/>
      <c r="CF925" s="98"/>
      <c r="CG925" s="98"/>
      <c r="CH925" s="98"/>
      <c r="CI925" s="98"/>
      <c r="CJ925" s="98"/>
      <c r="CK925" s="98"/>
    </row>
    <row r="926" spans="1:89" ht="15" x14ac:dyDescent="0.2">
      <c r="A926" s="119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8"/>
      <c r="AJ926" s="98"/>
      <c r="AK926" s="98"/>
      <c r="AL926" s="98"/>
      <c r="AM926" s="98"/>
      <c r="AN926" s="98"/>
      <c r="AO926" s="98"/>
      <c r="AP926" s="98"/>
      <c r="AQ926" s="98"/>
      <c r="AR926" s="98"/>
      <c r="AS926" s="98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8"/>
      <c r="BG926" s="98"/>
      <c r="BH926" s="98"/>
      <c r="BI926" s="98"/>
      <c r="BJ926" s="98"/>
      <c r="BK926" s="98"/>
      <c r="BL926" s="98"/>
      <c r="BM926" s="98"/>
      <c r="BN926" s="98"/>
      <c r="BO926" s="98"/>
      <c r="BP926" s="98"/>
      <c r="BQ926" s="98"/>
      <c r="BR926" s="98"/>
      <c r="BS926" s="98"/>
      <c r="BT926" s="98"/>
      <c r="BU926" s="98"/>
      <c r="BV926" s="98"/>
      <c r="BW926" s="98"/>
      <c r="BX926" s="98"/>
      <c r="BY926" s="98"/>
      <c r="BZ926" s="98"/>
      <c r="CA926" s="98"/>
      <c r="CB926" s="98"/>
      <c r="CC926" s="98"/>
      <c r="CD926" s="98"/>
      <c r="CE926" s="98"/>
      <c r="CF926" s="98"/>
      <c r="CG926" s="98"/>
      <c r="CH926" s="98"/>
      <c r="CI926" s="98"/>
      <c r="CJ926" s="98"/>
      <c r="CK926" s="98"/>
    </row>
    <row r="927" spans="1:89" ht="15" x14ac:dyDescent="0.2">
      <c r="A927" s="119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  <c r="AI927" s="98"/>
      <c r="AJ927" s="98"/>
      <c r="AK927" s="98"/>
      <c r="AL927" s="98"/>
      <c r="AM927" s="98"/>
      <c r="AN927" s="98"/>
      <c r="AO927" s="98"/>
      <c r="AP927" s="98"/>
      <c r="AQ927" s="98"/>
      <c r="AR927" s="98"/>
      <c r="AS927" s="98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8"/>
      <c r="BG927" s="98"/>
      <c r="BH927" s="98"/>
      <c r="BI927" s="98"/>
      <c r="BJ927" s="98"/>
      <c r="BK927" s="98"/>
      <c r="BL927" s="98"/>
      <c r="BM927" s="98"/>
      <c r="BN927" s="98"/>
      <c r="BO927" s="98"/>
      <c r="BP927" s="98"/>
      <c r="BQ927" s="98"/>
      <c r="BR927" s="98"/>
      <c r="BS927" s="98"/>
      <c r="BT927" s="98"/>
      <c r="BU927" s="98"/>
      <c r="BV927" s="98"/>
      <c r="BW927" s="98"/>
      <c r="BX927" s="98"/>
      <c r="BY927" s="98"/>
      <c r="BZ927" s="98"/>
      <c r="CA927" s="98"/>
      <c r="CB927" s="98"/>
      <c r="CC927" s="98"/>
      <c r="CD927" s="98"/>
      <c r="CE927" s="98"/>
      <c r="CF927" s="98"/>
      <c r="CG927" s="98"/>
      <c r="CH927" s="98"/>
      <c r="CI927" s="98"/>
      <c r="CJ927" s="98"/>
      <c r="CK927" s="98"/>
    </row>
    <row r="928" spans="1:89" ht="15" x14ac:dyDescent="0.2">
      <c r="A928" s="119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  <c r="AI928" s="98"/>
      <c r="AJ928" s="98"/>
      <c r="AK928" s="98"/>
      <c r="AL928" s="98"/>
      <c r="AM928" s="98"/>
      <c r="AN928" s="98"/>
      <c r="AO928" s="98"/>
      <c r="AP928" s="98"/>
      <c r="AQ928" s="98"/>
      <c r="AR928" s="98"/>
      <c r="AS928" s="98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8"/>
      <c r="BG928" s="98"/>
      <c r="BH928" s="98"/>
      <c r="BI928" s="98"/>
      <c r="BJ928" s="98"/>
      <c r="BK928" s="98"/>
      <c r="BL928" s="98"/>
      <c r="BM928" s="98"/>
      <c r="BN928" s="98"/>
      <c r="BO928" s="98"/>
      <c r="BP928" s="98"/>
      <c r="BQ928" s="98"/>
      <c r="BR928" s="98"/>
      <c r="BS928" s="98"/>
      <c r="BT928" s="98"/>
      <c r="BU928" s="98"/>
      <c r="BV928" s="98"/>
      <c r="BW928" s="98"/>
      <c r="BX928" s="98"/>
      <c r="BY928" s="98"/>
      <c r="BZ928" s="98"/>
      <c r="CA928" s="98"/>
      <c r="CB928" s="98"/>
      <c r="CC928" s="98"/>
      <c r="CD928" s="98"/>
      <c r="CE928" s="98"/>
      <c r="CF928" s="98"/>
      <c r="CG928" s="98"/>
      <c r="CH928" s="98"/>
      <c r="CI928" s="98"/>
      <c r="CJ928" s="98"/>
      <c r="CK928" s="98"/>
    </row>
    <row r="929" spans="1:89" ht="15" x14ac:dyDescent="0.2">
      <c r="A929" s="119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  <c r="AI929" s="98"/>
      <c r="AJ929" s="98"/>
      <c r="AK929" s="98"/>
      <c r="AL929" s="98"/>
      <c r="AM929" s="98"/>
      <c r="AN929" s="98"/>
      <c r="AO929" s="98"/>
      <c r="AP929" s="98"/>
      <c r="AQ929" s="98"/>
      <c r="AR929" s="98"/>
      <c r="AS929" s="98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8"/>
      <c r="BG929" s="98"/>
      <c r="BH929" s="98"/>
      <c r="BI929" s="98"/>
      <c r="BJ929" s="98"/>
      <c r="BK929" s="98"/>
      <c r="BL929" s="98"/>
      <c r="BM929" s="98"/>
      <c r="BN929" s="98"/>
      <c r="BO929" s="98"/>
      <c r="BP929" s="98"/>
      <c r="BQ929" s="98"/>
      <c r="BR929" s="98"/>
      <c r="BS929" s="98"/>
      <c r="BT929" s="98"/>
      <c r="BU929" s="98"/>
      <c r="BV929" s="98"/>
      <c r="BW929" s="98"/>
      <c r="BX929" s="98"/>
      <c r="BY929" s="98"/>
      <c r="BZ929" s="98"/>
      <c r="CA929" s="98"/>
      <c r="CB929" s="98"/>
      <c r="CC929" s="98"/>
      <c r="CD929" s="98"/>
      <c r="CE929" s="98"/>
      <c r="CF929" s="98"/>
      <c r="CG929" s="98"/>
      <c r="CH929" s="98"/>
      <c r="CI929" s="98"/>
      <c r="CJ929" s="98"/>
      <c r="CK929" s="98"/>
    </row>
    <row r="930" spans="1:89" ht="15" x14ac:dyDescent="0.2">
      <c r="A930" s="119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  <c r="AI930" s="98"/>
      <c r="AJ930" s="98"/>
      <c r="AK930" s="98"/>
      <c r="AL930" s="98"/>
      <c r="AM930" s="98"/>
      <c r="AN930" s="98"/>
      <c r="AO930" s="98"/>
      <c r="AP930" s="98"/>
      <c r="AQ930" s="98"/>
      <c r="AR930" s="98"/>
      <c r="AS930" s="98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8"/>
      <c r="BG930" s="98"/>
      <c r="BH930" s="98"/>
      <c r="BI930" s="98"/>
      <c r="BJ930" s="98"/>
      <c r="BK930" s="98"/>
      <c r="BL930" s="98"/>
      <c r="BM930" s="98"/>
      <c r="BN930" s="98"/>
      <c r="BO930" s="98"/>
      <c r="BP930" s="98"/>
      <c r="BQ930" s="98"/>
      <c r="BR930" s="98"/>
      <c r="BS930" s="98"/>
      <c r="BT930" s="98"/>
      <c r="BU930" s="98"/>
      <c r="BV930" s="98"/>
      <c r="BW930" s="98"/>
      <c r="BX930" s="98"/>
      <c r="BY930" s="98"/>
      <c r="BZ930" s="98"/>
      <c r="CA930" s="98"/>
      <c r="CB930" s="98"/>
      <c r="CC930" s="98"/>
      <c r="CD930" s="98"/>
      <c r="CE930" s="98"/>
      <c r="CF930" s="98"/>
      <c r="CG930" s="98"/>
      <c r="CH930" s="98"/>
      <c r="CI930" s="98"/>
      <c r="CJ930" s="98"/>
      <c r="CK930" s="98"/>
    </row>
    <row r="931" spans="1:89" ht="15" x14ac:dyDescent="0.2">
      <c r="A931" s="119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  <c r="AI931" s="98"/>
      <c r="AJ931" s="98"/>
      <c r="AK931" s="98"/>
      <c r="AL931" s="98"/>
      <c r="AM931" s="98"/>
      <c r="AN931" s="98"/>
      <c r="AO931" s="98"/>
      <c r="AP931" s="98"/>
      <c r="AQ931" s="98"/>
      <c r="AR931" s="98"/>
      <c r="AS931" s="98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8"/>
      <c r="BG931" s="98"/>
      <c r="BH931" s="98"/>
      <c r="BI931" s="98"/>
      <c r="BJ931" s="98"/>
      <c r="BK931" s="98"/>
      <c r="BL931" s="98"/>
      <c r="BM931" s="98"/>
      <c r="BN931" s="98"/>
      <c r="BO931" s="98"/>
      <c r="BP931" s="98"/>
      <c r="BQ931" s="98"/>
      <c r="BR931" s="98"/>
      <c r="BS931" s="98"/>
      <c r="BT931" s="98"/>
      <c r="BU931" s="98"/>
      <c r="BV931" s="98"/>
      <c r="BW931" s="98"/>
      <c r="BX931" s="98"/>
      <c r="BY931" s="98"/>
      <c r="BZ931" s="98"/>
      <c r="CA931" s="98"/>
      <c r="CB931" s="98"/>
      <c r="CC931" s="98"/>
      <c r="CD931" s="98"/>
      <c r="CE931" s="98"/>
      <c r="CF931" s="98"/>
      <c r="CG931" s="98"/>
      <c r="CH931" s="98"/>
      <c r="CI931" s="98"/>
      <c r="CJ931" s="98"/>
      <c r="CK931" s="98"/>
    </row>
    <row r="932" spans="1:89" ht="15" x14ac:dyDescent="0.2">
      <c r="A932" s="119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  <c r="AI932" s="98"/>
      <c r="AJ932" s="98"/>
      <c r="AK932" s="98"/>
      <c r="AL932" s="98"/>
      <c r="AM932" s="98"/>
      <c r="AN932" s="98"/>
      <c r="AO932" s="98"/>
      <c r="AP932" s="98"/>
      <c r="AQ932" s="98"/>
      <c r="AR932" s="98"/>
      <c r="AS932" s="98"/>
      <c r="AT932" s="98"/>
      <c r="AU932" s="98"/>
      <c r="AV932" s="98"/>
      <c r="AW932" s="98"/>
      <c r="AX932" s="98"/>
      <c r="AY932" s="98"/>
      <c r="AZ932" s="98"/>
      <c r="BA932" s="98"/>
      <c r="BB932" s="98"/>
      <c r="BC932" s="98"/>
      <c r="BD932" s="98"/>
      <c r="BE932" s="98"/>
      <c r="BF932" s="98"/>
      <c r="BG932" s="98"/>
      <c r="BH932" s="98"/>
      <c r="BI932" s="98"/>
      <c r="BJ932" s="98"/>
      <c r="BK932" s="98"/>
      <c r="BL932" s="98"/>
      <c r="BM932" s="98"/>
      <c r="BN932" s="98"/>
      <c r="BO932" s="98"/>
      <c r="BP932" s="98"/>
      <c r="BQ932" s="98"/>
      <c r="BR932" s="98"/>
      <c r="BS932" s="98"/>
      <c r="BT932" s="98"/>
      <c r="BU932" s="98"/>
      <c r="BV932" s="98"/>
      <c r="BW932" s="98"/>
      <c r="BX932" s="98"/>
      <c r="BY932" s="98"/>
      <c r="BZ932" s="98"/>
      <c r="CA932" s="98"/>
      <c r="CB932" s="98"/>
      <c r="CC932" s="98"/>
      <c r="CD932" s="98"/>
      <c r="CE932" s="98"/>
      <c r="CF932" s="98"/>
      <c r="CG932" s="98"/>
      <c r="CH932" s="98"/>
      <c r="CI932" s="98"/>
      <c r="CJ932" s="98"/>
      <c r="CK932" s="98"/>
    </row>
    <row r="933" spans="1:89" ht="15" x14ac:dyDescent="0.2">
      <c r="A933" s="119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  <c r="AI933" s="98"/>
      <c r="AJ933" s="98"/>
      <c r="AK933" s="98"/>
      <c r="AL933" s="98"/>
      <c r="AM933" s="98"/>
      <c r="AN933" s="98"/>
      <c r="AO933" s="98"/>
      <c r="AP933" s="98"/>
      <c r="AQ933" s="98"/>
      <c r="AR933" s="98"/>
      <c r="AS933" s="98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8"/>
      <c r="BG933" s="98"/>
      <c r="BH933" s="98"/>
      <c r="BI933" s="98"/>
      <c r="BJ933" s="98"/>
      <c r="BK933" s="98"/>
      <c r="BL933" s="98"/>
      <c r="BM933" s="98"/>
      <c r="BN933" s="98"/>
      <c r="BO933" s="98"/>
      <c r="BP933" s="98"/>
      <c r="BQ933" s="98"/>
      <c r="BR933" s="98"/>
      <c r="BS933" s="98"/>
      <c r="BT933" s="98"/>
      <c r="BU933" s="98"/>
      <c r="BV933" s="98"/>
      <c r="BW933" s="98"/>
      <c r="BX933" s="98"/>
      <c r="BY933" s="98"/>
      <c r="BZ933" s="98"/>
      <c r="CA933" s="98"/>
      <c r="CB933" s="98"/>
      <c r="CC933" s="98"/>
      <c r="CD933" s="98"/>
      <c r="CE933" s="98"/>
      <c r="CF933" s="98"/>
      <c r="CG933" s="98"/>
      <c r="CH933" s="98"/>
      <c r="CI933" s="98"/>
      <c r="CJ933" s="98"/>
      <c r="CK933" s="98"/>
    </row>
    <row r="934" spans="1:89" ht="15" x14ac:dyDescent="0.2">
      <c r="A934" s="119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  <c r="AI934" s="98"/>
      <c r="AJ934" s="98"/>
      <c r="AK934" s="98"/>
      <c r="AL934" s="98"/>
      <c r="AM934" s="98"/>
      <c r="AN934" s="98"/>
      <c r="AO934" s="98"/>
      <c r="AP934" s="98"/>
      <c r="AQ934" s="98"/>
      <c r="AR934" s="98"/>
      <c r="AS934" s="98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8"/>
      <c r="BG934" s="98"/>
      <c r="BH934" s="98"/>
      <c r="BI934" s="98"/>
      <c r="BJ934" s="98"/>
      <c r="BK934" s="98"/>
      <c r="BL934" s="98"/>
      <c r="BM934" s="98"/>
      <c r="BN934" s="98"/>
      <c r="BO934" s="98"/>
      <c r="BP934" s="98"/>
      <c r="BQ934" s="98"/>
      <c r="BR934" s="98"/>
      <c r="BS934" s="98"/>
      <c r="BT934" s="98"/>
      <c r="BU934" s="98"/>
      <c r="BV934" s="98"/>
      <c r="BW934" s="98"/>
      <c r="BX934" s="98"/>
      <c r="BY934" s="98"/>
      <c r="BZ934" s="98"/>
      <c r="CA934" s="98"/>
      <c r="CB934" s="98"/>
      <c r="CC934" s="98"/>
      <c r="CD934" s="98"/>
      <c r="CE934" s="98"/>
      <c r="CF934" s="98"/>
      <c r="CG934" s="98"/>
      <c r="CH934" s="98"/>
      <c r="CI934" s="98"/>
      <c r="CJ934" s="98"/>
      <c r="CK934" s="98"/>
    </row>
    <row r="935" spans="1:89" ht="15" x14ac:dyDescent="0.2">
      <c r="A935" s="119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  <c r="AI935" s="98"/>
      <c r="AJ935" s="98"/>
      <c r="AK935" s="98"/>
      <c r="AL935" s="98"/>
      <c r="AM935" s="98"/>
      <c r="AN935" s="98"/>
      <c r="AO935" s="98"/>
      <c r="AP935" s="98"/>
      <c r="AQ935" s="98"/>
      <c r="AR935" s="98"/>
      <c r="AS935" s="98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8"/>
      <c r="BG935" s="98"/>
      <c r="BH935" s="98"/>
      <c r="BI935" s="98"/>
      <c r="BJ935" s="98"/>
      <c r="BK935" s="98"/>
      <c r="BL935" s="98"/>
      <c r="BM935" s="98"/>
      <c r="BN935" s="98"/>
      <c r="BO935" s="98"/>
      <c r="BP935" s="98"/>
      <c r="BQ935" s="98"/>
      <c r="BR935" s="98"/>
      <c r="BS935" s="98"/>
      <c r="BT935" s="98"/>
      <c r="BU935" s="98"/>
      <c r="BV935" s="98"/>
      <c r="BW935" s="98"/>
      <c r="BX935" s="98"/>
      <c r="BY935" s="98"/>
      <c r="BZ935" s="98"/>
      <c r="CA935" s="98"/>
      <c r="CB935" s="98"/>
      <c r="CC935" s="98"/>
      <c r="CD935" s="98"/>
      <c r="CE935" s="98"/>
      <c r="CF935" s="98"/>
      <c r="CG935" s="98"/>
      <c r="CH935" s="98"/>
      <c r="CI935" s="98"/>
      <c r="CJ935" s="98"/>
      <c r="CK935" s="98"/>
    </row>
    <row r="936" spans="1:89" ht="15" x14ac:dyDescent="0.2">
      <c r="A936" s="119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  <c r="AI936" s="98"/>
      <c r="AJ936" s="98"/>
      <c r="AK936" s="98"/>
      <c r="AL936" s="98"/>
      <c r="AM936" s="98"/>
      <c r="AN936" s="98"/>
      <c r="AO936" s="98"/>
      <c r="AP936" s="98"/>
      <c r="AQ936" s="98"/>
      <c r="AR936" s="98"/>
      <c r="AS936" s="98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8"/>
      <c r="BG936" s="98"/>
      <c r="BH936" s="98"/>
      <c r="BI936" s="98"/>
      <c r="BJ936" s="98"/>
      <c r="BK936" s="98"/>
      <c r="BL936" s="98"/>
      <c r="BM936" s="98"/>
      <c r="BN936" s="98"/>
      <c r="BO936" s="98"/>
      <c r="BP936" s="98"/>
      <c r="BQ936" s="98"/>
      <c r="BR936" s="98"/>
      <c r="BS936" s="98"/>
      <c r="BT936" s="98"/>
      <c r="BU936" s="98"/>
      <c r="BV936" s="98"/>
      <c r="BW936" s="98"/>
      <c r="BX936" s="98"/>
      <c r="BY936" s="98"/>
      <c r="BZ936" s="98"/>
      <c r="CA936" s="98"/>
      <c r="CB936" s="98"/>
      <c r="CC936" s="98"/>
      <c r="CD936" s="98"/>
      <c r="CE936" s="98"/>
      <c r="CF936" s="98"/>
      <c r="CG936" s="98"/>
      <c r="CH936" s="98"/>
      <c r="CI936" s="98"/>
      <c r="CJ936" s="98"/>
      <c r="CK936" s="98"/>
    </row>
    <row r="937" spans="1:89" ht="15" x14ac:dyDescent="0.2">
      <c r="A937" s="119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  <c r="AI937" s="98"/>
      <c r="AJ937" s="98"/>
      <c r="AK937" s="98"/>
      <c r="AL937" s="98"/>
      <c r="AM937" s="98"/>
      <c r="AN937" s="98"/>
      <c r="AO937" s="98"/>
      <c r="AP937" s="98"/>
      <c r="AQ937" s="98"/>
      <c r="AR937" s="98"/>
      <c r="AS937" s="98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8"/>
      <c r="BG937" s="98"/>
      <c r="BH937" s="98"/>
      <c r="BI937" s="98"/>
      <c r="BJ937" s="98"/>
      <c r="BK937" s="98"/>
      <c r="BL937" s="98"/>
      <c r="BM937" s="98"/>
      <c r="BN937" s="98"/>
      <c r="BO937" s="98"/>
      <c r="BP937" s="98"/>
      <c r="BQ937" s="98"/>
      <c r="BR937" s="98"/>
      <c r="BS937" s="98"/>
      <c r="BT937" s="98"/>
      <c r="BU937" s="98"/>
      <c r="BV937" s="98"/>
      <c r="BW937" s="98"/>
      <c r="BX937" s="98"/>
      <c r="BY937" s="98"/>
      <c r="BZ937" s="98"/>
      <c r="CA937" s="98"/>
      <c r="CB937" s="98"/>
      <c r="CC937" s="98"/>
      <c r="CD937" s="98"/>
      <c r="CE937" s="98"/>
      <c r="CF937" s="98"/>
      <c r="CG937" s="98"/>
      <c r="CH937" s="98"/>
      <c r="CI937" s="98"/>
      <c r="CJ937" s="98"/>
      <c r="CK937" s="98"/>
    </row>
    <row r="938" spans="1:89" ht="15" x14ac:dyDescent="0.2">
      <c r="A938" s="119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  <c r="AI938" s="98"/>
      <c r="AJ938" s="98"/>
      <c r="AK938" s="98"/>
      <c r="AL938" s="98"/>
      <c r="AM938" s="98"/>
      <c r="AN938" s="98"/>
      <c r="AO938" s="98"/>
      <c r="AP938" s="98"/>
      <c r="AQ938" s="98"/>
      <c r="AR938" s="98"/>
      <c r="AS938" s="98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8"/>
      <c r="BG938" s="98"/>
      <c r="BH938" s="98"/>
      <c r="BI938" s="98"/>
      <c r="BJ938" s="98"/>
      <c r="BK938" s="98"/>
      <c r="BL938" s="98"/>
      <c r="BM938" s="98"/>
      <c r="BN938" s="98"/>
      <c r="BO938" s="98"/>
      <c r="BP938" s="98"/>
      <c r="BQ938" s="98"/>
      <c r="BR938" s="98"/>
      <c r="BS938" s="98"/>
      <c r="BT938" s="98"/>
      <c r="BU938" s="98"/>
      <c r="BV938" s="98"/>
      <c r="BW938" s="98"/>
      <c r="BX938" s="98"/>
      <c r="BY938" s="98"/>
      <c r="BZ938" s="98"/>
      <c r="CA938" s="98"/>
      <c r="CB938" s="98"/>
      <c r="CC938" s="98"/>
      <c r="CD938" s="98"/>
      <c r="CE938" s="98"/>
      <c r="CF938" s="98"/>
      <c r="CG938" s="98"/>
      <c r="CH938" s="98"/>
      <c r="CI938" s="98"/>
      <c r="CJ938" s="98"/>
      <c r="CK938" s="98"/>
    </row>
    <row r="939" spans="1:89" ht="15" x14ac:dyDescent="0.2">
      <c r="A939" s="119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  <c r="AI939" s="98"/>
      <c r="AJ939" s="98"/>
      <c r="AK939" s="98"/>
      <c r="AL939" s="98"/>
      <c r="AM939" s="98"/>
      <c r="AN939" s="98"/>
      <c r="AO939" s="98"/>
      <c r="AP939" s="98"/>
      <c r="AQ939" s="98"/>
      <c r="AR939" s="98"/>
      <c r="AS939" s="98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8"/>
      <c r="BG939" s="98"/>
      <c r="BH939" s="98"/>
      <c r="BI939" s="98"/>
      <c r="BJ939" s="98"/>
      <c r="BK939" s="98"/>
      <c r="BL939" s="98"/>
      <c r="BM939" s="98"/>
      <c r="BN939" s="98"/>
      <c r="BO939" s="98"/>
      <c r="BP939" s="98"/>
      <c r="BQ939" s="98"/>
      <c r="BR939" s="98"/>
      <c r="BS939" s="98"/>
      <c r="BT939" s="98"/>
      <c r="BU939" s="98"/>
      <c r="BV939" s="98"/>
      <c r="BW939" s="98"/>
      <c r="BX939" s="98"/>
      <c r="BY939" s="98"/>
      <c r="BZ939" s="98"/>
      <c r="CA939" s="98"/>
      <c r="CB939" s="98"/>
      <c r="CC939" s="98"/>
      <c r="CD939" s="98"/>
      <c r="CE939" s="98"/>
      <c r="CF939" s="98"/>
      <c r="CG939" s="98"/>
      <c r="CH939" s="98"/>
      <c r="CI939" s="98"/>
      <c r="CJ939" s="98"/>
      <c r="CK939" s="98"/>
    </row>
    <row r="940" spans="1:89" ht="15" x14ac:dyDescent="0.2">
      <c r="A940" s="119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  <c r="AI940" s="98"/>
      <c r="AJ940" s="98"/>
      <c r="AK940" s="98"/>
      <c r="AL940" s="98"/>
      <c r="AM940" s="98"/>
      <c r="AN940" s="98"/>
      <c r="AO940" s="98"/>
      <c r="AP940" s="98"/>
      <c r="AQ940" s="98"/>
      <c r="AR940" s="98"/>
      <c r="AS940" s="98"/>
      <c r="AT940" s="98"/>
      <c r="AU940" s="98"/>
      <c r="AV940" s="98"/>
      <c r="AW940" s="98"/>
      <c r="AX940" s="98"/>
      <c r="AY940" s="98"/>
      <c r="AZ940" s="98"/>
      <c r="BA940" s="98"/>
      <c r="BB940" s="98"/>
      <c r="BC940" s="98"/>
      <c r="BD940" s="98"/>
      <c r="BE940" s="98"/>
      <c r="BF940" s="98"/>
      <c r="BG940" s="98"/>
      <c r="BH940" s="98"/>
      <c r="BI940" s="98"/>
      <c r="BJ940" s="98"/>
      <c r="BK940" s="98"/>
      <c r="BL940" s="98"/>
      <c r="BM940" s="98"/>
      <c r="BN940" s="98"/>
      <c r="BO940" s="98"/>
      <c r="BP940" s="98"/>
      <c r="BQ940" s="98"/>
      <c r="BR940" s="98"/>
      <c r="BS940" s="98"/>
      <c r="BT940" s="98"/>
      <c r="BU940" s="98"/>
      <c r="BV940" s="98"/>
      <c r="BW940" s="98"/>
      <c r="BX940" s="98"/>
      <c r="BY940" s="98"/>
      <c r="BZ940" s="98"/>
      <c r="CA940" s="98"/>
      <c r="CB940" s="98"/>
      <c r="CC940" s="98"/>
      <c r="CD940" s="98"/>
      <c r="CE940" s="98"/>
      <c r="CF940" s="98"/>
      <c r="CG940" s="98"/>
      <c r="CH940" s="98"/>
      <c r="CI940" s="98"/>
      <c r="CJ940" s="98"/>
      <c r="CK940" s="98"/>
    </row>
    <row r="941" spans="1:89" ht="15" x14ac:dyDescent="0.2">
      <c r="A941" s="119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  <c r="AI941" s="98"/>
      <c r="AJ941" s="98"/>
      <c r="AK941" s="98"/>
      <c r="AL941" s="98"/>
      <c r="AM941" s="98"/>
      <c r="AN941" s="98"/>
      <c r="AO941" s="98"/>
      <c r="AP941" s="98"/>
      <c r="AQ941" s="98"/>
      <c r="AR941" s="98"/>
      <c r="AS941" s="98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8"/>
      <c r="BG941" s="98"/>
      <c r="BH941" s="98"/>
      <c r="BI941" s="98"/>
      <c r="BJ941" s="98"/>
      <c r="BK941" s="98"/>
      <c r="BL941" s="98"/>
      <c r="BM941" s="98"/>
      <c r="BN941" s="98"/>
      <c r="BO941" s="98"/>
      <c r="BP941" s="98"/>
      <c r="BQ941" s="98"/>
      <c r="BR941" s="98"/>
      <c r="BS941" s="98"/>
      <c r="BT941" s="98"/>
      <c r="BU941" s="98"/>
      <c r="BV941" s="98"/>
      <c r="BW941" s="98"/>
      <c r="BX941" s="98"/>
      <c r="BY941" s="98"/>
      <c r="BZ941" s="98"/>
      <c r="CA941" s="98"/>
      <c r="CB941" s="98"/>
      <c r="CC941" s="98"/>
      <c r="CD941" s="98"/>
      <c r="CE941" s="98"/>
      <c r="CF941" s="98"/>
      <c r="CG941" s="98"/>
      <c r="CH941" s="98"/>
      <c r="CI941" s="98"/>
      <c r="CJ941" s="98"/>
      <c r="CK941" s="98"/>
    </row>
    <row r="942" spans="1:89" ht="15" x14ac:dyDescent="0.2">
      <c r="A942" s="119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  <c r="AI942" s="98"/>
      <c r="AJ942" s="98"/>
      <c r="AK942" s="98"/>
      <c r="AL942" s="98"/>
      <c r="AM942" s="98"/>
      <c r="AN942" s="98"/>
      <c r="AO942" s="98"/>
      <c r="AP942" s="98"/>
      <c r="AQ942" s="98"/>
      <c r="AR942" s="98"/>
      <c r="AS942" s="98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8"/>
      <c r="BG942" s="98"/>
      <c r="BH942" s="98"/>
      <c r="BI942" s="98"/>
      <c r="BJ942" s="98"/>
      <c r="BK942" s="98"/>
      <c r="BL942" s="98"/>
      <c r="BM942" s="98"/>
      <c r="BN942" s="98"/>
      <c r="BO942" s="98"/>
      <c r="BP942" s="98"/>
      <c r="BQ942" s="98"/>
      <c r="BR942" s="98"/>
      <c r="BS942" s="98"/>
      <c r="BT942" s="98"/>
      <c r="BU942" s="98"/>
      <c r="BV942" s="98"/>
      <c r="BW942" s="98"/>
      <c r="BX942" s="98"/>
      <c r="BY942" s="98"/>
      <c r="BZ942" s="98"/>
      <c r="CA942" s="98"/>
      <c r="CB942" s="98"/>
      <c r="CC942" s="98"/>
      <c r="CD942" s="98"/>
      <c r="CE942" s="98"/>
      <c r="CF942" s="98"/>
      <c r="CG942" s="98"/>
      <c r="CH942" s="98"/>
      <c r="CI942" s="98"/>
      <c r="CJ942" s="98"/>
      <c r="CK942" s="98"/>
    </row>
    <row r="943" spans="1:89" ht="15" x14ac:dyDescent="0.2">
      <c r="A943" s="119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  <c r="AI943" s="98"/>
      <c r="AJ943" s="98"/>
      <c r="AK943" s="98"/>
      <c r="AL943" s="98"/>
      <c r="AM943" s="98"/>
      <c r="AN943" s="98"/>
      <c r="AO943" s="98"/>
      <c r="AP943" s="98"/>
      <c r="AQ943" s="98"/>
      <c r="AR943" s="98"/>
      <c r="AS943" s="98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8"/>
      <c r="BG943" s="98"/>
      <c r="BH943" s="98"/>
      <c r="BI943" s="98"/>
      <c r="BJ943" s="98"/>
      <c r="BK943" s="98"/>
      <c r="BL943" s="98"/>
      <c r="BM943" s="98"/>
      <c r="BN943" s="98"/>
      <c r="BO943" s="98"/>
      <c r="BP943" s="98"/>
      <c r="BQ943" s="98"/>
      <c r="BR943" s="98"/>
      <c r="BS943" s="98"/>
      <c r="BT943" s="98"/>
      <c r="BU943" s="98"/>
      <c r="BV943" s="98"/>
      <c r="BW943" s="98"/>
      <c r="BX943" s="98"/>
      <c r="BY943" s="98"/>
      <c r="BZ943" s="98"/>
      <c r="CA943" s="98"/>
      <c r="CB943" s="98"/>
      <c r="CC943" s="98"/>
      <c r="CD943" s="98"/>
      <c r="CE943" s="98"/>
      <c r="CF943" s="98"/>
      <c r="CG943" s="98"/>
      <c r="CH943" s="98"/>
      <c r="CI943" s="98"/>
      <c r="CJ943" s="98"/>
      <c r="CK943" s="98"/>
    </row>
    <row r="944" spans="1:89" ht="15" x14ac:dyDescent="0.2">
      <c r="A944" s="119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  <c r="AI944" s="98"/>
      <c r="AJ944" s="98"/>
      <c r="AK944" s="98"/>
      <c r="AL944" s="98"/>
      <c r="AM944" s="98"/>
      <c r="AN944" s="98"/>
      <c r="AO944" s="98"/>
      <c r="AP944" s="98"/>
      <c r="AQ944" s="98"/>
      <c r="AR944" s="98"/>
      <c r="AS944" s="98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8"/>
      <c r="BG944" s="98"/>
      <c r="BH944" s="98"/>
      <c r="BI944" s="98"/>
      <c r="BJ944" s="98"/>
      <c r="BK944" s="98"/>
      <c r="BL944" s="98"/>
      <c r="BM944" s="98"/>
      <c r="BN944" s="98"/>
      <c r="BO944" s="98"/>
      <c r="BP944" s="98"/>
      <c r="BQ944" s="98"/>
      <c r="BR944" s="98"/>
      <c r="BS944" s="98"/>
      <c r="BT944" s="98"/>
      <c r="BU944" s="98"/>
      <c r="BV944" s="98"/>
      <c r="BW944" s="98"/>
      <c r="BX944" s="98"/>
      <c r="BY944" s="98"/>
      <c r="BZ944" s="98"/>
      <c r="CA944" s="98"/>
      <c r="CB944" s="98"/>
      <c r="CC944" s="98"/>
      <c r="CD944" s="98"/>
      <c r="CE944" s="98"/>
      <c r="CF944" s="98"/>
      <c r="CG944" s="98"/>
      <c r="CH944" s="98"/>
      <c r="CI944" s="98"/>
      <c r="CJ944" s="98"/>
      <c r="CK944" s="98"/>
    </row>
    <row r="945" spans="1:89" ht="15" x14ac:dyDescent="0.2">
      <c r="A945" s="119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  <c r="AI945" s="98"/>
      <c r="AJ945" s="98"/>
      <c r="AK945" s="98"/>
      <c r="AL945" s="98"/>
      <c r="AM945" s="98"/>
      <c r="AN945" s="98"/>
      <c r="AO945" s="98"/>
      <c r="AP945" s="98"/>
      <c r="AQ945" s="98"/>
      <c r="AR945" s="98"/>
      <c r="AS945" s="98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8"/>
      <c r="BG945" s="98"/>
      <c r="BH945" s="98"/>
      <c r="BI945" s="98"/>
      <c r="BJ945" s="98"/>
      <c r="BK945" s="98"/>
      <c r="BL945" s="98"/>
      <c r="BM945" s="98"/>
      <c r="BN945" s="98"/>
      <c r="BO945" s="98"/>
      <c r="BP945" s="98"/>
      <c r="BQ945" s="98"/>
      <c r="BR945" s="98"/>
      <c r="BS945" s="98"/>
      <c r="BT945" s="98"/>
      <c r="BU945" s="98"/>
      <c r="BV945" s="98"/>
      <c r="BW945" s="98"/>
      <c r="BX945" s="98"/>
      <c r="BY945" s="98"/>
      <c r="BZ945" s="98"/>
      <c r="CA945" s="98"/>
      <c r="CB945" s="98"/>
      <c r="CC945" s="98"/>
      <c r="CD945" s="98"/>
      <c r="CE945" s="98"/>
      <c r="CF945" s="98"/>
      <c r="CG945" s="98"/>
      <c r="CH945" s="98"/>
      <c r="CI945" s="98"/>
      <c r="CJ945" s="98"/>
      <c r="CK945" s="98"/>
    </row>
    <row r="946" spans="1:89" ht="15" x14ac:dyDescent="0.2">
      <c r="A946" s="119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  <c r="AI946" s="98"/>
      <c r="AJ946" s="98"/>
      <c r="AK946" s="98"/>
      <c r="AL946" s="98"/>
      <c r="AM946" s="98"/>
      <c r="AN946" s="98"/>
      <c r="AO946" s="98"/>
      <c r="AP946" s="98"/>
      <c r="AQ946" s="98"/>
      <c r="AR946" s="98"/>
      <c r="AS946" s="98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8"/>
      <c r="BG946" s="98"/>
      <c r="BH946" s="98"/>
      <c r="BI946" s="98"/>
      <c r="BJ946" s="98"/>
      <c r="BK946" s="98"/>
      <c r="BL946" s="98"/>
      <c r="BM946" s="98"/>
      <c r="BN946" s="98"/>
      <c r="BO946" s="98"/>
      <c r="BP946" s="98"/>
      <c r="BQ946" s="98"/>
      <c r="BR946" s="98"/>
      <c r="BS946" s="98"/>
      <c r="BT946" s="98"/>
      <c r="BU946" s="98"/>
      <c r="BV946" s="98"/>
      <c r="BW946" s="98"/>
      <c r="BX946" s="98"/>
      <c r="BY946" s="98"/>
      <c r="BZ946" s="98"/>
      <c r="CA946" s="98"/>
      <c r="CB946" s="98"/>
      <c r="CC946" s="98"/>
      <c r="CD946" s="98"/>
      <c r="CE946" s="98"/>
      <c r="CF946" s="98"/>
      <c r="CG946" s="98"/>
      <c r="CH946" s="98"/>
      <c r="CI946" s="98"/>
      <c r="CJ946" s="98"/>
      <c r="CK946" s="98"/>
    </row>
    <row r="947" spans="1:89" ht="15" x14ac:dyDescent="0.2">
      <c r="A947" s="119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  <c r="AI947" s="98"/>
      <c r="AJ947" s="98"/>
      <c r="AK947" s="98"/>
      <c r="AL947" s="98"/>
      <c r="AM947" s="98"/>
      <c r="AN947" s="98"/>
      <c r="AO947" s="98"/>
      <c r="AP947" s="98"/>
      <c r="AQ947" s="98"/>
      <c r="AR947" s="98"/>
      <c r="AS947" s="98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8"/>
      <c r="BG947" s="98"/>
      <c r="BH947" s="98"/>
      <c r="BI947" s="98"/>
      <c r="BJ947" s="98"/>
      <c r="BK947" s="98"/>
      <c r="BL947" s="98"/>
      <c r="BM947" s="98"/>
      <c r="BN947" s="98"/>
      <c r="BO947" s="98"/>
      <c r="BP947" s="98"/>
      <c r="BQ947" s="98"/>
      <c r="BR947" s="98"/>
      <c r="BS947" s="98"/>
      <c r="BT947" s="98"/>
      <c r="BU947" s="98"/>
      <c r="BV947" s="98"/>
      <c r="BW947" s="98"/>
      <c r="BX947" s="98"/>
      <c r="BY947" s="98"/>
      <c r="BZ947" s="98"/>
      <c r="CA947" s="98"/>
      <c r="CB947" s="98"/>
      <c r="CC947" s="98"/>
      <c r="CD947" s="98"/>
      <c r="CE947" s="98"/>
      <c r="CF947" s="98"/>
      <c r="CG947" s="98"/>
      <c r="CH947" s="98"/>
      <c r="CI947" s="98"/>
      <c r="CJ947" s="98"/>
      <c r="CK947" s="98"/>
    </row>
    <row r="948" spans="1:89" ht="15" x14ac:dyDescent="0.2">
      <c r="A948" s="119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  <c r="AI948" s="98"/>
      <c r="AJ948" s="98"/>
      <c r="AK948" s="98"/>
      <c r="AL948" s="98"/>
      <c r="AM948" s="98"/>
      <c r="AN948" s="98"/>
      <c r="AO948" s="98"/>
      <c r="AP948" s="98"/>
      <c r="AQ948" s="98"/>
      <c r="AR948" s="98"/>
      <c r="AS948" s="98"/>
      <c r="AT948" s="98"/>
      <c r="AU948" s="98"/>
      <c r="AV948" s="98"/>
      <c r="AW948" s="98"/>
      <c r="AX948" s="98"/>
      <c r="AY948" s="98"/>
      <c r="AZ948" s="98"/>
      <c r="BA948" s="98"/>
      <c r="BB948" s="98"/>
      <c r="BC948" s="98"/>
      <c r="BD948" s="98"/>
      <c r="BE948" s="98"/>
      <c r="BF948" s="98"/>
      <c r="BG948" s="98"/>
      <c r="BH948" s="98"/>
      <c r="BI948" s="98"/>
      <c r="BJ948" s="98"/>
      <c r="BK948" s="98"/>
      <c r="BL948" s="98"/>
      <c r="BM948" s="98"/>
      <c r="BN948" s="98"/>
      <c r="BO948" s="98"/>
      <c r="BP948" s="98"/>
      <c r="BQ948" s="98"/>
      <c r="BR948" s="98"/>
      <c r="BS948" s="98"/>
      <c r="BT948" s="98"/>
      <c r="BU948" s="98"/>
      <c r="BV948" s="98"/>
      <c r="BW948" s="98"/>
      <c r="BX948" s="98"/>
      <c r="BY948" s="98"/>
      <c r="BZ948" s="98"/>
      <c r="CA948" s="98"/>
      <c r="CB948" s="98"/>
      <c r="CC948" s="98"/>
      <c r="CD948" s="98"/>
      <c r="CE948" s="98"/>
      <c r="CF948" s="98"/>
      <c r="CG948" s="98"/>
      <c r="CH948" s="98"/>
      <c r="CI948" s="98"/>
      <c r="CJ948" s="98"/>
      <c r="CK948" s="98"/>
    </row>
    <row r="949" spans="1:89" ht="15" x14ac:dyDescent="0.2">
      <c r="A949" s="119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  <c r="AI949" s="98"/>
      <c r="AJ949" s="98"/>
      <c r="AK949" s="98"/>
      <c r="AL949" s="98"/>
      <c r="AM949" s="98"/>
      <c r="AN949" s="98"/>
      <c r="AO949" s="98"/>
      <c r="AP949" s="98"/>
      <c r="AQ949" s="98"/>
      <c r="AR949" s="98"/>
      <c r="AS949" s="98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8"/>
      <c r="BG949" s="98"/>
      <c r="BH949" s="98"/>
      <c r="BI949" s="98"/>
      <c r="BJ949" s="98"/>
      <c r="BK949" s="98"/>
      <c r="BL949" s="98"/>
      <c r="BM949" s="98"/>
      <c r="BN949" s="98"/>
      <c r="BO949" s="98"/>
      <c r="BP949" s="98"/>
      <c r="BQ949" s="98"/>
      <c r="BR949" s="98"/>
      <c r="BS949" s="98"/>
      <c r="BT949" s="98"/>
      <c r="BU949" s="98"/>
      <c r="BV949" s="98"/>
      <c r="BW949" s="98"/>
      <c r="BX949" s="98"/>
      <c r="BY949" s="98"/>
      <c r="BZ949" s="98"/>
      <c r="CA949" s="98"/>
      <c r="CB949" s="98"/>
      <c r="CC949" s="98"/>
      <c r="CD949" s="98"/>
      <c r="CE949" s="98"/>
      <c r="CF949" s="98"/>
      <c r="CG949" s="98"/>
      <c r="CH949" s="98"/>
      <c r="CI949" s="98"/>
      <c r="CJ949" s="98"/>
      <c r="CK949" s="98"/>
    </row>
    <row r="950" spans="1:89" ht="15" x14ac:dyDescent="0.2">
      <c r="A950" s="119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  <c r="AI950" s="98"/>
      <c r="AJ950" s="98"/>
      <c r="AK950" s="98"/>
      <c r="AL950" s="98"/>
      <c r="AM950" s="98"/>
      <c r="AN950" s="98"/>
      <c r="AO950" s="98"/>
      <c r="AP950" s="98"/>
      <c r="AQ950" s="98"/>
      <c r="AR950" s="98"/>
      <c r="AS950" s="98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8"/>
      <c r="BG950" s="98"/>
      <c r="BH950" s="98"/>
      <c r="BI950" s="98"/>
      <c r="BJ950" s="98"/>
      <c r="BK950" s="98"/>
      <c r="BL950" s="98"/>
      <c r="BM950" s="98"/>
      <c r="BN950" s="98"/>
      <c r="BO950" s="98"/>
      <c r="BP950" s="98"/>
      <c r="BQ950" s="98"/>
      <c r="BR950" s="98"/>
      <c r="BS950" s="98"/>
      <c r="BT950" s="98"/>
      <c r="BU950" s="98"/>
      <c r="BV950" s="98"/>
      <c r="BW950" s="98"/>
      <c r="BX950" s="98"/>
      <c r="BY950" s="98"/>
      <c r="BZ950" s="98"/>
      <c r="CA950" s="98"/>
      <c r="CB950" s="98"/>
      <c r="CC950" s="98"/>
      <c r="CD950" s="98"/>
      <c r="CE950" s="98"/>
      <c r="CF950" s="98"/>
      <c r="CG950" s="98"/>
      <c r="CH950" s="98"/>
      <c r="CI950" s="98"/>
      <c r="CJ950" s="98"/>
      <c r="CK950" s="98"/>
    </row>
    <row r="951" spans="1:89" ht="15" x14ac:dyDescent="0.2">
      <c r="A951" s="119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  <c r="AI951" s="98"/>
      <c r="AJ951" s="98"/>
      <c r="AK951" s="98"/>
      <c r="AL951" s="98"/>
      <c r="AM951" s="98"/>
      <c r="AN951" s="98"/>
      <c r="AO951" s="98"/>
      <c r="AP951" s="98"/>
      <c r="AQ951" s="98"/>
      <c r="AR951" s="98"/>
      <c r="AS951" s="98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8"/>
      <c r="BG951" s="98"/>
      <c r="BH951" s="98"/>
      <c r="BI951" s="98"/>
      <c r="BJ951" s="98"/>
      <c r="BK951" s="98"/>
      <c r="BL951" s="98"/>
      <c r="BM951" s="98"/>
      <c r="BN951" s="98"/>
      <c r="BO951" s="98"/>
      <c r="BP951" s="98"/>
      <c r="BQ951" s="98"/>
      <c r="BR951" s="98"/>
      <c r="BS951" s="98"/>
      <c r="BT951" s="98"/>
      <c r="BU951" s="98"/>
      <c r="BV951" s="98"/>
      <c r="BW951" s="98"/>
      <c r="BX951" s="98"/>
      <c r="BY951" s="98"/>
      <c r="BZ951" s="98"/>
      <c r="CA951" s="98"/>
      <c r="CB951" s="98"/>
      <c r="CC951" s="98"/>
      <c r="CD951" s="98"/>
      <c r="CE951" s="98"/>
      <c r="CF951" s="98"/>
      <c r="CG951" s="98"/>
      <c r="CH951" s="98"/>
      <c r="CI951" s="98"/>
      <c r="CJ951" s="98"/>
      <c r="CK951" s="98"/>
    </row>
    <row r="952" spans="1:89" ht="15" x14ac:dyDescent="0.2">
      <c r="A952" s="119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  <c r="AI952" s="98"/>
      <c r="AJ952" s="98"/>
      <c r="AK952" s="98"/>
      <c r="AL952" s="98"/>
      <c r="AM952" s="98"/>
      <c r="AN952" s="98"/>
      <c r="AO952" s="98"/>
      <c r="AP952" s="98"/>
      <c r="AQ952" s="98"/>
      <c r="AR952" s="98"/>
      <c r="AS952" s="98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8"/>
      <c r="BG952" s="98"/>
      <c r="BH952" s="98"/>
      <c r="BI952" s="98"/>
      <c r="BJ952" s="98"/>
      <c r="BK952" s="98"/>
      <c r="BL952" s="98"/>
      <c r="BM952" s="98"/>
      <c r="BN952" s="98"/>
      <c r="BO952" s="98"/>
      <c r="BP952" s="98"/>
      <c r="BQ952" s="98"/>
      <c r="BR952" s="98"/>
      <c r="BS952" s="98"/>
      <c r="BT952" s="98"/>
      <c r="BU952" s="98"/>
      <c r="BV952" s="98"/>
      <c r="BW952" s="98"/>
      <c r="BX952" s="98"/>
      <c r="BY952" s="98"/>
      <c r="BZ952" s="98"/>
      <c r="CA952" s="98"/>
      <c r="CB952" s="98"/>
      <c r="CC952" s="98"/>
      <c r="CD952" s="98"/>
      <c r="CE952" s="98"/>
      <c r="CF952" s="98"/>
      <c r="CG952" s="98"/>
      <c r="CH952" s="98"/>
      <c r="CI952" s="98"/>
      <c r="CJ952" s="98"/>
      <c r="CK952" s="98"/>
    </row>
    <row r="953" spans="1:89" ht="15" x14ac:dyDescent="0.2">
      <c r="A953" s="119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  <c r="AI953" s="98"/>
      <c r="AJ953" s="98"/>
      <c r="AK953" s="98"/>
      <c r="AL953" s="98"/>
      <c r="AM953" s="98"/>
      <c r="AN953" s="98"/>
      <c r="AO953" s="98"/>
      <c r="AP953" s="98"/>
      <c r="AQ953" s="98"/>
      <c r="AR953" s="98"/>
      <c r="AS953" s="98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8"/>
      <c r="BG953" s="98"/>
      <c r="BH953" s="98"/>
      <c r="BI953" s="98"/>
      <c r="BJ953" s="98"/>
      <c r="BK953" s="98"/>
      <c r="BL953" s="98"/>
      <c r="BM953" s="98"/>
      <c r="BN953" s="98"/>
      <c r="BO953" s="98"/>
      <c r="BP953" s="98"/>
      <c r="BQ953" s="98"/>
      <c r="BR953" s="98"/>
      <c r="BS953" s="98"/>
      <c r="BT953" s="98"/>
      <c r="BU953" s="98"/>
      <c r="BV953" s="98"/>
      <c r="BW953" s="98"/>
      <c r="BX953" s="98"/>
      <c r="BY953" s="98"/>
      <c r="BZ953" s="98"/>
      <c r="CA953" s="98"/>
      <c r="CB953" s="98"/>
      <c r="CC953" s="98"/>
      <c r="CD953" s="98"/>
      <c r="CE953" s="98"/>
      <c r="CF953" s="98"/>
      <c r="CG953" s="98"/>
      <c r="CH953" s="98"/>
      <c r="CI953" s="98"/>
      <c r="CJ953" s="98"/>
      <c r="CK953" s="98"/>
    </row>
    <row r="954" spans="1:89" ht="15" x14ac:dyDescent="0.2">
      <c r="A954" s="119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  <c r="AI954" s="98"/>
      <c r="AJ954" s="98"/>
      <c r="AK954" s="98"/>
      <c r="AL954" s="98"/>
      <c r="AM954" s="98"/>
      <c r="AN954" s="98"/>
      <c r="AO954" s="98"/>
      <c r="AP954" s="98"/>
      <c r="AQ954" s="98"/>
      <c r="AR954" s="98"/>
      <c r="AS954" s="98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8"/>
      <c r="BG954" s="98"/>
      <c r="BH954" s="98"/>
      <c r="BI954" s="98"/>
      <c r="BJ954" s="98"/>
      <c r="BK954" s="98"/>
      <c r="BL954" s="98"/>
      <c r="BM954" s="98"/>
      <c r="BN954" s="98"/>
      <c r="BO954" s="98"/>
      <c r="BP954" s="98"/>
      <c r="BQ954" s="98"/>
      <c r="BR954" s="98"/>
      <c r="BS954" s="98"/>
      <c r="BT954" s="98"/>
      <c r="BU954" s="98"/>
      <c r="BV954" s="98"/>
      <c r="BW954" s="98"/>
      <c r="BX954" s="98"/>
      <c r="BY954" s="98"/>
      <c r="BZ954" s="98"/>
      <c r="CA954" s="98"/>
      <c r="CB954" s="98"/>
      <c r="CC954" s="98"/>
      <c r="CD954" s="98"/>
      <c r="CE954" s="98"/>
      <c r="CF954" s="98"/>
      <c r="CG954" s="98"/>
      <c r="CH954" s="98"/>
      <c r="CI954" s="98"/>
      <c r="CJ954" s="98"/>
      <c r="CK954" s="98"/>
    </row>
    <row r="955" spans="1:89" ht="15" x14ac:dyDescent="0.2">
      <c r="A955" s="119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  <c r="AI955" s="98"/>
      <c r="AJ955" s="98"/>
      <c r="AK955" s="98"/>
      <c r="AL955" s="98"/>
      <c r="AM955" s="98"/>
      <c r="AN955" s="98"/>
      <c r="AO955" s="98"/>
      <c r="AP955" s="98"/>
      <c r="AQ955" s="98"/>
      <c r="AR955" s="98"/>
      <c r="AS955" s="98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8"/>
      <c r="BG955" s="98"/>
      <c r="BH955" s="98"/>
      <c r="BI955" s="98"/>
      <c r="BJ955" s="98"/>
      <c r="BK955" s="98"/>
      <c r="BL955" s="98"/>
      <c r="BM955" s="98"/>
      <c r="BN955" s="98"/>
      <c r="BO955" s="98"/>
      <c r="BP955" s="98"/>
      <c r="BQ955" s="98"/>
      <c r="BR955" s="98"/>
      <c r="BS955" s="98"/>
      <c r="BT955" s="98"/>
      <c r="BU955" s="98"/>
      <c r="BV955" s="98"/>
      <c r="BW955" s="98"/>
      <c r="BX955" s="98"/>
      <c r="BY955" s="98"/>
      <c r="BZ955" s="98"/>
      <c r="CA955" s="98"/>
      <c r="CB955" s="98"/>
      <c r="CC955" s="98"/>
      <c r="CD955" s="98"/>
      <c r="CE955" s="98"/>
      <c r="CF955" s="98"/>
      <c r="CG955" s="98"/>
      <c r="CH955" s="98"/>
      <c r="CI955" s="98"/>
      <c r="CJ955" s="98"/>
      <c r="CK955" s="98"/>
    </row>
    <row r="956" spans="1:89" ht="15" x14ac:dyDescent="0.2">
      <c r="A956" s="119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  <c r="AI956" s="98"/>
      <c r="AJ956" s="98"/>
      <c r="AK956" s="98"/>
      <c r="AL956" s="98"/>
      <c r="AM956" s="98"/>
      <c r="AN956" s="98"/>
      <c r="AO956" s="98"/>
      <c r="AP956" s="98"/>
      <c r="AQ956" s="98"/>
      <c r="AR956" s="98"/>
      <c r="AS956" s="98"/>
      <c r="AT956" s="98"/>
      <c r="AU956" s="98"/>
      <c r="AV956" s="98"/>
      <c r="AW956" s="98"/>
      <c r="AX956" s="98"/>
      <c r="AY956" s="98"/>
      <c r="AZ956" s="98"/>
      <c r="BA956" s="98"/>
      <c r="BB956" s="98"/>
      <c r="BC956" s="98"/>
      <c r="BD956" s="98"/>
      <c r="BE956" s="98"/>
      <c r="BF956" s="98"/>
      <c r="BG956" s="98"/>
      <c r="BH956" s="98"/>
      <c r="BI956" s="98"/>
      <c r="BJ956" s="98"/>
      <c r="BK956" s="98"/>
      <c r="BL956" s="98"/>
      <c r="BM956" s="98"/>
      <c r="BN956" s="98"/>
      <c r="BO956" s="98"/>
      <c r="BP956" s="98"/>
      <c r="BQ956" s="98"/>
      <c r="BR956" s="98"/>
      <c r="BS956" s="98"/>
      <c r="BT956" s="98"/>
      <c r="BU956" s="98"/>
      <c r="BV956" s="98"/>
      <c r="BW956" s="98"/>
      <c r="BX956" s="98"/>
      <c r="BY956" s="98"/>
      <c r="BZ956" s="98"/>
      <c r="CA956" s="98"/>
      <c r="CB956" s="98"/>
      <c r="CC956" s="98"/>
      <c r="CD956" s="98"/>
      <c r="CE956" s="98"/>
      <c r="CF956" s="98"/>
      <c r="CG956" s="98"/>
      <c r="CH956" s="98"/>
      <c r="CI956" s="98"/>
      <c r="CJ956" s="98"/>
      <c r="CK956" s="98"/>
    </row>
    <row r="957" spans="1:89" ht="15" x14ac:dyDescent="0.2">
      <c r="A957" s="119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  <c r="AI957" s="98"/>
      <c r="AJ957" s="98"/>
      <c r="AK957" s="98"/>
      <c r="AL957" s="98"/>
      <c r="AM957" s="98"/>
      <c r="AN957" s="98"/>
      <c r="AO957" s="98"/>
      <c r="AP957" s="98"/>
      <c r="AQ957" s="98"/>
      <c r="AR957" s="98"/>
      <c r="AS957" s="98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8"/>
      <c r="BG957" s="98"/>
      <c r="BH957" s="98"/>
      <c r="BI957" s="98"/>
      <c r="BJ957" s="98"/>
      <c r="BK957" s="98"/>
      <c r="BL957" s="98"/>
      <c r="BM957" s="98"/>
      <c r="BN957" s="98"/>
      <c r="BO957" s="98"/>
      <c r="BP957" s="98"/>
      <c r="BQ957" s="98"/>
      <c r="BR957" s="98"/>
      <c r="BS957" s="98"/>
      <c r="BT957" s="98"/>
      <c r="BU957" s="98"/>
      <c r="BV957" s="98"/>
      <c r="BW957" s="98"/>
      <c r="BX957" s="98"/>
      <c r="BY957" s="98"/>
      <c r="BZ957" s="98"/>
      <c r="CA957" s="98"/>
      <c r="CB957" s="98"/>
      <c r="CC957" s="98"/>
      <c r="CD957" s="98"/>
      <c r="CE957" s="98"/>
      <c r="CF957" s="98"/>
      <c r="CG957" s="98"/>
      <c r="CH957" s="98"/>
      <c r="CI957" s="98"/>
      <c r="CJ957" s="98"/>
      <c r="CK957" s="98"/>
    </row>
    <row r="958" spans="1:89" ht="15" x14ac:dyDescent="0.2">
      <c r="A958" s="119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  <c r="AI958" s="98"/>
      <c r="AJ958" s="98"/>
      <c r="AK958" s="98"/>
      <c r="AL958" s="98"/>
      <c r="AM958" s="98"/>
      <c r="AN958" s="98"/>
      <c r="AO958" s="98"/>
      <c r="AP958" s="98"/>
      <c r="AQ958" s="98"/>
      <c r="AR958" s="98"/>
      <c r="AS958" s="98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8"/>
      <c r="BG958" s="98"/>
      <c r="BH958" s="98"/>
      <c r="BI958" s="98"/>
      <c r="BJ958" s="98"/>
      <c r="BK958" s="98"/>
      <c r="BL958" s="98"/>
      <c r="BM958" s="98"/>
      <c r="BN958" s="98"/>
      <c r="BO958" s="98"/>
      <c r="BP958" s="98"/>
      <c r="BQ958" s="98"/>
      <c r="BR958" s="98"/>
      <c r="BS958" s="98"/>
      <c r="BT958" s="98"/>
      <c r="BU958" s="98"/>
      <c r="BV958" s="98"/>
      <c r="BW958" s="98"/>
      <c r="BX958" s="98"/>
      <c r="BY958" s="98"/>
      <c r="BZ958" s="98"/>
      <c r="CA958" s="98"/>
      <c r="CB958" s="98"/>
      <c r="CC958" s="98"/>
      <c r="CD958" s="98"/>
      <c r="CE958" s="98"/>
      <c r="CF958" s="98"/>
      <c r="CG958" s="98"/>
      <c r="CH958" s="98"/>
      <c r="CI958" s="98"/>
      <c r="CJ958" s="98"/>
      <c r="CK958" s="98"/>
    </row>
    <row r="959" spans="1:89" ht="15" x14ac:dyDescent="0.2">
      <c r="A959" s="119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  <c r="AI959" s="98"/>
      <c r="AJ959" s="98"/>
      <c r="AK959" s="98"/>
      <c r="AL959" s="98"/>
      <c r="AM959" s="98"/>
      <c r="AN959" s="98"/>
      <c r="AO959" s="98"/>
      <c r="AP959" s="98"/>
      <c r="AQ959" s="98"/>
      <c r="AR959" s="98"/>
      <c r="AS959" s="98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8"/>
      <c r="BG959" s="98"/>
      <c r="BH959" s="98"/>
      <c r="BI959" s="98"/>
      <c r="BJ959" s="98"/>
      <c r="BK959" s="98"/>
      <c r="BL959" s="98"/>
      <c r="BM959" s="98"/>
      <c r="BN959" s="98"/>
      <c r="BO959" s="98"/>
      <c r="BP959" s="98"/>
      <c r="BQ959" s="98"/>
      <c r="BR959" s="98"/>
      <c r="BS959" s="98"/>
      <c r="BT959" s="98"/>
      <c r="BU959" s="98"/>
      <c r="BV959" s="98"/>
      <c r="BW959" s="98"/>
      <c r="BX959" s="98"/>
      <c r="BY959" s="98"/>
      <c r="BZ959" s="98"/>
      <c r="CA959" s="98"/>
      <c r="CB959" s="98"/>
      <c r="CC959" s="98"/>
      <c r="CD959" s="98"/>
      <c r="CE959" s="98"/>
      <c r="CF959" s="98"/>
      <c r="CG959" s="98"/>
      <c r="CH959" s="98"/>
      <c r="CI959" s="98"/>
      <c r="CJ959" s="98"/>
      <c r="CK959" s="98"/>
    </row>
    <row r="960" spans="1:89" ht="15" x14ac:dyDescent="0.2">
      <c r="A960" s="119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  <c r="AI960" s="98"/>
      <c r="AJ960" s="98"/>
      <c r="AK960" s="98"/>
      <c r="AL960" s="98"/>
      <c r="AM960" s="98"/>
      <c r="AN960" s="98"/>
      <c r="AO960" s="98"/>
      <c r="AP960" s="98"/>
      <c r="AQ960" s="98"/>
      <c r="AR960" s="98"/>
      <c r="AS960" s="98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8"/>
      <c r="BG960" s="98"/>
      <c r="BH960" s="98"/>
      <c r="BI960" s="98"/>
      <c r="BJ960" s="98"/>
      <c r="BK960" s="98"/>
      <c r="BL960" s="98"/>
      <c r="BM960" s="98"/>
      <c r="BN960" s="98"/>
      <c r="BO960" s="98"/>
      <c r="BP960" s="98"/>
      <c r="BQ960" s="98"/>
      <c r="BR960" s="98"/>
      <c r="BS960" s="98"/>
      <c r="BT960" s="98"/>
      <c r="BU960" s="98"/>
      <c r="BV960" s="98"/>
      <c r="BW960" s="98"/>
      <c r="BX960" s="98"/>
      <c r="BY960" s="98"/>
      <c r="BZ960" s="98"/>
      <c r="CA960" s="98"/>
      <c r="CB960" s="98"/>
      <c r="CC960" s="98"/>
      <c r="CD960" s="98"/>
      <c r="CE960" s="98"/>
      <c r="CF960" s="98"/>
      <c r="CG960" s="98"/>
      <c r="CH960" s="98"/>
      <c r="CI960" s="98"/>
      <c r="CJ960" s="98"/>
      <c r="CK960" s="98"/>
    </row>
    <row r="961" spans="1:89" ht="15" x14ac:dyDescent="0.2">
      <c r="A961" s="119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  <c r="AI961" s="98"/>
      <c r="AJ961" s="98"/>
      <c r="AK961" s="98"/>
      <c r="AL961" s="98"/>
      <c r="AM961" s="98"/>
      <c r="AN961" s="98"/>
      <c r="AO961" s="98"/>
      <c r="AP961" s="98"/>
      <c r="AQ961" s="98"/>
      <c r="AR961" s="98"/>
      <c r="AS961" s="98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8"/>
      <c r="BG961" s="98"/>
      <c r="BH961" s="98"/>
      <c r="BI961" s="98"/>
      <c r="BJ961" s="98"/>
      <c r="BK961" s="98"/>
      <c r="BL961" s="98"/>
      <c r="BM961" s="98"/>
      <c r="BN961" s="98"/>
      <c r="BO961" s="98"/>
      <c r="BP961" s="98"/>
      <c r="BQ961" s="98"/>
      <c r="BR961" s="98"/>
      <c r="BS961" s="98"/>
      <c r="BT961" s="98"/>
      <c r="BU961" s="98"/>
      <c r="BV961" s="98"/>
      <c r="BW961" s="98"/>
      <c r="BX961" s="98"/>
      <c r="BY961" s="98"/>
      <c r="BZ961" s="98"/>
      <c r="CA961" s="98"/>
      <c r="CB961" s="98"/>
      <c r="CC961" s="98"/>
      <c r="CD961" s="98"/>
      <c r="CE961" s="98"/>
      <c r="CF961" s="98"/>
      <c r="CG961" s="98"/>
      <c r="CH961" s="98"/>
      <c r="CI961" s="98"/>
      <c r="CJ961" s="98"/>
      <c r="CK961" s="98"/>
    </row>
    <row r="962" spans="1:89" ht="15" x14ac:dyDescent="0.2">
      <c r="A962" s="119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  <c r="AI962" s="98"/>
      <c r="AJ962" s="98"/>
      <c r="AK962" s="98"/>
      <c r="AL962" s="98"/>
      <c r="AM962" s="98"/>
      <c r="AN962" s="98"/>
      <c r="AO962" s="98"/>
      <c r="AP962" s="98"/>
      <c r="AQ962" s="98"/>
      <c r="AR962" s="98"/>
      <c r="AS962" s="98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8"/>
      <c r="BG962" s="98"/>
      <c r="BH962" s="98"/>
      <c r="BI962" s="98"/>
      <c r="BJ962" s="98"/>
      <c r="BK962" s="98"/>
      <c r="BL962" s="98"/>
      <c r="BM962" s="98"/>
      <c r="BN962" s="98"/>
      <c r="BO962" s="98"/>
      <c r="BP962" s="98"/>
      <c r="BQ962" s="98"/>
      <c r="BR962" s="98"/>
      <c r="BS962" s="98"/>
      <c r="BT962" s="98"/>
      <c r="BU962" s="98"/>
      <c r="BV962" s="98"/>
      <c r="BW962" s="98"/>
      <c r="BX962" s="98"/>
      <c r="BY962" s="98"/>
      <c r="BZ962" s="98"/>
      <c r="CA962" s="98"/>
      <c r="CB962" s="98"/>
      <c r="CC962" s="98"/>
      <c r="CD962" s="98"/>
      <c r="CE962" s="98"/>
      <c r="CF962" s="98"/>
      <c r="CG962" s="98"/>
      <c r="CH962" s="98"/>
      <c r="CI962" s="98"/>
      <c r="CJ962" s="98"/>
      <c r="CK962" s="98"/>
    </row>
    <row r="963" spans="1:89" ht="15" x14ac:dyDescent="0.2">
      <c r="A963" s="119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  <c r="AI963" s="98"/>
      <c r="AJ963" s="98"/>
      <c r="AK963" s="98"/>
      <c r="AL963" s="98"/>
      <c r="AM963" s="98"/>
      <c r="AN963" s="98"/>
      <c r="AO963" s="98"/>
      <c r="AP963" s="98"/>
      <c r="AQ963" s="98"/>
      <c r="AR963" s="98"/>
      <c r="AS963" s="98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8"/>
      <c r="BG963" s="98"/>
      <c r="BH963" s="98"/>
      <c r="BI963" s="98"/>
      <c r="BJ963" s="98"/>
      <c r="BK963" s="98"/>
      <c r="BL963" s="98"/>
      <c r="BM963" s="98"/>
      <c r="BN963" s="98"/>
      <c r="BO963" s="98"/>
      <c r="BP963" s="98"/>
      <c r="BQ963" s="98"/>
      <c r="BR963" s="98"/>
      <c r="BS963" s="98"/>
      <c r="BT963" s="98"/>
      <c r="BU963" s="98"/>
      <c r="BV963" s="98"/>
      <c r="BW963" s="98"/>
      <c r="BX963" s="98"/>
      <c r="BY963" s="98"/>
      <c r="BZ963" s="98"/>
      <c r="CA963" s="98"/>
      <c r="CB963" s="98"/>
      <c r="CC963" s="98"/>
      <c r="CD963" s="98"/>
      <c r="CE963" s="98"/>
      <c r="CF963" s="98"/>
      <c r="CG963" s="98"/>
      <c r="CH963" s="98"/>
      <c r="CI963" s="98"/>
      <c r="CJ963" s="98"/>
      <c r="CK963" s="98"/>
    </row>
    <row r="964" spans="1:89" ht="15" x14ac:dyDescent="0.2">
      <c r="A964" s="119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  <c r="AI964" s="98"/>
      <c r="AJ964" s="98"/>
      <c r="AK964" s="98"/>
      <c r="AL964" s="98"/>
      <c r="AM964" s="98"/>
      <c r="AN964" s="98"/>
      <c r="AO964" s="98"/>
      <c r="AP964" s="98"/>
      <c r="AQ964" s="98"/>
      <c r="AR964" s="98"/>
      <c r="AS964" s="98"/>
      <c r="AT964" s="98"/>
      <c r="AU964" s="98"/>
      <c r="AV964" s="98"/>
      <c r="AW964" s="98"/>
      <c r="AX964" s="98"/>
      <c r="AY964" s="98"/>
      <c r="AZ964" s="98"/>
      <c r="BA964" s="98"/>
      <c r="BB964" s="98"/>
      <c r="BC964" s="98"/>
      <c r="BD964" s="98"/>
      <c r="BE964" s="98"/>
      <c r="BF964" s="98"/>
      <c r="BG964" s="98"/>
      <c r="BH964" s="98"/>
      <c r="BI964" s="98"/>
      <c r="BJ964" s="98"/>
      <c r="BK964" s="98"/>
      <c r="BL964" s="98"/>
      <c r="BM964" s="98"/>
      <c r="BN964" s="98"/>
      <c r="BO964" s="98"/>
      <c r="BP964" s="98"/>
      <c r="BQ964" s="98"/>
      <c r="BR964" s="98"/>
      <c r="BS964" s="98"/>
      <c r="BT964" s="98"/>
      <c r="BU964" s="98"/>
      <c r="BV964" s="98"/>
      <c r="BW964" s="98"/>
      <c r="BX964" s="98"/>
      <c r="BY964" s="98"/>
      <c r="BZ964" s="98"/>
      <c r="CA964" s="98"/>
      <c r="CB964" s="98"/>
      <c r="CC964" s="98"/>
      <c r="CD964" s="98"/>
      <c r="CE964" s="98"/>
      <c r="CF964" s="98"/>
      <c r="CG964" s="98"/>
      <c r="CH964" s="98"/>
      <c r="CI964" s="98"/>
      <c r="CJ964" s="98"/>
      <c r="CK964" s="98"/>
    </row>
    <row r="965" spans="1:89" ht="15" x14ac:dyDescent="0.2">
      <c r="A965" s="119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  <c r="AI965" s="98"/>
      <c r="AJ965" s="98"/>
      <c r="AK965" s="98"/>
      <c r="AL965" s="98"/>
      <c r="AM965" s="98"/>
      <c r="AN965" s="98"/>
      <c r="AO965" s="98"/>
      <c r="AP965" s="98"/>
      <c r="AQ965" s="98"/>
      <c r="AR965" s="98"/>
      <c r="AS965" s="98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8"/>
      <c r="BG965" s="98"/>
      <c r="BH965" s="98"/>
      <c r="BI965" s="98"/>
      <c r="BJ965" s="98"/>
      <c r="BK965" s="98"/>
      <c r="BL965" s="98"/>
      <c r="BM965" s="98"/>
      <c r="BN965" s="98"/>
      <c r="BO965" s="98"/>
      <c r="BP965" s="98"/>
      <c r="BQ965" s="98"/>
      <c r="BR965" s="98"/>
      <c r="BS965" s="98"/>
      <c r="BT965" s="98"/>
      <c r="BU965" s="98"/>
      <c r="BV965" s="98"/>
      <c r="BW965" s="98"/>
      <c r="BX965" s="98"/>
      <c r="BY965" s="98"/>
      <c r="BZ965" s="98"/>
      <c r="CA965" s="98"/>
      <c r="CB965" s="98"/>
      <c r="CC965" s="98"/>
      <c r="CD965" s="98"/>
      <c r="CE965" s="98"/>
      <c r="CF965" s="98"/>
      <c r="CG965" s="98"/>
      <c r="CH965" s="98"/>
      <c r="CI965" s="98"/>
      <c r="CJ965" s="98"/>
      <c r="CK965" s="98"/>
    </row>
    <row r="966" spans="1:89" ht="15" x14ac:dyDescent="0.2">
      <c r="A966" s="119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  <c r="AI966" s="98"/>
      <c r="AJ966" s="98"/>
      <c r="AK966" s="98"/>
      <c r="AL966" s="98"/>
      <c r="AM966" s="98"/>
      <c r="AN966" s="98"/>
      <c r="AO966" s="98"/>
      <c r="AP966" s="98"/>
      <c r="AQ966" s="98"/>
      <c r="AR966" s="98"/>
      <c r="AS966" s="98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8"/>
      <c r="BG966" s="98"/>
      <c r="BH966" s="98"/>
      <c r="BI966" s="98"/>
      <c r="BJ966" s="98"/>
      <c r="BK966" s="98"/>
      <c r="BL966" s="98"/>
      <c r="BM966" s="98"/>
      <c r="BN966" s="98"/>
      <c r="BO966" s="98"/>
      <c r="BP966" s="98"/>
      <c r="BQ966" s="98"/>
      <c r="BR966" s="98"/>
      <c r="BS966" s="98"/>
      <c r="BT966" s="98"/>
      <c r="BU966" s="98"/>
      <c r="BV966" s="98"/>
      <c r="BW966" s="98"/>
      <c r="BX966" s="98"/>
      <c r="BY966" s="98"/>
      <c r="BZ966" s="98"/>
      <c r="CA966" s="98"/>
      <c r="CB966" s="98"/>
      <c r="CC966" s="98"/>
      <c r="CD966" s="98"/>
      <c r="CE966" s="98"/>
      <c r="CF966" s="98"/>
      <c r="CG966" s="98"/>
      <c r="CH966" s="98"/>
      <c r="CI966" s="98"/>
      <c r="CJ966" s="98"/>
      <c r="CK966" s="98"/>
    </row>
    <row r="967" spans="1:89" ht="15" x14ac:dyDescent="0.2">
      <c r="A967" s="119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  <c r="AI967" s="98"/>
      <c r="AJ967" s="98"/>
      <c r="AK967" s="98"/>
      <c r="AL967" s="98"/>
      <c r="AM967" s="98"/>
      <c r="AN967" s="98"/>
      <c r="AO967" s="98"/>
      <c r="AP967" s="98"/>
      <c r="AQ967" s="98"/>
      <c r="AR967" s="98"/>
      <c r="AS967" s="98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8"/>
      <c r="BG967" s="98"/>
      <c r="BH967" s="98"/>
      <c r="BI967" s="98"/>
      <c r="BJ967" s="98"/>
      <c r="BK967" s="98"/>
      <c r="BL967" s="98"/>
      <c r="BM967" s="98"/>
      <c r="BN967" s="98"/>
      <c r="BO967" s="98"/>
      <c r="BP967" s="98"/>
      <c r="BQ967" s="98"/>
      <c r="BR967" s="98"/>
      <c r="BS967" s="98"/>
      <c r="BT967" s="98"/>
      <c r="BU967" s="98"/>
      <c r="BV967" s="98"/>
      <c r="BW967" s="98"/>
      <c r="BX967" s="98"/>
      <c r="BY967" s="98"/>
      <c r="BZ967" s="98"/>
      <c r="CA967" s="98"/>
      <c r="CB967" s="98"/>
      <c r="CC967" s="98"/>
      <c r="CD967" s="98"/>
      <c r="CE967" s="98"/>
      <c r="CF967" s="98"/>
      <c r="CG967" s="98"/>
      <c r="CH967" s="98"/>
      <c r="CI967" s="98"/>
      <c r="CJ967" s="98"/>
      <c r="CK967" s="98"/>
    </row>
    <row r="968" spans="1:89" ht="15" x14ac:dyDescent="0.2">
      <c r="A968" s="119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  <c r="AI968" s="98"/>
      <c r="AJ968" s="98"/>
      <c r="AK968" s="98"/>
      <c r="AL968" s="98"/>
      <c r="AM968" s="98"/>
      <c r="AN968" s="98"/>
      <c r="AO968" s="98"/>
      <c r="AP968" s="98"/>
      <c r="AQ968" s="98"/>
      <c r="AR968" s="98"/>
      <c r="AS968" s="98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8"/>
      <c r="BJ968" s="98"/>
      <c r="BK968" s="98"/>
      <c r="BL968" s="98"/>
      <c r="BM968" s="98"/>
      <c r="BN968" s="98"/>
      <c r="BO968" s="98"/>
      <c r="BP968" s="98"/>
      <c r="BQ968" s="98"/>
      <c r="BR968" s="98"/>
      <c r="BS968" s="98"/>
      <c r="BT968" s="98"/>
      <c r="BU968" s="98"/>
      <c r="BV968" s="98"/>
      <c r="BW968" s="98"/>
      <c r="BX968" s="98"/>
      <c r="BY968" s="98"/>
      <c r="BZ968" s="98"/>
      <c r="CA968" s="98"/>
      <c r="CB968" s="98"/>
      <c r="CC968" s="98"/>
      <c r="CD968" s="98"/>
      <c r="CE968" s="98"/>
      <c r="CF968" s="98"/>
      <c r="CG968" s="98"/>
      <c r="CH968" s="98"/>
      <c r="CI968" s="98"/>
      <c r="CJ968" s="98"/>
      <c r="CK968" s="98"/>
    </row>
    <row r="969" spans="1:89" ht="15" x14ac:dyDescent="0.2">
      <c r="A969" s="119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  <c r="AI969" s="98"/>
      <c r="AJ969" s="98"/>
      <c r="AK969" s="98"/>
      <c r="AL969" s="98"/>
      <c r="AM969" s="98"/>
      <c r="AN969" s="98"/>
      <c r="AO969" s="98"/>
      <c r="AP969" s="98"/>
      <c r="AQ969" s="98"/>
      <c r="AR969" s="98"/>
      <c r="AS969" s="98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8"/>
      <c r="BG969" s="98"/>
      <c r="BH969" s="98"/>
      <c r="BI969" s="98"/>
      <c r="BJ969" s="98"/>
      <c r="BK969" s="98"/>
      <c r="BL969" s="98"/>
      <c r="BM969" s="98"/>
      <c r="BN969" s="98"/>
      <c r="BO969" s="98"/>
      <c r="BP969" s="98"/>
      <c r="BQ969" s="98"/>
      <c r="BR969" s="98"/>
      <c r="BS969" s="98"/>
      <c r="BT969" s="98"/>
      <c r="BU969" s="98"/>
      <c r="BV969" s="98"/>
      <c r="BW969" s="98"/>
      <c r="BX969" s="98"/>
      <c r="BY969" s="98"/>
      <c r="BZ969" s="98"/>
      <c r="CA969" s="98"/>
      <c r="CB969" s="98"/>
      <c r="CC969" s="98"/>
      <c r="CD969" s="98"/>
      <c r="CE969" s="98"/>
      <c r="CF969" s="98"/>
      <c r="CG969" s="98"/>
      <c r="CH969" s="98"/>
      <c r="CI969" s="98"/>
      <c r="CJ969" s="98"/>
      <c r="CK969" s="98"/>
    </row>
    <row r="970" spans="1:89" ht="15" x14ac:dyDescent="0.2">
      <c r="A970" s="119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  <c r="AI970" s="98"/>
      <c r="AJ970" s="98"/>
      <c r="AK970" s="98"/>
      <c r="AL970" s="98"/>
      <c r="AM970" s="98"/>
      <c r="AN970" s="98"/>
      <c r="AO970" s="98"/>
      <c r="AP970" s="98"/>
      <c r="AQ970" s="98"/>
      <c r="AR970" s="98"/>
      <c r="AS970" s="98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8"/>
      <c r="BG970" s="98"/>
      <c r="BH970" s="98"/>
      <c r="BI970" s="98"/>
      <c r="BJ970" s="98"/>
      <c r="BK970" s="98"/>
      <c r="BL970" s="98"/>
      <c r="BM970" s="98"/>
      <c r="BN970" s="98"/>
      <c r="BO970" s="98"/>
      <c r="BP970" s="98"/>
      <c r="BQ970" s="98"/>
      <c r="BR970" s="98"/>
      <c r="BS970" s="98"/>
      <c r="BT970" s="98"/>
      <c r="BU970" s="98"/>
      <c r="BV970" s="98"/>
      <c r="BW970" s="98"/>
      <c r="BX970" s="98"/>
      <c r="BY970" s="98"/>
      <c r="BZ970" s="98"/>
      <c r="CA970" s="98"/>
      <c r="CB970" s="98"/>
      <c r="CC970" s="98"/>
      <c r="CD970" s="98"/>
      <c r="CE970" s="98"/>
      <c r="CF970" s="98"/>
      <c r="CG970" s="98"/>
      <c r="CH970" s="98"/>
      <c r="CI970" s="98"/>
      <c r="CJ970" s="98"/>
      <c r="CK970" s="98"/>
    </row>
    <row r="971" spans="1:89" ht="15" x14ac:dyDescent="0.2">
      <c r="A971" s="119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  <c r="AI971" s="98"/>
      <c r="AJ971" s="98"/>
      <c r="AK971" s="98"/>
      <c r="AL971" s="98"/>
      <c r="AM971" s="98"/>
      <c r="AN971" s="98"/>
      <c r="AO971" s="98"/>
      <c r="AP971" s="98"/>
      <c r="AQ971" s="98"/>
      <c r="AR971" s="98"/>
      <c r="AS971" s="98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8"/>
      <c r="BL971" s="98"/>
      <c r="BM971" s="98"/>
      <c r="BN971" s="98"/>
      <c r="BO971" s="98"/>
      <c r="BP971" s="98"/>
      <c r="BQ971" s="98"/>
      <c r="BR971" s="98"/>
      <c r="BS971" s="98"/>
      <c r="BT971" s="98"/>
      <c r="BU971" s="98"/>
      <c r="BV971" s="98"/>
      <c r="BW971" s="98"/>
      <c r="BX971" s="98"/>
      <c r="BY971" s="98"/>
      <c r="BZ971" s="98"/>
      <c r="CA971" s="98"/>
      <c r="CB971" s="98"/>
      <c r="CC971" s="98"/>
      <c r="CD971" s="98"/>
      <c r="CE971" s="98"/>
      <c r="CF971" s="98"/>
      <c r="CG971" s="98"/>
      <c r="CH971" s="98"/>
      <c r="CI971" s="98"/>
      <c r="CJ971" s="98"/>
      <c r="CK971" s="98"/>
    </row>
    <row r="972" spans="1:89" ht="15" x14ac:dyDescent="0.2">
      <c r="A972" s="119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  <c r="AI972" s="98"/>
      <c r="AJ972" s="98"/>
      <c r="AK972" s="98"/>
      <c r="AL972" s="98"/>
      <c r="AM972" s="98"/>
      <c r="AN972" s="98"/>
      <c r="AO972" s="98"/>
      <c r="AP972" s="98"/>
      <c r="AQ972" s="98"/>
      <c r="AR972" s="98"/>
      <c r="AS972" s="98"/>
      <c r="AT972" s="98"/>
      <c r="AU972" s="98"/>
      <c r="AV972" s="98"/>
      <c r="AW972" s="98"/>
      <c r="AX972" s="98"/>
      <c r="AY972" s="98"/>
      <c r="AZ972" s="98"/>
      <c r="BA972" s="98"/>
      <c r="BB972" s="98"/>
      <c r="BC972" s="98"/>
      <c r="BD972" s="98"/>
      <c r="BE972" s="98"/>
      <c r="BF972" s="98"/>
      <c r="BG972" s="98"/>
      <c r="BH972" s="98"/>
      <c r="BI972" s="98"/>
      <c r="BJ972" s="98"/>
      <c r="BK972" s="98"/>
      <c r="BL972" s="98"/>
      <c r="BM972" s="98"/>
      <c r="BN972" s="98"/>
      <c r="BO972" s="98"/>
      <c r="BP972" s="98"/>
      <c r="BQ972" s="98"/>
      <c r="BR972" s="98"/>
      <c r="BS972" s="98"/>
      <c r="BT972" s="98"/>
      <c r="BU972" s="98"/>
      <c r="BV972" s="98"/>
      <c r="BW972" s="98"/>
      <c r="BX972" s="98"/>
      <c r="BY972" s="98"/>
      <c r="BZ972" s="98"/>
      <c r="CA972" s="98"/>
      <c r="CB972" s="98"/>
      <c r="CC972" s="98"/>
      <c r="CD972" s="98"/>
      <c r="CE972" s="98"/>
      <c r="CF972" s="98"/>
      <c r="CG972" s="98"/>
      <c r="CH972" s="98"/>
      <c r="CI972" s="98"/>
      <c r="CJ972" s="98"/>
      <c r="CK972" s="98"/>
    </row>
    <row r="973" spans="1:89" ht="15" x14ac:dyDescent="0.2">
      <c r="A973" s="119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  <c r="AI973" s="98"/>
      <c r="AJ973" s="98"/>
      <c r="AK973" s="98"/>
      <c r="AL973" s="98"/>
      <c r="AM973" s="98"/>
      <c r="AN973" s="98"/>
      <c r="AO973" s="98"/>
      <c r="AP973" s="98"/>
      <c r="AQ973" s="98"/>
      <c r="AR973" s="98"/>
      <c r="AS973" s="98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8"/>
      <c r="BG973" s="98"/>
      <c r="BH973" s="98"/>
      <c r="BI973" s="98"/>
      <c r="BJ973" s="98"/>
      <c r="BK973" s="98"/>
      <c r="BL973" s="98"/>
      <c r="BM973" s="98"/>
      <c r="BN973" s="98"/>
      <c r="BO973" s="98"/>
      <c r="BP973" s="98"/>
      <c r="BQ973" s="98"/>
      <c r="BR973" s="98"/>
      <c r="BS973" s="98"/>
      <c r="BT973" s="98"/>
      <c r="BU973" s="98"/>
      <c r="BV973" s="98"/>
      <c r="BW973" s="98"/>
      <c r="BX973" s="98"/>
      <c r="BY973" s="98"/>
      <c r="BZ973" s="98"/>
      <c r="CA973" s="98"/>
      <c r="CB973" s="98"/>
      <c r="CC973" s="98"/>
      <c r="CD973" s="98"/>
      <c r="CE973" s="98"/>
      <c r="CF973" s="98"/>
      <c r="CG973" s="98"/>
      <c r="CH973" s="98"/>
      <c r="CI973" s="98"/>
      <c r="CJ973" s="98"/>
      <c r="CK973" s="98"/>
    </row>
    <row r="974" spans="1:89" ht="15" x14ac:dyDescent="0.2">
      <c r="A974" s="119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  <c r="AH974" s="98"/>
      <c r="AI974" s="98"/>
      <c r="AJ974" s="98"/>
      <c r="AK974" s="98"/>
      <c r="AL974" s="98"/>
      <c r="AM974" s="98"/>
      <c r="AN974" s="98"/>
      <c r="AO974" s="98"/>
      <c r="AP974" s="98"/>
      <c r="AQ974" s="98"/>
      <c r="AR974" s="98"/>
      <c r="AS974" s="98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8"/>
      <c r="BG974" s="98"/>
      <c r="BH974" s="98"/>
      <c r="BI974" s="98"/>
      <c r="BJ974" s="98"/>
      <c r="BK974" s="98"/>
      <c r="BL974" s="98"/>
      <c r="BM974" s="98"/>
      <c r="BN974" s="98"/>
      <c r="BO974" s="98"/>
      <c r="BP974" s="98"/>
      <c r="BQ974" s="98"/>
      <c r="BR974" s="98"/>
      <c r="BS974" s="98"/>
      <c r="BT974" s="98"/>
      <c r="BU974" s="98"/>
      <c r="BV974" s="98"/>
      <c r="BW974" s="98"/>
      <c r="BX974" s="98"/>
      <c r="BY974" s="98"/>
      <c r="BZ974" s="98"/>
      <c r="CA974" s="98"/>
      <c r="CB974" s="98"/>
      <c r="CC974" s="98"/>
      <c r="CD974" s="98"/>
      <c r="CE974" s="98"/>
      <c r="CF974" s="98"/>
      <c r="CG974" s="98"/>
      <c r="CH974" s="98"/>
      <c r="CI974" s="98"/>
      <c r="CJ974" s="98"/>
      <c r="CK974" s="98"/>
    </row>
    <row r="975" spans="1:89" ht="15" x14ac:dyDescent="0.2">
      <c r="A975" s="119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  <c r="AH975" s="98"/>
      <c r="AI975" s="98"/>
      <c r="AJ975" s="98"/>
      <c r="AK975" s="98"/>
      <c r="AL975" s="98"/>
      <c r="AM975" s="98"/>
      <c r="AN975" s="98"/>
      <c r="AO975" s="98"/>
      <c r="AP975" s="98"/>
      <c r="AQ975" s="98"/>
      <c r="AR975" s="98"/>
      <c r="AS975" s="98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8"/>
      <c r="BG975" s="98"/>
      <c r="BH975" s="98"/>
      <c r="BI975" s="98"/>
      <c r="BJ975" s="98"/>
      <c r="BK975" s="98"/>
      <c r="BL975" s="98"/>
      <c r="BM975" s="98"/>
      <c r="BN975" s="98"/>
      <c r="BO975" s="98"/>
      <c r="BP975" s="98"/>
      <c r="BQ975" s="98"/>
      <c r="BR975" s="98"/>
      <c r="BS975" s="98"/>
      <c r="BT975" s="98"/>
      <c r="BU975" s="98"/>
      <c r="BV975" s="98"/>
      <c r="BW975" s="98"/>
      <c r="BX975" s="98"/>
      <c r="BY975" s="98"/>
      <c r="BZ975" s="98"/>
      <c r="CA975" s="98"/>
      <c r="CB975" s="98"/>
      <c r="CC975" s="98"/>
      <c r="CD975" s="98"/>
      <c r="CE975" s="98"/>
      <c r="CF975" s="98"/>
      <c r="CG975" s="98"/>
      <c r="CH975" s="98"/>
      <c r="CI975" s="98"/>
      <c r="CJ975" s="98"/>
      <c r="CK975" s="98"/>
    </row>
    <row r="976" spans="1:89" ht="15" x14ac:dyDescent="0.2">
      <c r="A976" s="119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  <c r="AH976" s="98"/>
      <c r="AI976" s="98"/>
      <c r="AJ976" s="98"/>
      <c r="AK976" s="98"/>
      <c r="AL976" s="98"/>
      <c r="AM976" s="98"/>
      <c r="AN976" s="98"/>
      <c r="AO976" s="98"/>
      <c r="AP976" s="98"/>
      <c r="AQ976" s="98"/>
      <c r="AR976" s="98"/>
      <c r="AS976" s="98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8"/>
      <c r="BG976" s="98"/>
      <c r="BH976" s="98"/>
      <c r="BI976" s="98"/>
      <c r="BJ976" s="98"/>
      <c r="BK976" s="98"/>
      <c r="BL976" s="98"/>
      <c r="BM976" s="98"/>
      <c r="BN976" s="98"/>
      <c r="BO976" s="98"/>
      <c r="BP976" s="98"/>
      <c r="BQ976" s="98"/>
      <c r="BR976" s="98"/>
      <c r="BS976" s="98"/>
      <c r="BT976" s="98"/>
      <c r="BU976" s="98"/>
      <c r="BV976" s="98"/>
      <c r="BW976" s="98"/>
      <c r="BX976" s="98"/>
      <c r="BY976" s="98"/>
      <c r="BZ976" s="98"/>
      <c r="CA976" s="98"/>
      <c r="CB976" s="98"/>
      <c r="CC976" s="98"/>
      <c r="CD976" s="98"/>
      <c r="CE976" s="98"/>
      <c r="CF976" s="98"/>
      <c r="CG976" s="98"/>
      <c r="CH976" s="98"/>
      <c r="CI976" s="98"/>
      <c r="CJ976" s="98"/>
      <c r="CK976" s="98"/>
    </row>
    <row r="977" spans="1:89" ht="15" x14ac:dyDescent="0.2">
      <c r="A977" s="119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  <c r="AH977" s="98"/>
      <c r="AI977" s="98"/>
      <c r="AJ977" s="98"/>
      <c r="AK977" s="98"/>
      <c r="AL977" s="98"/>
      <c r="AM977" s="98"/>
      <c r="AN977" s="98"/>
      <c r="AO977" s="98"/>
      <c r="AP977" s="98"/>
      <c r="AQ977" s="98"/>
      <c r="AR977" s="98"/>
      <c r="AS977" s="98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8"/>
      <c r="BG977" s="98"/>
      <c r="BH977" s="98"/>
      <c r="BI977" s="98"/>
      <c r="BJ977" s="98"/>
      <c r="BK977" s="98"/>
      <c r="BL977" s="98"/>
      <c r="BM977" s="98"/>
      <c r="BN977" s="98"/>
      <c r="BO977" s="98"/>
      <c r="BP977" s="98"/>
      <c r="BQ977" s="98"/>
      <c r="BR977" s="98"/>
      <c r="BS977" s="98"/>
      <c r="BT977" s="98"/>
      <c r="BU977" s="98"/>
      <c r="BV977" s="98"/>
      <c r="BW977" s="98"/>
      <c r="BX977" s="98"/>
      <c r="BY977" s="98"/>
      <c r="BZ977" s="98"/>
      <c r="CA977" s="98"/>
      <c r="CB977" s="98"/>
      <c r="CC977" s="98"/>
      <c r="CD977" s="98"/>
      <c r="CE977" s="98"/>
      <c r="CF977" s="98"/>
      <c r="CG977" s="98"/>
      <c r="CH977" s="98"/>
      <c r="CI977" s="98"/>
      <c r="CJ977" s="98"/>
      <c r="CK977" s="98"/>
    </row>
    <row r="978" spans="1:89" ht="15" x14ac:dyDescent="0.2">
      <c r="A978" s="119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  <c r="AH978" s="98"/>
      <c r="AI978" s="98"/>
      <c r="AJ978" s="98"/>
      <c r="AK978" s="98"/>
      <c r="AL978" s="98"/>
      <c r="AM978" s="98"/>
      <c r="AN978" s="98"/>
      <c r="AO978" s="98"/>
      <c r="AP978" s="98"/>
      <c r="AQ978" s="98"/>
      <c r="AR978" s="98"/>
      <c r="AS978" s="98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8"/>
      <c r="BG978" s="98"/>
      <c r="BH978" s="98"/>
      <c r="BI978" s="98"/>
      <c r="BJ978" s="98"/>
      <c r="BK978" s="98"/>
      <c r="BL978" s="98"/>
      <c r="BM978" s="98"/>
      <c r="BN978" s="98"/>
      <c r="BO978" s="98"/>
      <c r="BP978" s="98"/>
      <c r="BQ978" s="98"/>
      <c r="BR978" s="98"/>
      <c r="BS978" s="98"/>
      <c r="BT978" s="98"/>
      <c r="BU978" s="98"/>
      <c r="BV978" s="98"/>
      <c r="BW978" s="98"/>
      <c r="BX978" s="98"/>
      <c r="BY978" s="98"/>
      <c r="BZ978" s="98"/>
      <c r="CA978" s="98"/>
      <c r="CB978" s="98"/>
      <c r="CC978" s="98"/>
      <c r="CD978" s="98"/>
      <c r="CE978" s="98"/>
      <c r="CF978" s="98"/>
      <c r="CG978" s="98"/>
      <c r="CH978" s="98"/>
      <c r="CI978" s="98"/>
      <c r="CJ978" s="98"/>
      <c r="CK978" s="98"/>
    </row>
    <row r="979" spans="1:89" ht="15" x14ac:dyDescent="0.2">
      <c r="A979" s="119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  <c r="AH979" s="98"/>
      <c r="AI979" s="98"/>
      <c r="AJ979" s="98"/>
      <c r="AK979" s="98"/>
      <c r="AL979" s="98"/>
      <c r="AM979" s="98"/>
      <c r="AN979" s="98"/>
      <c r="AO979" s="98"/>
      <c r="AP979" s="98"/>
      <c r="AQ979" s="98"/>
      <c r="AR979" s="98"/>
      <c r="AS979" s="98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8"/>
      <c r="BG979" s="98"/>
      <c r="BH979" s="98"/>
      <c r="BI979" s="98"/>
      <c r="BJ979" s="98"/>
      <c r="BK979" s="98"/>
      <c r="BL979" s="98"/>
      <c r="BM979" s="98"/>
      <c r="BN979" s="98"/>
      <c r="BO979" s="98"/>
      <c r="BP979" s="98"/>
      <c r="BQ979" s="98"/>
      <c r="BR979" s="98"/>
      <c r="BS979" s="98"/>
      <c r="BT979" s="98"/>
      <c r="BU979" s="98"/>
      <c r="BV979" s="98"/>
      <c r="BW979" s="98"/>
      <c r="BX979" s="98"/>
      <c r="BY979" s="98"/>
      <c r="BZ979" s="98"/>
      <c r="CA979" s="98"/>
      <c r="CB979" s="98"/>
      <c r="CC979" s="98"/>
      <c r="CD979" s="98"/>
      <c r="CE979" s="98"/>
      <c r="CF979" s="98"/>
      <c r="CG979" s="98"/>
      <c r="CH979" s="98"/>
      <c r="CI979" s="98"/>
      <c r="CJ979" s="98"/>
      <c r="CK979" s="98"/>
    </row>
    <row r="980" spans="1:89" ht="15" x14ac:dyDescent="0.2">
      <c r="A980" s="119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  <c r="AH980" s="98"/>
      <c r="AI980" s="98"/>
      <c r="AJ980" s="98"/>
      <c r="AK980" s="98"/>
      <c r="AL980" s="98"/>
      <c r="AM980" s="98"/>
      <c r="AN980" s="98"/>
      <c r="AO980" s="98"/>
      <c r="AP980" s="98"/>
      <c r="AQ980" s="98"/>
      <c r="AR980" s="98"/>
      <c r="AS980" s="98"/>
      <c r="AT980" s="98"/>
      <c r="AU980" s="98"/>
      <c r="AV980" s="98"/>
      <c r="AW980" s="98"/>
      <c r="AX980" s="98"/>
      <c r="AY980" s="98"/>
      <c r="AZ980" s="98"/>
      <c r="BA980" s="98"/>
      <c r="BB980" s="98"/>
      <c r="BC980" s="98"/>
      <c r="BD980" s="98"/>
      <c r="BE980" s="98"/>
      <c r="BF980" s="98"/>
      <c r="BG980" s="98"/>
      <c r="BH980" s="98"/>
      <c r="BI980" s="98"/>
      <c r="BJ980" s="98"/>
      <c r="BK980" s="98"/>
      <c r="BL980" s="98"/>
      <c r="BM980" s="98"/>
      <c r="BN980" s="98"/>
      <c r="BO980" s="98"/>
      <c r="BP980" s="98"/>
      <c r="BQ980" s="98"/>
      <c r="BR980" s="98"/>
      <c r="BS980" s="98"/>
      <c r="BT980" s="98"/>
      <c r="BU980" s="98"/>
      <c r="BV980" s="98"/>
      <c r="BW980" s="98"/>
      <c r="BX980" s="98"/>
      <c r="BY980" s="98"/>
      <c r="BZ980" s="98"/>
      <c r="CA980" s="98"/>
      <c r="CB980" s="98"/>
      <c r="CC980" s="98"/>
      <c r="CD980" s="98"/>
      <c r="CE980" s="98"/>
      <c r="CF980" s="98"/>
      <c r="CG980" s="98"/>
      <c r="CH980" s="98"/>
      <c r="CI980" s="98"/>
      <c r="CJ980" s="98"/>
      <c r="CK980" s="98"/>
    </row>
    <row r="981" spans="1:89" ht="15" x14ac:dyDescent="0.2">
      <c r="A981" s="119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8"/>
      <c r="AJ981" s="98"/>
      <c r="AK981" s="98"/>
      <c r="AL981" s="98"/>
      <c r="AM981" s="98"/>
      <c r="AN981" s="98"/>
      <c r="AO981" s="98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8"/>
      <c r="BL981" s="98"/>
      <c r="BM981" s="98"/>
      <c r="BN981" s="98"/>
      <c r="BO981" s="98"/>
      <c r="BP981" s="98"/>
      <c r="BQ981" s="98"/>
      <c r="BR981" s="98"/>
      <c r="BS981" s="98"/>
      <c r="BT981" s="98"/>
      <c r="BU981" s="98"/>
      <c r="BV981" s="98"/>
      <c r="BW981" s="98"/>
      <c r="BX981" s="98"/>
      <c r="BY981" s="98"/>
      <c r="BZ981" s="98"/>
      <c r="CA981" s="98"/>
      <c r="CB981" s="98"/>
      <c r="CC981" s="98"/>
      <c r="CD981" s="98"/>
      <c r="CE981" s="98"/>
      <c r="CF981" s="98"/>
      <c r="CG981" s="98"/>
      <c r="CH981" s="98"/>
      <c r="CI981" s="98"/>
      <c r="CJ981" s="98"/>
      <c r="CK981" s="98"/>
    </row>
    <row r="982" spans="1:89" ht="15" x14ac:dyDescent="0.2">
      <c r="A982" s="119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  <c r="AH982" s="98"/>
      <c r="AI982" s="98"/>
      <c r="AJ982" s="98"/>
      <c r="AK982" s="98"/>
      <c r="AL982" s="98"/>
      <c r="AM982" s="98"/>
      <c r="AN982" s="98"/>
      <c r="AO982" s="98"/>
      <c r="AP982" s="98"/>
      <c r="AQ982" s="98"/>
      <c r="AR982" s="98"/>
      <c r="AS982" s="98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8"/>
      <c r="BG982" s="98"/>
      <c r="BH982" s="98"/>
      <c r="BI982" s="98"/>
      <c r="BJ982" s="98"/>
      <c r="BK982" s="98"/>
      <c r="BL982" s="98"/>
      <c r="BM982" s="98"/>
      <c r="BN982" s="98"/>
      <c r="BO982" s="98"/>
      <c r="BP982" s="98"/>
      <c r="BQ982" s="98"/>
      <c r="BR982" s="98"/>
      <c r="BS982" s="98"/>
      <c r="BT982" s="98"/>
      <c r="BU982" s="98"/>
      <c r="BV982" s="98"/>
      <c r="BW982" s="98"/>
      <c r="BX982" s="98"/>
      <c r="BY982" s="98"/>
      <c r="BZ982" s="98"/>
      <c r="CA982" s="98"/>
      <c r="CB982" s="98"/>
      <c r="CC982" s="98"/>
      <c r="CD982" s="98"/>
      <c r="CE982" s="98"/>
      <c r="CF982" s="98"/>
      <c r="CG982" s="98"/>
      <c r="CH982" s="98"/>
      <c r="CI982" s="98"/>
      <c r="CJ982" s="98"/>
      <c r="CK982" s="98"/>
    </row>
    <row r="983" spans="1:89" ht="15" x14ac:dyDescent="0.2">
      <c r="A983" s="119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  <c r="AH983" s="98"/>
      <c r="AI983" s="98"/>
      <c r="AJ983" s="98"/>
      <c r="AK983" s="98"/>
      <c r="AL983" s="98"/>
      <c r="AM983" s="98"/>
      <c r="AN983" s="98"/>
      <c r="AO983" s="98"/>
      <c r="AP983" s="98"/>
      <c r="AQ983" s="98"/>
      <c r="AR983" s="98"/>
      <c r="AS983" s="98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8"/>
      <c r="BL983" s="98"/>
      <c r="BM983" s="98"/>
      <c r="BN983" s="98"/>
      <c r="BO983" s="98"/>
      <c r="BP983" s="98"/>
      <c r="BQ983" s="98"/>
      <c r="BR983" s="98"/>
      <c r="BS983" s="98"/>
      <c r="BT983" s="98"/>
      <c r="BU983" s="98"/>
      <c r="BV983" s="98"/>
      <c r="BW983" s="98"/>
      <c r="BX983" s="98"/>
      <c r="BY983" s="98"/>
      <c r="BZ983" s="98"/>
      <c r="CA983" s="98"/>
      <c r="CB983" s="98"/>
      <c r="CC983" s="98"/>
      <c r="CD983" s="98"/>
      <c r="CE983" s="98"/>
      <c r="CF983" s="98"/>
      <c r="CG983" s="98"/>
      <c r="CH983" s="98"/>
      <c r="CI983" s="98"/>
      <c r="CJ983" s="98"/>
      <c r="CK983" s="98"/>
    </row>
    <row r="984" spans="1:89" ht="15" x14ac:dyDescent="0.2">
      <c r="A984" s="119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  <c r="AH984" s="98"/>
      <c r="AI984" s="98"/>
      <c r="AJ984" s="98"/>
      <c r="AK984" s="98"/>
      <c r="AL984" s="98"/>
      <c r="AM984" s="98"/>
      <c r="AN984" s="98"/>
      <c r="AO984" s="98"/>
      <c r="AP984" s="98"/>
      <c r="AQ984" s="98"/>
      <c r="AR984" s="98"/>
      <c r="AS984" s="98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8"/>
      <c r="BG984" s="98"/>
      <c r="BH984" s="98"/>
      <c r="BI984" s="98"/>
      <c r="BJ984" s="98"/>
      <c r="BK984" s="98"/>
      <c r="BL984" s="98"/>
      <c r="BM984" s="98"/>
      <c r="BN984" s="98"/>
      <c r="BO984" s="98"/>
      <c r="BP984" s="98"/>
      <c r="BQ984" s="98"/>
      <c r="BR984" s="98"/>
      <c r="BS984" s="98"/>
      <c r="BT984" s="98"/>
      <c r="BU984" s="98"/>
      <c r="BV984" s="98"/>
      <c r="BW984" s="98"/>
      <c r="BX984" s="98"/>
      <c r="BY984" s="98"/>
      <c r="BZ984" s="98"/>
      <c r="CA984" s="98"/>
      <c r="CB984" s="98"/>
      <c r="CC984" s="98"/>
      <c r="CD984" s="98"/>
      <c r="CE984" s="98"/>
      <c r="CF984" s="98"/>
      <c r="CG984" s="98"/>
      <c r="CH984" s="98"/>
      <c r="CI984" s="98"/>
      <c r="CJ984" s="98"/>
      <c r="CK984" s="98"/>
    </row>
    <row r="985" spans="1:89" ht="15" x14ac:dyDescent="0.2">
      <c r="A985" s="119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  <c r="AH985" s="98"/>
      <c r="AI985" s="98"/>
      <c r="AJ985" s="98"/>
      <c r="AK985" s="98"/>
      <c r="AL985" s="98"/>
      <c r="AM985" s="98"/>
      <c r="AN985" s="98"/>
      <c r="AO985" s="98"/>
      <c r="AP985" s="98"/>
      <c r="AQ985" s="98"/>
      <c r="AR985" s="98"/>
      <c r="AS985" s="98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8"/>
      <c r="BG985" s="98"/>
      <c r="BH985" s="98"/>
      <c r="BI985" s="98"/>
      <c r="BJ985" s="98"/>
      <c r="BK985" s="98"/>
      <c r="BL985" s="98"/>
      <c r="BM985" s="98"/>
      <c r="BN985" s="98"/>
      <c r="BO985" s="98"/>
      <c r="BP985" s="98"/>
      <c r="BQ985" s="98"/>
      <c r="BR985" s="98"/>
      <c r="BS985" s="98"/>
      <c r="BT985" s="98"/>
      <c r="BU985" s="98"/>
      <c r="BV985" s="98"/>
      <c r="BW985" s="98"/>
      <c r="BX985" s="98"/>
      <c r="BY985" s="98"/>
      <c r="BZ985" s="98"/>
      <c r="CA985" s="98"/>
      <c r="CB985" s="98"/>
      <c r="CC985" s="98"/>
      <c r="CD985" s="98"/>
      <c r="CE985" s="98"/>
      <c r="CF985" s="98"/>
      <c r="CG985" s="98"/>
      <c r="CH985" s="98"/>
      <c r="CI985" s="98"/>
      <c r="CJ985" s="98"/>
      <c r="CK985" s="98"/>
    </row>
    <row r="986" spans="1:89" ht="15" x14ac:dyDescent="0.2">
      <c r="A986" s="119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  <c r="AH986" s="98"/>
      <c r="AI986" s="98"/>
      <c r="AJ986" s="98"/>
      <c r="AK986" s="98"/>
      <c r="AL986" s="98"/>
      <c r="AM986" s="98"/>
      <c r="AN986" s="98"/>
      <c r="AO986" s="98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8"/>
      <c r="BG986" s="98"/>
      <c r="BH986" s="98"/>
      <c r="BI986" s="98"/>
      <c r="BJ986" s="98"/>
      <c r="BK986" s="98"/>
      <c r="BL986" s="98"/>
      <c r="BM986" s="98"/>
      <c r="BN986" s="98"/>
      <c r="BO986" s="98"/>
      <c r="BP986" s="98"/>
      <c r="BQ986" s="98"/>
      <c r="BR986" s="98"/>
      <c r="BS986" s="98"/>
      <c r="BT986" s="98"/>
      <c r="BU986" s="98"/>
      <c r="BV986" s="98"/>
      <c r="BW986" s="98"/>
      <c r="BX986" s="98"/>
      <c r="BY986" s="98"/>
      <c r="BZ986" s="98"/>
      <c r="CA986" s="98"/>
      <c r="CB986" s="98"/>
      <c r="CC986" s="98"/>
      <c r="CD986" s="98"/>
      <c r="CE986" s="98"/>
      <c r="CF986" s="98"/>
      <c r="CG986" s="98"/>
      <c r="CH986" s="98"/>
      <c r="CI986" s="98"/>
      <c r="CJ986" s="98"/>
      <c r="CK986" s="98"/>
    </row>
    <row r="987" spans="1:89" ht="15" x14ac:dyDescent="0.2">
      <c r="A987" s="119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  <c r="AH987" s="98"/>
      <c r="AI987" s="98"/>
      <c r="AJ987" s="98"/>
      <c r="AK987" s="98"/>
      <c r="AL987" s="98"/>
      <c r="AM987" s="98"/>
      <c r="AN987" s="98"/>
      <c r="AO987" s="98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8"/>
      <c r="BG987" s="98"/>
      <c r="BH987" s="98"/>
      <c r="BI987" s="98"/>
      <c r="BJ987" s="98"/>
      <c r="BK987" s="98"/>
      <c r="BL987" s="98"/>
      <c r="BM987" s="98"/>
      <c r="BN987" s="98"/>
      <c r="BO987" s="98"/>
      <c r="BP987" s="98"/>
      <c r="BQ987" s="98"/>
      <c r="BR987" s="98"/>
      <c r="BS987" s="98"/>
      <c r="BT987" s="98"/>
      <c r="BU987" s="98"/>
      <c r="BV987" s="98"/>
      <c r="BW987" s="98"/>
      <c r="BX987" s="98"/>
      <c r="BY987" s="98"/>
      <c r="BZ987" s="98"/>
      <c r="CA987" s="98"/>
      <c r="CB987" s="98"/>
      <c r="CC987" s="98"/>
      <c r="CD987" s="98"/>
      <c r="CE987" s="98"/>
      <c r="CF987" s="98"/>
      <c r="CG987" s="98"/>
      <c r="CH987" s="98"/>
      <c r="CI987" s="98"/>
      <c r="CJ987" s="98"/>
      <c r="CK987" s="98"/>
    </row>
    <row r="988" spans="1:89" ht="15" x14ac:dyDescent="0.2">
      <c r="A988" s="119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  <c r="AH988" s="98"/>
      <c r="AI988" s="98"/>
      <c r="AJ988" s="98"/>
      <c r="AK988" s="98"/>
      <c r="AL988" s="98"/>
      <c r="AM988" s="98"/>
      <c r="AN988" s="98"/>
      <c r="AO988" s="98"/>
      <c r="AP988" s="98"/>
      <c r="AQ988" s="98"/>
      <c r="AR988" s="98"/>
      <c r="AS988" s="98"/>
      <c r="AT988" s="98"/>
      <c r="AU988" s="98"/>
      <c r="AV988" s="98"/>
      <c r="AW988" s="98"/>
      <c r="AX988" s="98"/>
      <c r="AY988" s="98"/>
      <c r="AZ988" s="98"/>
      <c r="BA988" s="98"/>
      <c r="BB988" s="98"/>
      <c r="BC988" s="98"/>
      <c r="BD988" s="98"/>
      <c r="BE988" s="98"/>
      <c r="BF988" s="98"/>
      <c r="BG988" s="98"/>
      <c r="BH988" s="98"/>
      <c r="BI988" s="98"/>
      <c r="BJ988" s="98"/>
      <c r="BK988" s="98"/>
      <c r="BL988" s="98"/>
      <c r="BM988" s="98"/>
      <c r="BN988" s="98"/>
      <c r="BO988" s="98"/>
      <c r="BP988" s="98"/>
      <c r="BQ988" s="98"/>
      <c r="BR988" s="98"/>
      <c r="BS988" s="98"/>
      <c r="BT988" s="98"/>
      <c r="BU988" s="98"/>
      <c r="BV988" s="98"/>
      <c r="BW988" s="98"/>
      <c r="BX988" s="98"/>
      <c r="BY988" s="98"/>
      <c r="BZ988" s="98"/>
      <c r="CA988" s="98"/>
      <c r="CB988" s="98"/>
      <c r="CC988" s="98"/>
      <c r="CD988" s="98"/>
      <c r="CE988" s="98"/>
      <c r="CF988" s="98"/>
      <c r="CG988" s="98"/>
      <c r="CH988" s="98"/>
      <c r="CI988" s="98"/>
      <c r="CJ988" s="98"/>
      <c r="CK988" s="98"/>
    </row>
    <row r="989" spans="1:89" ht="15" x14ac:dyDescent="0.2">
      <c r="A989" s="119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  <c r="AH989" s="98"/>
      <c r="AI989" s="98"/>
      <c r="AJ989" s="98"/>
      <c r="AK989" s="98"/>
      <c r="AL989" s="98"/>
      <c r="AM989" s="98"/>
      <c r="AN989" s="98"/>
      <c r="AO989" s="98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8"/>
      <c r="BG989" s="98"/>
      <c r="BH989" s="98"/>
      <c r="BI989" s="98"/>
      <c r="BJ989" s="98"/>
      <c r="BK989" s="98"/>
      <c r="BL989" s="98"/>
      <c r="BM989" s="98"/>
      <c r="BN989" s="98"/>
      <c r="BO989" s="98"/>
      <c r="BP989" s="98"/>
      <c r="BQ989" s="98"/>
      <c r="BR989" s="98"/>
      <c r="BS989" s="98"/>
      <c r="BT989" s="98"/>
      <c r="BU989" s="98"/>
      <c r="BV989" s="98"/>
      <c r="BW989" s="98"/>
      <c r="BX989" s="98"/>
      <c r="BY989" s="98"/>
      <c r="BZ989" s="98"/>
      <c r="CA989" s="98"/>
      <c r="CB989" s="98"/>
      <c r="CC989" s="98"/>
      <c r="CD989" s="98"/>
      <c r="CE989" s="98"/>
      <c r="CF989" s="98"/>
      <c r="CG989" s="98"/>
      <c r="CH989" s="98"/>
      <c r="CI989" s="98"/>
      <c r="CJ989" s="98"/>
      <c r="CK989" s="98"/>
    </row>
    <row r="990" spans="1:89" ht="15" x14ac:dyDescent="0.2">
      <c r="A990" s="119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  <c r="AH990" s="98"/>
      <c r="AI990" s="98"/>
      <c r="AJ990" s="98"/>
      <c r="AK990" s="98"/>
      <c r="AL990" s="98"/>
      <c r="AM990" s="98"/>
      <c r="AN990" s="98"/>
      <c r="AO990" s="98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8"/>
      <c r="BG990" s="98"/>
      <c r="BH990" s="98"/>
      <c r="BI990" s="98"/>
      <c r="BJ990" s="98"/>
      <c r="BK990" s="98"/>
      <c r="BL990" s="98"/>
      <c r="BM990" s="98"/>
      <c r="BN990" s="98"/>
      <c r="BO990" s="98"/>
      <c r="BP990" s="98"/>
      <c r="BQ990" s="98"/>
      <c r="BR990" s="98"/>
      <c r="BS990" s="98"/>
      <c r="BT990" s="98"/>
      <c r="BU990" s="98"/>
      <c r="BV990" s="98"/>
      <c r="BW990" s="98"/>
      <c r="BX990" s="98"/>
      <c r="BY990" s="98"/>
      <c r="BZ990" s="98"/>
      <c r="CA990" s="98"/>
      <c r="CB990" s="98"/>
      <c r="CC990" s="98"/>
      <c r="CD990" s="98"/>
      <c r="CE990" s="98"/>
      <c r="CF990" s="98"/>
      <c r="CG990" s="98"/>
      <c r="CH990" s="98"/>
      <c r="CI990" s="98"/>
      <c r="CJ990" s="98"/>
      <c r="CK990" s="98"/>
    </row>
    <row r="991" spans="1:89" ht="15" x14ac:dyDescent="0.2">
      <c r="A991" s="119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  <c r="AH991" s="98"/>
      <c r="AI991" s="98"/>
      <c r="AJ991" s="98"/>
      <c r="AK991" s="98"/>
      <c r="AL991" s="98"/>
      <c r="AM991" s="98"/>
      <c r="AN991" s="98"/>
      <c r="AO991" s="98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8"/>
      <c r="BG991" s="98"/>
      <c r="BH991" s="98"/>
      <c r="BI991" s="98"/>
      <c r="BJ991" s="98"/>
      <c r="BK991" s="98"/>
      <c r="BL991" s="98"/>
      <c r="BM991" s="98"/>
      <c r="BN991" s="98"/>
      <c r="BO991" s="98"/>
      <c r="BP991" s="98"/>
      <c r="BQ991" s="98"/>
      <c r="BR991" s="98"/>
      <c r="BS991" s="98"/>
      <c r="BT991" s="98"/>
      <c r="BU991" s="98"/>
      <c r="BV991" s="98"/>
      <c r="BW991" s="98"/>
      <c r="BX991" s="98"/>
      <c r="BY991" s="98"/>
      <c r="BZ991" s="98"/>
      <c r="CA991" s="98"/>
      <c r="CB991" s="98"/>
      <c r="CC991" s="98"/>
      <c r="CD991" s="98"/>
      <c r="CE991" s="98"/>
      <c r="CF991" s="98"/>
      <c r="CG991" s="98"/>
      <c r="CH991" s="98"/>
      <c r="CI991" s="98"/>
      <c r="CJ991" s="98"/>
      <c r="CK991" s="98"/>
    </row>
    <row r="992" spans="1:89" ht="15" x14ac:dyDescent="0.2">
      <c r="A992" s="119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  <c r="AH992" s="98"/>
      <c r="AI992" s="98"/>
      <c r="AJ992" s="98"/>
      <c r="AK992" s="98"/>
      <c r="AL992" s="98"/>
      <c r="AM992" s="98"/>
      <c r="AN992" s="98"/>
      <c r="AO992" s="98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8"/>
      <c r="BG992" s="98"/>
      <c r="BH992" s="98"/>
      <c r="BI992" s="98"/>
      <c r="BJ992" s="98"/>
      <c r="BK992" s="98"/>
      <c r="BL992" s="98"/>
      <c r="BM992" s="98"/>
      <c r="BN992" s="98"/>
      <c r="BO992" s="98"/>
      <c r="BP992" s="98"/>
      <c r="BQ992" s="98"/>
      <c r="BR992" s="98"/>
      <c r="BS992" s="98"/>
      <c r="BT992" s="98"/>
      <c r="BU992" s="98"/>
      <c r="BV992" s="98"/>
      <c r="BW992" s="98"/>
      <c r="BX992" s="98"/>
      <c r="BY992" s="98"/>
      <c r="BZ992" s="98"/>
      <c r="CA992" s="98"/>
      <c r="CB992" s="98"/>
      <c r="CC992" s="98"/>
      <c r="CD992" s="98"/>
      <c r="CE992" s="98"/>
      <c r="CF992" s="98"/>
      <c r="CG992" s="98"/>
      <c r="CH992" s="98"/>
      <c r="CI992" s="98"/>
      <c r="CJ992" s="98"/>
      <c r="CK992" s="98"/>
    </row>
    <row r="993" spans="1:89" ht="15" x14ac:dyDescent="0.2">
      <c r="A993" s="119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  <c r="AH993" s="98"/>
      <c r="AI993" s="98"/>
      <c r="AJ993" s="98"/>
      <c r="AK993" s="98"/>
      <c r="AL993" s="98"/>
      <c r="AM993" s="98"/>
      <c r="AN993" s="98"/>
      <c r="AO993" s="98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8"/>
      <c r="BG993" s="98"/>
      <c r="BH993" s="98"/>
      <c r="BI993" s="98"/>
      <c r="BJ993" s="98"/>
      <c r="BK993" s="98"/>
      <c r="BL993" s="98"/>
      <c r="BM993" s="98"/>
      <c r="BN993" s="98"/>
      <c r="BO993" s="98"/>
      <c r="BP993" s="98"/>
      <c r="BQ993" s="98"/>
      <c r="BR993" s="98"/>
      <c r="BS993" s="98"/>
      <c r="BT993" s="98"/>
      <c r="BU993" s="98"/>
      <c r="BV993" s="98"/>
      <c r="BW993" s="98"/>
      <c r="BX993" s="98"/>
      <c r="BY993" s="98"/>
      <c r="BZ993" s="98"/>
      <c r="CA993" s="98"/>
      <c r="CB993" s="98"/>
      <c r="CC993" s="98"/>
      <c r="CD993" s="98"/>
      <c r="CE993" s="98"/>
      <c r="CF993" s="98"/>
      <c r="CG993" s="98"/>
      <c r="CH993" s="98"/>
      <c r="CI993" s="98"/>
      <c r="CJ993" s="98"/>
      <c r="CK993" s="98"/>
    </row>
    <row r="994" spans="1:89" ht="15" x14ac:dyDescent="0.2">
      <c r="A994" s="119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  <c r="AH994" s="98"/>
      <c r="AI994" s="98"/>
      <c r="AJ994" s="98"/>
      <c r="AK994" s="98"/>
      <c r="AL994" s="98"/>
      <c r="AM994" s="98"/>
      <c r="AN994" s="98"/>
      <c r="AO994" s="98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8"/>
      <c r="BG994" s="98"/>
      <c r="BH994" s="98"/>
      <c r="BI994" s="98"/>
      <c r="BJ994" s="98"/>
      <c r="BK994" s="98"/>
      <c r="BL994" s="98"/>
      <c r="BM994" s="98"/>
      <c r="BN994" s="98"/>
      <c r="BO994" s="98"/>
      <c r="BP994" s="98"/>
      <c r="BQ994" s="98"/>
      <c r="BR994" s="98"/>
      <c r="BS994" s="98"/>
      <c r="BT994" s="98"/>
      <c r="BU994" s="98"/>
      <c r="BV994" s="98"/>
      <c r="BW994" s="98"/>
      <c r="BX994" s="98"/>
      <c r="BY994" s="98"/>
      <c r="BZ994" s="98"/>
      <c r="CA994" s="98"/>
      <c r="CB994" s="98"/>
      <c r="CC994" s="98"/>
      <c r="CD994" s="98"/>
      <c r="CE994" s="98"/>
      <c r="CF994" s="98"/>
      <c r="CG994" s="98"/>
      <c r="CH994" s="98"/>
      <c r="CI994" s="98"/>
      <c r="CJ994" s="98"/>
      <c r="CK994" s="98"/>
    </row>
    <row r="995" spans="1:89" ht="15" x14ac:dyDescent="0.2">
      <c r="A995" s="119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  <c r="AH995" s="98"/>
      <c r="AI995" s="98"/>
      <c r="AJ995" s="98"/>
      <c r="AK995" s="98"/>
      <c r="AL995" s="98"/>
      <c r="AM995" s="98"/>
      <c r="AN995" s="98"/>
      <c r="AO995" s="98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8"/>
      <c r="BG995" s="98"/>
      <c r="BH995" s="98"/>
      <c r="BI995" s="98"/>
      <c r="BJ995" s="98"/>
      <c r="BK995" s="98"/>
      <c r="BL995" s="98"/>
      <c r="BM995" s="98"/>
      <c r="BN995" s="98"/>
      <c r="BO995" s="98"/>
      <c r="BP995" s="98"/>
      <c r="BQ995" s="98"/>
      <c r="BR995" s="98"/>
      <c r="BS995" s="98"/>
      <c r="BT995" s="98"/>
      <c r="BU995" s="98"/>
      <c r="BV995" s="98"/>
      <c r="BW995" s="98"/>
      <c r="BX995" s="98"/>
      <c r="BY995" s="98"/>
      <c r="BZ995" s="98"/>
      <c r="CA995" s="98"/>
      <c r="CB995" s="98"/>
      <c r="CC995" s="98"/>
      <c r="CD995" s="98"/>
      <c r="CE995" s="98"/>
      <c r="CF995" s="98"/>
      <c r="CG995" s="98"/>
      <c r="CH995" s="98"/>
      <c r="CI995" s="98"/>
      <c r="CJ995" s="98"/>
      <c r="CK995" s="98"/>
    </row>
    <row r="996" spans="1:89" ht="15" x14ac:dyDescent="0.2">
      <c r="A996" s="119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  <c r="AH996" s="98"/>
      <c r="AI996" s="98"/>
      <c r="AJ996" s="98"/>
      <c r="AK996" s="98"/>
      <c r="AL996" s="98"/>
      <c r="AM996" s="98"/>
      <c r="AN996" s="98"/>
      <c r="AO996" s="98"/>
      <c r="AP996" s="98"/>
      <c r="AQ996" s="98"/>
      <c r="AR996" s="98"/>
      <c r="AS996" s="98"/>
      <c r="AT996" s="98"/>
      <c r="AU996" s="98"/>
      <c r="AV996" s="98"/>
      <c r="AW996" s="98"/>
      <c r="AX996" s="98"/>
      <c r="AY996" s="98"/>
      <c r="AZ996" s="98"/>
      <c r="BA996" s="98"/>
      <c r="BB996" s="98"/>
      <c r="BC996" s="98"/>
      <c r="BD996" s="98"/>
      <c r="BE996" s="98"/>
      <c r="BF996" s="98"/>
      <c r="BG996" s="98"/>
      <c r="BH996" s="98"/>
      <c r="BI996" s="98"/>
      <c r="BJ996" s="98"/>
      <c r="BK996" s="98"/>
      <c r="BL996" s="98"/>
      <c r="BM996" s="98"/>
      <c r="BN996" s="98"/>
      <c r="BO996" s="98"/>
      <c r="BP996" s="98"/>
      <c r="BQ996" s="98"/>
      <c r="BR996" s="98"/>
      <c r="BS996" s="98"/>
      <c r="BT996" s="98"/>
      <c r="BU996" s="98"/>
      <c r="BV996" s="98"/>
      <c r="BW996" s="98"/>
      <c r="BX996" s="98"/>
      <c r="BY996" s="98"/>
      <c r="BZ996" s="98"/>
      <c r="CA996" s="98"/>
      <c r="CB996" s="98"/>
      <c r="CC996" s="98"/>
      <c r="CD996" s="98"/>
      <c r="CE996" s="98"/>
      <c r="CF996" s="98"/>
      <c r="CG996" s="98"/>
      <c r="CH996" s="98"/>
      <c r="CI996" s="98"/>
      <c r="CJ996" s="98"/>
      <c r="CK996" s="98"/>
    </row>
    <row r="997" spans="1:89" ht="15" x14ac:dyDescent="0.2">
      <c r="A997" s="119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  <c r="AH997" s="98"/>
      <c r="AI997" s="98"/>
      <c r="AJ997" s="98"/>
      <c r="AK997" s="98"/>
      <c r="AL997" s="98"/>
      <c r="AM997" s="98"/>
      <c r="AN997" s="98"/>
      <c r="AO997" s="98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8"/>
      <c r="BG997" s="98"/>
      <c r="BH997" s="98"/>
      <c r="BI997" s="98"/>
      <c r="BJ997" s="98"/>
      <c r="BK997" s="98"/>
      <c r="BL997" s="98"/>
      <c r="BM997" s="98"/>
      <c r="BN997" s="98"/>
      <c r="BO997" s="98"/>
      <c r="BP997" s="98"/>
      <c r="BQ997" s="98"/>
      <c r="BR997" s="98"/>
      <c r="BS997" s="98"/>
      <c r="BT997" s="98"/>
      <c r="BU997" s="98"/>
      <c r="BV997" s="98"/>
      <c r="BW997" s="98"/>
      <c r="BX997" s="98"/>
      <c r="BY997" s="98"/>
      <c r="BZ997" s="98"/>
      <c r="CA997" s="98"/>
      <c r="CB997" s="98"/>
      <c r="CC997" s="98"/>
      <c r="CD997" s="98"/>
      <c r="CE997" s="98"/>
      <c r="CF997" s="98"/>
      <c r="CG997" s="98"/>
      <c r="CH997" s="98"/>
      <c r="CI997" s="98"/>
      <c r="CJ997" s="98"/>
      <c r="CK997" s="98"/>
    </row>
    <row r="998" spans="1:89" ht="15" x14ac:dyDescent="0.2">
      <c r="A998" s="119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  <c r="AH998" s="98"/>
      <c r="AI998" s="98"/>
      <c r="AJ998" s="98"/>
      <c r="AK998" s="98"/>
      <c r="AL998" s="98"/>
      <c r="AM998" s="98"/>
      <c r="AN998" s="98"/>
      <c r="AO998" s="98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8"/>
      <c r="BG998" s="98"/>
      <c r="BH998" s="98"/>
      <c r="BI998" s="98"/>
      <c r="BJ998" s="98"/>
      <c r="BK998" s="98"/>
      <c r="BL998" s="98"/>
      <c r="BM998" s="98"/>
      <c r="BN998" s="98"/>
      <c r="BO998" s="98"/>
      <c r="BP998" s="98"/>
      <c r="BQ998" s="98"/>
      <c r="BR998" s="98"/>
      <c r="BS998" s="98"/>
      <c r="BT998" s="98"/>
      <c r="BU998" s="98"/>
      <c r="BV998" s="98"/>
      <c r="BW998" s="98"/>
      <c r="BX998" s="98"/>
      <c r="BY998" s="98"/>
      <c r="BZ998" s="98"/>
      <c r="CA998" s="98"/>
      <c r="CB998" s="98"/>
      <c r="CC998" s="98"/>
      <c r="CD998" s="98"/>
      <c r="CE998" s="98"/>
      <c r="CF998" s="98"/>
      <c r="CG998" s="98"/>
      <c r="CH998" s="98"/>
      <c r="CI998" s="98"/>
      <c r="CJ998" s="98"/>
      <c r="CK998" s="98"/>
    </row>
    <row r="999" spans="1:89" ht="15" x14ac:dyDescent="0.2">
      <c r="A999" s="119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  <c r="AH999" s="98"/>
      <c r="AI999" s="98"/>
      <c r="AJ999" s="98"/>
      <c r="AK999" s="98"/>
      <c r="AL999" s="98"/>
      <c r="AM999" s="98"/>
      <c r="AN999" s="98"/>
      <c r="AO999" s="98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8"/>
      <c r="BG999" s="98"/>
      <c r="BH999" s="98"/>
      <c r="BI999" s="98"/>
      <c r="BJ999" s="98"/>
      <c r="BK999" s="98"/>
      <c r="BL999" s="98"/>
      <c r="BM999" s="98"/>
      <c r="BN999" s="98"/>
      <c r="BO999" s="98"/>
      <c r="BP999" s="98"/>
      <c r="BQ999" s="98"/>
      <c r="BR999" s="98"/>
      <c r="BS999" s="98"/>
      <c r="BT999" s="98"/>
      <c r="BU999" s="98"/>
      <c r="BV999" s="98"/>
      <c r="BW999" s="98"/>
      <c r="BX999" s="98"/>
      <c r="BY999" s="98"/>
      <c r="BZ999" s="98"/>
      <c r="CA999" s="98"/>
      <c r="CB999" s="98"/>
      <c r="CC999" s="98"/>
      <c r="CD999" s="98"/>
      <c r="CE999" s="98"/>
      <c r="CF999" s="98"/>
      <c r="CG999" s="98"/>
      <c r="CH999" s="98"/>
      <c r="CI999" s="98"/>
      <c r="CJ999" s="98"/>
      <c r="CK999" s="98"/>
    </row>
    <row r="1000" spans="1:89" ht="15" x14ac:dyDescent="0.2">
      <c r="A1000" s="119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  <c r="AH1000" s="98"/>
      <c r="AI1000" s="98"/>
      <c r="AJ1000" s="98"/>
      <c r="AK1000" s="98"/>
      <c r="AL1000" s="98"/>
      <c r="AM1000" s="98"/>
      <c r="AN1000" s="98"/>
      <c r="AO1000" s="98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8"/>
      <c r="BG1000" s="98"/>
      <c r="BH1000" s="98"/>
      <c r="BI1000" s="98"/>
      <c r="BJ1000" s="98"/>
      <c r="BK1000" s="98"/>
      <c r="BL1000" s="98"/>
      <c r="BM1000" s="98"/>
      <c r="BN1000" s="98"/>
      <c r="BO1000" s="98"/>
      <c r="BP1000" s="98"/>
      <c r="BQ1000" s="98"/>
      <c r="BR1000" s="98"/>
      <c r="BS1000" s="98"/>
      <c r="BT1000" s="98"/>
      <c r="BU1000" s="98"/>
      <c r="BV1000" s="98"/>
      <c r="BW1000" s="98"/>
      <c r="BX1000" s="98"/>
      <c r="BY1000" s="98"/>
      <c r="BZ1000" s="98"/>
      <c r="CA1000" s="98"/>
      <c r="CB1000" s="98"/>
      <c r="CC1000" s="98"/>
      <c r="CD1000" s="98"/>
      <c r="CE1000" s="98"/>
      <c r="CF1000" s="98"/>
      <c r="CG1000" s="98"/>
      <c r="CH1000" s="98"/>
      <c r="CI1000" s="98"/>
      <c r="CJ1000" s="98"/>
      <c r="CK1000" s="98"/>
    </row>
  </sheetData>
  <mergeCells count="79">
    <mergeCell ref="CG3:CJ3"/>
    <mergeCell ref="BR6:BR9"/>
    <mergeCell ref="CB6:CB11"/>
    <mergeCell ref="BR10:BR13"/>
    <mergeCell ref="CB12:CB15"/>
    <mergeCell ref="BE15:BE22"/>
    <mergeCell ref="BE23:BE26"/>
    <mergeCell ref="BR14:BR23"/>
    <mergeCell ref="BR24:BR33"/>
    <mergeCell ref="CB3:CF3"/>
    <mergeCell ref="CB16:CB27"/>
    <mergeCell ref="CB28:CB33"/>
    <mergeCell ref="AZ3:BC3"/>
    <mergeCell ref="BE3:BK3"/>
    <mergeCell ref="BL3:BP3"/>
    <mergeCell ref="BR3:BV3"/>
    <mergeCell ref="BW3:BZ3"/>
    <mergeCell ref="BR1:BZ1"/>
    <mergeCell ref="CB1:CJ1"/>
    <mergeCell ref="BW2:BZ2"/>
    <mergeCell ref="CB2:CF2"/>
    <mergeCell ref="CG2:CJ2"/>
    <mergeCell ref="BR2:BV2"/>
    <mergeCell ref="BE6:BE10"/>
    <mergeCell ref="AU10:AU11"/>
    <mergeCell ref="BE11:BE14"/>
    <mergeCell ref="AC18:AC23"/>
    <mergeCell ref="P1:AA1"/>
    <mergeCell ref="AC1:AH1"/>
    <mergeCell ref="AJ1:AS1"/>
    <mergeCell ref="AU1:BC1"/>
    <mergeCell ref="BE1:BP1"/>
    <mergeCell ref="AJ2:AO2"/>
    <mergeCell ref="AP2:AS2"/>
    <mergeCell ref="AU2:AY2"/>
    <mergeCell ref="AZ2:BC2"/>
    <mergeCell ref="BE2:BK2"/>
    <mergeCell ref="BL2:BP2"/>
    <mergeCell ref="P3:V3"/>
    <mergeCell ref="AU12:AU15"/>
    <mergeCell ref="AU16:AU19"/>
    <mergeCell ref="C22:C23"/>
    <mergeCell ref="P22:P25"/>
    <mergeCell ref="AG2:AH2"/>
    <mergeCell ref="AJ6:AJ11"/>
    <mergeCell ref="AU6:AU9"/>
    <mergeCell ref="C3:I3"/>
    <mergeCell ref="J3:N3"/>
    <mergeCell ref="W3:AA3"/>
    <mergeCell ref="AC3:AF3"/>
    <mergeCell ref="AG3:AH3"/>
    <mergeCell ref="AJ3:AO3"/>
    <mergeCell ref="AP3:AS3"/>
    <mergeCell ref="AU3:AY3"/>
    <mergeCell ref="AJ46:AJ49"/>
    <mergeCell ref="P2:V2"/>
    <mergeCell ref="P6:P9"/>
    <mergeCell ref="P10:P13"/>
    <mergeCell ref="AJ12:AJ21"/>
    <mergeCell ref="P14:P19"/>
    <mergeCell ref="P20:P21"/>
    <mergeCell ref="AC26:AC27"/>
    <mergeCell ref="AC24:AC25"/>
    <mergeCell ref="AC28:AC39"/>
    <mergeCell ref="AJ22:AJ35"/>
    <mergeCell ref="AJ36:AJ37"/>
    <mergeCell ref="AJ38:AJ45"/>
    <mergeCell ref="W2:AA2"/>
    <mergeCell ref="AC2:AF2"/>
    <mergeCell ref="C6:C11"/>
    <mergeCell ref="AC6:AC9"/>
    <mergeCell ref="AC10:AC17"/>
    <mergeCell ref="C12:C15"/>
    <mergeCell ref="C16:C21"/>
    <mergeCell ref="C24:C25"/>
    <mergeCell ref="C26:C27"/>
    <mergeCell ref="C1:N1"/>
    <mergeCell ref="C2:I2"/>
    <mergeCell ref="J2:N2"/>
  </mergeCells>
  <hyperlinks>
    <hyperlink ref="C1" location="'Custom Loadouts'!A7" display="A-10A early" xr:uid="{00000000-0004-0000-0200-000000000000}"/>
    <hyperlink ref="P1" location="'Custom Loadouts'!A8" display="A-10A late" xr:uid="{00000000-0004-0000-0200-000001000000}"/>
    <hyperlink ref="AC1" location="'Custom Loadouts'!A11" display="MiG-23MLA" xr:uid="{00000000-0004-0000-0200-000002000000}"/>
    <hyperlink ref="AJ1" location="'Custom Loadouts'!A12" display="Su-22UM3K" xr:uid="{00000000-0004-0000-0200-000003000000}"/>
    <hyperlink ref="AU1" location="'Custom Loadouts'!A21" display="J8B" xr:uid="{00000000-0004-0000-0200-000004000000}"/>
    <hyperlink ref="BE1" location="'Custom Loadouts'!A24" display="F-104S/ASA" xr:uid="{00000000-0004-0000-0200-000005000000}"/>
    <hyperlink ref="BR1" location="'Custom Loadouts'!A27" display="Mirage F1 C" xr:uid="{00000000-0004-0000-0200-000006000000}"/>
    <hyperlink ref="CB1" location="'Custom Loadouts'!A32" display="Kfir C.2" xr:uid="{00000000-0004-0000-0200-000007000000}"/>
    <hyperlink ref="A7" location="'Custom Loadouts'!C1:N1" display="A-10A early" xr:uid="{00000000-0004-0000-0200-000008000000}"/>
    <hyperlink ref="A8" location="'Custom Loadouts'!P1:AA1" display="A-10A late" xr:uid="{00000000-0004-0000-0200-000009000000}"/>
    <hyperlink ref="A18" location="'Custom Loadouts'!AC1:AH1" display="MiG-23MLA" xr:uid="{00000000-0004-0000-0200-00000A000000}"/>
    <hyperlink ref="A19" location="'Custom Loadouts'!AJ1:AS1" display="Su-22UM3K" xr:uid="{00000000-0004-0000-0200-00000B000000}"/>
    <hyperlink ref="A37" location="'Custom Loadouts'!AU1:BC1" display="J8B" xr:uid="{00000000-0004-0000-0200-00000C000000}"/>
    <hyperlink ref="A40" location="'Custom Loadouts'!BE1:BP1" display="F-104S/ASA" xr:uid="{00000000-0004-0000-0200-00000D000000}"/>
    <hyperlink ref="A44" location="'Custom Loadouts'!BR1:BZ1" display="Mirage F1 C" xr:uid="{00000000-0004-0000-0200-00000E000000}"/>
    <hyperlink ref="A49" location="'Custom Loadouts'!CB1:CJ1" display="Kfir C.2" xr:uid="{00000000-0004-0000-0200-00000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1"/>
  <sheetViews>
    <sheetView workbookViewId="0"/>
  </sheetViews>
  <sheetFormatPr defaultColWidth="12.5703125" defaultRowHeight="15.75" customHeight="1" x14ac:dyDescent="0.2"/>
  <cols>
    <col min="2" max="2" width="14.140625" customWidth="1"/>
    <col min="5" max="5" width="18.140625" customWidth="1"/>
    <col min="6" max="7" width="25.85546875" customWidth="1"/>
  </cols>
  <sheetData>
    <row r="1" spans="1:7" ht="27.75" customHeight="1" x14ac:dyDescent="0.2">
      <c r="A1" s="421" t="s">
        <v>368</v>
      </c>
      <c r="B1" s="404"/>
      <c r="C1" s="404"/>
      <c r="D1" s="404"/>
      <c r="E1" s="404"/>
      <c r="F1" s="404"/>
      <c r="G1" s="405"/>
    </row>
    <row r="2" spans="1:7" ht="30" x14ac:dyDescent="0.2">
      <c r="A2" s="23" t="s">
        <v>7</v>
      </c>
      <c r="B2" s="10" t="s">
        <v>8</v>
      </c>
      <c r="C2" s="9" t="s">
        <v>369</v>
      </c>
      <c r="D2" s="9" t="s">
        <v>370</v>
      </c>
      <c r="E2" s="59" t="s">
        <v>371</v>
      </c>
      <c r="F2" s="59" t="s">
        <v>372</v>
      </c>
      <c r="G2" s="116" t="s">
        <v>373</v>
      </c>
    </row>
    <row r="3" spans="1:7" ht="15" x14ac:dyDescent="0.2">
      <c r="A3" s="9">
        <f>Updates!A55</f>
        <v>2.29</v>
      </c>
      <c r="B3" s="9" t="str">
        <f>Updates!B55</f>
        <v>Sons of Attila</v>
      </c>
      <c r="C3" s="49">
        <v>45160</v>
      </c>
      <c r="D3" s="9" t="str">
        <f t="shared" ref="D3:D11" si="0">CHOOSE(WEEKDAY(C3,2),"Monday","Tuesday","Wednesday","Thursday","Friday","Saturday","Sunday")</f>
        <v>Tuesday</v>
      </c>
      <c r="E3" s="136" t="e">
        <f ca="1">_xludf.DAYS(C3,Devblogs!AD2)</f>
        <v>#NAME?</v>
      </c>
      <c r="F3" s="137" t="e">
        <f ca="1">_xludf.DAYS(Updates!C55,C3)</f>
        <v>#NAME?</v>
      </c>
      <c r="G3" s="138" t="s">
        <v>374</v>
      </c>
    </row>
    <row r="4" spans="1:7" ht="15" x14ac:dyDescent="0.2">
      <c r="A4" s="15">
        <f>Updates!A56</f>
        <v>2.31</v>
      </c>
      <c r="B4" s="15" t="str">
        <f>Updates!B56</f>
        <v>Kings of Battle</v>
      </c>
      <c r="C4" s="55">
        <v>45209</v>
      </c>
      <c r="D4" s="59" t="str">
        <f t="shared" si="0"/>
        <v>Tuesday</v>
      </c>
      <c r="E4" s="139" t="e">
        <f ca="1">_xludf.DAYS(C4,Devblogs!AA2)</f>
        <v>#NAME?</v>
      </c>
      <c r="F4" s="139" t="e">
        <f ca="1">_xludf.DAYS(Updates!C56,C4)</f>
        <v>#NAME?</v>
      </c>
      <c r="G4" s="140" t="s">
        <v>374</v>
      </c>
    </row>
    <row r="5" spans="1:7" ht="15" x14ac:dyDescent="0.2">
      <c r="A5" s="9">
        <f>Updates!A57</f>
        <v>2.33</v>
      </c>
      <c r="B5" s="9" t="str">
        <f>Updates!B57</f>
        <v>Air Superiority</v>
      </c>
      <c r="C5" s="49">
        <v>45254</v>
      </c>
      <c r="D5" s="9" t="str">
        <f t="shared" si="0"/>
        <v>Friday</v>
      </c>
      <c r="E5" s="136" t="e">
        <f ca="1">_xludf.DAYS(C5,Devblogs!X2)</f>
        <v>#NAME?</v>
      </c>
      <c r="F5" s="137" t="e">
        <f ca="1">_xludf.DAYS(Updates!C57,C5)</f>
        <v>#NAME?</v>
      </c>
      <c r="G5" s="138" t="s">
        <v>374</v>
      </c>
    </row>
    <row r="6" spans="1:7" ht="15" x14ac:dyDescent="0.2">
      <c r="A6" s="15">
        <f>Updates!A58</f>
        <v>2.35</v>
      </c>
      <c r="B6" s="15" t="str">
        <f>Updates!B58</f>
        <v>Alpha Strike</v>
      </c>
      <c r="C6" s="55">
        <v>45344</v>
      </c>
      <c r="D6" s="59" t="str">
        <f t="shared" si="0"/>
        <v>Thursday</v>
      </c>
      <c r="E6" s="139" t="e">
        <f ca="1">_xludf.DAYS(C6,Devblogs!U2)</f>
        <v>#NAME?</v>
      </c>
      <c r="F6" s="139" t="e">
        <f ca="1">_xludf.DAYS(Updates!C58,C6)</f>
        <v>#NAME?</v>
      </c>
      <c r="G6" s="140" t="s">
        <v>374</v>
      </c>
    </row>
    <row r="7" spans="1:7" ht="30" x14ac:dyDescent="0.2">
      <c r="A7" s="9">
        <f>Updates!A59</f>
        <v>2.37</v>
      </c>
      <c r="B7" s="9" t="str">
        <f>Updates!B59</f>
        <v>Seek &amp; Destroy</v>
      </c>
      <c r="C7" s="49">
        <v>45416</v>
      </c>
      <c r="D7" s="9" t="str">
        <f t="shared" si="0"/>
        <v>Saturday</v>
      </c>
      <c r="E7" s="136" t="e">
        <f ca="1">_xludf.DAYS(C7,Devblogs!R2)</f>
        <v>#NAME?</v>
      </c>
      <c r="F7" s="137" t="e">
        <f ca="1">_xludf.DAYS(Updates!C59,C7)</f>
        <v>#NAME?</v>
      </c>
      <c r="G7" s="138" t="s">
        <v>374</v>
      </c>
    </row>
    <row r="8" spans="1:7" ht="30" x14ac:dyDescent="0.2">
      <c r="A8" s="15">
        <f>Updates!A60</f>
        <v>2.39</v>
      </c>
      <c r="B8" s="15" t="str">
        <f>Updates!B60</f>
        <v>Dance of Dragons</v>
      </c>
      <c r="C8" s="55">
        <v>45515</v>
      </c>
      <c r="D8" s="59" t="str">
        <f t="shared" si="0"/>
        <v>Sunday</v>
      </c>
      <c r="E8" s="139" t="e">
        <f ca="1">_xludf.DAYS(C8,Devblogs!O2)</f>
        <v>#NAME?</v>
      </c>
      <c r="F8" s="139" t="e">
        <f ca="1">_xludf.DAYS(Updates!C60,C8)</f>
        <v>#NAME?</v>
      </c>
      <c r="G8" s="140" t="s">
        <v>374</v>
      </c>
    </row>
    <row r="9" spans="1:7" ht="15" x14ac:dyDescent="0.2">
      <c r="A9" s="9">
        <f>Updates!A61</f>
        <v>2.41</v>
      </c>
      <c r="B9" s="9" t="str">
        <f>Updates!B61</f>
        <v>Firebirds</v>
      </c>
      <c r="C9" s="49">
        <v>45583</v>
      </c>
      <c r="D9" s="9" t="str">
        <f t="shared" si="0"/>
        <v>Friday</v>
      </c>
      <c r="E9" s="136" t="e">
        <f ca="1">_xludf.DAYS(C9,Devblogs!L2)</f>
        <v>#NAME?</v>
      </c>
      <c r="F9" s="137" t="e">
        <f ca="1">IF(_xludf.DAYS(Updates!C61,C9)&gt;-1,_xludf.DAYS(Updates!C61,C9),0)</f>
        <v>#NAME?</v>
      </c>
      <c r="G9" s="138" t="s">
        <v>374</v>
      </c>
    </row>
    <row r="10" spans="1:7" ht="30" x14ac:dyDescent="0.2">
      <c r="A10" s="15">
        <f>Updates!A62</f>
        <v>2.4300000000000002</v>
      </c>
      <c r="B10" s="15" t="str">
        <f>Updates!B62</f>
        <v>Storm Warning</v>
      </c>
      <c r="C10" s="55">
        <v>45623</v>
      </c>
      <c r="D10" s="59" t="str">
        <f t="shared" si="0"/>
        <v>Wednesday</v>
      </c>
      <c r="E10" s="139" t="e">
        <f ca="1">_xludf.DAYS(C10,Devblogs!I2)</f>
        <v>#NAME?</v>
      </c>
      <c r="F10" s="139" t="e">
        <f ca="1">IF(_xludf.DAYS(Updates!C62,C10)&gt;-1,_xludf.DAYS(Updates!C62,C10),0)</f>
        <v>#NAME?</v>
      </c>
      <c r="G10" s="140" t="s">
        <v>374</v>
      </c>
    </row>
    <row r="11" spans="1:7" ht="15" x14ac:dyDescent="0.2">
      <c r="A11" s="9">
        <f>Updates!A63</f>
        <v>2.4500000000000002</v>
      </c>
      <c r="B11" s="9">
        <f>Updates!B63</f>
        <v>0</v>
      </c>
      <c r="C11" s="49">
        <v>45708</v>
      </c>
      <c r="D11" s="9" t="str">
        <f t="shared" si="0"/>
        <v>Thursday</v>
      </c>
      <c r="E11" s="136" t="e">
        <f ca="1">_xludf.DAYS(C11,Devblogs!F2)</f>
        <v>#NAME?</v>
      </c>
      <c r="F11" s="137" t="e">
        <f ca="1">IF(_xludf.DAYS(Updates!C63,C11)&gt;-1,_xludf.DAYS(Updates!C63,C11),0)</f>
        <v>#NAME?</v>
      </c>
      <c r="G11" s="138" t="s">
        <v>374</v>
      </c>
    </row>
  </sheetData>
  <mergeCells count="1">
    <mergeCell ref="A1:G1"/>
  </mergeCells>
  <conditionalFormatting sqref="E1:G1 A1:D11 E3:G11">
    <cfRule type="cellIs" dxfId="71" priority="1" operator="equal">
      <formula>"Monday"</formula>
    </cfRule>
    <cfRule type="cellIs" dxfId="70" priority="2" operator="equal">
      <formula>"Tuesday"</formula>
    </cfRule>
    <cfRule type="cellIs" dxfId="69" priority="3" operator="equal">
      <formula>"Wednesday"</formula>
    </cfRule>
    <cfRule type="cellIs" dxfId="68" priority="4" operator="equal">
      <formula>"Thursday"</formula>
    </cfRule>
    <cfRule type="cellIs" dxfId="67" priority="5" operator="equal">
      <formula>"Friday"</formula>
    </cfRule>
    <cfRule type="cellIs" dxfId="66" priority="6" operator="equal">
      <formula>"Saturday"</formula>
    </cfRule>
  </conditionalFormatting>
  <hyperlinks>
    <hyperlink ref="G3" r:id="rId1" xr:uid="{00000000-0004-0000-0300-000000000000}"/>
    <hyperlink ref="G4" r:id="rId2" xr:uid="{00000000-0004-0000-0300-000001000000}"/>
    <hyperlink ref="G5" r:id="rId3" xr:uid="{00000000-0004-0000-0300-000002000000}"/>
    <hyperlink ref="G6" r:id="rId4" xr:uid="{00000000-0004-0000-0300-000003000000}"/>
    <hyperlink ref="G7" r:id="rId5" xr:uid="{00000000-0004-0000-0300-000004000000}"/>
    <hyperlink ref="G8" r:id="rId6" xr:uid="{00000000-0004-0000-0300-000005000000}"/>
    <hyperlink ref="G9" r:id="rId7" xr:uid="{00000000-0004-0000-0300-000006000000}"/>
    <hyperlink ref="G10" r:id="rId8" xr:uid="{00000000-0004-0000-0300-000007000000}"/>
    <hyperlink ref="G11" r:id="rId9" xr:uid="{00000000-0004-0000-03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5"/>
  <sheetViews>
    <sheetView workbookViewId="0"/>
  </sheetViews>
  <sheetFormatPr defaultColWidth="12.5703125" defaultRowHeight="15.75" customHeight="1" x14ac:dyDescent="0.2"/>
  <cols>
    <col min="2" max="2" width="14.42578125" customWidth="1"/>
    <col min="6" max="6" width="18.140625" customWidth="1"/>
    <col min="7" max="7" width="25.85546875" customWidth="1"/>
  </cols>
  <sheetData>
    <row r="1" spans="1:7" ht="27.75" customHeight="1" x14ac:dyDescent="0.2">
      <c r="A1" s="421" t="s">
        <v>375</v>
      </c>
      <c r="B1" s="404"/>
      <c r="C1" s="404"/>
      <c r="D1" s="404"/>
      <c r="E1" s="404"/>
      <c r="F1" s="404"/>
      <c r="G1" s="405"/>
    </row>
    <row r="2" spans="1:7" ht="30" x14ac:dyDescent="0.2">
      <c r="A2" s="23" t="s">
        <v>7</v>
      </c>
      <c r="B2" s="10" t="s">
        <v>8</v>
      </c>
      <c r="C2" s="9" t="s">
        <v>369</v>
      </c>
      <c r="D2" s="9" t="s">
        <v>376</v>
      </c>
      <c r="E2" s="9" t="s">
        <v>370</v>
      </c>
      <c r="F2" s="59" t="s">
        <v>377</v>
      </c>
      <c r="G2" s="116" t="s">
        <v>378</v>
      </c>
    </row>
    <row r="3" spans="1:7" ht="15" x14ac:dyDescent="0.2">
      <c r="A3" s="13" t="str">
        <f>Updates!A41</f>
        <v>2.1</v>
      </c>
      <c r="B3" s="13" t="str">
        <f>Updates!B41</f>
        <v>New Power</v>
      </c>
      <c r="C3" s="14">
        <v>44127</v>
      </c>
      <c r="D3" s="141">
        <v>0.54166666666666663</v>
      </c>
      <c r="E3" s="15" t="str">
        <f t="shared" ref="E3:E24" si="0">CHOOSE(WEEKDAY(C3,2),"Monday","Tuesday","Wednesday","Thursday","Friday","Saturday","Sunday")</f>
        <v>Friday</v>
      </c>
      <c r="F3" s="142" t="e">
        <f ca="1">_xludf.DAYS(C3,Devblogs!BT2)</f>
        <v>#NAME?</v>
      </c>
      <c r="G3" s="143">
        <f>IF(COUNTIF(Devblogs!BT2:BT45,"&lt;"&amp;C3)=COUNTIF(Devblogs!BT2:BT45,"&lt;="&amp;C3),COUNTIF(Devblogs!BT2:BT45,"&lt;"&amp;C3),CONCATENATE(COUNTIF(Devblogs!BT2:BT45,"&lt;"&amp;C3), " - ",COUNTIF(Devblogs!BT2:BT45,"&lt;="&amp;C3)))</f>
        <v>3</v>
      </c>
    </row>
    <row r="4" spans="1:7" ht="15" x14ac:dyDescent="0.2">
      <c r="A4" s="9">
        <f>Updates!A43</f>
        <v>2.5</v>
      </c>
      <c r="B4" s="9" t="str">
        <f>Updates!B43</f>
        <v>Ixwa Strike</v>
      </c>
      <c r="C4" s="49">
        <v>44245</v>
      </c>
      <c r="D4" s="144">
        <v>0.625</v>
      </c>
      <c r="E4" s="9" t="str">
        <f t="shared" si="0"/>
        <v>Thursday</v>
      </c>
      <c r="F4" s="145" t="e">
        <f ca="1">_xludf.DAYS(C4,Devblogs!BN2)</f>
        <v>#NAME?</v>
      </c>
      <c r="G4" s="101" t="str">
        <f>IF(COUNTIF(Devblogs!BN2:BN45,"&lt;"&amp;C4)=COUNTIF(Devblogs!BN2:BN45,"&lt;="&amp;C4),COUNTIF(Devblogs!BN2:BN45,"&lt;"&amp;C4),CONCATENATE(COUNTIF(Devblogs!BN2:BN45,"&lt;"&amp;C4), " - ",COUNTIF(Devblogs!BN2:BN45,"&lt;="&amp;C4)))</f>
        <v>3 - 5</v>
      </c>
    </row>
    <row r="5" spans="1:7" ht="15" x14ac:dyDescent="0.2">
      <c r="A5" s="15">
        <f>Updates!A44</f>
        <v>2.7</v>
      </c>
      <c r="B5" s="15" t="str">
        <f>Updates!B44</f>
        <v>Red Skies</v>
      </c>
      <c r="C5" s="55">
        <v>44336</v>
      </c>
      <c r="D5" s="141">
        <v>0.58333333333333337</v>
      </c>
      <c r="E5" s="9" t="str">
        <f t="shared" si="0"/>
        <v>Thursday</v>
      </c>
      <c r="F5" s="142" t="e">
        <f ca="1">_xludf.DAYS(C5,Devblogs!BK2)</f>
        <v>#NAME?</v>
      </c>
      <c r="G5" s="143" t="str">
        <f>IF(COUNTIF(Devblogs!BK2:BK45,"&lt;"&amp;C5)=COUNTIF(Devblogs!BK2:BK45,"&lt;="&amp;C5),COUNTIF(Devblogs!BK2:BK45,"&lt;"&amp;C5),CONCATENATE(COUNTIF(Devblogs!BK2:BK45,"&lt;"&amp;C5), " - ",COUNTIF(Devblogs!BK2:BK45,"&lt;="&amp;C5)))</f>
        <v>5 - 6</v>
      </c>
    </row>
    <row r="6" spans="1:7" ht="15" x14ac:dyDescent="0.2">
      <c r="A6" s="9">
        <f>Updates!A45</f>
        <v>2.9</v>
      </c>
      <c r="B6" s="9" t="str">
        <f>Updates!B45</f>
        <v>Direct Hit</v>
      </c>
      <c r="C6" s="49">
        <v>44432</v>
      </c>
      <c r="D6" s="144">
        <v>0.75</v>
      </c>
      <c r="E6" s="9" t="str">
        <f t="shared" si="0"/>
        <v>Tuesday</v>
      </c>
      <c r="F6" s="145" t="e">
        <f ca="1">_xludf.DAYS(C6,Devblogs!BH2)</f>
        <v>#NAME?</v>
      </c>
      <c r="G6" s="101" t="str">
        <f>IF(COUNTIF(Devblogs!BH2:BH45,"&lt;"&amp;C6)=COUNTIF(Devblogs!BH2:BH45,"&lt;="&amp;C6),COUNTIF(Devblogs!BH2:BH45,"&lt;"&amp;C6),CONCATENATE(COUNTIF(Devblogs!BH2:BH45,"&lt;"&amp;C6), " - ",COUNTIF(Devblogs!BH2:BH45,"&lt;="&amp;C6)))</f>
        <v>4 - 5</v>
      </c>
    </row>
    <row r="7" spans="1:7" ht="30" x14ac:dyDescent="0.2">
      <c r="A7" s="15">
        <f>Updates!A46</f>
        <v>2.11</v>
      </c>
      <c r="B7" s="15" t="str">
        <f>Updates!B46</f>
        <v>Ground Breaking</v>
      </c>
      <c r="C7" s="55">
        <v>44481</v>
      </c>
      <c r="D7" s="141">
        <v>0.66666666666666663</v>
      </c>
      <c r="E7" s="9" t="str">
        <f t="shared" si="0"/>
        <v>Tuesday</v>
      </c>
      <c r="F7" s="142" t="e">
        <f ca="1">_xludf.DAYS(C7,Devblogs!BE2)</f>
        <v>#NAME?</v>
      </c>
      <c r="G7" s="143" t="str">
        <f>IF(COUNTIF(Devblogs!BE2:BE45,"&lt;"&amp;C7)=COUNTIF(Devblogs!BE2:BE45,"&lt;="&amp;C7),COUNTIF(Devblogs!BE2:BE45,"&lt;"&amp;C7),CONCATENATE(COUNTIF(Devblogs!BE2:BE45,"&lt;"&amp;C7), " - ",COUNTIF(Devblogs!BE2:BE45,"&lt;="&amp;C7)))</f>
        <v>2 - 3</v>
      </c>
    </row>
    <row r="8" spans="1:7" ht="15" x14ac:dyDescent="0.2">
      <c r="A8" s="9">
        <f>Updates!A47</f>
        <v>2.13</v>
      </c>
      <c r="B8" s="9" t="str">
        <f>Updates!B47</f>
        <v>Winged Lions</v>
      </c>
      <c r="C8" s="49">
        <v>44532</v>
      </c>
      <c r="D8" s="144">
        <v>0.66666666666666663</v>
      </c>
      <c r="E8" s="9" t="str">
        <f t="shared" si="0"/>
        <v>Thursday</v>
      </c>
      <c r="F8" s="145" t="e">
        <f ca="1">_xludf.DAYS(C8,Devblogs!BB2)</f>
        <v>#NAME?</v>
      </c>
      <c r="G8" s="101" t="str">
        <f>IF(COUNTIF(Devblogs!BB2:BB45,"&lt;"&amp;C8)=COUNTIF(Devblogs!BB2:BB45,"&lt;="&amp;C8),COUNTIF(Devblogs!BB2:BB45,"&lt;"&amp;C8),CONCATENATE(COUNTIF(Devblogs!BB2:BB45,"&lt;"&amp;C8), " - ",COUNTIF(Devblogs!BB2:BB45,"&lt;="&amp;C8)))</f>
        <v>3 - 5</v>
      </c>
    </row>
    <row r="9" spans="1:7" ht="30" x14ac:dyDescent="0.2">
      <c r="A9" s="15">
        <f>Updates!A48</f>
        <v>2.15</v>
      </c>
      <c r="B9" s="15" t="str">
        <f>Updates!B48</f>
        <v>Wind of Change</v>
      </c>
      <c r="C9" s="55">
        <v>44630</v>
      </c>
      <c r="D9" s="141">
        <v>0.625</v>
      </c>
      <c r="E9" s="9" t="str">
        <f t="shared" si="0"/>
        <v>Thursday</v>
      </c>
      <c r="F9" s="142" t="e">
        <f ca="1">_xludf.DAYS(C9,Devblogs!AY2)</f>
        <v>#NAME?</v>
      </c>
      <c r="G9" s="143" t="str">
        <f>IF(COUNTIF(Devblogs!AY2:AY45,"&lt;"&amp;C9)=COUNTIF(Devblogs!AY2:AY45,"&lt;="&amp;C9),COUNTIF(Devblogs!AY2:AY45,"&lt;"&amp;C9),CONCATENATE(COUNTIF(Devblogs!AY2:AY45,"&lt;"&amp;C9), " - ",COUNTIF(Devblogs!AY2:AY45,"&lt;="&amp;C9)))</f>
        <v>4 - 6</v>
      </c>
    </row>
    <row r="10" spans="1:7" ht="15" x14ac:dyDescent="0.2">
      <c r="A10" s="9">
        <f>Updates!A49</f>
        <v>2.17</v>
      </c>
      <c r="B10" s="9" t="str">
        <f>Updates!B49</f>
        <v>Danger Zone</v>
      </c>
      <c r="C10" s="49">
        <v>44707</v>
      </c>
      <c r="D10" s="144">
        <v>0.66666666666666663</v>
      </c>
      <c r="E10" s="9" t="str">
        <f t="shared" si="0"/>
        <v>Thursday</v>
      </c>
      <c r="F10" s="145" t="e">
        <f ca="1">_xludf.DAYS(C10,Devblogs!AV2)</f>
        <v>#NAME?</v>
      </c>
      <c r="G10" s="101" t="str">
        <f>IF(COUNTIF(Devblogs!AV2:AV45,"&lt;"&amp;C10)=COUNTIF(Devblogs!AV2:AV45,"&lt;="&amp;C10),COUNTIF(Devblogs!AV2:AV45,"&lt;"&amp;C10),CONCATENATE(COUNTIF(Devblogs!AV2:AV45,"&lt;"&amp;C10), " - ",COUNTIF(Devblogs!AV2:AV45,"&lt;="&amp;C10)))</f>
        <v>6 - 8</v>
      </c>
    </row>
    <row r="11" spans="1:7" ht="15" x14ac:dyDescent="0.2">
      <c r="A11" s="146" t="str">
        <f>CONCATENATE(Updates!A50," #1")</f>
        <v>2.19 #1</v>
      </c>
      <c r="B11" s="422" t="str">
        <f>Updates!B50</f>
        <v>Drone Age</v>
      </c>
      <c r="C11" s="148">
        <v>44802</v>
      </c>
      <c r="D11" s="149">
        <v>0.6875</v>
      </c>
      <c r="E11" s="103" t="str">
        <f t="shared" si="0"/>
        <v>Monday</v>
      </c>
      <c r="F11" s="150" t="e">
        <f ca="1">_xludf.DAYS(C11,Devblogs!AS2)</f>
        <v>#NAME?</v>
      </c>
      <c r="G11" s="151" t="str">
        <f>IF(COUNTIF(Devblogs!AS2:AS45,"&lt;"&amp;C11)=COUNTIF(Devblogs!AS2:AS45,"&lt;="&amp;C11),COUNTIF(Devblogs!AS2:AS45,"&lt;"&amp;C11),CONCATENATE(COUNTIF(Devblogs!AS2:AS45,"&lt;"&amp;C11), " - ",COUNTIF(Devblogs!AS2:AS45,"&lt;="&amp;C11)))</f>
        <v>8 - 9</v>
      </c>
    </row>
    <row r="12" spans="1:7" ht="15" x14ac:dyDescent="0.2">
      <c r="A12" s="17" t="str">
        <f>CONCATENATE(Updates!A50," #2")</f>
        <v>2.19 #2</v>
      </c>
      <c r="B12" s="397"/>
      <c r="C12" s="53">
        <v>44805</v>
      </c>
      <c r="D12" s="152">
        <v>0.81944444444444442</v>
      </c>
      <c r="E12" s="59" t="str">
        <f t="shared" si="0"/>
        <v>Thursday</v>
      </c>
      <c r="F12" s="153" t="e">
        <f ca="1">_xludf.DAYS(C12,Devblogs!AS2)</f>
        <v>#NAME?</v>
      </c>
      <c r="G12" s="154">
        <f>IF(COUNTIF(Devblogs!AS2:AS45,"&lt;"&amp;C12)=COUNTIF(Devblogs!AS2:AS45,"&lt;="&amp;C12),COUNTIF(Devblogs!AS2:AS45,"&lt;"&amp;C12),CONCATENATE(COUNTIF(Devblogs!AS2:AS45,"&lt;"&amp;C12), " - ",COUNTIF(Devblogs!AS2:AS45,"&lt;="&amp;C12)))</f>
        <v>12</v>
      </c>
    </row>
    <row r="13" spans="1:7" ht="15" x14ac:dyDescent="0.2">
      <c r="A13" s="9">
        <f>Updates!A51</f>
        <v>2.21</v>
      </c>
      <c r="B13" s="9" t="str">
        <f>Updates!B51</f>
        <v>Fire and Ice</v>
      </c>
      <c r="C13" s="49">
        <v>44847</v>
      </c>
      <c r="D13" s="144">
        <v>0.68611111111111112</v>
      </c>
      <c r="E13" s="9" t="str">
        <f t="shared" si="0"/>
        <v>Thursday</v>
      </c>
      <c r="F13" s="145" t="e">
        <f ca="1">_xludf.DAYS(C13,Devblogs!AP2)</f>
        <v>#NAME?</v>
      </c>
      <c r="G13" s="101" t="str">
        <f>IF(COUNTIF(Devblogs!AP2:AP45,"&lt;"&amp;C13)=COUNTIF(Devblogs!AP2:AP45,"&lt;="&amp;C13),COUNTIF(Devblogs!AP2:AP45,"&lt;"&amp;C13),CONCATENATE(COUNTIF(Devblogs!AP2:AP45,"&lt;"&amp;C13), " - ",COUNTIF(Devblogs!AP2:AP45,"&lt;="&amp;C13)))</f>
        <v>1 - 2</v>
      </c>
    </row>
    <row r="14" spans="1:7" ht="30" x14ac:dyDescent="0.2">
      <c r="A14" s="15">
        <f>Updates!A52</f>
        <v>2.23</v>
      </c>
      <c r="B14" s="15" t="str">
        <f>Updates!B52</f>
        <v>Apex Predators</v>
      </c>
      <c r="C14" s="55">
        <v>44903</v>
      </c>
      <c r="D14" s="141">
        <v>0.79513888888888884</v>
      </c>
      <c r="E14" s="59" t="str">
        <f t="shared" si="0"/>
        <v>Thursday</v>
      </c>
      <c r="F14" s="153" t="e">
        <f ca="1">_xludf.DAYS(C14,Devblogs!AM2)</f>
        <v>#NAME?</v>
      </c>
      <c r="G14" s="154" t="str">
        <f>IF(COUNTIF(Devblogs!AM2:AM45,"&lt;"&amp;C14)=COUNTIF(Devblogs!AM2:AM45,"&lt;="&amp;C14),COUNTIF(Devblogs!AM2:AM45,"&lt;"&amp;C14),CONCATENATE(COUNTIF(Devblogs!AM2:AM45,"&lt;"&amp;C14), " - ",COUNTIF(Devblogs!AM2:AM45,"&lt;="&amp;C14)))</f>
        <v>5 - 6</v>
      </c>
    </row>
    <row r="15" spans="1:7" ht="15" x14ac:dyDescent="0.2">
      <c r="A15" s="9">
        <f>Updates!A53</f>
        <v>2.25</v>
      </c>
      <c r="B15" s="9" t="str">
        <f>Updates!B53</f>
        <v>Sky Guardians</v>
      </c>
      <c r="C15" s="49">
        <v>44980</v>
      </c>
      <c r="D15" s="144">
        <v>0.72916666666666663</v>
      </c>
      <c r="E15" s="9" t="str">
        <f t="shared" si="0"/>
        <v>Thursday</v>
      </c>
      <c r="F15" s="145" t="e">
        <f ca="1">IF(_xludf.DAYS(C15,Devblogs!AJ2)&gt;-1,_xludf.DAYS(C15,Devblogs!AJ2),0)</f>
        <v>#NAME?</v>
      </c>
      <c r="G15" s="101">
        <f>IF(COUNTIF(Devblogs!AJ2:AJ45,"&lt;"&amp;C15)=COUNTIF(Devblogs!AJ2:AJ45,"&lt;="&amp;C15),COUNTIF(Devblogs!AJ2:AJ45,"&lt;"&amp;C15),CONCATENATE(COUNTIF(Devblogs!AJ2:AJ45,"&lt;"&amp;C15), " - ",COUNTIF(Devblogs!AJ2:AJ45,"&lt;="&amp;C15)))</f>
        <v>9</v>
      </c>
    </row>
    <row r="16" spans="1:7" ht="15" x14ac:dyDescent="0.2">
      <c r="A16" s="15">
        <f>Updates!A54</f>
        <v>2.27</v>
      </c>
      <c r="B16" s="15" t="str">
        <f>Updates!B54</f>
        <v>La Royale</v>
      </c>
      <c r="C16" s="55">
        <v>45064</v>
      </c>
      <c r="D16" s="141">
        <v>0.70833333333333337</v>
      </c>
      <c r="E16" s="59" t="str">
        <f t="shared" si="0"/>
        <v>Thursday</v>
      </c>
      <c r="F16" s="153" t="e">
        <f ca="1">IF(_xludf.DAYS(C16,Devblogs!AG2)&gt;-1,_xludf.DAYS(C16,Devblogs!AG2),0)</f>
        <v>#NAME?</v>
      </c>
      <c r="G16" s="154" t="str">
        <f>IF(COUNTIF(Devblogs!AG2:AG45,"&lt;"&amp;C16)=COUNTIF(Devblogs!AG2:AG45,"&lt;="&amp;C16),COUNTIF(Devblogs!AG2:AG45,"&lt;"&amp;C16),CONCATENATE(COUNTIF(Devblogs!AG2:AG45,"&lt;"&amp;C16), " - ",COUNTIF(Devblogs!AG2:AG45,"&lt;="&amp;C16)))</f>
        <v>11 - 12</v>
      </c>
    </row>
    <row r="17" spans="1:7" ht="15" x14ac:dyDescent="0.2">
      <c r="A17" s="9">
        <f>Updates!A55</f>
        <v>2.29</v>
      </c>
      <c r="B17" s="9" t="str">
        <f>Updates!B55</f>
        <v>Sons of Attila</v>
      </c>
      <c r="C17" s="49">
        <v>45169</v>
      </c>
      <c r="D17" s="144">
        <v>0.79166666666666663</v>
      </c>
      <c r="E17" s="9" t="str">
        <f t="shared" si="0"/>
        <v>Thursday</v>
      </c>
      <c r="F17" s="145" t="e">
        <f ca="1">IF(_xludf.DAYS(C17,Devblogs!AD2)&gt;-1,_xludf.DAYS(C17,Devblogs!AD2),0)</f>
        <v>#NAME?</v>
      </c>
      <c r="G17" s="101" t="str">
        <f>IF(COUNTIF(Devblogs!AD2:AD45,"&lt;"&amp;C17)=COUNTIF(Devblogs!AD2:AD45,"&lt;="&amp;C17),COUNTIF(Devblogs!AD2:AD45,"&lt;"&amp;C17),CONCATENATE(COUNTIF(Devblogs!AD2:AD45,"&lt;"&amp;C17), " - ",COUNTIF(Devblogs!AD2:AD45,"&lt;="&amp;C17)))</f>
        <v>8 - 9</v>
      </c>
    </row>
    <row r="18" spans="1:7" ht="15" x14ac:dyDescent="0.2">
      <c r="A18" s="15">
        <f>Updates!A56</f>
        <v>2.31</v>
      </c>
      <c r="B18" s="15" t="str">
        <f>Updates!B56</f>
        <v>Kings of Battle</v>
      </c>
      <c r="C18" s="55">
        <v>45218</v>
      </c>
      <c r="D18" s="141">
        <v>0.82361111111111107</v>
      </c>
      <c r="E18" s="59" t="str">
        <f t="shared" si="0"/>
        <v>Thursday</v>
      </c>
      <c r="F18" s="153" t="e">
        <f ca="1">IF(_xludf.DAYS(C18,Devblogs!AA2)&gt;-1,_xludf.DAYS(C18,Devblogs!AA2),0)</f>
        <v>#NAME?</v>
      </c>
      <c r="G18" s="154">
        <f>IF(COUNTIF(Devblogs!AA2:AA45,"&lt;"&amp;C18)=COUNTIF(Devblogs!AA2:AA45,"&lt;="&amp;C18),COUNTIF(Devblogs!AA2:AA45,"&lt;"&amp;C18),CONCATENATE(COUNTIF(Devblogs!AA2:AA45,"&lt;"&amp;C18), " - ",COUNTIF(Devblogs!AA2:AA45,"&lt;="&amp;C18)))</f>
        <v>2</v>
      </c>
    </row>
    <row r="19" spans="1:7" ht="15" x14ac:dyDescent="0.2">
      <c r="A19" s="9">
        <f>Updates!A57</f>
        <v>2.33</v>
      </c>
      <c r="B19" s="9" t="str">
        <f>Updates!B57</f>
        <v>Air Superiority</v>
      </c>
      <c r="C19" s="49">
        <v>45266</v>
      </c>
      <c r="D19" s="144">
        <v>0.90347222222222223</v>
      </c>
      <c r="E19" s="9" t="str">
        <f t="shared" si="0"/>
        <v>Wednesday</v>
      </c>
      <c r="F19" s="145" t="e">
        <f ca="1">IF(_xludf.DAYS(C19,Devblogs!X2)&gt;-1,_xludf.DAYS(C19,Devblogs!X2),0)</f>
        <v>#NAME?</v>
      </c>
      <c r="G19" s="101" t="str">
        <f>IF(COUNTIF(Devblogs!X2:X45,"&lt;"&amp;C19)=COUNTIF(Devblogs!X2:X45,"&lt;="&amp;C19),COUNTIF(Devblogs!X2:X45,"&lt;"&amp;C19),CONCATENATE(COUNTIF(Devblogs!X2:X45,"&lt;"&amp;C19), " - ",COUNTIF(Devblogs!X2:X45,"&lt;="&amp;C19)))</f>
        <v>3 - 4</v>
      </c>
    </row>
    <row r="20" spans="1:7" ht="15" x14ac:dyDescent="0.2">
      <c r="A20" s="15">
        <f>Updates!A58</f>
        <v>2.35</v>
      </c>
      <c r="B20" s="15" t="str">
        <f>Updates!B58</f>
        <v>Alpha Strike</v>
      </c>
      <c r="C20" s="55">
        <v>45351</v>
      </c>
      <c r="D20" s="141">
        <v>0.72361111111111109</v>
      </c>
      <c r="E20" s="59" t="str">
        <f t="shared" si="0"/>
        <v>Thursday</v>
      </c>
      <c r="F20" s="153" t="e">
        <f ca="1">IF(_xludf.DAYS(C20,Devblogs!U2)&gt;-1,_xludf.DAYS(C20,Devblogs!U2),0)</f>
        <v>#NAME?</v>
      </c>
      <c r="G20" s="154" t="str">
        <f>IF(COUNTIF(Devblogs!U2:U45,"&lt;"&amp;C20)=COUNTIF(Devblogs!U2:U45,"&lt;="&amp;C20),COUNTIF(Devblogs!U2:U45,"&lt;"&amp;C20),CONCATENATE(COUNTIF(Devblogs!U2:U45,"&lt;"&amp;C20), " - ",COUNTIF(Devblogs!U2:U45,"&lt;="&amp;C20)))</f>
        <v>4 - 5</v>
      </c>
    </row>
    <row r="21" spans="1:7" ht="30" x14ac:dyDescent="0.2">
      <c r="A21" s="9">
        <f>Updates!A59</f>
        <v>2.37</v>
      </c>
      <c r="B21" s="9" t="str">
        <f>Updates!B59</f>
        <v>Seek &amp; Destroy</v>
      </c>
      <c r="C21" s="49">
        <v>45442</v>
      </c>
      <c r="D21" s="144">
        <v>0.77430555555555558</v>
      </c>
      <c r="E21" s="9" t="str">
        <f t="shared" si="0"/>
        <v>Thursday</v>
      </c>
      <c r="F21" s="145" t="e">
        <f ca="1">IF(_xludf.DAYS(C21,Devblogs!R$2)&gt;-1,_xludf.DAYS(C21,Devblogs!R$2),0)</f>
        <v>#NAME?</v>
      </c>
      <c r="G21" s="101" t="str">
        <f>IF(COUNTIF(Devblogs!R$2:R$45,"&lt;"&amp;C21)=COUNTIF(Devblogs!R$2:R$45,"&lt;="&amp;C21),COUNTIF(Devblogs!R$2:R$45,"&lt;"&amp;C21),CONCATENATE(COUNTIF(Devblogs!R$2:R$45,"&lt;"&amp;C21), " - ",COUNTIF(Devblogs!R$2:R$45,"&lt;="&amp;C21)))</f>
        <v>6 - 7</v>
      </c>
    </row>
    <row r="22" spans="1:7" ht="30" x14ac:dyDescent="0.2">
      <c r="A22" s="15">
        <f>Updates!A60</f>
        <v>2.39</v>
      </c>
      <c r="B22" s="15" t="str">
        <f>Updates!B60</f>
        <v>Dance of Dragons</v>
      </c>
      <c r="C22" s="55">
        <v>45533</v>
      </c>
      <c r="D22" s="141">
        <v>0.81805555555555554</v>
      </c>
      <c r="E22" s="59" t="str">
        <f t="shared" si="0"/>
        <v>Thursday</v>
      </c>
      <c r="F22" s="153" t="e">
        <f ca="1">IF(_xludf.DAYS(C22,Devblogs!O$2)&gt;-1,_xludf.DAYS(C22,Devblogs!O$2),0)</f>
        <v>#NAME?</v>
      </c>
      <c r="G22" s="154">
        <f>IF(COUNTIF(Devblogs!O$2:O$45,"&lt;"&amp;C22)=COUNTIF(Devblogs!O$2:O$45,"&lt;="&amp;C22),COUNTIF(Devblogs!O$2:O$45,"&lt;"&amp;C22),CONCATENATE(COUNTIF(Devblogs!O$2:O$45,"&lt;"&amp;C22), " - ",COUNTIF(Devblogs!O$2:O$45,"&lt;="&amp;C22)))</f>
        <v>4</v>
      </c>
    </row>
    <row r="23" spans="1:7" ht="15" x14ac:dyDescent="0.2">
      <c r="A23" s="9">
        <f>Updates!A61</f>
        <v>2.41</v>
      </c>
      <c r="B23" s="9" t="str">
        <f>Updates!B61</f>
        <v>Firebirds</v>
      </c>
      <c r="C23" s="49">
        <v>45589</v>
      </c>
      <c r="D23" s="144">
        <v>0.72152777777777777</v>
      </c>
      <c r="E23" s="9" t="str">
        <f t="shared" si="0"/>
        <v>Thursday</v>
      </c>
      <c r="F23" s="145" t="e">
        <f ca="1">IF(_xludf.DAYS(C23,Devblogs!L$2)&gt;-1,_xludf.DAYS(C23,Devblogs!L$2),0)</f>
        <v>#NAME?</v>
      </c>
      <c r="G23" s="101" t="str">
        <f>IF(COUNTIF(Devblogs!L$2:L$45,"&lt;"&amp;C23)=COUNTIF(Devblogs!L$2:L$45,"&lt;="&amp;C23),COUNTIF(Devblogs!L$2:L$45,"&lt;"&amp;C23),CONCATENATE(COUNTIF(Devblogs!L$2:L$45,"&lt;"&amp;C23), " - ",COUNTIF(Devblogs!L$2:L$45,"&lt;="&amp;C23)))</f>
        <v>5 - 6</v>
      </c>
    </row>
    <row r="24" spans="1:7" ht="15" x14ac:dyDescent="0.2">
      <c r="A24" s="15">
        <f>Updates!A62</f>
        <v>2.4300000000000002</v>
      </c>
      <c r="B24" s="15" t="str">
        <f>Updates!B62</f>
        <v>Storm Warning</v>
      </c>
      <c r="C24" s="55">
        <v>45635</v>
      </c>
      <c r="D24" s="141">
        <v>0.70138888888888884</v>
      </c>
      <c r="E24" s="59" t="str">
        <f t="shared" si="0"/>
        <v>Monday</v>
      </c>
      <c r="F24" s="153" t="e">
        <f ca="1">IF(_xludf.DAYS(C24,Devblogs!I$2)&gt;-1,_xludf.DAYS(C24,Devblogs!I$2),0)</f>
        <v>#NAME?</v>
      </c>
      <c r="G24" s="154" t="str">
        <f>IF(COUNTIF(Devblogs!I$2:I$45,"&lt;"&amp;C24)=COUNTIF(Devblogs!I$2:I$45,"&lt;="&amp;C24),COUNTIF(Devblogs!I$2:I$45,"&lt;"&amp;C24),CONCATENATE(COUNTIF(Devblogs!I$2:I$45,"&lt;"&amp;C24), " - ",COUNTIF(Devblogs!I$2:I$45,"&lt;="&amp;C24)))</f>
        <v>2 - 4</v>
      </c>
    </row>
    <row r="25" spans="1:7" ht="15" x14ac:dyDescent="0.2">
      <c r="A25" s="9">
        <f>Updates!A63</f>
        <v>2.4500000000000002</v>
      </c>
      <c r="B25" s="9">
        <f>Updates!B63</f>
        <v>0</v>
      </c>
      <c r="C25" s="49"/>
      <c r="D25" s="144"/>
      <c r="E25" s="9"/>
      <c r="F25" s="145" t="e">
        <f ca="1">IF(_xludf.DAYS(C25,Devblogs!L$2)&gt;-1,_xludf.DAYS(C25,Devblogs!L$2),0)</f>
        <v>#NAME?</v>
      </c>
      <c r="G25" s="101">
        <f>IF(COUNTIF(Devblogs!L$2:L$45,"&lt;"&amp;C25)=COUNTIF(Devblogs!L$2:L$45,"&lt;="&amp;C25),COUNTIF(Devblogs!L$2:L$45,"&lt;"&amp;C25),CONCATENATE(COUNTIF(Devblogs!L$2:L$45,"&lt;"&amp;C25), " - ",COUNTIF(Devblogs!L$2:L$45,"&lt;="&amp;C25)))</f>
        <v>0</v>
      </c>
    </row>
    <row r="26" spans="1:7" ht="15" x14ac:dyDescent="0.2">
      <c r="F26" s="67"/>
      <c r="G26" s="67"/>
    </row>
    <row r="27" spans="1:7" ht="15" x14ac:dyDescent="0.2">
      <c r="F27" s="67"/>
      <c r="G27" s="67"/>
    </row>
    <row r="28" spans="1:7" ht="30" x14ac:dyDescent="0.2">
      <c r="A28" s="67"/>
      <c r="B28" s="413" t="s">
        <v>121</v>
      </c>
      <c r="C28" s="404"/>
      <c r="D28" s="405"/>
      <c r="F28" s="8" t="s">
        <v>379</v>
      </c>
      <c r="G28" s="68">
        <f>AVERAGE(D3:D27)</f>
        <v>0.71856060606060601</v>
      </c>
    </row>
    <row r="29" spans="1:7" ht="15" x14ac:dyDescent="0.2">
      <c r="A29" s="67"/>
      <c r="B29" s="71" t="s">
        <v>124</v>
      </c>
      <c r="C29" s="15">
        <f>COUNTIF(E3:E27,"Monday")</f>
        <v>2</v>
      </c>
      <c r="D29" s="72">
        <f t="shared" ref="D29:D35" si="1">C29/SUM($C$29:$C$35)</f>
        <v>9.0909090909090912E-2</v>
      </c>
      <c r="E29" s="67"/>
      <c r="F29" s="67"/>
      <c r="G29" s="67"/>
    </row>
    <row r="30" spans="1:7" ht="15" x14ac:dyDescent="0.2">
      <c r="A30" s="155"/>
      <c r="B30" s="8" t="s">
        <v>125</v>
      </c>
      <c r="C30" s="9">
        <f>COUNTIF(E3:E27,"Tuesday")</f>
        <v>2</v>
      </c>
      <c r="D30" s="73">
        <f t="shared" si="1"/>
        <v>9.0909090909090912E-2</v>
      </c>
      <c r="E30" s="67"/>
      <c r="F30" s="67"/>
      <c r="G30" s="67"/>
    </row>
    <row r="31" spans="1:7" ht="15" x14ac:dyDescent="0.2">
      <c r="A31" s="155"/>
      <c r="B31" s="71" t="s">
        <v>128</v>
      </c>
      <c r="C31" s="15">
        <f>COUNTIF(E3:E27,"Wednesday")</f>
        <v>1</v>
      </c>
      <c r="D31" s="72">
        <f t="shared" si="1"/>
        <v>4.5454545454545456E-2</v>
      </c>
      <c r="E31" s="67"/>
      <c r="F31" s="67"/>
      <c r="G31" s="67"/>
    </row>
    <row r="32" spans="1:7" ht="15" x14ac:dyDescent="0.2">
      <c r="A32" s="155"/>
      <c r="B32" s="8" t="s">
        <v>130</v>
      </c>
      <c r="C32" s="9">
        <f>COUNTIF(E3:E27,"Thursday")</f>
        <v>16</v>
      </c>
      <c r="D32" s="73">
        <f t="shared" si="1"/>
        <v>0.72727272727272729</v>
      </c>
      <c r="E32" s="67"/>
      <c r="F32" s="67"/>
      <c r="G32" s="67"/>
    </row>
    <row r="33" spans="1:7" ht="15" x14ac:dyDescent="0.2">
      <c r="A33" s="155"/>
      <c r="B33" s="71" t="s">
        <v>132</v>
      </c>
      <c r="C33" s="15">
        <f>COUNTIF(E3:E27,"Friday")</f>
        <v>1</v>
      </c>
      <c r="D33" s="72">
        <f t="shared" si="1"/>
        <v>4.5454545454545456E-2</v>
      </c>
      <c r="E33" s="67"/>
      <c r="F33" s="67"/>
      <c r="G33" s="67"/>
    </row>
    <row r="34" spans="1:7" ht="15" x14ac:dyDescent="0.2">
      <c r="A34" s="155"/>
      <c r="B34" s="8" t="s">
        <v>134</v>
      </c>
      <c r="C34" s="9">
        <f>COUNTIF(E3:E27,"Saturday")</f>
        <v>0</v>
      </c>
      <c r="D34" s="73">
        <f t="shared" si="1"/>
        <v>0</v>
      </c>
      <c r="E34" s="67"/>
      <c r="F34" s="67"/>
      <c r="G34" s="410" t="s">
        <v>380</v>
      </c>
    </row>
    <row r="35" spans="1:7" ht="15" x14ac:dyDescent="0.2">
      <c r="A35" s="155"/>
      <c r="B35" s="71" t="s">
        <v>136</v>
      </c>
      <c r="C35" s="15">
        <f>COUNTIF(E3:E27,"Sunday")</f>
        <v>0</v>
      </c>
      <c r="D35" s="72">
        <f t="shared" si="1"/>
        <v>0</v>
      </c>
      <c r="E35" s="67"/>
      <c r="F35" s="67"/>
      <c r="G35" s="402"/>
    </row>
  </sheetData>
  <mergeCells count="4">
    <mergeCell ref="A1:G1"/>
    <mergeCell ref="B11:B12"/>
    <mergeCell ref="B28:D28"/>
    <mergeCell ref="G34:G35"/>
  </mergeCells>
  <conditionalFormatting sqref="F1:G1 A1:E25 F7:G35 A28:A35 B29:E35">
    <cfRule type="cellIs" dxfId="65" priority="1" operator="equal">
      <formula>"Monday"</formula>
    </cfRule>
    <cfRule type="cellIs" dxfId="64" priority="2" operator="equal">
      <formula>"Tuesday"</formula>
    </cfRule>
    <cfRule type="cellIs" dxfId="63" priority="3" operator="equal">
      <formula>"Wednesday"</formula>
    </cfRule>
    <cfRule type="cellIs" dxfId="62" priority="4" operator="equal">
      <formula>"Thursday"</formula>
    </cfRule>
    <cfRule type="cellIs" dxfId="61" priority="5" operator="equal">
      <formula>"Friday"</formula>
    </cfRule>
    <cfRule type="cellIs" dxfId="60" priority="6" operator="equal">
      <formula>"Saturday"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3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2" max="2" width="14.7109375" customWidth="1"/>
    <col min="5" max="5" width="18.140625" customWidth="1"/>
    <col min="6" max="6" width="28.42578125" customWidth="1"/>
  </cols>
  <sheetData>
    <row r="1" spans="1:6" ht="27.75" customHeight="1" x14ac:dyDescent="0.2">
      <c r="A1" s="421" t="s">
        <v>381</v>
      </c>
      <c r="B1" s="404"/>
      <c r="C1" s="404"/>
      <c r="D1" s="404"/>
      <c r="E1" s="404"/>
      <c r="F1" s="405"/>
    </row>
    <row r="2" spans="1:6" ht="30" x14ac:dyDescent="0.2">
      <c r="A2" s="23" t="s">
        <v>7</v>
      </c>
      <c r="B2" s="10" t="s">
        <v>8</v>
      </c>
      <c r="C2" s="9" t="s">
        <v>369</v>
      </c>
      <c r="D2" s="9" t="s">
        <v>370</v>
      </c>
      <c r="E2" s="59" t="s">
        <v>382</v>
      </c>
      <c r="F2" s="116" t="s">
        <v>383</v>
      </c>
    </row>
    <row r="3" spans="1:6" ht="15" x14ac:dyDescent="0.25">
      <c r="A3" s="156" t="str">
        <f>Updates!A33</f>
        <v>1.87</v>
      </c>
      <c r="B3" s="156" t="str">
        <f>Updates!B33</f>
        <v>Locked On</v>
      </c>
      <c r="C3" s="14">
        <v>43523</v>
      </c>
      <c r="D3" s="15" t="str">
        <f t="shared" ref="D3:D32" si="0">CHOOSE(WEEKDAY(C3,2),"Monday","Tuesday","Wednesday","Thursday","Friday","Saturday","Sunday")</f>
        <v>Wednesday</v>
      </c>
      <c r="E3" s="142" t="e">
        <f ca="1">_xludf.DAYS(C3,Devblogs!CR2)</f>
        <v>#NAME?</v>
      </c>
      <c r="F3" s="143" t="str">
        <f>IF(COUNTIF(Devblogs!CR2:CR45,"&lt;"&amp;C3)=COUNTIF(Devblogs!CR2:CR45,"&lt;="&amp;C3),COUNTIF(Devblogs!CR2:CR45,"&lt;"&amp;C3),CONCATENATE(COUNTIF(Devblogs!CR2:CR45,"&lt;"&amp;C3), " - ",COUNTIF(Devblogs!CR2:CR45,"&lt;="&amp;C3)))</f>
        <v>9 - 10</v>
      </c>
    </row>
    <row r="4" spans="1:6" ht="15" x14ac:dyDescent="0.2">
      <c r="A4" s="10" t="str">
        <f>Updates!A34</f>
        <v>1.89</v>
      </c>
      <c r="B4" s="10" t="str">
        <f>Updates!B34</f>
        <v>Imperial Navy</v>
      </c>
      <c r="C4" s="24">
        <v>43602</v>
      </c>
      <c r="D4" s="157" t="str">
        <f t="shared" si="0"/>
        <v>Friday</v>
      </c>
      <c r="E4" s="145" t="e">
        <f ca="1">_xludf.DAYS(C4,Devblogs!CO2)</f>
        <v>#NAME?</v>
      </c>
      <c r="F4" s="101" t="str">
        <f>IF(COUNTIF(Devblogs!CO2:CO45,"&lt;"&amp;C4)=COUNTIF(Devblogs!CO2:CO45,"&lt;="&amp;C4),COUNTIF(Devblogs!CO2:CO45,"&lt;"&amp;C4),CONCATENATE(COUNTIF(Devblogs!CO2:CO45,"&lt;"&amp;C4), " - ",COUNTIF(Devblogs!CO2:CO45,"&lt;="&amp;C4)))</f>
        <v>10 - 12</v>
      </c>
    </row>
    <row r="5" spans="1:6" ht="15" x14ac:dyDescent="0.25">
      <c r="A5" s="156" t="str">
        <f>Updates!A35</f>
        <v>1.91</v>
      </c>
      <c r="B5" s="156" t="str">
        <f>Updates!B35</f>
        <v>Night Vision</v>
      </c>
      <c r="C5" s="14">
        <v>43707</v>
      </c>
      <c r="D5" s="15" t="str">
        <f t="shared" si="0"/>
        <v>Friday</v>
      </c>
      <c r="E5" s="142" t="e">
        <f ca="1">_xludf.DAYS(C5,Devblogs!CL2)</f>
        <v>#NAME?</v>
      </c>
      <c r="F5" s="143" t="str">
        <f>IF(COUNTIF(Devblogs!CL2:CL45,"&lt;"&amp;C5)=COUNTIF(Devblogs!CL2:CL45,"&lt;="&amp;C5),COUNTIF(Devblogs!CL2:CL45,"&lt;"&amp;C5),CONCATENATE(COUNTIF(Devblogs!CL2:CL45,"&lt;"&amp;C5), " - ",COUNTIF(Devblogs!CL2:CL45,"&lt;="&amp;C5)))</f>
        <v>15 - 16</v>
      </c>
    </row>
    <row r="6" spans="1:6" ht="15" x14ac:dyDescent="0.2">
      <c r="A6" s="10" t="str">
        <f>Updates!A36</f>
        <v>1.93</v>
      </c>
      <c r="B6" s="10" t="str">
        <f>Updates!B36</f>
        <v>Shark Attack</v>
      </c>
      <c r="C6" s="24">
        <v>43762</v>
      </c>
      <c r="D6" s="37" t="str">
        <f t="shared" si="0"/>
        <v>Thursday</v>
      </c>
      <c r="E6" s="145" t="e">
        <f ca="1">_xludf.DAYS(C6,Devblogs!CI2)</f>
        <v>#NAME?</v>
      </c>
      <c r="F6" s="101" t="str">
        <f>IF(COUNTIF(Devblogs!CI2:CI45,"&lt;"&amp;C6)=COUNTIF(Devblogs!CI2:CI45,"&lt;="&amp;C6),COUNTIF(Devblogs!CI2:CI45,"&lt;"&amp;C6),CONCATENATE(COUNTIF(Devblogs!CI2:CI45,"&lt;"&amp;C6), " - ",COUNTIF(Devblogs!CI2:CI45,"&lt;="&amp;C6)))</f>
        <v>8 - 10</v>
      </c>
    </row>
    <row r="7" spans="1:6" ht="15" x14ac:dyDescent="0.25">
      <c r="A7" s="156" t="str">
        <f>Updates!A37</f>
        <v>1.95</v>
      </c>
      <c r="B7" s="156" t="str">
        <f>Updates!B37</f>
        <v>Northern Wind</v>
      </c>
      <c r="C7" s="14">
        <v>43811</v>
      </c>
      <c r="D7" s="15" t="str">
        <f t="shared" si="0"/>
        <v>Thursday</v>
      </c>
      <c r="E7" s="142" t="e">
        <f ca="1">_xludf.DAYS(C7,Devblogs!CF2)</f>
        <v>#NAME?</v>
      </c>
      <c r="F7" s="143" t="str">
        <f>IF(COUNTIF(Devblogs!CF2:CF45,"&lt;"&amp;C7)=COUNTIF(Devblogs!CF2:CF45,"&lt;="&amp;C7),COUNTIF(Devblogs!CF2:CF45,"&lt;"&amp;C7),CONCATENATE(COUNTIF(Devblogs!CF2:CF45,"&lt;"&amp;C7), " - ",COUNTIF(Devblogs!CF2:CF45,"&lt;="&amp;C7)))</f>
        <v>13 - 14</v>
      </c>
    </row>
    <row r="8" spans="1:6" ht="15" x14ac:dyDescent="0.2">
      <c r="A8" s="10" t="str">
        <f>Updates!A38</f>
        <v>1.97</v>
      </c>
      <c r="B8" s="10" t="str">
        <f>Updates!B38</f>
        <v>Viking Fury</v>
      </c>
      <c r="C8" s="24">
        <v>43893</v>
      </c>
      <c r="D8" s="25" t="str">
        <f t="shared" si="0"/>
        <v>Tuesday</v>
      </c>
      <c r="E8" s="145" t="e">
        <f ca="1">_xludf.DAYS(C8,Devblogs!CC2)</f>
        <v>#NAME?</v>
      </c>
      <c r="F8" s="101" t="str">
        <f>IF(COUNTIF(Devblogs!CC2:CC45,"&lt;"&amp;C8)=COUNTIF(Devblogs!CC2:CC45,"&lt;="&amp;C8),COUNTIF(Devblogs!CC2:CC45,"&lt;"&amp;C8),CONCATENATE(COUNTIF(Devblogs!CC2:CC45,"&lt;"&amp;C8), " - ",COUNTIF(Devblogs!CC2:CC45,"&lt;="&amp;C8)))</f>
        <v>13 - 14</v>
      </c>
    </row>
    <row r="9" spans="1:6" ht="15" x14ac:dyDescent="0.25">
      <c r="A9" s="156" t="str">
        <f>Updates!A39</f>
        <v>1.99</v>
      </c>
      <c r="B9" s="156" t="str">
        <f>Updates!B39</f>
        <v>Starfighters</v>
      </c>
      <c r="C9" s="14">
        <v>43966</v>
      </c>
      <c r="D9" s="15" t="str">
        <f t="shared" si="0"/>
        <v>Friday</v>
      </c>
      <c r="E9" s="142" t="e">
        <f ca="1">_xludf.DAYS(C9,Devblogs!BZ2)</f>
        <v>#NAME?</v>
      </c>
      <c r="F9" s="143" t="str">
        <f>IF(COUNTIF(Devblogs!BZ2:BZ45,"&lt;"&amp;C9)=COUNTIF(Devblogs!BZ2:BZ45,"&lt;="&amp;C9),COUNTIF(Devblogs!BZ2:BZ45,"&lt;"&amp;C9),CONCATENATE(COUNTIF(Devblogs!BZ2:BZ45,"&lt;"&amp;C9), " - ",COUNTIF(Devblogs!BZ2:BZ45,"&lt;="&amp;C9)))</f>
        <v>8 - 10</v>
      </c>
    </row>
    <row r="10" spans="1:6" ht="15" x14ac:dyDescent="0.2">
      <c r="A10" s="10" t="str">
        <f>Updates!A40</f>
        <v>1.101</v>
      </c>
      <c r="B10" s="10" t="str">
        <f>Updates!B40</f>
        <v>Raining Fire</v>
      </c>
      <c r="C10" s="24">
        <v>44064</v>
      </c>
      <c r="D10" s="157" t="str">
        <f t="shared" si="0"/>
        <v>Friday</v>
      </c>
      <c r="E10" s="145" t="e">
        <f ca="1">_xludf.DAYS(C10,Devblogs!BW2)</f>
        <v>#NAME?</v>
      </c>
      <c r="F10" s="101">
        <f>IF(COUNTIF(Devblogs!BW2:BW45,"&lt;"&amp;C10)=COUNTIF(Devblogs!BW2:BW45,"&lt;="&amp;C10),COUNTIF(Devblogs!BW2:BW45,"&lt;"&amp;C10),CONCATENATE(COUNTIF(Devblogs!BW2:BW45,"&lt;"&amp;C10), " - ",COUNTIF(Devblogs!BW2:BW45,"&lt;="&amp;C10)))</f>
        <v>5</v>
      </c>
    </row>
    <row r="11" spans="1:6" ht="15" x14ac:dyDescent="0.25">
      <c r="A11" s="156" t="str">
        <f>Updates!A41</f>
        <v>2.1</v>
      </c>
      <c r="B11" s="156" t="str">
        <f>Updates!B41</f>
        <v>New Power</v>
      </c>
      <c r="C11" s="14">
        <v>44134</v>
      </c>
      <c r="D11" s="15" t="str">
        <f t="shared" si="0"/>
        <v>Friday</v>
      </c>
      <c r="E11" s="142" t="e">
        <f ca="1">_xludf.DAYS(C11,Devblogs!BT2)</f>
        <v>#NAME?</v>
      </c>
      <c r="F11" s="143" t="str">
        <f>IF(COUNTIF(Devblogs!BT2:BT45,"&lt;"&amp;C11)=COUNTIF(Devblogs!BT2:BT45,"&lt;="&amp;C11),COUNTIF(Devblogs!BT2:BT45,"&lt;"&amp;C11),CONCATENATE(COUNTIF(Devblogs!BT2:BT45,"&lt;"&amp;C11), " - ",COUNTIF(Devblogs!BT2:BT45,"&lt;="&amp;C11)))</f>
        <v>10 - 11</v>
      </c>
    </row>
    <row r="12" spans="1:6" ht="15" x14ac:dyDescent="0.2">
      <c r="A12" s="9">
        <f>Updates!A42</f>
        <v>2.2999999999999998</v>
      </c>
      <c r="B12" s="9" t="str">
        <f>Updates!B42</f>
        <v>Hot Tracks</v>
      </c>
      <c r="C12" s="49">
        <v>44176</v>
      </c>
      <c r="D12" s="157" t="str">
        <f t="shared" si="0"/>
        <v>Friday</v>
      </c>
      <c r="E12" s="145" t="e">
        <f ca="1">_xludf.DAYS(C12,Devblogs!BQ2)</f>
        <v>#NAME?</v>
      </c>
      <c r="F12" s="101" t="str">
        <f>IF(COUNTIF(Devblogs!BQ2:BQ45,"&lt;"&amp;C12)=COUNTIF(Devblogs!BQ2:BQ45,"&lt;="&amp;C12),COUNTIF(Devblogs!BQ2:BQ45,"&lt;"&amp;C12),CONCATENATE(COUNTIF(Devblogs!BQ2:BQ45,"&lt;"&amp;C12), " - ",COUNTIF(Devblogs!BQ2:BQ45,"&lt;="&amp;C12)))</f>
        <v>4 - 5</v>
      </c>
    </row>
    <row r="13" spans="1:6" ht="15" x14ac:dyDescent="0.25">
      <c r="A13" s="158">
        <f>Updates!A43</f>
        <v>2.5</v>
      </c>
      <c r="B13" s="158" t="str">
        <f>Updates!B43</f>
        <v>Ixwa Strike</v>
      </c>
      <c r="C13" s="55">
        <v>44247</v>
      </c>
      <c r="D13" s="15" t="str">
        <f t="shared" si="0"/>
        <v>Saturday</v>
      </c>
      <c r="E13" s="142" t="e">
        <f ca="1">_xludf.DAYS(C13,Devblogs!BN2)</f>
        <v>#NAME?</v>
      </c>
      <c r="F13" s="143">
        <f>IF(COUNTIF(Devblogs!BN2:BN45,"&lt;"&amp;C13)=COUNTIF(Devblogs!BN2:BN45,"&lt;="&amp;C13),COUNTIF(Devblogs!BN2:BN45,"&lt;"&amp;C13),CONCATENATE(COUNTIF(Devblogs!BN2:BN45,"&lt;"&amp;C13), " - ",COUNTIF(Devblogs!BN2:BN45,"&lt;="&amp;C13)))</f>
        <v>6</v>
      </c>
    </row>
    <row r="14" spans="1:6" ht="15" x14ac:dyDescent="0.2">
      <c r="A14" s="9">
        <f>Updates!A44</f>
        <v>2.7</v>
      </c>
      <c r="B14" s="9" t="str">
        <f>Updates!B44</f>
        <v>Red Skies</v>
      </c>
      <c r="C14" s="49">
        <v>44337</v>
      </c>
      <c r="D14" s="15" t="str">
        <f t="shared" si="0"/>
        <v>Friday</v>
      </c>
      <c r="E14" s="145" t="e">
        <f ca="1">_xludf.DAYS(C14,Devblogs!BK2)</f>
        <v>#NAME?</v>
      </c>
      <c r="F14" s="101" t="str">
        <f>IF(COUNTIF(Devblogs!BK2:BK45,"&lt;"&amp;C14)=COUNTIF(Devblogs!BK2:BK45,"&lt;="&amp;C14),COUNTIF(Devblogs!BK2:BK45,"&lt;"&amp;C14),CONCATENATE(COUNTIF(Devblogs!BK2:BK45,"&lt;"&amp;C14), " - ",COUNTIF(Devblogs!BK2:BK45,"&lt;="&amp;C14)))</f>
        <v>6 - 8</v>
      </c>
    </row>
    <row r="15" spans="1:6" ht="15" x14ac:dyDescent="0.25">
      <c r="A15" s="158">
        <f>Updates!A45</f>
        <v>2.9</v>
      </c>
      <c r="B15" s="158" t="str">
        <f>Updates!B45</f>
        <v>Direct Hit</v>
      </c>
      <c r="C15" s="55">
        <v>44435</v>
      </c>
      <c r="D15" s="15" t="str">
        <f t="shared" si="0"/>
        <v>Friday</v>
      </c>
      <c r="E15" s="142" t="e">
        <f ca="1">_xludf.DAYS(C15,Devblogs!BH2)</f>
        <v>#NAME?</v>
      </c>
      <c r="F15" s="143" t="str">
        <f>IF(COUNTIF(Devblogs!BH2:BH45,"&lt;"&amp;C15)=COUNTIF(Devblogs!BH2:BH45,"&lt;="&amp;C15),COUNTIF(Devblogs!BH2:BH45,"&lt;"&amp;C15),CONCATENATE(COUNTIF(Devblogs!BH2:BH45,"&lt;"&amp;C15), " - ",COUNTIF(Devblogs!BH2:BH45,"&lt;="&amp;C15)))</f>
        <v>8 - 9</v>
      </c>
    </row>
    <row r="16" spans="1:6" ht="30" x14ac:dyDescent="0.2">
      <c r="A16" s="9">
        <f>Updates!A46</f>
        <v>2.11</v>
      </c>
      <c r="B16" s="9" t="str">
        <f>Updates!B46</f>
        <v>Ground Breaking</v>
      </c>
      <c r="C16" s="49">
        <v>44484</v>
      </c>
      <c r="D16" s="15" t="str">
        <f t="shared" si="0"/>
        <v>Friday</v>
      </c>
      <c r="E16" s="145" t="e">
        <f ca="1">_xludf.DAYS(C16,Devblogs!BE2)</f>
        <v>#NAME?</v>
      </c>
      <c r="F16" s="101" t="str">
        <f>IF(COUNTIF(Devblogs!BE2:BE45,"&lt;"&amp;C16)=COUNTIF(Devblogs!BE2:BE45,"&lt;="&amp;C16),COUNTIF(Devblogs!BE2:BE45,"&lt;"&amp;C16),CONCATENATE(COUNTIF(Devblogs!BE2:BE45,"&lt;"&amp;C16), " - ",COUNTIF(Devblogs!BE2:BE45,"&lt;="&amp;C16)))</f>
        <v>5 - 7</v>
      </c>
    </row>
    <row r="17" spans="1:6" ht="15" x14ac:dyDescent="0.25">
      <c r="A17" s="158">
        <f>Updates!A47</f>
        <v>2.13</v>
      </c>
      <c r="B17" s="158" t="str">
        <f>Updates!B47</f>
        <v>Winged Lions</v>
      </c>
      <c r="C17" s="55">
        <v>44533</v>
      </c>
      <c r="D17" s="15" t="str">
        <f t="shared" si="0"/>
        <v>Friday</v>
      </c>
      <c r="E17" s="142" t="e">
        <f ca="1">_xludf.DAYS(C17,Devblogs!BB2)</f>
        <v>#NAME?</v>
      </c>
      <c r="F17" s="143" t="str">
        <f>IF(COUNTIF(Devblogs!BB2:BB45,"&lt;"&amp;C17)=COUNTIF(Devblogs!BB2:BB45,"&lt;="&amp;C17),COUNTIF(Devblogs!BB2:BB45,"&lt;"&amp;C17),CONCATENATE(COUNTIF(Devblogs!BB2:BB45,"&lt;"&amp;C17), " - ",COUNTIF(Devblogs!BB2:BB45,"&lt;="&amp;C17)))</f>
        <v>5 - 7</v>
      </c>
    </row>
    <row r="18" spans="1:6" ht="30" x14ac:dyDescent="0.2">
      <c r="A18" s="9">
        <f>Updates!A48</f>
        <v>2.15</v>
      </c>
      <c r="B18" s="9" t="str">
        <f>Updates!B48</f>
        <v>Wind of Change</v>
      </c>
      <c r="C18" s="49">
        <v>44631</v>
      </c>
      <c r="D18" s="15" t="str">
        <f t="shared" si="0"/>
        <v>Friday</v>
      </c>
      <c r="E18" s="145" t="e">
        <f ca="1">_xludf.DAYS(C18,Devblogs!AY2)</f>
        <v>#NAME?</v>
      </c>
      <c r="F18" s="101" t="str">
        <f>IF(COUNTIF(Devblogs!AY2:AY45,"&lt;"&amp;C18)=COUNTIF(Devblogs!AY2:AY45,"&lt;="&amp;C18),COUNTIF(Devblogs!AY2:AY45,"&lt;"&amp;C18),CONCATENATE(COUNTIF(Devblogs!AY2:AY45,"&lt;"&amp;C18), " - ",COUNTIF(Devblogs!AY2:AY45,"&lt;="&amp;C18)))</f>
        <v>6 - 8</v>
      </c>
    </row>
    <row r="19" spans="1:6" ht="15" x14ac:dyDescent="0.25">
      <c r="A19" s="158">
        <f>Updates!A49</f>
        <v>2.17</v>
      </c>
      <c r="B19" s="158" t="str">
        <f>Updates!B49</f>
        <v>Danger Zone</v>
      </c>
      <c r="C19" s="55">
        <v>44708</v>
      </c>
      <c r="D19" s="15" t="str">
        <f t="shared" si="0"/>
        <v>Friday</v>
      </c>
      <c r="E19" s="142" t="e">
        <f ca="1">_xludf.DAYS(C19,Devblogs!AV2)</f>
        <v>#NAME?</v>
      </c>
      <c r="F19" s="143" t="str">
        <f>IF(COUNTIF(Devblogs!AV2:AV45,"&lt;"&amp;C19)=COUNTIF(Devblogs!AV2:AV45,"&lt;="&amp;C19),COUNTIF(Devblogs!AV2:AV45,"&lt;"&amp;C19),CONCATENATE(COUNTIF(Devblogs!AV2:AV45,"&lt;"&amp;C19), " - ",COUNTIF(Devblogs!AV2:AV45,"&lt;="&amp;C19)))</f>
        <v>8 - 9</v>
      </c>
    </row>
    <row r="20" spans="1:6" ht="15" x14ac:dyDescent="0.2">
      <c r="A20" s="9">
        <f>Updates!A50</f>
        <v>2.19</v>
      </c>
      <c r="B20" s="9" t="str">
        <f>Updates!B50</f>
        <v>Drone Age</v>
      </c>
      <c r="C20" s="49">
        <v>44806</v>
      </c>
      <c r="D20" s="15" t="str">
        <f t="shared" si="0"/>
        <v>Friday</v>
      </c>
      <c r="E20" s="145" t="e">
        <f ca="1">_xludf.DAYS(C20,Devblogs!AS2)</f>
        <v>#NAME?</v>
      </c>
      <c r="F20" s="101" t="str">
        <f>IF(COUNTIF(Devblogs!AS2:AS45,"&lt;"&amp;C20)=COUNTIF(Devblogs!AS2:AS45,"&lt;="&amp;C20),COUNTIF(Devblogs!AS2:AS45,"&lt;"&amp;C20),CONCATENATE(COUNTIF(Devblogs!AS2:AS45,"&lt;"&amp;C20), " - ",COUNTIF(Devblogs!AS2:AS45,"&lt;="&amp;C20)))</f>
        <v>12 - 14</v>
      </c>
    </row>
    <row r="21" spans="1:6" ht="15" x14ac:dyDescent="0.25">
      <c r="A21" s="158">
        <f>Updates!A51</f>
        <v>2.21</v>
      </c>
      <c r="B21" s="158" t="str">
        <f>Updates!B51</f>
        <v>Fire and Ice</v>
      </c>
      <c r="C21" s="55">
        <v>44848</v>
      </c>
      <c r="D21" s="15" t="str">
        <f t="shared" si="0"/>
        <v>Friday</v>
      </c>
      <c r="E21" s="142" t="e">
        <f ca="1">_xludf.DAYS(C21,Devblogs!AP2)</f>
        <v>#NAME?</v>
      </c>
      <c r="F21" s="143" t="str">
        <f>IF(COUNTIF(Devblogs!AP2:AP45,"&lt;"&amp;C21)=COUNTIF(Devblogs!AP2:AP45,"&lt;="&amp;C21),COUNTIF(Devblogs!AP2:AP45,"&lt;"&amp;C21),CONCATENATE(COUNTIF(Devblogs!AP2:AP45,"&lt;"&amp;C21), " - ",COUNTIF(Devblogs!AP2:AP45,"&lt;="&amp;C21)))</f>
        <v>2 - 4</v>
      </c>
    </row>
    <row r="22" spans="1:6" ht="15" x14ac:dyDescent="0.2">
      <c r="A22" s="9">
        <f>Updates!A52</f>
        <v>2.23</v>
      </c>
      <c r="B22" s="9" t="str">
        <f>Updates!B52</f>
        <v>Apex Predators</v>
      </c>
      <c r="C22" s="49">
        <v>44904</v>
      </c>
      <c r="D22" s="15" t="str">
        <f t="shared" si="0"/>
        <v>Friday</v>
      </c>
      <c r="E22" s="145" t="e">
        <f ca="1">_xludf.DAYS(C22,Devblogs!AM2)</f>
        <v>#NAME?</v>
      </c>
      <c r="F22" s="101" t="str">
        <f>IF(COUNTIF(Devblogs!AM2:AM45,"&lt;"&amp;C22)=COUNTIF(Devblogs!AM2:AM45,"&lt;="&amp;C22),COUNTIF(Devblogs!AM2:AM45,"&lt;"&amp;C22),CONCATENATE(COUNTIF(Devblogs!AM2:AM45,"&lt;"&amp;C22), " - ",COUNTIF(Devblogs!AM2:AM45,"&lt;="&amp;C22)))</f>
        <v>6 - 8</v>
      </c>
    </row>
    <row r="23" spans="1:6" ht="15" x14ac:dyDescent="0.25">
      <c r="A23" s="158">
        <f>Updates!A53</f>
        <v>2.25</v>
      </c>
      <c r="B23" s="158" t="str">
        <f>Updates!B53</f>
        <v>Sky Guardians</v>
      </c>
      <c r="C23" s="55">
        <v>44982</v>
      </c>
      <c r="D23" s="15" t="str">
        <f t="shared" si="0"/>
        <v>Saturday</v>
      </c>
      <c r="E23" s="142" t="e">
        <f ca="1">IF(_xludf.DAYS(C23,Devblogs!AJ2)&gt;-1,_xludf.DAYS(C23,Devblogs!AJ2),0)</f>
        <v>#NAME?</v>
      </c>
      <c r="F23" s="143">
        <f>IF(COUNTIF(Devblogs!AJ2:AJ45,"&lt;"&amp;C23)=COUNTIF(Devblogs!AJ2:AJ45,"&lt;="&amp;C23),COUNTIF(Devblogs!AJ2:AJ45,"&lt;"&amp;C23),CONCATENATE(COUNTIF(Devblogs!AJ2:AJ45,"&lt;"&amp;C23), " - ",COUNTIF(Devblogs!AJ2:AJ45,"&lt;="&amp;C23)))</f>
        <v>11</v>
      </c>
    </row>
    <row r="24" spans="1:6" ht="15" x14ac:dyDescent="0.2">
      <c r="A24" s="9">
        <f>Updates!A54</f>
        <v>2.27</v>
      </c>
      <c r="B24" s="9" t="str">
        <f>Updates!B54</f>
        <v>La Royale</v>
      </c>
      <c r="C24" s="49">
        <v>45065</v>
      </c>
      <c r="D24" s="15" t="str">
        <f t="shared" si="0"/>
        <v>Friday</v>
      </c>
      <c r="E24" s="145" t="e">
        <f ca="1">IF(_xludf.DAYS(C24,Devblogs!AG2)&gt;-1,_xludf.DAYS(C24,Devblogs!AG2),0)</f>
        <v>#NAME?</v>
      </c>
      <c r="F24" s="101">
        <f>IF(COUNTIF(Devblogs!AG2:AG45,"&lt;"&amp;C24)=COUNTIF(Devblogs!AG2:AG45,"&lt;="&amp;C24),COUNTIF(Devblogs!AG2:AG45,"&lt;"&amp;C24),CONCATENATE(COUNTIF(Devblogs!AG2:AG45,"&lt;"&amp;C24), " - ",COUNTIF(Devblogs!AG2:AG45,"&lt;="&amp;C24)))</f>
        <v>12</v>
      </c>
    </row>
    <row r="25" spans="1:6" ht="15" x14ac:dyDescent="0.25">
      <c r="A25" s="158">
        <f>Updates!A55</f>
        <v>2.29</v>
      </c>
      <c r="B25" s="158" t="str">
        <f>Updates!B55</f>
        <v>Sons of Attila</v>
      </c>
      <c r="C25" s="55">
        <v>45170</v>
      </c>
      <c r="D25" s="15" t="str">
        <f t="shared" si="0"/>
        <v>Friday</v>
      </c>
      <c r="E25" s="142" t="e">
        <f ca="1">IF(_xludf.DAYS(C25,Devblogs!AD2)&gt;-1,_xludf.DAYS(C25,Devblogs!AD2),0)</f>
        <v>#NAME?</v>
      </c>
      <c r="F25" s="143" t="str">
        <f>IF(COUNTIF(Devblogs!AD2:AD45,"&lt;"&amp;C25)=COUNTIF(Devblogs!AD2:AD45,"&lt;="&amp;C25),COUNTIF(Devblogs!AD2:AD45,"&lt;"&amp;C25),CONCATENATE(COUNTIF(Devblogs!AD2:AD45,"&lt;"&amp;C25), " - ",COUNTIF(Devblogs!AD2:AD45,"&lt;="&amp;C25)))</f>
        <v>9 - 12</v>
      </c>
    </row>
    <row r="26" spans="1:6" ht="15" x14ac:dyDescent="0.2">
      <c r="A26" s="9">
        <f>Updates!A56</f>
        <v>2.31</v>
      </c>
      <c r="B26" s="9" t="str">
        <f>Updates!B56</f>
        <v>Kings of Battle</v>
      </c>
      <c r="C26" s="49">
        <v>45219</v>
      </c>
      <c r="D26" s="15" t="str">
        <f t="shared" si="0"/>
        <v>Friday</v>
      </c>
      <c r="E26" s="145" t="e">
        <f ca="1">IF(_xludf.DAYS(C26,Devblogs!AA2)&gt;-1,_xludf.DAYS(C26,Devblogs!AA2),0)</f>
        <v>#NAME?</v>
      </c>
      <c r="F26" s="101" t="str">
        <f>IF(COUNTIF(Devblogs!AA2:AA45,"&lt;"&amp;C26)=COUNTIF(Devblogs!AA2:AA45,"&lt;="&amp;C26),COUNTIF(Devblogs!AA2:AA45,"&lt;"&amp;C26),CONCATENATE(COUNTIF(Devblogs!AA2:AA45,"&lt;"&amp;C26), " - ",COUNTIF(Devblogs!AA2:AA45,"&lt;="&amp;C26)))</f>
        <v>2 - 3</v>
      </c>
    </row>
    <row r="27" spans="1:6" ht="15" x14ac:dyDescent="0.25">
      <c r="A27" s="158">
        <f>Updates!A57</f>
        <v>2.33</v>
      </c>
      <c r="B27" s="158" t="str">
        <f>Updates!B57</f>
        <v>Air Superiority</v>
      </c>
      <c r="C27" s="55">
        <v>45267</v>
      </c>
      <c r="D27" s="15" t="str">
        <f t="shared" si="0"/>
        <v>Thursday</v>
      </c>
      <c r="E27" s="142" t="e">
        <f ca="1">IF(_xludf.DAYS(C27,Devblogs!X2)&gt;-1,_xludf.DAYS(C27,Devblogs!X2),0)</f>
        <v>#NAME?</v>
      </c>
      <c r="F27" s="143" t="str">
        <f>IF(COUNTIF(Devblogs!X2:X45,"&lt;"&amp;C27)=COUNTIF(Devblogs!X2:X45,"&lt;="&amp;C27),COUNTIF(Devblogs!X2:X45,"&lt;"&amp;C27),CONCATENATE(COUNTIF(Devblogs!X2:X45,"&lt;"&amp;C27), " - ",COUNTIF(Devblogs!X2:X45,"&lt;="&amp;C27)))</f>
        <v>4 - 6</v>
      </c>
    </row>
    <row r="28" spans="1:6" ht="15" x14ac:dyDescent="0.2">
      <c r="A28" s="9">
        <f>Updates!A58</f>
        <v>2.35</v>
      </c>
      <c r="B28" s="9" t="str">
        <f>Updates!B58</f>
        <v>Alpha Strike</v>
      </c>
      <c r="C28" s="49">
        <v>45352</v>
      </c>
      <c r="D28" s="15" t="str">
        <f t="shared" si="0"/>
        <v>Friday</v>
      </c>
      <c r="E28" s="145" t="e">
        <f ca="1">IF(_xludf.DAYS(C28,Devblogs!U2)&gt;-1,_xludf.DAYS(C28,Devblogs!U2),0)</f>
        <v>#NAME?</v>
      </c>
      <c r="F28" s="101" t="str">
        <f>IF(COUNTIF(Devblogs!U2:U45,"&lt;"&amp;C28)=COUNTIF(Devblogs!U2:U45,"&lt;="&amp;C28),COUNTIF(Devblogs!U2:U45,"&lt;"&amp;C28),CONCATENATE(COUNTIF(Devblogs!U2:U45,"&lt;"&amp;C28), " - ",COUNTIF(Devblogs!U2:U45,"&lt;="&amp;C28)))</f>
        <v>5 - 7</v>
      </c>
    </row>
    <row r="29" spans="1:6" ht="15" x14ac:dyDescent="0.25">
      <c r="A29" s="158">
        <f>Updates!A59</f>
        <v>2.37</v>
      </c>
      <c r="B29" s="158" t="str">
        <f>Updates!B59</f>
        <v>Seek &amp; Destroy</v>
      </c>
      <c r="C29" s="55">
        <v>45443</v>
      </c>
      <c r="D29" s="15" t="str">
        <f t="shared" si="0"/>
        <v>Friday</v>
      </c>
      <c r="E29" s="142" t="e">
        <f ca="1">IF(_xludf.DAYS(C29,Devblogs!R$2)&gt;-1,_xludf.DAYS(C29,Devblogs!R$2),0)</f>
        <v>#NAME?</v>
      </c>
      <c r="F29" s="143" t="str">
        <f>IF(COUNTIF(Devblogs!R$2:R$45,"&lt;"&amp;C29)=COUNTIF(Devblogs!R$2:R$45,"&lt;="&amp;C29),COUNTIF(Devblogs!R$2:R$45,"&lt;"&amp;C29),CONCATENATE(COUNTIF(Devblogs!R$2:R$45,"&lt;"&amp;C29), " - ",COUNTIF(Devblogs!R$2:R$45,"&lt;="&amp;C29)))</f>
        <v>7 - 10</v>
      </c>
    </row>
    <row r="30" spans="1:6" ht="30" x14ac:dyDescent="0.2">
      <c r="A30" s="9">
        <f>Updates!A60</f>
        <v>2.39</v>
      </c>
      <c r="B30" s="9" t="str">
        <f>Updates!B60</f>
        <v>Dance of Dragons</v>
      </c>
      <c r="C30" s="49">
        <v>45534</v>
      </c>
      <c r="D30" s="15" t="str">
        <f t="shared" si="0"/>
        <v>Friday</v>
      </c>
      <c r="E30" s="145" t="e">
        <f ca="1">IF(_xludf.DAYS(C30,Devblogs!O$2)&gt;-1,_xludf.DAYS(C30,Devblogs!O$2),0)</f>
        <v>#NAME?</v>
      </c>
      <c r="F30" s="101" t="str">
        <f>IF(COUNTIF(Devblogs!O$2:O$45,"&lt;"&amp;C30)=COUNTIF(Devblogs!O$2:O$45,"&lt;="&amp;C30),COUNTIF(Devblogs!O$2:O$45,"&lt;"&amp;C30),CONCATENATE(COUNTIF(Devblogs!O$2:O$45,"&lt;"&amp;C30), " - ",COUNTIF(Devblogs!O$2:O$45,"&lt;="&amp;C30)))</f>
        <v>4 - 7</v>
      </c>
    </row>
    <row r="31" spans="1:6" ht="15" x14ac:dyDescent="0.25">
      <c r="A31" s="158">
        <f>Updates!A61</f>
        <v>2.41</v>
      </c>
      <c r="B31" s="158" t="str">
        <f>Updates!B61</f>
        <v>Firebirds</v>
      </c>
      <c r="C31" s="55">
        <v>45590</v>
      </c>
      <c r="D31" s="15" t="str">
        <f t="shared" si="0"/>
        <v>Friday</v>
      </c>
      <c r="E31" s="142" t="e">
        <f ca="1">IF(_xludf.DAYS(C31,Devblogs!L$2)&gt;-1,_xludf.DAYS(C31,Devblogs!L$2),0)</f>
        <v>#NAME?</v>
      </c>
      <c r="F31" s="143" t="str">
        <f>IF(COUNTIF(Devblogs!L$2:L$45,"&lt;"&amp;C31)=COUNTIF(Devblogs!L$2:L$45,"&lt;="&amp;C31),COUNTIF(Devblogs!L$2:L$45,"&lt;"&amp;C31),CONCATENATE(COUNTIF(Devblogs!L$2:L$45,"&lt;"&amp;C31), " - ",COUNTIF(Devblogs!L$2:L$45,"&lt;="&amp;C31)))</f>
        <v>6 - 8</v>
      </c>
    </row>
    <row r="32" spans="1:6" ht="15" x14ac:dyDescent="0.2">
      <c r="A32" s="9">
        <f>Updates!A62</f>
        <v>2.4300000000000002</v>
      </c>
      <c r="B32" s="9" t="str">
        <f>Updates!B62</f>
        <v>Storm Warning</v>
      </c>
      <c r="C32" s="49">
        <v>45636</v>
      </c>
      <c r="D32" s="15" t="str">
        <f t="shared" si="0"/>
        <v>Tuesday</v>
      </c>
      <c r="E32" s="145" t="e">
        <f ca="1">IF(_xludf.DAYS(C32,Devblogs!I$2)&gt;-1,_xludf.DAYS(C32,Devblogs!I$2),0)</f>
        <v>#NAME?</v>
      </c>
      <c r="F32" s="101" t="str">
        <f>IF(COUNTIF(Devblogs!I$2:I$45,"&lt;"&amp;C32)=COUNTIF(Devblogs!I$2:I$45,"&lt;="&amp;C32),COUNTIF(Devblogs!I$2:I$45,"&lt;"&amp;C32),CONCATENATE(COUNTIF(Devblogs!I$2:I$45,"&lt;"&amp;C32), " - ",COUNTIF(Devblogs!I$2:I$45,"&lt;="&amp;C32)))</f>
        <v>4 - 5</v>
      </c>
    </row>
    <row r="33" spans="1:6" ht="15" x14ac:dyDescent="0.25">
      <c r="A33" s="158">
        <f>Updates!A63</f>
        <v>2.4500000000000002</v>
      </c>
      <c r="B33" s="158">
        <f>Updates!B63</f>
        <v>0</v>
      </c>
      <c r="C33" s="55"/>
      <c r="D33" s="15"/>
      <c r="E33" s="142" t="e">
        <f ca="1">IF(_xludf.DAYS(C33,Devblogs!L$2)&gt;-1,_xludf.DAYS(C33,Devblogs!L$2),0)</f>
        <v>#NAME?</v>
      </c>
      <c r="F33" s="143">
        <f>IF(COUNTIF(Devblogs!L$2:L$45,"&lt;"&amp;C33)=COUNTIF(Devblogs!L$2:L$45,"&lt;="&amp;C33),COUNTIF(Devblogs!L$2:L$45,"&lt;"&amp;C33),CONCATENATE(COUNTIF(Devblogs!L$2:L$45,"&lt;"&amp;C33), " - ",COUNTIF(Devblogs!L$2:L$45,"&lt;="&amp;C33)))</f>
        <v>0</v>
      </c>
    </row>
    <row r="34" spans="1:6" ht="15" x14ac:dyDescent="0.2">
      <c r="E34" s="67"/>
      <c r="F34" s="67"/>
    </row>
    <row r="35" spans="1:6" ht="15" x14ac:dyDescent="0.2">
      <c r="E35" s="67"/>
      <c r="F35" s="67"/>
    </row>
    <row r="36" spans="1:6" ht="15" x14ac:dyDescent="0.2">
      <c r="A36" s="67"/>
      <c r="B36" s="413" t="s">
        <v>121</v>
      </c>
      <c r="C36" s="404"/>
      <c r="D36" s="405"/>
      <c r="E36" s="67"/>
      <c r="F36" s="67"/>
    </row>
    <row r="37" spans="1:6" ht="15" x14ac:dyDescent="0.2">
      <c r="A37" s="67"/>
      <c r="B37" s="71" t="s">
        <v>124</v>
      </c>
      <c r="C37" s="15">
        <f>COUNTIF(D3:D35,"Monday")</f>
        <v>0</v>
      </c>
      <c r="D37" s="72">
        <f t="shared" ref="D37:D43" si="1">C37/SUM($C$37:$C$43)</f>
        <v>0</v>
      </c>
      <c r="E37" s="67"/>
      <c r="F37" s="67"/>
    </row>
    <row r="38" spans="1:6" ht="15" x14ac:dyDescent="0.2">
      <c r="A38" s="67"/>
      <c r="B38" s="8" t="s">
        <v>125</v>
      </c>
      <c r="C38" s="9">
        <f>COUNTIF(D3:D35,"Tuesday")</f>
        <v>2</v>
      </c>
      <c r="D38" s="73">
        <f t="shared" si="1"/>
        <v>6.6666666666666666E-2</v>
      </c>
      <c r="E38" s="67"/>
      <c r="F38" s="67"/>
    </row>
    <row r="39" spans="1:6" ht="15" x14ac:dyDescent="0.2">
      <c r="A39" s="67"/>
      <c r="B39" s="71" t="s">
        <v>128</v>
      </c>
      <c r="C39" s="15">
        <f>COUNTIF(D3:D35,"Wednesday")</f>
        <v>1</v>
      </c>
      <c r="D39" s="72">
        <f t="shared" si="1"/>
        <v>3.3333333333333333E-2</v>
      </c>
      <c r="E39" s="67"/>
      <c r="F39" s="67"/>
    </row>
    <row r="40" spans="1:6" ht="15" x14ac:dyDescent="0.2">
      <c r="A40" s="67"/>
      <c r="B40" s="8" t="s">
        <v>130</v>
      </c>
      <c r="C40" s="9">
        <f>COUNTIF(D3:D35,"Thursday")</f>
        <v>3</v>
      </c>
      <c r="D40" s="73">
        <f t="shared" si="1"/>
        <v>0.1</v>
      </c>
      <c r="E40" s="67"/>
      <c r="F40" s="67"/>
    </row>
    <row r="41" spans="1:6" ht="15" x14ac:dyDescent="0.2">
      <c r="A41" s="67"/>
      <c r="B41" s="71" t="s">
        <v>132</v>
      </c>
      <c r="C41" s="15">
        <f>COUNTIF(D3:D35,"Friday")</f>
        <v>22</v>
      </c>
      <c r="D41" s="72">
        <f t="shared" si="1"/>
        <v>0.73333333333333328</v>
      </c>
      <c r="E41" s="67"/>
      <c r="F41" s="67"/>
    </row>
    <row r="42" spans="1:6" ht="15" x14ac:dyDescent="0.2">
      <c r="A42" s="67"/>
      <c r="B42" s="8" t="s">
        <v>134</v>
      </c>
      <c r="C42" s="9">
        <f>COUNTIF(D3:D35,"Saturday")</f>
        <v>2</v>
      </c>
      <c r="D42" s="73">
        <f t="shared" si="1"/>
        <v>6.6666666666666666E-2</v>
      </c>
      <c r="E42" s="67"/>
      <c r="F42" s="410" t="s">
        <v>380</v>
      </c>
    </row>
    <row r="43" spans="1:6" ht="15" x14ac:dyDescent="0.2">
      <c r="A43" s="67"/>
      <c r="B43" s="71" t="s">
        <v>136</v>
      </c>
      <c r="C43" s="15">
        <f>COUNTIF(D3:D35,"Sunday")</f>
        <v>0</v>
      </c>
      <c r="D43" s="72">
        <f t="shared" si="1"/>
        <v>0</v>
      </c>
      <c r="E43" s="67"/>
      <c r="F43" s="402"/>
    </row>
  </sheetData>
  <mergeCells count="3">
    <mergeCell ref="A1:F1"/>
    <mergeCell ref="B36:D36"/>
    <mergeCell ref="F42:F43"/>
  </mergeCells>
  <conditionalFormatting sqref="E1:F1 A1:D33 E16:F43 A36:A43 B37:D43">
    <cfRule type="cellIs" dxfId="59" priority="1" operator="equal">
      <formula>"Monday"</formula>
    </cfRule>
    <cfRule type="cellIs" dxfId="58" priority="2" operator="equal">
      <formula>"Tuesday"</formula>
    </cfRule>
    <cfRule type="cellIs" dxfId="57" priority="3" operator="equal">
      <formula>"Wednesday"</formula>
    </cfRule>
    <cfRule type="cellIs" dxfId="56" priority="4" operator="equal">
      <formula>"Thursday"</formula>
    </cfRule>
    <cfRule type="cellIs" dxfId="55" priority="5" operator="equal">
      <formula>"Friday"</formula>
    </cfRule>
    <cfRule type="cellIs" dxfId="54" priority="6" operator="equal">
      <formula>"Saturday"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92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2" max="2" width="15.7109375" customWidth="1"/>
    <col min="5" max="5" width="14.5703125" customWidth="1"/>
    <col min="6" max="6" width="16.140625" customWidth="1"/>
    <col min="7" max="7" width="18.28515625" customWidth="1"/>
    <col min="8" max="8" width="24" customWidth="1"/>
    <col min="9" max="9" width="16.7109375" customWidth="1"/>
  </cols>
  <sheetData>
    <row r="1" spans="1:9" ht="28.5" customHeight="1" x14ac:dyDescent="0.2">
      <c r="A1" s="421" t="s">
        <v>384</v>
      </c>
      <c r="B1" s="404"/>
      <c r="C1" s="404"/>
      <c r="D1" s="404"/>
      <c r="E1" s="404"/>
      <c r="F1" s="404"/>
      <c r="G1" s="404"/>
      <c r="H1" s="404"/>
      <c r="I1" s="405"/>
    </row>
    <row r="2" spans="1:9" ht="45" x14ac:dyDescent="0.2">
      <c r="A2" s="159" t="s">
        <v>7</v>
      </c>
      <c r="B2" s="46" t="s">
        <v>8</v>
      </c>
      <c r="C2" s="5" t="s">
        <v>369</v>
      </c>
      <c r="D2" s="5" t="s">
        <v>385</v>
      </c>
      <c r="E2" s="5" t="s">
        <v>386</v>
      </c>
      <c r="F2" s="5" t="s">
        <v>370</v>
      </c>
      <c r="G2" s="5" t="s">
        <v>387</v>
      </c>
      <c r="H2" s="5" t="s">
        <v>388</v>
      </c>
      <c r="I2" s="7" t="s">
        <v>389</v>
      </c>
    </row>
    <row r="3" spans="1:9" ht="15" x14ac:dyDescent="0.2">
      <c r="A3" s="13" t="str">
        <f>Updates!A18</f>
        <v>1.57</v>
      </c>
      <c r="B3" s="13" t="str">
        <f>Updates!B18</f>
        <v>Battle March</v>
      </c>
      <c r="C3" s="14">
        <v>42437</v>
      </c>
      <c r="D3" s="160">
        <v>0.54166666666666663</v>
      </c>
      <c r="E3" s="160">
        <v>0.5493055555555556</v>
      </c>
      <c r="F3" s="15" t="str">
        <f t="shared" ref="F3:F72" si="0">CHOOSE(WEEKDAY(C3,2),"Monday","Tuesday","Wednesday","Thursday","Friday","Saturday","Sunday")</f>
        <v>Tuesday</v>
      </c>
      <c r="G3" s="142" t="s">
        <v>22</v>
      </c>
      <c r="H3" s="142" t="e">
        <f ca="1">_xludf.DAYS(C3,Devblogs!EK2)</f>
        <v>#NAME?</v>
      </c>
      <c r="I3" s="143">
        <f>IF(COUNTIF(Devblogs!EK2:EK45,"&lt;"&amp;C3)=COUNTIF(Devblogs!EK2:EK45,"&lt;="&amp;C3),COUNTIF(Devblogs!EK2:EK45,"&lt;"&amp;C3),CONCATENATE(COUNTIF(Devblogs!EK2:EK45,"&lt;"&amp;C3), " - ",COUNTIF(Devblogs!EK2:EK45,"&lt;="&amp;C3)))</f>
        <v>19</v>
      </c>
    </row>
    <row r="4" spans="1:9" ht="15" x14ac:dyDescent="0.2">
      <c r="A4" s="6" t="str">
        <f>CONCATENATE(Updates!A19," #1")</f>
        <v>1.59 #1</v>
      </c>
      <c r="B4" s="423" t="str">
        <f>Updates!B19</f>
        <v>Flaming Arrows</v>
      </c>
      <c r="C4" s="35">
        <v>42516</v>
      </c>
      <c r="D4" s="162">
        <v>0.79166666666666663</v>
      </c>
      <c r="E4" s="162">
        <v>0.80069444444444438</v>
      </c>
      <c r="F4" s="163" t="str">
        <f t="shared" si="0"/>
        <v>Thursday</v>
      </c>
      <c r="G4" s="428">
        <f>C5-C4</f>
        <v>4</v>
      </c>
      <c r="H4" s="428" t="e">
        <f ca="1">_xludf.DAYS(C4,Devblogs!EH2)</f>
        <v>#NAME?</v>
      </c>
      <c r="I4" s="431" t="str">
        <f>IF(COUNTIF(Devblogs!EH2:EH45,"&lt;"&amp;C4)=COUNTIF(Devblogs!EH2:EH45,"&lt;="&amp;C4),COUNTIF(Devblogs!EH2:EH45,"&lt;"&amp;C4),CONCATENATE(COUNTIF(Devblogs!EH2:EH45,"&lt;"&amp;C4), " - ",COUNTIF(Devblogs!EH2:EH45,"&lt;="&amp;C4)))</f>
        <v>15 - 17</v>
      </c>
    </row>
    <row r="5" spans="1:9" ht="15" x14ac:dyDescent="0.2">
      <c r="A5" s="6" t="str">
        <f>CONCATENATE(Updates!A19," #2")</f>
        <v>1.59 #2</v>
      </c>
      <c r="B5" s="402"/>
      <c r="C5" s="35">
        <v>42520</v>
      </c>
      <c r="D5" s="162">
        <v>0.83333333333333337</v>
      </c>
      <c r="E5" s="162">
        <v>0.78472222222222221</v>
      </c>
      <c r="F5" s="165" t="str">
        <f t="shared" si="0"/>
        <v>Monday</v>
      </c>
      <c r="G5" s="402"/>
      <c r="H5" s="402"/>
      <c r="I5" s="412"/>
    </row>
    <row r="6" spans="1:9" ht="15" x14ac:dyDescent="0.2">
      <c r="A6" s="13" t="str">
        <f>Updates!A20</f>
        <v>1.61</v>
      </c>
      <c r="B6" s="13" t="str">
        <f>Updates!B20</f>
        <v>Road to Glory</v>
      </c>
      <c r="C6" s="14">
        <v>42581</v>
      </c>
      <c r="D6" s="160">
        <v>0.83333333333333337</v>
      </c>
      <c r="E6" s="160">
        <v>0.71388888888888891</v>
      </c>
      <c r="F6" s="15" t="str">
        <f t="shared" si="0"/>
        <v>Saturday</v>
      </c>
      <c r="G6" s="142" t="s">
        <v>22</v>
      </c>
      <c r="H6" s="142" t="e">
        <f ca="1">_xludf.DAYS(C6,Devblogs!EE2)</f>
        <v>#NAME?</v>
      </c>
      <c r="I6" s="143">
        <f>IF(COUNTIF(Devblogs!EE2:EE45,"&lt;"&amp;C6)=COUNTIF(Devblogs!EE2:EE45,"&lt;="&amp;C6),COUNTIF(Devblogs!EE2:EE45,"&lt;"&amp;C6),CONCATENATE(COUNTIF(Devblogs!EE2:EE45,"&lt;"&amp;C6), " - ",COUNTIF(Devblogs!EE2:EE45,"&lt;="&amp;C6)))</f>
        <v>10</v>
      </c>
    </row>
    <row r="7" spans="1:9" ht="15" x14ac:dyDescent="0.2">
      <c r="A7" s="161" t="str">
        <f>Updates!A21</f>
        <v>1.63</v>
      </c>
      <c r="B7" s="161" t="str">
        <f>Updates!B21</f>
        <v>Desert Hunters</v>
      </c>
      <c r="C7" s="35">
        <v>42628</v>
      </c>
      <c r="D7" s="162">
        <v>0.83333333333333337</v>
      </c>
      <c r="E7" s="162">
        <v>0.78472222222222221</v>
      </c>
      <c r="F7" s="163" t="str">
        <f t="shared" si="0"/>
        <v>Thursday</v>
      </c>
      <c r="G7" s="164" t="s">
        <v>22</v>
      </c>
      <c r="H7" s="164" t="e">
        <f ca="1">_xludf.DAYS(C7,Devblogs!EB2)</f>
        <v>#NAME?</v>
      </c>
      <c r="I7" s="7" t="str">
        <f>IF(COUNTIF(Devblogs!EB2:EB45,"&lt;"&amp;C7)=COUNTIF(Devblogs!EB2:EB45,"&lt;="&amp;C7),COUNTIF(Devblogs!EB2:EB45,"&lt;"&amp;C7),CONCATENATE(COUNTIF(Devblogs!EB2:EB45,"&lt;"&amp;C7), " - ",COUNTIF(Devblogs!EB2:EB45,"&lt;="&amp;C7)))</f>
        <v>10 - 11</v>
      </c>
    </row>
    <row r="8" spans="1:9" ht="30" x14ac:dyDescent="0.2">
      <c r="A8" s="13" t="str">
        <f>Updates!A22</f>
        <v>1.65</v>
      </c>
      <c r="B8" s="13" t="str">
        <f>Updates!B22</f>
        <v>Way of the Samurai</v>
      </c>
      <c r="C8" s="14">
        <v>42714</v>
      </c>
      <c r="D8" s="160">
        <v>0.79166666666666663</v>
      </c>
      <c r="E8" s="160">
        <v>0.71736111111111101</v>
      </c>
      <c r="F8" s="15" t="str">
        <f t="shared" si="0"/>
        <v>Saturday</v>
      </c>
      <c r="G8" s="142" t="s">
        <v>22</v>
      </c>
      <c r="H8" s="142" t="e">
        <f ca="1">_xludf.DAYS(C8,Devblogs!DY2)</f>
        <v>#NAME?</v>
      </c>
      <c r="I8" s="143" t="str">
        <f>IF(COUNTIF(Devblogs!DY2:DY45,"&lt;"&amp;C8)=COUNTIF(Devblogs!DY2:DY45,"&lt;="&amp;C8),COUNTIF(Devblogs!DY2:DY45,"&lt;"&amp;C8),CONCATENATE(COUNTIF(Devblogs!DY2:DY45,"&lt;"&amp;C8), " - ",COUNTIF(Devblogs!DY2:DY45,"&lt;="&amp;C8)))</f>
        <v>18 - 19</v>
      </c>
    </row>
    <row r="9" spans="1:9" ht="15" x14ac:dyDescent="0.2">
      <c r="A9" s="161" t="str">
        <f>Updates!A23</f>
        <v>1.67</v>
      </c>
      <c r="B9" s="161" t="str">
        <f>Updates!B23</f>
        <v>Assault</v>
      </c>
      <c r="C9" s="35">
        <v>42805</v>
      </c>
      <c r="D9" s="162">
        <v>0.79166666666666663</v>
      </c>
      <c r="E9" s="162">
        <v>0.79375000000000007</v>
      </c>
      <c r="F9" s="166" t="str">
        <f t="shared" si="0"/>
        <v>Saturday</v>
      </c>
      <c r="G9" s="164" t="s">
        <v>22</v>
      </c>
      <c r="H9" s="164" t="e">
        <f ca="1">_xludf.DAYS(C9,Devblogs!DV2)</f>
        <v>#NAME?</v>
      </c>
      <c r="I9" s="7">
        <f>IF(COUNTIF(Devblogs!DV2:DV45,"&lt;"&amp;C9)=COUNTIF(Devblogs!DV2:DV45,"&lt;="&amp;C9),COUNTIF(Devblogs!DV2:DV45,"&lt;"&amp;C9),CONCATENATE(COUNTIF(Devblogs!DV2:DV45,"&lt;"&amp;C9), " - ",COUNTIF(Devblogs!DV2:DV45,"&lt;="&amp;C9)))</f>
        <v>18</v>
      </c>
    </row>
    <row r="10" spans="1:9" ht="30" x14ac:dyDescent="0.2">
      <c r="A10" s="13" t="str">
        <f>Updates!A24</f>
        <v>1.69</v>
      </c>
      <c r="B10" s="13" t="str">
        <f>Updates!B24</f>
        <v>Regia Aeronautica</v>
      </c>
      <c r="C10" s="14">
        <v>42873</v>
      </c>
      <c r="D10" s="160">
        <v>0.83333333333333337</v>
      </c>
      <c r="E10" s="160">
        <v>0.82777777777777783</v>
      </c>
      <c r="F10" s="15" t="str">
        <f t="shared" si="0"/>
        <v>Thursday</v>
      </c>
      <c r="G10" s="142" t="s">
        <v>22</v>
      </c>
      <c r="H10" s="142" t="e">
        <f ca="1">_xludf.DAYS(C10,Devblogs!DS2)</f>
        <v>#NAME?</v>
      </c>
      <c r="I10" s="143" t="str">
        <f>IF(COUNTIF(Devblogs!DS2:DS45,"&lt;"&amp;C10)=COUNTIF(Devblogs!DS2:DS45,"&lt;="&amp;C10),COUNTIF(Devblogs!DS2:DS45,"&lt;"&amp;C10),CONCATENATE(COUNTIF(Devblogs!DS2:DS45,"&lt;"&amp;C10), " - ",COUNTIF(Devblogs!DS2:DS45,"&lt;="&amp;C10)))</f>
        <v>9 - 11</v>
      </c>
    </row>
    <row r="11" spans="1:9" ht="15" x14ac:dyDescent="0.2">
      <c r="A11" s="6" t="str">
        <f>CONCATENATE(Updates!A25," #1")</f>
        <v>1.71 #1</v>
      </c>
      <c r="B11" s="423" t="str">
        <f>Updates!B25</f>
        <v>New E.R.A.</v>
      </c>
      <c r="C11" s="35">
        <v>42979</v>
      </c>
      <c r="D11" s="162">
        <v>0.83333333333333337</v>
      </c>
      <c r="E11" s="162">
        <v>0.81111111111111101</v>
      </c>
      <c r="F11" s="167" t="str">
        <f t="shared" si="0"/>
        <v>Friday</v>
      </c>
      <c r="G11" s="428">
        <f>C12-C11</f>
        <v>13</v>
      </c>
      <c r="H11" s="428" t="e">
        <f ca="1">_xludf.DAYS(C11,Devblogs!DP2)</f>
        <v>#NAME?</v>
      </c>
      <c r="I11" s="431" t="str">
        <f>IF(COUNTIF(Devblogs!DP2:DP45,"&lt;"&amp;C11)=COUNTIF(Devblogs!DP2:DP45,"&lt;="&amp;C11),COUNTIF(Devblogs!DP2:DP45,"&lt;"&amp;C11),CONCATENATE(COUNTIF(Devblogs!DP2:DP45,"&lt;"&amp;C11), " - ",COUNTIF(Devblogs!DP2:DP45,"&lt;="&amp;C11)))</f>
        <v>13 - 15</v>
      </c>
    </row>
    <row r="12" spans="1:9" ht="15" x14ac:dyDescent="0.2">
      <c r="A12" s="6" t="str">
        <f>CONCATENATE(Updates!A25," #2")</f>
        <v>1.71 #2</v>
      </c>
      <c r="B12" s="402"/>
      <c r="C12" s="35">
        <v>42992</v>
      </c>
      <c r="D12" s="162">
        <v>0.83333333333333337</v>
      </c>
      <c r="E12" s="162">
        <v>0.80486111111111114</v>
      </c>
      <c r="F12" s="163" t="str">
        <f t="shared" si="0"/>
        <v>Thursday</v>
      </c>
      <c r="G12" s="402"/>
      <c r="H12" s="402"/>
      <c r="I12" s="412"/>
    </row>
    <row r="13" spans="1:9" ht="15" x14ac:dyDescent="0.2">
      <c r="A13" s="13" t="str">
        <f>Updates!A26</f>
        <v>1.73</v>
      </c>
      <c r="B13" s="13" t="str">
        <f>Updates!B26</f>
        <v>Vive la France</v>
      </c>
      <c r="C13" s="14">
        <v>43036</v>
      </c>
      <c r="D13" s="160">
        <v>0.79166666666666663</v>
      </c>
      <c r="E13" s="160">
        <v>0.64722222222222225</v>
      </c>
      <c r="F13" s="15" t="str">
        <f t="shared" si="0"/>
        <v>Saturday</v>
      </c>
      <c r="G13" s="142" t="s">
        <v>22</v>
      </c>
      <c r="H13" s="142" t="e">
        <f ca="1">_xludf.DAYS(C13,Devblogs!DM2)</f>
        <v>#NAME?</v>
      </c>
      <c r="I13" s="143">
        <f>IF(COUNTIF(Devblogs!DM2:DM45,"&lt;"&amp;C13)=COUNTIF(Devblogs!DM2:DM45,"&lt;="&amp;C13),COUNTIF(Devblogs!DM2:DM45,"&lt;"&amp;C13),CONCATENATE(COUNTIF(Devblogs!DM2:DM45,"&lt;"&amp;C13), " - ",COUNTIF(Devblogs!DM2:DM45,"&lt;="&amp;C13)))</f>
        <v>7</v>
      </c>
    </row>
    <row r="14" spans="1:9" ht="15" x14ac:dyDescent="0.2">
      <c r="A14" s="6" t="str">
        <f>CONCATENATE(Updates!A27," #1")</f>
        <v>1.75 #1</v>
      </c>
      <c r="B14" s="423" t="str">
        <f>Updates!B27</f>
        <v>La Résistance</v>
      </c>
      <c r="C14" s="35">
        <v>43082</v>
      </c>
      <c r="D14" s="162">
        <v>0.79166666666666663</v>
      </c>
      <c r="E14" s="162">
        <v>0.78611111111111109</v>
      </c>
      <c r="F14" s="168" t="str">
        <f t="shared" si="0"/>
        <v>Wednesday</v>
      </c>
      <c r="G14" s="428">
        <f>C15-C14</f>
        <v>3</v>
      </c>
      <c r="H14" s="428" t="e">
        <f ca="1">_xludf.DAYS(C14,Devblogs!DJ2)</f>
        <v>#NAME?</v>
      </c>
      <c r="I14" s="431" t="str">
        <f>IF(COUNTIF(Devblogs!DJ2:DJ45,"&lt;"&amp;C14)=COUNTIF(Devblogs!DJ2:DJ45,"&lt;="&amp;C14),COUNTIF(Devblogs!DJ2:DJ45,"&lt;"&amp;C14),CONCATENATE(COUNTIF(Devblogs!DJ2:DJ45,"&lt;"&amp;C14), " - ",COUNTIF(Devblogs!DJ2:DJ45,"&lt;="&amp;C14)))</f>
        <v>9 - 11</v>
      </c>
    </row>
    <row r="15" spans="1:9" ht="15" x14ac:dyDescent="0.2">
      <c r="A15" s="6" t="str">
        <f>CONCATENATE(Updates!A27," #2")</f>
        <v>1.75 #2</v>
      </c>
      <c r="B15" s="402"/>
      <c r="C15" s="35">
        <v>43085</v>
      </c>
      <c r="D15" s="162">
        <v>0.79166666666666663</v>
      </c>
      <c r="E15" s="162">
        <v>0.79166666666666663</v>
      </c>
      <c r="F15" s="166" t="str">
        <f t="shared" si="0"/>
        <v>Saturday</v>
      </c>
      <c r="G15" s="402"/>
      <c r="H15" s="402"/>
      <c r="I15" s="412"/>
    </row>
    <row r="16" spans="1:9" ht="15" x14ac:dyDescent="0.2">
      <c r="A16" s="146" t="str">
        <f>CONCATENATE(Updates!A28," #1")</f>
        <v>1.77 #1</v>
      </c>
      <c r="B16" s="424" t="str">
        <f>Updates!B28</f>
        <v>Advancing Storm</v>
      </c>
      <c r="C16" s="169">
        <v>43163</v>
      </c>
      <c r="D16" s="170">
        <v>0.66666666666666663</v>
      </c>
      <c r="E16" s="170">
        <v>0.6069444444444444</v>
      </c>
      <c r="F16" s="147" t="str">
        <f t="shared" si="0"/>
        <v>Sunday</v>
      </c>
      <c r="G16" s="429">
        <f>C17-C16</f>
        <v>6</v>
      </c>
      <c r="H16" s="429" t="e">
        <f ca="1">_xludf.DAYS(C16,Devblogs!DG2)</f>
        <v>#NAME?</v>
      </c>
      <c r="I16" s="430">
        <f>IF(COUNTIF(Devblogs!DG2:DG45,"&lt;"&amp;C16)=COUNTIF(Devblogs!DG2:DG45,"&lt;="&amp;C16),COUNTIF(Devblogs!DG2:DG45,"&lt;"&amp;C16),CONCATENATE(COUNTIF(Devblogs!DG2:DG45,"&lt;"&amp;C16), " - ",COUNTIF(Devblogs!DG2:DG45,"&lt;="&amp;C16)))</f>
        <v>18</v>
      </c>
    </row>
    <row r="17" spans="1:9" ht="15" x14ac:dyDescent="0.2">
      <c r="A17" s="52" t="str">
        <f>CONCATENATE(Updates!A28," #2")</f>
        <v>1.77 #2</v>
      </c>
      <c r="B17" s="397"/>
      <c r="C17" s="171">
        <v>43169</v>
      </c>
      <c r="D17" s="172">
        <v>0.54166666666666663</v>
      </c>
      <c r="E17" s="172">
        <v>0.5444444444444444</v>
      </c>
      <c r="F17" s="17" t="str">
        <f t="shared" si="0"/>
        <v>Saturday</v>
      </c>
      <c r="G17" s="397"/>
      <c r="H17" s="397"/>
      <c r="I17" s="398"/>
    </row>
    <row r="18" spans="1:9" ht="15" x14ac:dyDescent="0.2">
      <c r="A18" s="6" t="str">
        <f>CONCATENATE(Updates!A29," #1")</f>
        <v>1.79 #1</v>
      </c>
      <c r="B18" s="423" t="str">
        <f>Updates!B29</f>
        <v>Project X</v>
      </c>
      <c r="C18" s="35">
        <v>43253</v>
      </c>
      <c r="D18" s="162">
        <v>0.8125</v>
      </c>
      <c r="E18" s="162">
        <v>0.7993055555555556</v>
      </c>
      <c r="F18" s="166" t="str">
        <f t="shared" si="0"/>
        <v>Saturday</v>
      </c>
      <c r="G18" s="428">
        <f>C19-C18</f>
        <v>7</v>
      </c>
      <c r="H18" s="428" t="e">
        <f ca="1">_xludf.DAYS(C18,Devblogs!DD2)</f>
        <v>#NAME?</v>
      </c>
      <c r="I18" s="431" t="str">
        <f>IF(COUNTIF(Devblogs!DD2:DD45,"&lt;"&amp;C18)=COUNTIF(Devblogs!DD2:DD45,"&lt;="&amp;C18),COUNTIF(Devblogs!DD2:DD45,"&lt;"&amp;C18),CONCATENATE(COUNTIF(Devblogs!DD2:DD45,"&lt;"&amp;C18), " - ",COUNTIF(Devblogs!DD2:DD45,"&lt;="&amp;C18)))</f>
        <v>14 - 15</v>
      </c>
    </row>
    <row r="19" spans="1:9" ht="15" x14ac:dyDescent="0.2">
      <c r="A19" s="6" t="str">
        <f>CONCATENATE(Updates!A29," #2")</f>
        <v>1.79 #2</v>
      </c>
      <c r="B19" s="402"/>
      <c r="C19" s="35">
        <v>43260</v>
      </c>
      <c r="D19" s="162">
        <v>0.79166666666666663</v>
      </c>
      <c r="E19" s="162">
        <v>0.74444444444444446</v>
      </c>
      <c r="F19" s="166" t="str">
        <f t="shared" si="0"/>
        <v>Saturday</v>
      </c>
      <c r="G19" s="402"/>
      <c r="H19" s="402"/>
      <c r="I19" s="412"/>
    </row>
    <row r="20" spans="1:9" ht="15" x14ac:dyDescent="0.2">
      <c r="A20" s="146" t="str">
        <f>CONCATENATE(Updates!A30," #1")</f>
        <v>1.81 #1</v>
      </c>
      <c r="B20" s="424" t="str">
        <f>Updates!B30</f>
        <v>The Valkyries</v>
      </c>
      <c r="C20" s="169">
        <v>43348</v>
      </c>
      <c r="D20" s="170">
        <v>0.83333333333333337</v>
      </c>
      <c r="E20" s="170">
        <v>0.83819444444444446</v>
      </c>
      <c r="F20" s="147" t="str">
        <f t="shared" si="0"/>
        <v>Wednesday</v>
      </c>
      <c r="G20" s="150" t="s">
        <v>22</v>
      </c>
      <c r="H20" s="429" t="e">
        <f ca="1">_xludf.DAYS(C20,Devblogs!DA2)</f>
        <v>#NAME?</v>
      </c>
      <c r="I20" s="430" t="str">
        <f>IF(COUNTIF(Devblogs!DA2:DA45,"&lt;"&amp;C20)=COUNTIF(Devblogs!DA2:DA45,"&lt;="&amp;C20),COUNTIF(Devblogs!DA2:DA45,"&lt;"&amp;C20),CONCATENATE(COUNTIF(Devblogs!DA2:DA45,"&lt;"&amp;C20), " - ",COUNTIF(Devblogs!DA2:DA45,"&lt;="&amp;C20)))</f>
        <v>13 - 14</v>
      </c>
    </row>
    <row r="21" spans="1:9" ht="15" x14ac:dyDescent="0.2">
      <c r="A21" s="20" t="str">
        <f>CONCATENATE(Updates!A30," #2")</f>
        <v>1.81 #2</v>
      </c>
      <c r="B21" s="402"/>
      <c r="C21" s="36">
        <v>43351</v>
      </c>
      <c r="D21" s="173">
        <v>0.75</v>
      </c>
      <c r="E21" s="173">
        <v>0.7416666666666667</v>
      </c>
      <c r="F21" s="19" t="str">
        <f t="shared" si="0"/>
        <v>Saturday</v>
      </c>
      <c r="G21" s="174">
        <f t="shared" ref="G21:G22" si="1">C21-C20</f>
        <v>3</v>
      </c>
      <c r="H21" s="402"/>
      <c r="I21" s="412"/>
    </row>
    <row r="22" spans="1:9" ht="15" x14ac:dyDescent="0.2">
      <c r="A22" s="52" t="str">
        <f>CONCATENATE(Updates!A30," #3")</f>
        <v>1.81 #3</v>
      </c>
      <c r="B22" s="397"/>
      <c r="C22" s="171">
        <v>43358</v>
      </c>
      <c r="D22" s="172">
        <v>0.75</v>
      </c>
      <c r="E22" s="172">
        <v>0.74930555555555556</v>
      </c>
      <c r="F22" s="17" t="str">
        <f t="shared" si="0"/>
        <v>Saturday</v>
      </c>
      <c r="G22" s="153">
        <f t="shared" si="1"/>
        <v>7</v>
      </c>
      <c r="H22" s="397"/>
      <c r="I22" s="398"/>
    </row>
    <row r="23" spans="1:9" ht="30" x14ac:dyDescent="0.2">
      <c r="A23" s="161" t="str">
        <f>Updates!A31</f>
        <v>1.83</v>
      </c>
      <c r="B23" s="161" t="str">
        <f>Updates!B31</f>
        <v>Masters of the Sea</v>
      </c>
      <c r="C23" s="35">
        <v>43389</v>
      </c>
      <c r="D23" s="162">
        <v>0.8125</v>
      </c>
      <c r="E23" s="162">
        <v>0.77569444444444446</v>
      </c>
      <c r="F23" s="175" t="str">
        <f t="shared" si="0"/>
        <v>Tuesday</v>
      </c>
      <c r="G23" s="164" t="s">
        <v>22</v>
      </c>
      <c r="H23" s="164" t="e">
        <f ca="1">_xludf.DAYS(C23,Devblogs!CX2)</f>
        <v>#NAME?</v>
      </c>
      <c r="I23" s="7" t="str">
        <f>IF(COUNTIF(Devblogs!CX2:CX45,"&lt;"&amp;C23)=COUNTIF(Devblogs!CX2:CX45,"&lt;="&amp;C23),COUNTIF(Devblogs!CX2:CX45,"&lt;"&amp;C23),CONCATENATE(COUNTIF(Devblogs!CX2:CX45,"&lt;"&amp;C23), " - ",COUNTIF(Devblogs!CX2:CX45,"&lt;="&amp;C23)))</f>
        <v>5 - 6</v>
      </c>
    </row>
    <row r="24" spans="1:9" ht="15" x14ac:dyDescent="0.2">
      <c r="A24" s="146" t="str">
        <f>CONCATENATE(Updates!A32," #1")</f>
        <v>1.85 #1</v>
      </c>
      <c r="B24" s="424" t="str">
        <f>Updates!B32</f>
        <v>Supersonic</v>
      </c>
      <c r="C24" s="169">
        <v>43444</v>
      </c>
      <c r="D24" s="170">
        <v>0.875</v>
      </c>
      <c r="E24" s="170">
        <v>0.87291666666666667</v>
      </c>
      <c r="F24" s="147" t="str">
        <f t="shared" si="0"/>
        <v>Monday</v>
      </c>
      <c r="G24" s="429">
        <f>C25-C24</f>
        <v>3</v>
      </c>
      <c r="H24" s="429" t="e">
        <f ca="1">_xludf.DAYS(C24,Devblogs!CU2)</f>
        <v>#NAME?</v>
      </c>
      <c r="I24" s="430">
        <f>IF(COUNTIF(Devblogs!CU2:CU45,"&lt;"&amp;C24)=COUNTIF(Devblogs!CU2:CU45,"&lt;="&amp;C24),COUNTIF(Devblogs!CU2:CU45,"&lt;"&amp;C24),CONCATENATE(COUNTIF(Devblogs!CU2:CU45,"&lt;"&amp;C24), " - ",COUNTIF(Devblogs!CU2:CU45,"&lt;="&amp;C24)))</f>
        <v>11</v>
      </c>
    </row>
    <row r="25" spans="1:9" ht="15" x14ac:dyDescent="0.2">
      <c r="A25" s="52" t="str">
        <f>CONCATENATE(Updates!A32," #2")</f>
        <v>1.85 #2</v>
      </c>
      <c r="B25" s="397"/>
      <c r="C25" s="171">
        <v>43447</v>
      </c>
      <c r="D25" s="172">
        <v>0.8125</v>
      </c>
      <c r="E25" s="172">
        <v>0.81041666666666667</v>
      </c>
      <c r="F25" s="17" t="str">
        <f t="shared" si="0"/>
        <v>Thursday</v>
      </c>
      <c r="G25" s="397"/>
      <c r="H25" s="397"/>
      <c r="I25" s="398"/>
    </row>
    <row r="26" spans="1:9" ht="15" x14ac:dyDescent="0.2">
      <c r="A26" s="6" t="str">
        <f>CONCATENATE(Updates!A33," #1")</f>
        <v>1.87 #1</v>
      </c>
      <c r="B26" s="423" t="str">
        <f>Updates!B33</f>
        <v>Locked On</v>
      </c>
      <c r="C26" s="35">
        <v>43526</v>
      </c>
      <c r="D26" s="162">
        <v>0.79166666666666663</v>
      </c>
      <c r="E26" s="162">
        <v>0.75069444444444444</v>
      </c>
      <c r="F26" s="166" t="str">
        <f t="shared" si="0"/>
        <v>Saturday</v>
      </c>
      <c r="G26" s="428">
        <f>C27-C26</f>
        <v>4</v>
      </c>
      <c r="H26" s="428" t="e">
        <f ca="1">_xludf.DAYS(C26,Devblogs!CR2)</f>
        <v>#NAME?</v>
      </c>
      <c r="I26" s="431" t="str">
        <f>IF(COUNTIF(Devblogs!CR2:CR45,"&lt;"&amp;C26)=COUNTIF(Devblogs!CR2:CR45,"&lt;="&amp;C26),COUNTIF(Devblogs!CR2:CR45,"&lt;"&amp;C26),CONCATENATE(COUNTIF(Devblogs!CR2:CR45,"&lt;"&amp;C26), " - ",COUNTIF(Devblogs!CR2:CR45,"&lt;="&amp;C26)))</f>
        <v>14 - 16</v>
      </c>
    </row>
    <row r="27" spans="1:9" ht="15" x14ac:dyDescent="0.2">
      <c r="A27" s="159" t="str">
        <f>CONCATENATE(Updates!A33," #2")</f>
        <v>1.87 #2</v>
      </c>
      <c r="B27" s="402"/>
      <c r="C27" s="35">
        <v>43530</v>
      </c>
      <c r="D27" s="162">
        <v>0.79166666666666663</v>
      </c>
      <c r="E27" s="162">
        <v>0.78541666666666676</v>
      </c>
      <c r="F27" s="168" t="str">
        <f t="shared" si="0"/>
        <v>Wednesday</v>
      </c>
      <c r="G27" s="402"/>
      <c r="H27" s="402"/>
      <c r="I27" s="412"/>
    </row>
    <row r="28" spans="1:9" ht="15" x14ac:dyDescent="0.2">
      <c r="A28" s="176" t="str">
        <f>CONCATENATE(Updates!A34," #1")</f>
        <v>1.89 #1</v>
      </c>
      <c r="B28" s="424" t="str">
        <f>Updates!B34</f>
        <v>Imperial Navy</v>
      </c>
      <c r="C28" s="169">
        <v>43603</v>
      </c>
      <c r="D28" s="170">
        <v>0.79166666666666663</v>
      </c>
      <c r="E28" s="170">
        <v>0.75347222222222221</v>
      </c>
      <c r="F28" s="147" t="str">
        <f t="shared" si="0"/>
        <v>Saturday</v>
      </c>
      <c r="G28" s="429">
        <f>C29-C28</f>
        <v>7</v>
      </c>
      <c r="H28" s="429" t="e">
        <f ca="1">_xludf.DAYS(C28,Devblogs!CO2)</f>
        <v>#NAME?</v>
      </c>
      <c r="I28" s="430">
        <f>IF(COUNTIF(Devblogs!CO2:CO45,"&lt;"&amp;C28)=COUNTIF(Devblogs!CO2:CO45,"&lt;="&amp;C28),COUNTIF(Devblogs!CO2:CO45,"&lt;"&amp;C28),CONCATENATE(COUNTIF(Devblogs!CO2:CO45,"&lt;"&amp;C28), " - ",COUNTIF(Devblogs!CO2:CO45,"&lt;="&amp;C28)))</f>
        <v>12</v>
      </c>
    </row>
    <row r="29" spans="1:9" ht="15" x14ac:dyDescent="0.2">
      <c r="A29" s="177" t="str">
        <f>CONCATENATE(Updates!A34," #2")</f>
        <v>1.89 #2</v>
      </c>
      <c r="B29" s="397"/>
      <c r="C29" s="171">
        <v>43610</v>
      </c>
      <c r="D29" s="172">
        <v>0.79166666666666663</v>
      </c>
      <c r="E29" s="172">
        <v>0.75208333333333333</v>
      </c>
      <c r="F29" s="17" t="str">
        <f t="shared" si="0"/>
        <v>Saturday</v>
      </c>
      <c r="G29" s="397"/>
      <c r="H29" s="397"/>
      <c r="I29" s="398"/>
    </row>
    <row r="30" spans="1:9" ht="15" x14ac:dyDescent="0.2">
      <c r="A30" s="6" t="str">
        <f>CONCATENATE(Updates!A35," #1")</f>
        <v>1.91 #1</v>
      </c>
      <c r="B30" s="423" t="str">
        <f>Updates!B35</f>
        <v>Night Vision</v>
      </c>
      <c r="C30" s="35">
        <v>43708</v>
      </c>
      <c r="D30" s="162">
        <v>0.79166666666666663</v>
      </c>
      <c r="E30" s="162">
        <v>0.74444444444444446</v>
      </c>
      <c r="F30" s="166" t="str">
        <f t="shared" si="0"/>
        <v>Saturday</v>
      </c>
      <c r="G30" s="428">
        <f>C31-C30</f>
        <v>5</v>
      </c>
      <c r="H30" s="428" t="e">
        <f ca="1">_xludf.DAYS(C30,Devblogs!CL2)</f>
        <v>#NAME?</v>
      </c>
      <c r="I30" s="431">
        <f>IF(COUNTIF(Devblogs!CL2:CL45,"&lt;"&amp;C30)=COUNTIF(Devblogs!CL2:CL45,"&lt;="&amp;C30),COUNTIF(Devblogs!CL2:CL45,"&lt;"&amp;C30),CONCATENATE(COUNTIF(Devblogs!CL2:CL45,"&lt;"&amp;C30), " - ",COUNTIF(Devblogs!CL2:CL45,"&lt;="&amp;C30)))</f>
        <v>16</v>
      </c>
    </row>
    <row r="31" spans="1:9" ht="15" x14ac:dyDescent="0.2">
      <c r="A31" s="159" t="str">
        <f>CONCATENATE(Updates!A35," #2")</f>
        <v>1.91 #2</v>
      </c>
      <c r="B31" s="402"/>
      <c r="C31" s="35">
        <v>43713</v>
      </c>
      <c r="D31" s="162">
        <v>0.79166666666666663</v>
      </c>
      <c r="E31" s="162">
        <v>0.76458333333333339</v>
      </c>
      <c r="F31" s="163" t="str">
        <f t="shared" si="0"/>
        <v>Thursday</v>
      </c>
      <c r="G31" s="402"/>
      <c r="H31" s="402"/>
      <c r="I31" s="412"/>
    </row>
    <row r="32" spans="1:9" ht="15" x14ac:dyDescent="0.2">
      <c r="A32" s="13" t="str">
        <f>Updates!A36</f>
        <v>1.93</v>
      </c>
      <c r="B32" s="13" t="str">
        <f>Updates!B36</f>
        <v>Shark Attack</v>
      </c>
      <c r="C32" s="14">
        <v>43762</v>
      </c>
      <c r="D32" s="160">
        <v>0.79166666666666696</v>
      </c>
      <c r="E32" s="160">
        <v>0.73888888888888893</v>
      </c>
      <c r="F32" s="15" t="str">
        <f t="shared" si="0"/>
        <v>Thursday</v>
      </c>
      <c r="G32" s="142" t="s">
        <v>22</v>
      </c>
      <c r="H32" s="142" t="e">
        <f ca="1">_xludf.DAYS(C32,Devblogs!CI2)</f>
        <v>#NAME?</v>
      </c>
      <c r="I32" s="143" t="str">
        <f>IF(COUNTIF(Devblogs!CI2:CI45,"&lt;"&amp;C32)=COUNTIF(Devblogs!CI2:CI45,"&lt;="&amp;C32),COUNTIF(Devblogs!CI2:CI45,"&lt;"&amp;C32),CONCATENATE(COUNTIF(Devblogs!CI2:CI45,"&lt;"&amp;C32), " - ",COUNTIF(Devblogs!CI2:CI45,"&lt;="&amp;C32)))</f>
        <v>8 - 10</v>
      </c>
    </row>
    <row r="33" spans="1:9" ht="15" x14ac:dyDescent="0.2">
      <c r="A33" s="161" t="str">
        <f>Updates!A37</f>
        <v>1.95</v>
      </c>
      <c r="B33" s="161" t="str">
        <f>Updates!B37</f>
        <v>Northern Wind</v>
      </c>
      <c r="C33" s="35">
        <v>43811</v>
      </c>
      <c r="D33" s="162">
        <v>0.79166666666666696</v>
      </c>
      <c r="E33" s="162">
        <v>0.76597222222222217</v>
      </c>
      <c r="F33" s="163" t="str">
        <f t="shared" si="0"/>
        <v>Thursday</v>
      </c>
      <c r="G33" s="164" t="s">
        <v>22</v>
      </c>
      <c r="H33" s="164" t="e">
        <f ca="1">_xludf.DAYS(C33,Devblogs!CF2)</f>
        <v>#NAME?</v>
      </c>
      <c r="I33" s="7" t="str">
        <f>IF(COUNTIF(Devblogs!CF2:CF45,"&lt;"&amp;C33)=COUNTIF(Devblogs!CF2:CF45,"&lt;="&amp;C33),COUNTIF(Devblogs!CF2:CF45,"&lt;"&amp;C33),CONCATENATE(COUNTIF(Devblogs!CF2:CF45,"&lt;"&amp;C33), " - ",COUNTIF(Devblogs!CF2:CF45,"&lt;="&amp;C33)))</f>
        <v>13 - 14</v>
      </c>
    </row>
    <row r="34" spans="1:9" ht="15" x14ac:dyDescent="0.2">
      <c r="A34" s="146" t="str">
        <f>CONCATENATE(Updates!A38," #1")</f>
        <v>1.97 #1</v>
      </c>
      <c r="B34" s="424" t="str">
        <f>Updates!B38</f>
        <v>Viking Fury</v>
      </c>
      <c r="C34" s="169">
        <v>43893</v>
      </c>
      <c r="D34" s="170">
        <v>0.79166666666666696</v>
      </c>
      <c r="E34" s="170">
        <v>0.7597222222222223</v>
      </c>
      <c r="F34" s="147" t="str">
        <f t="shared" si="0"/>
        <v>Tuesday</v>
      </c>
      <c r="G34" s="429">
        <f>C35-C34</f>
        <v>4</v>
      </c>
      <c r="H34" s="429" t="e">
        <f ca="1">_xludf.DAYS(C34,Devblogs!CC2)</f>
        <v>#NAME?</v>
      </c>
      <c r="I34" s="430" t="str">
        <f>IF(COUNTIF(Devblogs!CC2:CC45,"&lt;"&amp;C34)=COUNTIF(Devblogs!CC2:CC45,"&lt;="&amp;C34),COUNTIF(Devblogs!CC2:CC45,"&lt;"&amp;C34),CONCATENATE(COUNTIF(Devblogs!CC2:CC45,"&lt;"&amp;C34), " - ",COUNTIF(Devblogs!CC2:CC45,"&lt;="&amp;C34)))</f>
        <v>13 - 14</v>
      </c>
    </row>
    <row r="35" spans="1:9" ht="15" x14ac:dyDescent="0.2">
      <c r="A35" s="52" t="str">
        <f>CONCATENATE(Updates!A38," #2")</f>
        <v>1.97 #2</v>
      </c>
      <c r="B35" s="397"/>
      <c r="C35" s="171">
        <v>43897</v>
      </c>
      <c r="D35" s="172">
        <v>0.79166666666666696</v>
      </c>
      <c r="E35" s="172">
        <v>0.69513888888888886</v>
      </c>
      <c r="F35" s="17" t="str">
        <f t="shared" si="0"/>
        <v>Saturday</v>
      </c>
      <c r="G35" s="397"/>
      <c r="H35" s="397"/>
      <c r="I35" s="398"/>
    </row>
    <row r="36" spans="1:9" ht="15" x14ac:dyDescent="0.2">
      <c r="A36" s="6" t="str">
        <f>CONCATENATE(Updates!A39," #1")</f>
        <v>1.99 #1</v>
      </c>
      <c r="B36" s="423" t="str">
        <f>Updates!B39</f>
        <v>Starfighters</v>
      </c>
      <c r="C36" s="35">
        <v>43967</v>
      </c>
      <c r="D36" s="162">
        <v>0.79166666666666663</v>
      </c>
      <c r="E36" s="162">
        <v>0.70624999999999993</v>
      </c>
      <c r="F36" s="166" t="str">
        <f t="shared" si="0"/>
        <v>Saturday</v>
      </c>
      <c r="G36" s="428">
        <f>C37-C36</f>
        <v>5</v>
      </c>
      <c r="H36" s="428" t="e">
        <f ca="1">_xludf.DAYS(C36,Devblogs!BZ2)</f>
        <v>#NAME?</v>
      </c>
      <c r="I36" s="431" t="str">
        <f>IF(COUNTIF(Devblogs!BZ2:BZ45,"&lt;"&amp;C36)=COUNTIF(Devblogs!BZ2:BZ45,"&lt;="&amp;C36),COUNTIF(Devblogs!BZ2:BZ45,"&lt;"&amp;C36),CONCATENATE(COUNTIF(Devblogs!BZ2:BZ45,"&lt;"&amp;C36), " - ",COUNTIF(Devblogs!BZ2:BZ45,"&lt;="&amp;C36)))</f>
        <v>10 - 11</v>
      </c>
    </row>
    <row r="37" spans="1:9" ht="15" x14ac:dyDescent="0.2">
      <c r="A37" s="6" t="str">
        <f>CONCATENATE(Updates!A39," #2")</f>
        <v>1.99 #2</v>
      </c>
      <c r="B37" s="402"/>
      <c r="C37" s="35">
        <v>43972</v>
      </c>
      <c r="D37" s="162">
        <v>0.79166666666666663</v>
      </c>
      <c r="E37" s="162">
        <v>0.74305555555555547</v>
      </c>
      <c r="F37" s="163" t="str">
        <f t="shared" si="0"/>
        <v>Thursday</v>
      </c>
      <c r="G37" s="402"/>
      <c r="H37" s="402"/>
      <c r="I37" s="412"/>
    </row>
    <row r="38" spans="1:9" ht="15" x14ac:dyDescent="0.2">
      <c r="A38" s="178" t="str">
        <f>CONCATENATE(Updates!A40," #1")</f>
        <v>1.101 #1</v>
      </c>
      <c r="B38" s="424" t="str">
        <f>Updates!B40</f>
        <v>Raining Fire</v>
      </c>
      <c r="C38" s="169">
        <v>44065</v>
      </c>
      <c r="D38" s="170">
        <v>0.79166666666666663</v>
      </c>
      <c r="E38" s="170">
        <v>0.79791666666666661</v>
      </c>
      <c r="F38" s="147" t="str">
        <f t="shared" si="0"/>
        <v>Saturday</v>
      </c>
      <c r="G38" s="429">
        <f>C39-C38</f>
        <v>4</v>
      </c>
      <c r="H38" s="429" t="e">
        <f ca="1">_xludf.DAYS(C38,Devblogs!BW2)</f>
        <v>#NAME?</v>
      </c>
      <c r="I38" s="430">
        <f>IF(COUNTIF(Devblogs!BW2:BW45,"&lt;"&amp;C38)=COUNTIF(Devblogs!BW2:BW45,"&lt;="&amp;C38),COUNTIF(Devblogs!BW2:BW45,"&lt;"&amp;C38),CONCATENATE(COUNTIF(Devblogs!BW2:BW45,"&lt;"&amp;C38), " - ",COUNTIF(Devblogs!BW2:BW45,"&lt;="&amp;C38)))</f>
        <v>5</v>
      </c>
    </row>
    <row r="39" spans="1:9" ht="15" x14ac:dyDescent="0.2">
      <c r="A39" s="179" t="str">
        <f>CONCATENATE(Updates!A40," #2")</f>
        <v>1.101 #2</v>
      </c>
      <c r="B39" s="397"/>
      <c r="C39" s="171">
        <v>44069</v>
      </c>
      <c r="D39" s="172">
        <v>0.79166666666666663</v>
      </c>
      <c r="E39" s="172">
        <v>0.76111111111111107</v>
      </c>
      <c r="F39" s="17" t="str">
        <f t="shared" si="0"/>
        <v>Wednesday</v>
      </c>
      <c r="G39" s="397"/>
      <c r="H39" s="397"/>
      <c r="I39" s="398"/>
    </row>
    <row r="40" spans="1:9" ht="15" x14ac:dyDescent="0.2">
      <c r="A40" s="159" t="str">
        <f>CONCATENATE(Updates!A41," #1")</f>
        <v>2.1 #1</v>
      </c>
      <c r="B40" s="423" t="str">
        <f>Updates!B41</f>
        <v>New Power</v>
      </c>
      <c r="C40" s="35">
        <v>44138</v>
      </c>
      <c r="D40" s="162">
        <v>0.8125</v>
      </c>
      <c r="E40" s="162">
        <v>0.80138888888888893</v>
      </c>
      <c r="F40" s="175" t="str">
        <f t="shared" si="0"/>
        <v>Tuesday</v>
      </c>
      <c r="G40" s="428">
        <f>C41-C40</f>
        <v>7</v>
      </c>
      <c r="H40" s="428" t="e">
        <f ca="1">_xludf.DAYS(C40,Devblogs!BT2)</f>
        <v>#NAME?</v>
      </c>
      <c r="I40" s="431" t="str">
        <f>IF(COUNTIF(Devblogs!BT2:BT45,"&lt;"&amp;C40)=COUNTIF(Devblogs!BT2:BT45,"&lt;="&amp;C40),COUNTIF(Devblogs!BT2:BT45,"&lt;"&amp;C40),CONCATENATE(COUNTIF(Devblogs!BT2:BT45,"&lt;"&amp;C40), " - ",COUNTIF(Devblogs!BT2:BT45,"&lt;="&amp;C40)))</f>
        <v>13 - 14</v>
      </c>
    </row>
    <row r="41" spans="1:9" ht="15" x14ac:dyDescent="0.2">
      <c r="A41" s="159" t="str">
        <f>CONCATENATE(Updates!A41," #2")</f>
        <v>2.1 #2</v>
      </c>
      <c r="B41" s="402"/>
      <c r="C41" s="51">
        <v>44145</v>
      </c>
      <c r="D41" s="162">
        <v>0.79166666666666663</v>
      </c>
      <c r="E41" s="162">
        <v>0.76111111111111107</v>
      </c>
      <c r="F41" s="175" t="str">
        <f t="shared" si="0"/>
        <v>Tuesday</v>
      </c>
      <c r="G41" s="402"/>
      <c r="H41" s="402"/>
      <c r="I41" s="412"/>
    </row>
    <row r="42" spans="1:9" ht="15" x14ac:dyDescent="0.2">
      <c r="A42" s="15">
        <f>Updates!A42</f>
        <v>2.2999999999999998</v>
      </c>
      <c r="B42" s="15" t="str">
        <f>Updates!B42</f>
        <v>Hot Tracks</v>
      </c>
      <c r="C42" s="55">
        <v>44177</v>
      </c>
      <c r="D42" s="180">
        <v>0.83333333333333337</v>
      </c>
      <c r="E42" s="180">
        <v>0.73750000000000004</v>
      </c>
      <c r="F42" s="15" t="str">
        <f t="shared" si="0"/>
        <v>Saturday</v>
      </c>
      <c r="G42" s="142" t="s">
        <v>22</v>
      </c>
      <c r="H42" s="142" t="e">
        <f ca="1">_xludf.DAYS(C42,Devblogs!BQ2)</f>
        <v>#NAME?</v>
      </c>
      <c r="I42" s="143" t="str">
        <f>IF(COUNTIF(Devblogs!BQ2:BQ45,"&lt;"&amp;C42)=COUNTIF(Devblogs!BQ2:BQ45,"&lt;="&amp;C42),COUNTIF(Devblogs!BQ2:BQ45,"&lt;"&amp;C42),CONCATENATE(COUNTIF(Devblogs!BQ2:BQ45,"&lt;"&amp;C42), " - ",COUNTIF(Devblogs!BQ2:BQ45,"&lt;="&amp;C42)))</f>
        <v>5 - 6</v>
      </c>
    </row>
    <row r="43" spans="1:9" ht="15" x14ac:dyDescent="0.2">
      <c r="A43" s="5" t="str">
        <f>CONCATENATE(Updates!A43," #1")</f>
        <v>2.5 #1</v>
      </c>
      <c r="B43" s="425" t="str">
        <f>Updates!B43</f>
        <v>Ixwa Strike</v>
      </c>
      <c r="C43" s="51">
        <v>44248</v>
      </c>
      <c r="D43" s="181">
        <v>0.79166666666666663</v>
      </c>
      <c r="E43" s="181">
        <v>0.72916666666666663</v>
      </c>
      <c r="F43" s="5" t="str">
        <f t="shared" si="0"/>
        <v>Sunday</v>
      </c>
      <c r="G43" s="428">
        <f>C44-C43</f>
        <v>10</v>
      </c>
      <c r="H43" s="428" t="e">
        <f ca="1">_xludf.DAYS(C43,Devblogs!BN2)</f>
        <v>#NAME?</v>
      </c>
      <c r="I43" s="431">
        <f>IF(COUNTIF(Devblogs!BN2:BN45,"&lt;"&amp;C43)=COUNTIF(Devblogs!BN2:BN45,"&lt;="&amp;C43),COUNTIF(Devblogs!BN2:BN45,"&lt;"&amp;C43),CONCATENATE(COUNTIF(Devblogs!BN2:BN45,"&lt;"&amp;C43), " - ",COUNTIF(Devblogs!BN2:BN45,"&lt;="&amp;C43)))</f>
        <v>6</v>
      </c>
    </row>
    <row r="44" spans="1:9" ht="15" x14ac:dyDescent="0.2">
      <c r="A44" s="59" t="str">
        <f>CONCATENATE(Updates!A43," #2")</f>
        <v>2.5 #2</v>
      </c>
      <c r="B44" s="397"/>
      <c r="C44" s="60">
        <v>44258</v>
      </c>
      <c r="D44" s="182">
        <v>0.79166666666666663</v>
      </c>
      <c r="E44" s="182">
        <v>0.7993055555555556</v>
      </c>
      <c r="F44" s="59" t="str">
        <f t="shared" si="0"/>
        <v>Wednesday</v>
      </c>
      <c r="G44" s="397"/>
      <c r="H44" s="397"/>
      <c r="I44" s="412"/>
    </row>
    <row r="45" spans="1:9" ht="15" x14ac:dyDescent="0.2">
      <c r="A45" s="19" t="str">
        <f>CONCATENATE(Updates!A44," #1")</f>
        <v>2.7 #1</v>
      </c>
      <c r="B45" s="426" t="str">
        <f>Updates!B44</f>
        <v>Red Skies</v>
      </c>
      <c r="C45" s="56">
        <v>44338</v>
      </c>
      <c r="D45" s="183">
        <v>0.79166666666666663</v>
      </c>
      <c r="E45" s="183">
        <v>0.75416666666666665</v>
      </c>
      <c r="F45" s="147" t="str">
        <f t="shared" si="0"/>
        <v>Saturday</v>
      </c>
      <c r="G45" s="429">
        <f>C46-C45</f>
        <v>4</v>
      </c>
      <c r="H45" s="429" t="e">
        <f ca="1">_xludf.DAYS(C45,Devblogs!BK2)</f>
        <v>#NAME?</v>
      </c>
      <c r="I45" s="430">
        <f>IF(COUNTIF(Devblogs!BK2:BK45,"&lt;"&amp;C45)=COUNTIF(Devblogs!BK2:BK45,"&lt;="&amp;C45),COUNTIF(Devblogs!BK2:BK45,"&lt;"&amp;C45),CONCATENATE(COUNTIF(Devblogs!BK2:BK45,"&lt;"&amp;C45), " - ",COUNTIF(Devblogs!BK2:BK45,"&lt;="&amp;C45)))</f>
        <v>8</v>
      </c>
    </row>
    <row r="46" spans="1:9" ht="15" x14ac:dyDescent="0.2">
      <c r="A46" s="184" t="str">
        <f>CONCATENATE(Updates!A44," #2")</f>
        <v>2.7 #2</v>
      </c>
      <c r="B46" s="397"/>
      <c r="C46" s="185">
        <v>44342</v>
      </c>
      <c r="D46" s="186">
        <v>0.875</v>
      </c>
      <c r="E46" s="186">
        <v>0.82430555555555551</v>
      </c>
      <c r="F46" s="113" t="str">
        <f t="shared" si="0"/>
        <v>Wednesday</v>
      </c>
      <c r="G46" s="397"/>
      <c r="H46" s="397"/>
      <c r="I46" s="398"/>
    </row>
    <row r="47" spans="1:9" ht="15" x14ac:dyDescent="0.2">
      <c r="A47" s="5" t="str">
        <f>CONCATENATE(Updates!A45," #1")</f>
        <v>2.9 #1</v>
      </c>
      <c r="B47" s="425" t="str">
        <f>Updates!B45</f>
        <v>Direct Hit</v>
      </c>
      <c r="C47" s="51">
        <v>44436</v>
      </c>
      <c r="D47" s="181">
        <v>0.70833333333333337</v>
      </c>
      <c r="E47" s="181">
        <v>0.69513888888888886</v>
      </c>
      <c r="F47" s="5" t="str">
        <f t="shared" si="0"/>
        <v>Saturday</v>
      </c>
      <c r="G47" s="428">
        <f>C48-C47</f>
        <v>4</v>
      </c>
      <c r="H47" s="428" t="e">
        <f ca="1">_xludf.DAYS(C47,Devblogs!BH2)</f>
        <v>#NAME?</v>
      </c>
      <c r="I47" s="431">
        <f>IF(COUNTIF(Devblogs!BH2:BH45,"&lt;"&amp;C47)=COUNTIF(Devblogs!BH2:BH45,"&lt;="&amp;C47),COUNTIF(Devblogs!BH2:BH45,"&lt;"&amp;C47),CONCATENATE(COUNTIF(Devblogs!BH2:BH45,"&lt;"&amp;C47), " - ",COUNTIF(Devblogs!BH2:BH45,"&lt;="&amp;C47)))</f>
        <v>9</v>
      </c>
    </row>
    <row r="48" spans="1:9" ht="15" x14ac:dyDescent="0.2">
      <c r="A48" s="59" t="str">
        <f>CONCATENATE(Updates!A45," #2")</f>
        <v>2.9 #2</v>
      </c>
      <c r="B48" s="397"/>
      <c r="C48" s="60">
        <v>44440</v>
      </c>
      <c r="D48" s="182">
        <v>0.54166666666666663</v>
      </c>
      <c r="E48" s="182">
        <v>0.5493055555555556</v>
      </c>
      <c r="F48" s="59" t="str">
        <f t="shared" si="0"/>
        <v>Wednesday</v>
      </c>
      <c r="G48" s="397"/>
      <c r="H48" s="397"/>
      <c r="I48" s="412"/>
    </row>
    <row r="49" spans="1:9" ht="15" x14ac:dyDescent="0.2">
      <c r="A49" s="19" t="str">
        <f>CONCATENATE(Updates!A46," #1")</f>
        <v>2.11 #1</v>
      </c>
      <c r="B49" s="426" t="str">
        <f>Updates!B46</f>
        <v>Ground Breaking</v>
      </c>
      <c r="C49" s="56">
        <v>44484</v>
      </c>
      <c r="D49" s="183">
        <v>0.66666666666666663</v>
      </c>
      <c r="E49" s="183">
        <v>0.72361111111111109</v>
      </c>
      <c r="F49" s="147" t="str">
        <f t="shared" si="0"/>
        <v>Friday</v>
      </c>
      <c r="G49" s="150" t="s">
        <v>22</v>
      </c>
      <c r="H49" s="429" t="e">
        <f ca="1">_xludf.DAYS(C49,Devblogs!BE2)</f>
        <v>#NAME?</v>
      </c>
      <c r="I49" s="430" t="str">
        <f>IF(COUNTIF(Devblogs!BE2:BE45,"&lt;"&amp;C49)=COUNTIF(Devblogs!BE2:BE45,"&lt;="&amp;C49),COUNTIF(Devblogs!BE2:BE45,"&lt;"&amp;C49),CONCATENATE(COUNTIF(Devblogs!BE2:BE45,"&lt;"&amp;C49), " - ",COUNTIF(Devblogs!BE2:BE45,"&lt;="&amp;C49)))</f>
        <v>5 - 7</v>
      </c>
    </row>
    <row r="50" spans="1:9" ht="15" x14ac:dyDescent="0.2">
      <c r="A50" s="187" t="str">
        <f>CONCATENATE(Updates!A46," #2")</f>
        <v>2.11 #2</v>
      </c>
      <c r="B50" s="402"/>
      <c r="C50" s="188">
        <v>44489</v>
      </c>
      <c r="D50" s="189">
        <v>0.45833333333333331</v>
      </c>
      <c r="E50" s="189">
        <v>0.47152777777777777</v>
      </c>
      <c r="F50" s="187" t="str">
        <f t="shared" si="0"/>
        <v>Wednesday</v>
      </c>
      <c r="G50" s="174">
        <f t="shared" ref="G50:G51" si="2">C50-C49</f>
        <v>5</v>
      </c>
      <c r="H50" s="402"/>
      <c r="I50" s="412"/>
    </row>
    <row r="51" spans="1:9" ht="15" x14ac:dyDescent="0.2">
      <c r="A51" s="184" t="str">
        <f>CONCATENATE(Updates!A46," #3")</f>
        <v>2.11 #3</v>
      </c>
      <c r="B51" s="397"/>
      <c r="C51" s="185">
        <v>44490</v>
      </c>
      <c r="D51" s="186">
        <v>0.75</v>
      </c>
      <c r="E51" s="186">
        <v>0.75972222222222219</v>
      </c>
      <c r="F51" s="184" t="str">
        <f t="shared" si="0"/>
        <v>Thursday</v>
      </c>
      <c r="G51" s="153">
        <f t="shared" si="2"/>
        <v>1</v>
      </c>
      <c r="H51" s="397"/>
      <c r="I51" s="398"/>
    </row>
    <row r="52" spans="1:9" ht="15" x14ac:dyDescent="0.2">
      <c r="A52" s="103" t="str">
        <f>CONCATENATE(Updates!A47," #1")</f>
        <v>2.13 #1</v>
      </c>
      <c r="B52" s="425" t="str">
        <f>Updates!B47</f>
        <v>Winged Lions</v>
      </c>
      <c r="C52" s="190">
        <v>44533</v>
      </c>
      <c r="D52" s="191">
        <v>0.66666666666666663</v>
      </c>
      <c r="E52" s="191">
        <v>0.67152777777777772</v>
      </c>
      <c r="F52" s="5" t="str">
        <f t="shared" si="0"/>
        <v>Friday</v>
      </c>
      <c r="G52" s="428">
        <f>C53-C52</f>
        <v>5</v>
      </c>
      <c r="H52" s="428" t="e">
        <f ca="1">_xludf.DAYS(C52,Devblogs!BB2)</f>
        <v>#NAME?</v>
      </c>
      <c r="I52" s="431" t="str">
        <f>IF(COUNTIF(Devblogs!BB2:BB45,"&lt;"&amp;C52)=COUNTIF(Devblogs!BB2:BB45,"&lt;="&amp;C52),COUNTIF(Devblogs!BB2:BB45,"&lt;"&amp;C52),CONCATENATE(COUNTIF(Devblogs!BB2:BB45,"&lt;"&amp;C52), " - ",COUNTIF(Devblogs!BB2:BB45,"&lt;="&amp;C52)))</f>
        <v>5 - 7</v>
      </c>
    </row>
    <row r="53" spans="1:9" ht="15" x14ac:dyDescent="0.2">
      <c r="A53" s="59" t="str">
        <f>CONCATENATE(Updates!A47," #2")</f>
        <v>2.13 #2</v>
      </c>
      <c r="B53" s="397"/>
      <c r="C53" s="60">
        <v>44538</v>
      </c>
      <c r="D53" s="182">
        <v>0.5</v>
      </c>
      <c r="E53" s="182">
        <v>0.50138888888888888</v>
      </c>
      <c r="F53" s="59" t="str">
        <f t="shared" si="0"/>
        <v>Wednesday</v>
      </c>
      <c r="G53" s="397"/>
      <c r="H53" s="397"/>
      <c r="I53" s="412"/>
    </row>
    <row r="54" spans="1:9" ht="15" x14ac:dyDescent="0.2">
      <c r="A54" s="19" t="str">
        <f>CONCATENATE(Updates!A48," #1")</f>
        <v>2.15 #1</v>
      </c>
      <c r="B54" s="426" t="str">
        <f>Updates!B48</f>
        <v>Wind of Change</v>
      </c>
      <c r="C54" s="56">
        <v>44631</v>
      </c>
      <c r="D54" s="183">
        <v>0.66666666666666663</v>
      </c>
      <c r="E54" s="183">
        <v>0.67013888888888884</v>
      </c>
      <c r="F54" s="147" t="str">
        <f t="shared" si="0"/>
        <v>Friday</v>
      </c>
      <c r="G54" s="429">
        <f>C55-C54</f>
        <v>5</v>
      </c>
      <c r="H54" s="429" t="e">
        <f ca="1">_xludf.DAYS(C54,Devblogs!AY2)</f>
        <v>#NAME?</v>
      </c>
      <c r="I54" s="430" t="str">
        <f>IF(COUNTIF(Devblogs!AY2:AY45,"&lt;"&amp;C54)=COUNTIF(Devblogs!AY2:AY45,"&lt;="&amp;C54),COUNTIF(Devblogs!AY2:AY45,"&lt;"&amp;C54),CONCATENATE(COUNTIF(Devblogs!AY2:AY45,"&lt;"&amp;C54), " - ",COUNTIF(Devblogs!AY2:AY45,"&lt;="&amp;C54)))</f>
        <v>6 - 8</v>
      </c>
    </row>
    <row r="55" spans="1:9" ht="15" x14ac:dyDescent="0.2">
      <c r="A55" s="184" t="str">
        <f>CONCATENATE(Updates!A48," #2")</f>
        <v>2.15 #2</v>
      </c>
      <c r="B55" s="397"/>
      <c r="C55" s="185">
        <v>44636</v>
      </c>
      <c r="D55" s="186">
        <v>0.66666666666666663</v>
      </c>
      <c r="E55" s="186">
        <v>0.69027777777777777</v>
      </c>
      <c r="F55" s="113" t="str">
        <f t="shared" si="0"/>
        <v>Wednesday</v>
      </c>
      <c r="G55" s="397"/>
      <c r="H55" s="397"/>
      <c r="I55" s="398"/>
    </row>
    <row r="56" spans="1:9" ht="15" x14ac:dyDescent="0.2">
      <c r="A56" s="103" t="str">
        <f>CONCATENATE(Updates!A49," #1")</f>
        <v>2.17 #1</v>
      </c>
      <c r="B56" s="425" t="str">
        <f>Updates!B49</f>
        <v>Danger Zone</v>
      </c>
      <c r="C56" s="190">
        <v>44708</v>
      </c>
      <c r="D56" s="191">
        <v>0.75</v>
      </c>
      <c r="E56" s="191">
        <v>0.7583333333333333</v>
      </c>
      <c r="F56" s="5" t="str">
        <f t="shared" si="0"/>
        <v>Friday</v>
      </c>
      <c r="G56" s="428">
        <f>C57-C56</f>
        <v>7</v>
      </c>
      <c r="H56" s="428" t="e">
        <f ca="1">_xludf.DAYS(C56,Devblogs!AV2)</f>
        <v>#NAME?</v>
      </c>
      <c r="I56" s="431" t="str">
        <f>IF(COUNTIF(Devblogs!AV2:AV45,"&lt;"&amp;C56)=COUNTIF(Devblogs!AV2:AV45,"&lt;="&amp;C56),COUNTIF(Devblogs!AV2:AV45,"&lt;"&amp;C56),CONCATENATE(COUNTIF(Devblogs!AV2:AV45,"&lt;"&amp;C56), " - ",COUNTIF(Devblogs!AV2:AV45,"&lt;="&amp;C56)))</f>
        <v>8 - 9</v>
      </c>
    </row>
    <row r="57" spans="1:9" ht="15" x14ac:dyDescent="0.2">
      <c r="A57" s="59" t="str">
        <f>CONCATENATE(Updates!A49," #2")</f>
        <v>2.17 #2</v>
      </c>
      <c r="B57" s="397"/>
      <c r="C57" s="60">
        <v>44715</v>
      </c>
      <c r="D57" s="182">
        <v>0.66666666666666663</v>
      </c>
      <c r="E57" s="182">
        <v>0.66736111111111107</v>
      </c>
      <c r="F57" s="59" t="str">
        <f t="shared" si="0"/>
        <v>Friday</v>
      </c>
      <c r="G57" s="397"/>
      <c r="H57" s="397"/>
      <c r="I57" s="398"/>
    </row>
    <row r="58" spans="1:9" ht="15" x14ac:dyDescent="0.2">
      <c r="A58" s="19">
        <f>Updates!A50</f>
        <v>2.19</v>
      </c>
      <c r="B58" s="19" t="str">
        <f>Updates!B50</f>
        <v>Drone Age</v>
      </c>
      <c r="C58" s="53">
        <v>44806</v>
      </c>
      <c r="D58" s="192">
        <v>0.75</v>
      </c>
      <c r="E58" s="192">
        <v>0.75555555555555554</v>
      </c>
      <c r="F58" s="15" t="str">
        <f t="shared" si="0"/>
        <v>Friday</v>
      </c>
      <c r="G58" s="142" t="s">
        <v>22</v>
      </c>
      <c r="H58" s="142" t="e">
        <f ca="1">_xludf.DAYS(C58,Devblogs!AS2)</f>
        <v>#NAME?</v>
      </c>
      <c r="I58" s="143" t="str">
        <f>IF(COUNTIF(Devblogs!AS2:AS45,"&lt;"&amp;C58)=COUNTIF(Devblogs!AS2:AS45,"&lt;="&amp;C58),COUNTIF(Devblogs!AS2:AS45,"&lt;"&amp;C58),CONCATENATE(COUNTIF(Devblogs!AS2:AS45,"&lt;"&amp;C58), " - ",COUNTIF(Devblogs!AS2:AS45,"&lt;="&amp;C58)))</f>
        <v>12 - 14</v>
      </c>
    </row>
    <row r="59" spans="1:9" ht="15" x14ac:dyDescent="0.2">
      <c r="A59" s="103">
        <f>Updates!A51</f>
        <v>2.21</v>
      </c>
      <c r="B59" s="103" t="str">
        <f>Updates!B51</f>
        <v>Fire and Ice</v>
      </c>
      <c r="C59" s="49">
        <v>44848</v>
      </c>
      <c r="D59" s="193">
        <v>0.70833333333333337</v>
      </c>
      <c r="E59" s="193">
        <v>0.72361111111111109</v>
      </c>
      <c r="F59" s="59" t="str">
        <f t="shared" si="0"/>
        <v>Friday</v>
      </c>
      <c r="G59" s="194" t="s">
        <v>22</v>
      </c>
      <c r="H59" s="194" t="e">
        <f ca="1">_xludf.DAYS(C59,Devblogs!AP2)</f>
        <v>#NAME?</v>
      </c>
      <c r="I59" s="116" t="str">
        <f>IF(COUNTIF(Devblogs!AP2:AP45,"&lt;"&amp;C59)=COUNTIF(Devblogs!AP2:AP45,"&lt;="&amp;C59),COUNTIF(Devblogs!AP2:AP45,"&lt;"&amp;C59),CONCATENATE(COUNTIF(Devblogs!AP2:AP45,"&lt;"&amp;C59), " - ",COUNTIF(Devblogs!AP2:AP45,"&lt;="&amp;C59)))</f>
        <v>2 - 4</v>
      </c>
    </row>
    <row r="60" spans="1:9" ht="15" x14ac:dyDescent="0.2">
      <c r="A60" s="147">
        <f>Updates!A52</f>
        <v>2.23</v>
      </c>
      <c r="B60" s="147" t="str">
        <f>Updates!B52</f>
        <v>Apex Predators</v>
      </c>
      <c r="C60" s="53">
        <v>44904</v>
      </c>
      <c r="D60" s="192">
        <v>0.66666666666666663</v>
      </c>
      <c r="E60" s="192">
        <v>0.67291666666666672</v>
      </c>
      <c r="F60" s="15" t="str">
        <f t="shared" si="0"/>
        <v>Friday</v>
      </c>
      <c r="G60" s="195" t="s">
        <v>22</v>
      </c>
      <c r="H60" s="142" t="e">
        <f ca="1">_xludf.DAYS(C60,Devblogs!AM2)</f>
        <v>#NAME?</v>
      </c>
      <c r="I60" s="143" t="str">
        <f>IF(COUNTIF(Devblogs!AM2:AM45,"&lt;"&amp;C60)=COUNTIF(Devblogs!AM2:AM45,"&lt;="&amp;C60),COUNTIF(Devblogs!AM2:AM45,"&lt;"&amp;C60),CONCATENATE(COUNTIF(Devblogs!AM2:AM45,"&lt;"&amp;C60), " - ",COUNTIF(Devblogs!AM2:AM45,"&lt;="&amp;C60)))</f>
        <v>6 - 8</v>
      </c>
    </row>
    <row r="61" spans="1:9" ht="15" x14ac:dyDescent="0.2">
      <c r="A61" s="103">
        <f>Updates!A53</f>
        <v>2.25</v>
      </c>
      <c r="B61" s="103" t="str">
        <f>Updates!B53</f>
        <v>Sky Guardians</v>
      </c>
      <c r="C61" s="49">
        <v>44982</v>
      </c>
      <c r="D61" s="193">
        <v>0.625</v>
      </c>
      <c r="E61" s="193">
        <v>0.6791666666666667</v>
      </c>
      <c r="F61" s="15" t="str">
        <f t="shared" si="0"/>
        <v>Saturday</v>
      </c>
      <c r="G61" s="194" t="s">
        <v>22</v>
      </c>
      <c r="H61" s="194" t="e">
        <f ca="1">IF(_xludf.DAYS(C61,Devblogs!AJ2)&gt;-1,_xludf.DAYS(C61,Devblogs!AJ2),0)</f>
        <v>#NAME?</v>
      </c>
      <c r="I61" s="116">
        <f>IF(COUNTIF(Devblogs!AJ2:AJ45,"&lt;"&amp;C61)=COUNTIF(Devblogs!AJ2:AJ45,"&lt;="&amp;C61),COUNTIF(Devblogs!AJ2:AJ45,"&lt;"&amp;C61),CONCATENATE(COUNTIF(Devblogs!AJ2:AJ45,"&lt;"&amp;C61), " - ",COUNTIF(Devblogs!AJ2:AJ45,"&lt;="&amp;C61)))</f>
        <v>11</v>
      </c>
    </row>
    <row r="62" spans="1:9" ht="15" x14ac:dyDescent="0.2">
      <c r="A62" s="147" t="str">
        <f>CONCATENATE(Updates!A54," #1")</f>
        <v>2.27 #1</v>
      </c>
      <c r="B62" s="422" t="str">
        <f>Updates!B54</f>
        <v>La Royale</v>
      </c>
      <c r="C62" s="56">
        <v>45065</v>
      </c>
      <c r="D62" s="183">
        <v>0.625</v>
      </c>
      <c r="E62" s="183">
        <v>0.67986111111111114</v>
      </c>
      <c r="F62" s="147" t="str">
        <f t="shared" si="0"/>
        <v>Friday</v>
      </c>
      <c r="G62" s="429">
        <f>C63-C62</f>
        <v>11</v>
      </c>
      <c r="H62" s="429" t="e">
        <f ca="1">_xludf.DAYS(C62,Devblogs!AG2)</f>
        <v>#NAME?</v>
      </c>
      <c r="I62" s="430">
        <f>IF(COUNTIF(Devblogs!AG2:AG45,"&lt;"&amp;C62)=COUNTIF(Devblogs!AG2:AG45,"&lt;="&amp;C62),COUNTIF(Devblogs!AG2:AG45,"&lt;"&amp;C62),CONCATENATE(COUNTIF(Devblogs!AG2:AG45,"&lt;"&amp;C62), " - ",COUNTIF(Devblogs!AG2:AG45,"&lt;="&amp;C62)))</f>
        <v>12</v>
      </c>
    </row>
    <row r="63" spans="1:9" ht="15" x14ac:dyDescent="0.2">
      <c r="A63" s="17" t="str">
        <f>CONCATENATE(Updates!A54," #2")</f>
        <v>2.27 #2</v>
      </c>
      <c r="B63" s="397"/>
      <c r="C63" s="53">
        <v>45076</v>
      </c>
      <c r="D63" s="192">
        <v>0.625</v>
      </c>
      <c r="E63" s="192">
        <v>0.5625</v>
      </c>
      <c r="F63" s="17" t="str">
        <f t="shared" si="0"/>
        <v>Tuesday</v>
      </c>
      <c r="G63" s="397"/>
      <c r="H63" s="397"/>
      <c r="I63" s="398"/>
    </row>
    <row r="64" spans="1:9" ht="15" x14ac:dyDescent="0.2">
      <c r="A64" s="103" t="str">
        <f>CONCATENATE(Updates!A55," #1")</f>
        <v>2.29 #1</v>
      </c>
      <c r="B64" s="425" t="str">
        <f>Updates!B55</f>
        <v>Sons of Attila</v>
      </c>
      <c r="C64" s="190">
        <v>45170</v>
      </c>
      <c r="D64" s="191">
        <v>0.66666666666666663</v>
      </c>
      <c r="E64" s="191">
        <v>0.6958333333333333</v>
      </c>
      <c r="F64" s="5" t="str">
        <f t="shared" si="0"/>
        <v>Friday</v>
      </c>
      <c r="G64" s="428">
        <f>C65-C64</f>
        <v>11</v>
      </c>
      <c r="H64" s="428" t="e">
        <f ca="1">_xludf.DAYS(C64,Devblogs!AD2)</f>
        <v>#NAME?</v>
      </c>
      <c r="I64" s="431" t="str">
        <f>IF(COUNTIF(Devblogs!AD2:AD45,"&lt;"&amp;C64)=COUNTIF(Devblogs!AD2:AD45,"&lt;="&amp;C64),COUNTIF(Devblogs!AD2:AD45,"&lt;"&amp;C64),CONCATENATE(COUNTIF(Devblogs!AD2:AD45,"&lt;"&amp;C64), " - ",COUNTIF(Devblogs!AD2:AD45,"&lt;="&amp;C64)))</f>
        <v>9 - 12</v>
      </c>
    </row>
    <row r="65" spans="1:9" ht="15" x14ac:dyDescent="0.2">
      <c r="A65" s="59" t="str">
        <f>CONCATENATE(Updates!A55," #2")</f>
        <v>2.29 #2</v>
      </c>
      <c r="B65" s="397"/>
      <c r="C65" s="60">
        <v>45181</v>
      </c>
      <c r="D65" s="182">
        <v>0.625</v>
      </c>
      <c r="E65" s="182">
        <v>0.6166666666666667</v>
      </c>
      <c r="F65" s="59" t="str">
        <f t="shared" si="0"/>
        <v>Tuesday</v>
      </c>
      <c r="G65" s="397"/>
      <c r="H65" s="397"/>
      <c r="I65" s="398"/>
    </row>
    <row r="66" spans="1:9" ht="15" x14ac:dyDescent="0.2">
      <c r="A66" s="17">
        <f>Updates!A56</f>
        <v>2.31</v>
      </c>
      <c r="B66" s="17" t="str">
        <f>Updates!B56</f>
        <v>Kings of Battle</v>
      </c>
      <c r="C66" s="53">
        <v>45219</v>
      </c>
      <c r="D66" s="192">
        <v>0.625</v>
      </c>
      <c r="E66" s="192">
        <v>0.62708333333333333</v>
      </c>
      <c r="F66" s="15" t="str">
        <f t="shared" si="0"/>
        <v>Friday</v>
      </c>
      <c r="G66" s="142" t="s">
        <v>22</v>
      </c>
      <c r="H66" s="142" t="e">
        <f ca="1">_xludf.DAYS(C66,Devblogs!AA2)</f>
        <v>#NAME?</v>
      </c>
      <c r="I66" s="143" t="str">
        <f>IF(COUNTIF(Devblogs!AA2:AA45,"&lt;"&amp;C66)=COUNTIF(Devblogs!AA2:AA45,"&lt;="&amp;C66),COUNTIF(Devblogs!AA2:AA45,"&lt;"&amp;C66),CONCATENATE(COUNTIF(Devblogs!AA2:AA45,"&lt;"&amp;C66), " - ",COUNTIF(Devblogs!AA2:AA45,"&lt;="&amp;C66)))</f>
        <v>2 - 3</v>
      </c>
    </row>
    <row r="67" spans="1:9" ht="15" x14ac:dyDescent="0.2">
      <c r="A67" s="9">
        <f>Updates!A57</f>
        <v>2.33</v>
      </c>
      <c r="B67" s="9" t="str">
        <f>Updates!B57</f>
        <v>Air Superiority</v>
      </c>
      <c r="C67" s="49">
        <v>45267</v>
      </c>
      <c r="D67" s="193">
        <v>0.6875</v>
      </c>
      <c r="E67" s="193">
        <v>0.6875</v>
      </c>
      <c r="F67" s="15" t="str">
        <f t="shared" si="0"/>
        <v>Thursday</v>
      </c>
      <c r="G67" s="194" t="s">
        <v>22</v>
      </c>
      <c r="H67" s="194" t="e">
        <f ca="1">IF(_xludf.DAYS(C67,Devblogs!X2)&gt;-1,_xludf.DAYS(C67,Devblogs!X2),0)</f>
        <v>#NAME?</v>
      </c>
      <c r="I67" s="116" t="str">
        <f>IF(COUNTIF(Devblogs!X2:X45,"&lt;"&amp;C67)=COUNTIF(Devblogs!X2:X45,"&lt;="&amp;C67),COUNTIF(Devblogs!X2:X45,"&lt;"&amp;C67),CONCATENATE(COUNTIF(Devblogs!X2:X45,"&lt;"&amp;C67), " - ",COUNTIF(Devblogs!X2:X45,"&lt;="&amp;C67)))</f>
        <v>4 - 6</v>
      </c>
    </row>
    <row r="68" spans="1:9" ht="15" x14ac:dyDescent="0.2">
      <c r="A68" s="17">
        <f>Updates!A58</f>
        <v>2.35</v>
      </c>
      <c r="B68" s="17" t="str">
        <f>Updates!B58</f>
        <v>Alpha Strike</v>
      </c>
      <c r="C68" s="53">
        <v>45352</v>
      </c>
      <c r="D68" s="192">
        <v>0.67708333333333337</v>
      </c>
      <c r="E68" s="192">
        <v>0.67777777777777781</v>
      </c>
      <c r="F68" s="15" t="str">
        <f t="shared" si="0"/>
        <v>Friday</v>
      </c>
      <c r="G68" s="142" t="s">
        <v>22</v>
      </c>
      <c r="H68" s="142" t="e">
        <f ca="1">_xludf.DAYS(C68,Devblogs!U2)</f>
        <v>#NAME?</v>
      </c>
      <c r="I68" s="143" t="str">
        <f>IF(COUNTIF(Devblogs!U2:U45,"&lt;"&amp;C68)=COUNTIF(Devblogs!U2:U45,"&lt;="&amp;C68),COUNTIF(Devblogs!U2:U45,"&lt;"&amp;C68),CONCATENATE(COUNTIF(Devblogs!U2:U45,"&lt;"&amp;C68), " - ",COUNTIF(Devblogs!U2:U45,"&lt;="&amp;C68)))</f>
        <v>5 - 7</v>
      </c>
    </row>
    <row r="69" spans="1:9" ht="15" x14ac:dyDescent="0.2">
      <c r="A69" s="9">
        <f>Updates!A59</f>
        <v>2.37</v>
      </c>
      <c r="B69" s="9" t="str">
        <f>Updates!B59</f>
        <v>Seek &amp; Destroy</v>
      </c>
      <c r="C69" s="49">
        <v>45443</v>
      </c>
      <c r="D69" s="193">
        <v>0.70833333333333337</v>
      </c>
      <c r="E69" s="9" t="s">
        <v>22</v>
      </c>
      <c r="F69" s="15" t="str">
        <f t="shared" si="0"/>
        <v>Friday</v>
      </c>
      <c r="G69" s="194" t="s">
        <v>22</v>
      </c>
      <c r="H69" s="194" t="e">
        <f ca="1">_xludf.DAYS(C69,Devblogs!R2)</f>
        <v>#NAME?</v>
      </c>
      <c r="I69" s="116" t="str">
        <f>IF(COUNTIF(Devblogs!R$2:R$45,"&lt;"&amp;C69)=COUNTIF(Devblogs!R$2:R$45,"&lt;="&amp;C69),COUNTIF(Devblogs!R$2:R$45,"&lt;"&amp;C69),CONCATENATE(COUNTIF(Devblogs!R$2:R$45,"&lt;"&amp;C69), " - ",COUNTIF(Devblogs!R$2:R$45,"&lt;="&amp;C69)))</f>
        <v>7 - 10</v>
      </c>
    </row>
    <row r="70" spans="1:9" ht="30" x14ac:dyDescent="0.2">
      <c r="A70" s="17">
        <f>Updates!A60</f>
        <v>2.39</v>
      </c>
      <c r="B70" s="17" t="str">
        <f>Updates!B60</f>
        <v>Dance of Dragons</v>
      </c>
      <c r="C70" s="53">
        <v>45534</v>
      </c>
      <c r="D70" s="192">
        <v>0.66666666666666663</v>
      </c>
      <c r="E70" s="17" t="s">
        <v>22</v>
      </c>
      <c r="F70" s="15" t="str">
        <f t="shared" si="0"/>
        <v>Friday</v>
      </c>
      <c r="G70" s="142" t="s">
        <v>22</v>
      </c>
      <c r="H70" s="142" t="e">
        <f ca="1">IF(_xludf.DAYS(C70,Devblogs!O$2)&gt;-1,_xludf.DAYS(C70,Devblogs!O$2),0)</f>
        <v>#NAME?</v>
      </c>
      <c r="I70" s="143" t="str">
        <f>IF(COUNTIF(Devblogs!O$2:O$45,"&lt;"&amp;C70)=COUNTIF(Devblogs!O$2:O$45,"&lt;="&amp;C70),COUNTIF(Devblogs!O$2:O$45,"&lt;"&amp;C70),CONCATENATE(COUNTIF(Devblogs!O$2:O$45,"&lt;"&amp;C70), " - ",COUNTIF(Devblogs!O$2:O$45,"&lt;="&amp;C70)))</f>
        <v>4 - 7</v>
      </c>
    </row>
    <row r="71" spans="1:9" ht="15" x14ac:dyDescent="0.2">
      <c r="A71" s="9">
        <f>Updates!A61</f>
        <v>2.41</v>
      </c>
      <c r="B71" s="9" t="str">
        <f>Updates!B61</f>
        <v>Firebirds</v>
      </c>
      <c r="C71" s="49">
        <v>45590</v>
      </c>
      <c r="D71" s="193">
        <v>0.79166666666666663</v>
      </c>
      <c r="E71" s="9" t="s">
        <v>22</v>
      </c>
      <c r="F71" s="15" t="str">
        <f t="shared" si="0"/>
        <v>Friday</v>
      </c>
      <c r="G71" s="194" t="s">
        <v>22</v>
      </c>
      <c r="H71" s="194" t="e">
        <f ca="1">IF(_xludf.DAYS(C71,Devblogs!L$2)&gt;-1,_xludf.DAYS(C71,Devblogs!L$2),0)</f>
        <v>#NAME?</v>
      </c>
      <c r="I71" s="116" t="str">
        <f>IF(COUNTIF(Devblogs!L$2:L$45,"&lt;"&amp;C71)=COUNTIF(Devblogs!L$2:L$45,"&lt;="&amp;C71),COUNTIF(Devblogs!L$2:L$45,"&lt;"&amp;C71),CONCATENATE(COUNTIF(Devblogs!L$2:L$45,"&lt;"&amp;C71), " - ",COUNTIF(Devblogs!L$2:L$45,"&lt;="&amp;C71)))</f>
        <v>6 - 8</v>
      </c>
    </row>
    <row r="72" spans="1:9" ht="15" x14ac:dyDescent="0.2">
      <c r="A72" s="17">
        <f>Updates!A62</f>
        <v>2.4300000000000002</v>
      </c>
      <c r="B72" s="17" t="str">
        <f>Updates!B62</f>
        <v>Storm Warning</v>
      </c>
      <c r="C72" s="53">
        <v>45636</v>
      </c>
      <c r="D72" s="192">
        <v>0.625</v>
      </c>
      <c r="E72" s="17" t="s">
        <v>22</v>
      </c>
      <c r="F72" s="15" t="str">
        <f t="shared" si="0"/>
        <v>Tuesday</v>
      </c>
      <c r="G72" s="142" t="s">
        <v>22</v>
      </c>
      <c r="H72" s="142" t="e">
        <f ca="1">IF(_xludf.DAYS(C72,Devblogs!I$2)&gt;-1,_xludf.DAYS(C72,Devblogs!I$2),0)</f>
        <v>#NAME?</v>
      </c>
      <c r="I72" s="143" t="str">
        <f>IF(COUNTIF(Devblogs!I$2:I$45,"&lt;"&amp;C72)=COUNTIF(Devblogs!I$2:I$45,"&lt;="&amp;C72),COUNTIF(Devblogs!I$2:I$45,"&lt;"&amp;C72),CONCATENATE(COUNTIF(Devblogs!I$2:I$45,"&lt;"&amp;C72), " - ",COUNTIF(Devblogs!I$2:I$45,"&lt;="&amp;C72)))</f>
        <v>4 - 5</v>
      </c>
    </row>
    <row r="73" spans="1:9" ht="15" x14ac:dyDescent="0.2">
      <c r="A73" s="9">
        <f>Updates!A63</f>
        <v>2.4500000000000002</v>
      </c>
      <c r="B73" s="9">
        <f>Updates!B63</f>
        <v>0</v>
      </c>
      <c r="C73" s="49"/>
      <c r="D73" s="193"/>
      <c r="E73" s="9"/>
      <c r="F73" s="15"/>
      <c r="G73" s="194"/>
      <c r="H73" s="194" t="e">
        <f ca="1">IF(_xludf.DAYS(C73,Devblogs!L$2)&gt;-1,_xludf.DAYS(C73,Devblogs!L$2),0)</f>
        <v>#NAME?</v>
      </c>
      <c r="I73" s="116">
        <f>IF(COUNTIF(Devblogs!L$2:L$45,"&lt;"&amp;C73)=COUNTIF(Devblogs!L$2:L$45,"&lt;="&amp;C73),COUNTIF(Devblogs!L$2:L$45,"&lt;"&amp;C73),CONCATENATE(COUNTIF(Devblogs!L$2:L$45,"&lt;"&amp;C73), " - ",COUNTIF(Devblogs!L$2:L$45,"&lt;="&amp;C73)))</f>
        <v>0</v>
      </c>
    </row>
    <row r="74" spans="1:9" ht="15" x14ac:dyDescent="0.2">
      <c r="A74" s="196"/>
      <c r="B74" s="196"/>
      <c r="C74" s="196"/>
      <c r="D74" s="196"/>
      <c r="E74" s="4"/>
      <c r="F74" s="5"/>
      <c r="G74" s="5"/>
      <c r="H74" s="5"/>
      <c r="I74" s="5"/>
    </row>
    <row r="75" spans="1:9" ht="15" x14ac:dyDescent="0.2">
      <c r="A75" s="196"/>
      <c r="B75" s="196"/>
      <c r="C75" s="196"/>
      <c r="D75" s="196"/>
      <c r="E75" s="4"/>
      <c r="F75" s="5"/>
      <c r="G75" s="5"/>
      <c r="H75" s="5"/>
      <c r="I75" s="5"/>
    </row>
    <row r="76" spans="1:9" ht="30" x14ac:dyDescent="0.2">
      <c r="A76" s="5"/>
      <c r="B76" s="427" t="s">
        <v>390</v>
      </c>
      <c r="C76" s="394"/>
      <c r="D76" s="395"/>
      <c r="E76" s="4"/>
      <c r="F76" s="8" t="s">
        <v>391</v>
      </c>
      <c r="G76" s="197">
        <f>AVERAGE(D3:D75)</f>
        <v>0.74032738095238093</v>
      </c>
      <c r="H76" s="5"/>
      <c r="I76" s="5"/>
    </row>
    <row r="77" spans="1:9" ht="15" x14ac:dyDescent="0.2">
      <c r="A77" s="5"/>
      <c r="B77" s="71" t="s">
        <v>124</v>
      </c>
      <c r="C77" s="15">
        <v>1</v>
      </c>
      <c r="D77" s="72">
        <f t="shared" ref="D77:D83" si="3">C77/SUM($C$77:$C$83)</f>
        <v>2.4390243902439025E-2</v>
      </c>
      <c r="E77" s="4"/>
      <c r="F77" s="432" t="s">
        <v>392</v>
      </c>
      <c r="G77" s="433">
        <f>AVERAGE(E3:E75)</f>
        <v>0.72362163299663296</v>
      </c>
      <c r="H77" s="5"/>
      <c r="I77" s="5"/>
    </row>
    <row r="78" spans="1:9" ht="15" x14ac:dyDescent="0.2">
      <c r="A78" s="5"/>
      <c r="B78" s="8" t="s">
        <v>125</v>
      </c>
      <c r="C78" s="9">
        <v>3</v>
      </c>
      <c r="D78" s="73">
        <f t="shared" si="3"/>
        <v>7.3170731707317069E-2</v>
      </c>
      <c r="E78" s="4"/>
      <c r="F78" s="396"/>
      <c r="G78" s="398"/>
      <c r="H78" s="5"/>
      <c r="I78" s="5"/>
    </row>
    <row r="79" spans="1:9" ht="15" x14ac:dyDescent="0.2">
      <c r="A79" s="5"/>
      <c r="B79" s="71" t="s">
        <v>128</v>
      </c>
      <c r="C79" s="15">
        <v>2</v>
      </c>
      <c r="D79" s="72">
        <f t="shared" si="3"/>
        <v>4.878048780487805E-2</v>
      </c>
      <c r="E79" s="4"/>
      <c r="H79" s="5"/>
      <c r="I79" s="5"/>
    </row>
    <row r="80" spans="1:9" ht="15" x14ac:dyDescent="0.2">
      <c r="A80" s="5"/>
      <c r="B80" s="8" t="s">
        <v>130</v>
      </c>
      <c r="C80" s="9">
        <v>6</v>
      </c>
      <c r="D80" s="73">
        <f t="shared" si="3"/>
        <v>0.14634146341463414</v>
      </c>
      <c r="E80" s="4"/>
      <c r="F80" s="5"/>
      <c r="G80" s="5"/>
      <c r="H80" s="5"/>
      <c r="I80" s="410" t="s">
        <v>380</v>
      </c>
    </row>
    <row r="81" spans="1:9" ht="15" x14ac:dyDescent="0.2">
      <c r="A81" s="5"/>
      <c r="B81" s="71" t="s">
        <v>132</v>
      </c>
      <c r="C81" s="15">
        <v>13</v>
      </c>
      <c r="D81" s="72">
        <f t="shared" si="3"/>
        <v>0.31707317073170732</v>
      </c>
      <c r="E81" s="4"/>
      <c r="F81" s="5"/>
      <c r="G81" s="5"/>
      <c r="H81" s="5"/>
      <c r="I81" s="402"/>
    </row>
    <row r="82" spans="1:9" ht="15" x14ac:dyDescent="0.2">
      <c r="A82" s="5"/>
      <c r="B82" s="8" t="s">
        <v>134</v>
      </c>
      <c r="C82" s="9">
        <v>14</v>
      </c>
      <c r="D82" s="73">
        <f t="shared" si="3"/>
        <v>0.34146341463414637</v>
      </c>
      <c r="E82" s="4"/>
      <c r="F82" s="5"/>
      <c r="G82" s="5"/>
      <c r="H82" s="5"/>
      <c r="I82" s="402"/>
    </row>
    <row r="83" spans="1:9" ht="15" x14ac:dyDescent="0.2">
      <c r="A83" s="5"/>
      <c r="B83" s="71" t="s">
        <v>136</v>
      </c>
      <c r="C83" s="15">
        <v>2</v>
      </c>
      <c r="D83" s="72">
        <f t="shared" si="3"/>
        <v>4.878048780487805E-2</v>
      </c>
      <c r="E83" s="4"/>
      <c r="F83" s="5"/>
      <c r="G83" s="5"/>
      <c r="H83" s="5"/>
      <c r="I83" s="5"/>
    </row>
    <row r="84" spans="1:9" ht="15" x14ac:dyDescent="0.2">
      <c r="A84" s="5"/>
      <c r="B84" s="4"/>
      <c r="C84" s="5"/>
      <c r="D84" s="5"/>
      <c r="E84" s="4"/>
      <c r="F84" s="5"/>
      <c r="G84" s="5"/>
      <c r="H84" s="5"/>
      <c r="I84" s="5"/>
    </row>
    <row r="85" spans="1:9" ht="15" x14ac:dyDescent="0.2">
      <c r="A85" s="5"/>
      <c r="B85" s="427" t="s">
        <v>393</v>
      </c>
      <c r="C85" s="394"/>
      <c r="D85" s="395"/>
      <c r="E85" s="4"/>
      <c r="F85" s="427" t="s">
        <v>384</v>
      </c>
      <c r="G85" s="394"/>
      <c r="H85" s="395"/>
      <c r="I85" s="4"/>
    </row>
    <row r="86" spans="1:9" ht="15" x14ac:dyDescent="0.2">
      <c r="A86" s="5"/>
      <c r="B86" s="71" t="s">
        <v>124</v>
      </c>
      <c r="C86" s="15">
        <v>1</v>
      </c>
      <c r="D86" s="72">
        <f t="shared" ref="D86:D92" si="4">C86/SUM($C$86:$C$92)</f>
        <v>0.04</v>
      </c>
      <c r="E86" s="4"/>
      <c r="F86" s="71" t="s">
        <v>124</v>
      </c>
      <c r="G86" s="15">
        <f>COUNTIF(F3:F75,"Monday")</f>
        <v>2</v>
      </c>
      <c r="H86" s="72">
        <f t="shared" ref="H86:H92" si="5">G86/SUM($G$86:$G$92)</f>
        <v>2.8571428571428571E-2</v>
      </c>
      <c r="I86" s="4"/>
    </row>
    <row r="87" spans="1:9" ht="15" x14ac:dyDescent="0.2">
      <c r="A87" s="5"/>
      <c r="B87" s="8" t="s">
        <v>125</v>
      </c>
      <c r="C87" s="9">
        <v>3</v>
      </c>
      <c r="D87" s="73">
        <f t="shared" si="4"/>
        <v>0.12</v>
      </c>
      <c r="E87" s="4"/>
      <c r="F87" s="8" t="s">
        <v>125</v>
      </c>
      <c r="G87" s="9">
        <f>COUNTIF(F3:F75,"Tuesday")</f>
        <v>8</v>
      </c>
      <c r="H87" s="73">
        <f t="shared" si="5"/>
        <v>0.11428571428571428</v>
      </c>
      <c r="I87" s="4"/>
    </row>
    <row r="88" spans="1:9" ht="15" x14ac:dyDescent="0.2">
      <c r="A88" s="5"/>
      <c r="B88" s="71" t="s">
        <v>128</v>
      </c>
      <c r="C88" s="15">
        <v>8</v>
      </c>
      <c r="D88" s="72">
        <f t="shared" si="4"/>
        <v>0.32</v>
      </c>
      <c r="E88" s="4"/>
      <c r="F88" s="71" t="s">
        <v>128</v>
      </c>
      <c r="G88" s="15">
        <f>COUNTIF(F3:F75,"Wednesday")</f>
        <v>10</v>
      </c>
      <c r="H88" s="72">
        <f t="shared" si="5"/>
        <v>0.14285714285714285</v>
      </c>
      <c r="I88" s="4"/>
    </row>
    <row r="89" spans="1:9" ht="15" x14ac:dyDescent="0.2">
      <c r="A89" s="5"/>
      <c r="B89" s="8" t="s">
        <v>130</v>
      </c>
      <c r="C89" s="9">
        <v>5</v>
      </c>
      <c r="D89" s="73">
        <f t="shared" si="4"/>
        <v>0.2</v>
      </c>
      <c r="E89" s="4"/>
      <c r="F89" s="8" t="s">
        <v>130</v>
      </c>
      <c r="G89" s="9">
        <f>COUNTIF(F3:F75,"Thursday")</f>
        <v>11</v>
      </c>
      <c r="H89" s="73">
        <f t="shared" si="5"/>
        <v>0.15714285714285714</v>
      </c>
      <c r="I89" s="4"/>
    </row>
    <row r="90" spans="1:9" ht="15" x14ac:dyDescent="0.2">
      <c r="A90" s="5"/>
      <c r="B90" s="71" t="s">
        <v>132</v>
      </c>
      <c r="C90" s="15">
        <v>1</v>
      </c>
      <c r="D90" s="72">
        <f t="shared" si="4"/>
        <v>0.04</v>
      </c>
      <c r="E90" s="4"/>
      <c r="F90" s="71" t="s">
        <v>132</v>
      </c>
      <c r="G90" s="15">
        <f>COUNTIF(F3:F75,"Friday")</f>
        <v>16</v>
      </c>
      <c r="H90" s="72">
        <f t="shared" si="5"/>
        <v>0.22857142857142856</v>
      </c>
      <c r="I90" s="4"/>
    </row>
    <row r="91" spans="1:9" ht="15" x14ac:dyDescent="0.2">
      <c r="A91" s="5"/>
      <c r="B91" s="8" t="s">
        <v>134</v>
      </c>
      <c r="C91" s="9">
        <v>7</v>
      </c>
      <c r="D91" s="73">
        <f t="shared" si="4"/>
        <v>0.28000000000000003</v>
      </c>
      <c r="E91" s="4"/>
      <c r="F91" s="8" t="s">
        <v>134</v>
      </c>
      <c r="G91" s="9">
        <f>COUNTIF(F3:F75,"Saturday")</f>
        <v>21</v>
      </c>
      <c r="H91" s="73">
        <f t="shared" si="5"/>
        <v>0.3</v>
      </c>
      <c r="I91" s="4"/>
    </row>
    <row r="92" spans="1:9" ht="15" x14ac:dyDescent="0.2">
      <c r="A92" s="5"/>
      <c r="B92" s="71" t="s">
        <v>136</v>
      </c>
      <c r="C92" s="15">
        <v>0</v>
      </c>
      <c r="D92" s="72">
        <f t="shared" si="4"/>
        <v>0</v>
      </c>
      <c r="E92" s="4"/>
      <c r="F92" s="71" t="s">
        <v>136</v>
      </c>
      <c r="G92" s="15">
        <f>COUNTIF(F3:F75,"Sunday")</f>
        <v>2</v>
      </c>
      <c r="H92" s="72">
        <f t="shared" si="5"/>
        <v>2.8571428571428571E-2</v>
      </c>
      <c r="I92" s="4"/>
    </row>
  </sheetData>
  <mergeCells count="97">
    <mergeCell ref="I45:I46"/>
    <mergeCell ref="I47:I48"/>
    <mergeCell ref="I28:I29"/>
    <mergeCell ref="I30:I31"/>
    <mergeCell ref="I34:I35"/>
    <mergeCell ref="I36:I37"/>
    <mergeCell ref="I38:I39"/>
    <mergeCell ref="I40:I41"/>
    <mergeCell ref="I43:I44"/>
    <mergeCell ref="G47:G48"/>
    <mergeCell ref="H47:H48"/>
    <mergeCell ref="G11:G12"/>
    <mergeCell ref="G14:G15"/>
    <mergeCell ref="G24:G25"/>
    <mergeCell ref="G26:G27"/>
    <mergeCell ref="G28:G29"/>
    <mergeCell ref="G30:G31"/>
    <mergeCell ref="G34:G35"/>
    <mergeCell ref="G36:G37"/>
    <mergeCell ref="G38:G39"/>
    <mergeCell ref="G40:G41"/>
    <mergeCell ref="G43:G44"/>
    <mergeCell ref="G45:G46"/>
    <mergeCell ref="H20:H22"/>
    <mergeCell ref="I20:I22"/>
    <mergeCell ref="H24:H25"/>
    <mergeCell ref="I24:I25"/>
    <mergeCell ref="I26:I27"/>
    <mergeCell ref="G18:G19"/>
    <mergeCell ref="H18:H19"/>
    <mergeCell ref="I18:I19"/>
    <mergeCell ref="H14:H15"/>
    <mergeCell ref="I14:I15"/>
    <mergeCell ref="B14:B15"/>
    <mergeCell ref="B16:B17"/>
    <mergeCell ref="G16:G17"/>
    <mergeCell ref="H16:H17"/>
    <mergeCell ref="I16:I17"/>
    <mergeCell ref="H11:H12"/>
    <mergeCell ref="I11:I12"/>
    <mergeCell ref="A1:I1"/>
    <mergeCell ref="B4:B5"/>
    <mergeCell ref="G4:G5"/>
    <mergeCell ref="H4:H5"/>
    <mergeCell ref="I4:I5"/>
    <mergeCell ref="B11:B12"/>
    <mergeCell ref="I80:I82"/>
    <mergeCell ref="F85:H85"/>
    <mergeCell ref="G54:G55"/>
    <mergeCell ref="H54:H55"/>
    <mergeCell ref="I54:I55"/>
    <mergeCell ref="G56:G57"/>
    <mergeCell ref="H56:H57"/>
    <mergeCell ref="I56:I57"/>
    <mergeCell ref="G62:G63"/>
    <mergeCell ref="G64:G65"/>
    <mergeCell ref="H64:H65"/>
    <mergeCell ref="I64:I65"/>
    <mergeCell ref="F77:F78"/>
    <mergeCell ref="G77:G78"/>
    <mergeCell ref="I49:I51"/>
    <mergeCell ref="G52:G53"/>
    <mergeCell ref="H52:H53"/>
    <mergeCell ref="I52:I53"/>
    <mergeCell ref="H62:H63"/>
    <mergeCell ref="I62:I63"/>
    <mergeCell ref="H38:H39"/>
    <mergeCell ref="H40:H41"/>
    <mergeCell ref="H43:H44"/>
    <mergeCell ref="H45:H46"/>
    <mergeCell ref="H49:H51"/>
    <mergeCell ref="H26:H27"/>
    <mergeCell ref="H28:H29"/>
    <mergeCell ref="H30:H31"/>
    <mergeCell ref="H34:H35"/>
    <mergeCell ref="H36:H37"/>
    <mergeCell ref="B62:B63"/>
    <mergeCell ref="B64:B65"/>
    <mergeCell ref="B76:D76"/>
    <mergeCell ref="B85:D85"/>
    <mergeCell ref="B36:B37"/>
    <mergeCell ref="B38:B39"/>
    <mergeCell ref="B40:B41"/>
    <mergeCell ref="B43:B44"/>
    <mergeCell ref="B45:B46"/>
    <mergeCell ref="B47:B48"/>
    <mergeCell ref="B49:B51"/>
    <mergeCell ref="B30:B31"/>
    <mergeCell ref="B34:B35"/>
    <mergeCell ref="B52:B53"/>
    <mergeCell ref="B54:B55"/>
    <mergeCell ref="B56:B57"/>
    <mergeCell ref="B18:B19"/>
    <mergeCell ref="B20:B22"/>
    <mergeCell ref="B24:B25"/>
    <mergeCell ref="B26:B27"/>
    <mergeCell ref="B28:B29"/>
  </mergeCells>
  <conditionalFormatting sqref="F1:G78 A1:E92 H1:I92 F80:G92">
    <cfRule type="cellIs" dxfId="53" priority="1" operator="equal">
      <formula>"Monday"</formula>
    </cfRule>
    <cfRule type="cellIs" dxfId="52" priority="2" operator="equal">
      <formula>"Tuesday"</formula>
    </cfRule>
    <cfRule type="cellIs" dxfId="51" priority="3" operator="equal">
      <formula>"Wednesday"</formula>
    </cfRule>
    <cfRule type="cellIs" dxfId="50" priority="4" operator="equal">
      <formula>"Thursday"</formula>
    </cfRule>
    <cfRule type="cellIs" dxfId="49" priority="5" operator="equal">
      <formula>"Friday"</formula>
    </cfRule>
    <cfRule type="cellIs" dxfId="48" priority="6" operator="equal">
      <formula>"Saturday"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5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2" max="2" width="13.42578125" customWidth="1"/>
  </cols>
  <sheetData>
    <row r="1" spans="1:14" ht="29.25" customHeight="1" x14ac:dyDescent="0.2">
      <c r="A1" s="434" t="s">
        <v>394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2" spans="1:14" ht="15" x14ac:dyDescent="0.2">
      <c r="A2" s="198" t="s">
        <v>7</v>
      </c>
      <c r="B2" s="105" t="s">
        <v>8</v>
      </c>
      <c r="C2" s="435" t="s">
        <v>395</v>
      </c>
      <c r="D2" s="394"/>
      <c r="E2" s="435" t="s">
        <v>12</v>
      </c>
      <c r="F2" s="394"/>
      <c r="G2" s="435" t="s">
        <v>396</v>
      </c>
      <c r="H2" s="394"/>
      <c r="I2" s="435" t="s">
        <v>397</v>
      </c>
      <c r="J2" s="394"/>
      <c r="K2" s="435" t="s">
        <v>398</v>
      </c>
      <c r="L2" s="394"/>
      <c r="M2" s="435" t="s">
        <v>9</v>
      </c>
      <c r="N2" s="395"/>
    </row>
    <row r="3" spans="1:14" ht="15" x14ac:dyDescent="0.2">
      <c r="A3" s="438" t="str">
        <f>Updates!A33</f>
        <v>1.87</v>
      </c>
      <c r="B3" s="438" t="str">
        <f>Updates!B33</f>
        <v>Locked On</v>
      </c>
      <c r="C3" s="439" t="s">
        <v>22</v>
      </c>
      <c r="D3" s="394"/>
      <c r="E3" s="436">
        <f>Devblogs!CR$2</f>
        <v>43511</v>
      </c>
      <c r="F3" s="436" t="str">
        <f>Devblogs!CS$2</f>
        <v>Friday</v>
      </c>
      <c r="G3" s="439" t="s">
        <v>22</v>
      </c>
      <c r="H3" s="394"/>
      <c r="I3" s="436">
        <f>'Dev streams'!C3</f>
        <v>43523</v>
      </c>
      <c r="J3" s="436" t="str">
        <f>'Dev streams'!D3</f>
        <v>Wednesday</v>
      </c>
      <c r="K3" s="200">
        <f>'Dev servers'!C26</f>
        <v>43526</v>
      </c>
      <c r="L3" s="199" t="str">
        <f>'Dev servers'!F26</f>
        <v>Saturday</v>
      </c>
      <c r="M3" s="436">
        <f>Updates!C33</f>
        <v>43536</v>
      </c>
      <c r="N3" s="437" t="str">
        <f>Updates!D33</f>
        <v>Tuesday</v>
      </c>
    </row>
    <row r="4" spans="1:14" ht="15" x14ac:dyDescent="0.2">
      <c r="A4" s="397"/>
      <c r="B4" s="397"/>
      <c r="C4" s="397"/>
      <c r="D4" s="397"/>
      <c r="E4" s="397"/>
      <c r="F4" s="397"/>
      <c r="G4" s="397"/>
      <c r="H4" s="397"/>
      <c r="I4" s="397"/>
      <c r="J4" s="397"/>
      <c r="K4" s="201">
        <f>'Dev servers'!C27</f>
        <v>43530</v>
      </c>
      <c r="L4" s="184" t="str">
        <f>'Dev servers'!F27</f>
        <v>Wednesday</v>
      </c>
      <c r="M4" s="397"/>
      <c r="N4" s="398"/>
    </row>
    <row r="5" spans="1:14" ht="15" x14ac:dyDescent="0.2">
      <c r="A5" s="442" t="str">
        <f>Updates!A34</f>
        <v>1.89</v>
      </c>
      <c r="B5" s="442" t="str">
        <f>Updates!B34</f>
        <v>Imperial Navy</v>
      </c>
      <c r="C5" s="435" t="s">
        <v>22</v>
      </c>
      <c r="D5" s="394"/>
      <c r="E5" s="440">
        <f>Devblogs!CO$2</f>
        <v>43588</v>
      </c>
      <c r="F5" s="440" t="str">
        <f>Devblogs!CP$2</f>
        <v>Friday</v>
      </c>
      <c r="G5" s="435" t="s">
        <v>22</v>
      </c>
      <c r="H5" s="394"/>
      <c r="I5" s="440">
        <f>'Dev streams'!C4</f>
        <v>43602</v>
      </c>
      <c r="J5" s="440" t="str">
        <f>'Dev streams'!D4</f>
        <v>Friday</v>
      </c>
      <c r="K5" s="203">
        <f>'Dev servers'!C28</f>
        <v>43603</v>
      </c>
      <c r="L5" s="105" t="str">
        <f>'Dev servers'!F28</f>
        <v>Saturday</v>
      </c>
      <c r="M5" s="440">
        <f>Updates!C34</f>
        <v>43614</v>
      </c>
      <c r="N5" s="441" t="str">
        <f>Updates!D34</f>
        <v>Wednesday</v>
      </c>
    </row>
    <row r="6" spans="1:14" ht="15" x14ac:dyDescent="0.2">
      <c r="A6" s="397"/>
      <c r="B6" s="397"/>
      <c r="C6" s="397"/>
      <c r="D6" s="397"/>
      <c r="E6" s="397"/>
      <c r="F6" s="397"/>
      <c r="G6" s="397"/>
      <c r="H6" s="397"/>
      <c r="I6" s="397"/>
      <c r="J6" s="397"/>
      <c r="K6" s="205">
        <f>'Dev servers'!C29</f>
        <v>43610</v>
      </c>
      <c r="L6" s="113" t="str">
        <f>'Dev servers'!F29</f>
        <v>Saturday</v>
      </c>
      <c r="M6" s="397"/>
      <c r="N6" s="398"/>
    </row>
    <row r="7" spans="1:14" ht="15" x14ac:dyDescent="0.2">
      <c r="A7" s="438" t="str">
        <f>Updates!A35</f>
        <v>1.91</v>
      </c>
      <c r="B7" s="438" t="str">
        <f>Updates!B35</f>
        <v>Night Vision</v>
      </c>
      <c r="C7" s="439" t="s">
        <v>22</v>
      </c>
      <c r="D7" s="394"/>
      <c r="E7" s="436">
        <f>Devblogs!CL$2</f>
        <v>43690</v>
      </c>
      <c r="F7" s="436" t="str">
        <f>Devblogs!CM$2</f>
        <v>Tuesday</v>
      </c>
      <c r="G7" s="439" t="s">
        <v>22</v>
      </c>
      <c r="H7" s="394"/>
      <c r="I7" s="436">
        <f>'Dev streams'!C5</f>
        <v>43707</v>
      </c>
      <c r="J7" s="436" t="str">
        <f>'Dev streams'!D5</f>
        <v>Friday</v>
      </c>
      <c r="K7" s="200">
        <f>'Dev servers'!C30</f>
        <v>43708</v>
      </c>
      <c r="L7" s="199" t="str">
        <f>'Dev servers'!F30</f>
        <v>Saturday</v>
      </c>
      <c r="M7" s="436">
        <f>Updates!C35</f>
        <v>43719</v>
      </c>
      <c r="N7" s="437" t="str">
        <f>Updates!D35</f>
        <v>Wednesday</v>
      </c>
    </row>
    <row r="8" spans="1:14" ht="15" x14ac:dyDescent="0.2">
      <c r="A8" s="397"/>
      <c r="B8" s="397"/>
      <c r="C8" s="397"/>
      <c r="D8" s="397"/>
      <c r="E8" s="397"/>
      <c r="F8" s="397"/>
      <c r="G8" s="397"/>
      <c r="H8" s="397"/>
      <c r="I8" s="397"/>
      <c r="J8" s="397"/>
      <c r="K8" s="201">
        <f>'Dev servers'!C31</f>
        <v>43713</v>
      </c>
      <c r="L8" s="184" t="str">
        <f>'Dev servers'!F31</f>
        <v>Thursday</v>
      </c>
      <c r="M8" s="397"/>
      <c r="N8" s="398"/>
    </row>
    <row r="9" spans="1:14" ht="15" x14ac:dyDescent="0.2">
      <c r="A9" s="202" t="str">
        <f>Updates!A36</f>
        <v>1.93</v>
      </c>
      <c r="B9" s="202" t="str">
        <f>Updates!B36</f>
        <v>Shark Attack</v>
      </c>
      <c r="C9" s="435" t="s">
        <v>22</v>
      </c>
      <c r="D9" s="394"/>
      <c r="E9" s="203">
        <f>Devblogs!CI$2</f>
        <v>43749</v>
      </c>
      <c r="F9" s="203" t="str">
        <f>Devblogs!CJ$2</f>
        <v>Friday</v>
      </c>
      <c r="G9" s="435" t="s">
        <v>22</v>
      </c>
      <c r="H9" s="394"/>
      <c r="I9" s="203">
        <f>'Dev streams'!C6</f>
        <v>43762</v>
      </c>
      <c r="J9" s="203" t="str">
        <f>'Dev streams'!D6</f>
        <v>Thursday</v>
      </c>
      <c r="K9" s="203">
        <f>'Dev servers'!C32</f>
        <v>43762</v>
      </c>
      <c r="L9" s="105" t="str">
        <f>'Dev servers'!F32</f>
        <v>Thursday</v>
      </c>
      <c r="M9" s="203">
        <f>Updates!C36</f>
        <v>43767</v>
      </c>
      <c r="N9" s="204" t="str">
        <f>Updates!D36</f>
        <v>Tuesday</v>
      </c>
    </row>
    <row r="10" spans="1:14" ht="15" x14ac:dyDescent="0.2">
      <c r="A10" s="206" t="str">
        <f>Updates!A37</f>
        <v>1.95</v>
      </c>
      <c r="B10" s="206" t="str">
        <f>Updates!B37</f>
        <v>Northern Wind</v>
      </c>
      <c r="C10" s="443" t="s">
        <v>22</v>
      </c>
      <c r="D10" s="404"/>
      <c r="E10" s="208">
        <f>Devblogs!CF$2</f>
        <v>43797</v>
      </c>
      <c r="F10" s="208" t="str">
        <f>Devblogs!CG$2</f>
        <v>Thursday</v>
      </c>
      <c r="G10" s="443" t="s">
        <v>22</v>
      </c>
      <c r="H10" s="404"/>
      <c r="I10" s="208">
        <f>'Dev streams'!C7</f>
        <v>43811</v>
      </c>
      <c r="J10" s="208" t="str">
        <f>'Dev streams'!D7</f>
        <v>Thursday</v>
      </c>
      <c r="K10" s="208">
        <f>'Dev servers'!C33</f>
        <v>43811</v>
      </c>
      <c r="L10" s="207" t="str">
        <f>'Dev servers'!F33</f>
        <v>Thursday</v>
      </c>
      <c r="M10" s="208">
        <f>Updates!C37</f>
        <v>43816</v>
      </c>
      <c r="N10" s="209" t="str">
        <f>Updates!D37</f>
        <v>Tuesday</v>
      </c>
    </row>
    <row r="11" spans="1:14" ht="15" x14ac:dyDescent="0.2">
      <c r="A11" s="442" t="str">
        <f>Updates!A38</f>
        <v>1.97</v>
      </c>
      <c r="B11" s="442" t="str">
        <f>Updates!B38</f>
        <v>Viking Fury</v>
      </c>
      <c r="C11" s="435" t="s">
        <v>22</v>
      </c>
      <c r="D11" s="394"/>
      <c r="E11" s="440">
        <f>Devblogs!CC$2</f>
        <v>43881</v>
      </c>
      <c r="F11" s="440" t="str">
        <f>Devblogs!CD$2</f>
        <v>Thursday</v>
      </c>
      <c r="G11" s="435" t="s">
        <v>22</v>
      </c>
      <c r="H11" s="394"/>
      <c r="I11" s="440">
        <f>'Dev streams'!C8</f>
        <v>43893</v>
      </c>
      <c r="J11" s="440" t="str">
        <f>'Dev streams'!D8</f>
        <v>Tuesday</v>
      </c>
      <c r="K11" s="203">
        <f>'Dev servers'!C34</f>
        <v>43893</v>
      </c>
      <c r="L11" s="105" t="str">
        <f>'Dev servers'!F34</f>
        <v>Tuesday</v>
      </c>
      <c r="M11" s="440">
        <f>Updates!C38</f>
        <v>43906</v>
      </c>
      <c r="N11" s="441" t="str">
        <f>Updates!D38</f>
        <v>Monday</v>
      </c>
    </row>
    <row r="12" spans="1:14" ht="15" x14ac:dyDescent="0.2">
      <c r="A12" s="397"/>
      <c r="B12" s="397"/>
      <c r="C12" s="397"/>
      <c r="D12" s="397"/>
      <c r="E12" s="397"/>
      <c r="F12" s="397"/>
      <c r="G12" s="397"/>
      <c r="H12" s="397"/>
      <c r="I12" s="397"/>
      <c r="J12" s="397"/>
      <c r="K12" s="205">
        <f>'Dev servers'!C35</f>
        <v>43897</v>
      </c>
      <c r="L12" s="113" t="str">
        <f>'Dev servers'!F35</f>
        <v>Saturday</v>
      </c>
      <c r="M12" s="397"/>
      <c r="N12" s="398"/>
    </row>
    <row r="13" spans="1:14" ht="15" x14ac:dyDescent="0.2">
      <c r="A13" s="438" t="str">
        <f>Updates!A39</f>
        <v>1.99</v>
      </c>
      <c r="B13" s="438" t="str">
        <f>Updates!B39</f>
        <v>Starfighters</v>
      </c>
      <c r="C13" s="439" t="s">
        <v>22</v>
      </c>
      <c r="D13" s="394"/>
      <c r="E13" s="436">
        <f>Devblogs!BZ$2</f>
        <v>43956</v>
      </c>
      <c r="F13" s="436" t="str">
        <f>Devblogs!CA$2</f>
        <v>Tuesday</v>
      </c>
      <c r="G13" s="439" t="s">
        <v>22</v>
      </c>
      <c r="H13" s="394"/>
      <c r="I13" s="436">
        <f>'Dev streams'!C9</f>
        <v>43966</v>
      </c>
      <c r="J13" s="436" t="str">
        <f>'Dev streams'!D9</f>
        <v>Friday</v>
      </c>
      <c r="K13" s="200">
        <f>'Dev servers'!C36</f>
        <v>43967</v>
      </c>
      <c r="L13" s="199" t="str">
        <f>'Dev servers'!F36</f>
        <v>Saturday</v>
      </c>
      <c r="M13" s="436">
        <f>Updates!C39</f>
        <v>43977</v>
      </c>
      <c r="N13" s="437" t="str">
        <f>Updates!D39</f>
        <v>Tuesday</v>
      </c>
    </row>
    <row r="14" spans="1:14" ht="15" x14ac:dyDescent="0.2">
      <c r="A14" s="397"/>
      <c r="B14" s="397"/>
      <c r="C14" s="397"/>
      <c r="D14" s="397"/>
      <c r="E14" s="397"/>
      <c r="F14" s="397"/>
      <c r="G14" s="397"/>
      <c r="H14" s="397"/>
      <c r="I14" s="397"/>
      <c r="J14" s="397"/>
      <c r="K14" s="201">
        <f>'Dev servers'!C37</f>
        <v>43972</v>
      </c>
      <c r="L14" s="184" t="str">
        <f>'Dev servers'!F37</f>
        <v>Thursday</v>
      </c>
      <c r="M14" s="397"/>
      <c r="N14" s="398"/>
    </row>
    <row r="15" spans="1:14" ht="15" x14ac:dyDescent="0.2">
      <c r="A15" s="442" t="str">
        <f>Updates!A40</f>
        <v>1.101</v>
      </c>
      <c r="B15" s="442" t="str">
        <f>Updates!B40</f>
        <v>Raining Fire</v>
      </c>
      <c r="C15" s="435" t="s">
        <v>22</v>
      </c>
      <c r="D15" s="394"/>
      <c r="E15" s="440">
        <f>Devblogs!BW$2</f>
        <v>44057</v>
      </c>
      <c r="F15" s="440" t="str">
        <f>Devblogs!BX$2</f>
        <v>Friday</v>
      </c>
      <c r="G15" s="435" t="s">
        <v>22</v>
      </c>
      <c r="H15" s="394"/>
      <c r="I15" s="440">
        <f>'Dev streams'!C10</f>
        <v>44064</v>
      </c>
      <c r="J15" s="440" t="str">
        <f>'Dev streams'!D10</f>
        <v>Friday</v>
      </c>
      <c r="K15" s="203">
        <f>'Dev servers'!C38</f>
        <v>44065</v>
      </c>
      <c r="L15" s="105" t="str">
        <f>'Dev servers'!F38</f>
        <v>Saturday</v>
      </c>
      <c r="M15" s="440">
        <f>Updates!C40</f>
        <v>44076</v>
      </c>
      <c r="N15" s="441" t="str">
        <f>Updates!D40</f>
        <v>Wednesday</v>
      </c>
    </row>
    <row r="16" spans="1:14" ht="15" x14ac:dyDescent="0.2">
      <c r="A16" s="397"/>
      <c r="B16" s="397"/>
      <c r="C16" s="397"/>
      <c r="D16" s="397"/>
      <c r="E16" s="397"/>
      <c r="F16" s="397"/>
      <c r="G16" s="397"/>
      <c r="H16" s="397"/>
      <c r="I16" s="397"/>
      <c r="J16" s="397"/>
      <c r="K16" s="205">
        <f>'Dev servers'!C39</f>
        <v>44069</v>
      </c>
      <c r="L16" s="113" t="str">
        <f>'Dev servers'!F39</f>
        <v>Wednesday</v>
      </c>
      <c r="M16" s="397"/>
      <c r="N16" s="398"/>
    </row>
    <row r="17" spans="1:14" ht="15" x14ac:dyDescent="0.2">
      <c r="A17" s="438" t="str">
        <f>Updates!A41</f>
        <v>2.1</v>
      </c>
      <c r="B17" s="438" t="str">
        <f>Updates!B41</f>
        <v>New Power</v>
      </c>
      <c r="C17" s="439" t="s">
        <v>22</v>
      </c>
      <c r="D17" s="394"/>
      <c r="E17" s="436">
        <f>Devblogs!BT$2</f>
        <v>44124</v>
      </c>
      <c r="F17" s="436" t="str">
        <f>Devblogs!BU$2</f>
        <v>Tuesday</v>
      </c>
      <c r="G17" s="436">
        <f>Teasers!C3</f>
        <v>44127</v>
      </c>
      <c r="H17" s="436" t="str">
        <f>Teasers!E3</f>
        <v>Friday</v>
      </c>
      <c r="I17" s="436">
        <f>'Dev streams'!C11</f>
        <v>44134</v>
      </c>
      <c r="J17" s="436" t="str">
        <f>'Dev streams'!D11</f>
        <v>Friday</v>
      </c>
      <c r="K17" s="200">
        <f>'Dev servers'!C40</f>
        <v>44138</v>
      </c>
      <c r="L17" s="199" t="str">
        <f>'Dev servers'!F40</f>
        <v>Tuesday</v>
      </c>
      <c r="M17" s="436">
        <f>Updates!C41</f>
        <v>44152</v>
      </c>
      <c r="N17" s="437" t="str">
        <f>Updates!D41</f>
        <v>Tuesday</v>
      </c>
    </row>
    <row r="18" spans="1:14" ht="15" x14ac:dyDescent="0.2">
      <c r="A18" s="397"/>
      <c r="B18" s="397"/>
      <c r="C18" s="397"/>
      <c r="D18" s="397"/>
      <c r="E18" s="397"/>
      <c r="F18" s="397"/>
      <c r="G18" s="397"/>
      <c r="H18" s="397"/>
      <c r="I18" s="397"/>
      <c r="J18" s="397"/>
      <c r="K18" s="201">
        <f>'Dev servers'!C41</f>
        <v>44145</v>
      </c>
      <c r="L18" s="184" t="str">
        <f>'Dev servers'!F41</f>
        <v>Tuesday</v>
      </c>
      <c r="M18" s="397"/>
      <c r="N18" s="398"/>
    </row>
    <row r="19" spans="1:14" ht="15" x14ac:dyDescent="0.2">
      <c r="A19" s="74">
        <f>Updates!A42</f>
        <v>2.2999999999999998</v>
      </c>
      <c r="B19" s="74" t="str">
        <f>Updates!B42</f>
        <v>Hot Tracks</v>
      </c>
      <c r="C19" s="435" t="s">
        <v>22</v>
      </c>
      <c r="D19" s="394"/>
      <c r="E19" s="79">
        <f>Devblogs!BQ$2</f>
        <v>44172</v>
      </c>
      <c r="F19" s="79" t="str">
        <f>Devblogs!BR$2</f>
        <v>Monday</v>
      </c>
      <c r="G19" s="448" t="s">
        <v>22</v>
      </c>
      <c r="H19" s="397"/>
      <c r="I19" s="205">
        <f>'Dev streams'!C12</f>
        <v>44176</v>
      </c>
      <c r="J19" s="205" t="str">
        <f>'Dev streams'!D12</f>
        <v>Friday</v>
      </c>
      <c r="K19" s="79">
        <f>'Dev servers'!C42</f>
        <v>44177</v>
      </c>
      <c r="L19" s="74" t="str">
        <f>'Dev servers'!F42</f>
        <v>Saturday</v>
      </c>
      <c r="M19" s="79">
        <f>Updates!C42</f>
        <v>44183</v>
      </c>
      <c r="N19" s="210" t="str">
        <f>Updates!D42</f>
        <v>Friday</v>
      </c>
    </row>
    <row r="20" spans="1:14" ht="15" x14ac:dyDescent="0.2">
      <c r="A20" s="439">
        <f>Updates!A43</f>
        <v>2.5</v>
      </c>
      <c r="B20" s="439" t="str">
        <f>Updates!B43</f>
        <v>Ixwa Strike</v>
      </c>
      <c r="C20" s="439" t="s">
        <v>22</v>
      </c>
      <c r="D20" s="394"/>
      <c r="E20" s="436">
        <f>Devblogs!BN$2</f>
        <v>44242</v>
      </c>
      <c r="F20" s="436" t="str">
        <f>Devblogs!BO$2</f>
        <v>Monday</v>
      </c>
      <c r="G20" s="436">
        <f>Teasers!C4</f>
        <v>44245</v>
      </c>
      <c r="H20" s="436" t="str">
        <f>Teasers!E4</f>
        <v>Thursday</v>
      </c>
      <c r="I20" s="447">
        <f>'Dev streams'!C13</f>
        <v>44247</v>
      </c>
      <c r="J20" s="447" t="str">
        <f>'Dev streams'!D13</f>
        <v>Saturday</v>
      </c>
      <c r="K20" s="200">
        <f>'Dev servers'!C43</f>
        <v>44248</v>
      </c>
      <c r="L20" s="199" t="str">
        <f>'Dev servers'!F43</f>
        <v>Sunday</v>
      </c>
      <c r="M20" s="436">
        <f>Updates!C43</f>
        <v>44265</v>
      </c>
      <c r="N20" s="437" t="str">
        <f>Updates!D43</f>
        <v>Wednesday</v>
      </c>
    </row>
    <row r="21" spans="1:14" ht="15" x14ac:dyDescent="0.2">
      <c r="A21" s="397"/>
      <c r="B21" s="397"/>
      <c r="C21" s="397"/>
      <c r="D21" s="397"/>
      <c r="E21" s="397"/>
      <c r="F21" s="397"/>
      <c r="G21" s="397"/>
      <c r="H21" s="397"/>
      <c r="I21" s="397"/>
      <c r="J21" s="397"/>
      <c r="K21" s="201">
        <f>'Dev servers'!C44</f>
        <v>44258</v>
      </c>
      <c r="L21" s="201" t="str">
        <f>'Dev servers'!F44</f>
        <v>Wednesday</v>
      </c>
      <c r="M21" s="397"/>
      <c r="N21" s="398"/>
    </row>
    <row r="22" spans="1:14" ht="15" x14ac:dyDescent="0.2">
      <c r="A22" s="446">
        <f>Updates!A44</f>
        <v>2.7</v>
      </c>
      <c r="B22" s="446" t="str">
        <f>Updates!B44</f>
        <v>Red Skies</v>
      </c>
      <c r="C22" s="435" t="s">
        <v>22</v>
      </c>
      <c r="D22" s="394"/>
      <c r="E22" s="444">
        <f>Devblogs!BK$2</f>
        <v>44328</v>
      </c>
      <c r="F22" s="444" t="str">
        <f>Devblogs!BL$2</f>
        <v>Wednesday</v>
      </c>
      <c r="G22" s="444">
        <f>Teasers!C5</f>
        <v>44336</v>
      </c>
      <c r="H22" s="444" t="str">
        <f>Teasers!E5</f>
        <v>Thursday</v>
      </c>
      <c r="I22" s="444">
        <f>'Dev streams'!C14</f>
        <v>44337</v>
      </c>
      <c r="J22" s="444" t="str">
        <f>'Dev streams'!D14</f>
        <v>Friday</v>
      </c>
      <c r="K22" s="203">
        <f>'Dev servers'!C45</f>
        <v>44338</v>
      </c>
      <c r="L22" s="105" t="str">
        <f>'Dev servers'!F45</f>
        <v>Saturday</v>
      </c>
      <c r="M22" s="444">
        <f>Updates!C44</f>
        <v>44349</v>
      </c>
      <c r="N22" s="445" t="str">
        <f>Updates!D44</f>
        <v>Wednesday</v>
      </c>
    </row>
    <row r="23" spans="1:14" ht="15" x14ac:dyDescent="0.2">
      <c r="A23" s="397"/>
      <c r="B23" s="397"/>
      <c r="C23" s="397"/>
      <c r="D23" s="397"/>
      <c r="E23" s="397"/>
      <c r="F23" s="397"/>
      <c r="G23" s="397"/>
      <c r="H23" s="397"/>
      <c r="I23" s="397"/>
      <c r="J23" s="397"/>
      <c r="K23" s="205">
        <f>'Dev servers'!C46</f>
        <v>44342</v>
      </c>
      <c r="L23" s="113" t="str">
        <f>'Dev servers'!F46</f>
        <v>Wednesday</v>
      </c>
      <c r="M23" s="397"/>
      <c r="N23" s="398"/>
    </row>
    <row r="24" spans="1:14" ht="15" x14ac:dyDescent="0.2">
      <c r="A24" s="439">
        <f>Updates!A45</f>
        <v>2.9</v>
      </c>
      <c r="B24" s="439" t="str">
        <f>Updates!B45</f>
        <v>Direct Hit</v>
      </c>
      <c r="C24" s="439" t="s">
        <v>22</v>
      </c>
      <c r="D24" s="394"/>
      <c r="E24" s="436">
        <f>Devblogs!BH$2</f>
        <v>44426</v>
      </c>
      <c r="F24" s="436" t="str">
        <f>Devblogs!BI$2</f>
        <v>Wednesday</v>
      </c>
      <c r="G24" s="436">
        <f>Teasers!C6</f>
        <v>44432</v>
      </c>
      <c r="H24" s="436" t="str">
        <f>Teasers!E6</f>
        <v>Tuesday</v>
      </c>
      <c r="I24" s="447">
        <f>'Dev streams'!C15</f>
        <v>44435</v>
      </c>
      <c r="J24" s="447" t="str">
        <f>'Dev streams'!D15</f>
        <v>Friday</v>
      </c>
      <c r="K24" s="200">
        <f>'Dev servers'!C47</f>
        <v>44436</v>
      </c>
      <c r="L24" s="199" t="str">
        <f>'Dev servers'!F47</f>
        <v>Saturday</v>
      </c>
      <c r="M24" s="436">
        <f>Updates!C45</f>
        <v>44446</v>
      </c>
      <c r="N24" s="437" t="str">
        <f>Updates!D45</f>
        <v>Tuesday</v>
      </c>
    </row>
    <row r="25" spans="1:14" ht="15" x14ac:dyDescent="0.2">
      <c r="A25" s="397"/>
      <c r="B25" s="397"/>
      <c r="C25" s="397"/>
      <c r="D25" s="397"/>
      <c r="E25" s="397"/>
      <c r="F25" s="397"/>
      <c r="G25" s="397"/>
      <c r="H25" s="397"/>
      <c r="I25" s="397"/>
      <c r="J25" s="397"/>
      <c r="K25" s="201">
        <f>'Dev servers'!C48</f>
        <v>44440</v>
      </c>
      <c r="L25" s="201" t="str">
        <f>'Dev servers'!F48</f>
        <v>Wednesday</v>
      </c>
      <c r="M25" s="397"/>
      <c r="N25" s="398"/>
    </row>
    <row r="26" spans="1:14" ht="15" x14ac:dyDescent="0.2">
      <c r="A26" s="435">
        <f>Updates!A46</f>
        <v>2.11</v>
      </c>
      <c r="B26" s="435" t="str">
        <f>Updates!B46</f>
        <v>Ground Breaking</v>
      </c>
      <c r="C26" s="435" t="s">
        <v>22</v>
      </c>
      <c r="D26" s="394"/>
      <c r="E26" s="440">
        <f>Devblogs!BE$2</f>
        <v>44477</v>
      </c>
      <c r="F26" s="440" t="str">
        <f>Devblogs!BF$2</f>
        <v>Friday</v>
      </c>
      <c r="G26" s="440">
        <f>Teasers!C7</f>
        <v>44481</v>
      </c>
      <c r="H26" s="440" t="str">
        <f>Teasers!E7</f>
        <v>Tuesday</v>
      </c>
      <c r="I26" s="444">
        <f>'Dev streams'!C16</f>
        <v>44484</v>
      </c>
      <c r="J26" s="444" t="str">
        <f>'Dev streams'!D16</f>
        <v>Friday</v>
      </c>
      <c r="K26" s="203">
        <f>'Dev servers'!C49</f>
        <v>44484</v>
      </c>
      <c r="L26" s="105" t="str">
        <f>'Dev servers'!F49</f>
        <v>Friday</v>
      </c>
      <c r="M26" s="440">
        <f>Updates!C46</f>
        <v>44497</v>
      </c>
      <c r="N26" s="441" t="str">
        <f>Updates!D46</f>
        <v>Thursday</v>
      </c>
    </row>
    <row r="27" spans="1:14" ht="15" x14ac:dyDescent="0.2">
      <c r="A27" s="402"/>
      <c r="B27" s="402"/>
      <c r="C27" s="402"/>
      <c r="D27" s="402"/>
      <c r="E27" s="402"/>
      <c r="F27" s="402"/>
      <c r="G27" s="402"/>
      <c r="H27" s="402"/>
      <c r="I27" s="402"/>
      <c r="J27" s="402"/>
      <c r="K27" s="79">
        <f>'Dev servers'!C50</f>
        <v>44489</v>
      </c>
      <c r="L27" s="79" t="str">
        <f>'Dev servers'!F50</f>
        <v>Wednesday</v>
      </c>
      <c r="M27" s="402"/>
      <c r="N27" s="412"/>
    </row>
    <row r="28" spans="1:14" ht="15" x14ac:dyDescent="0.2">
      <c r="A28" s="397"/>
      <c r="B28" s="397"/>
      <c r="C28" s="397"/>
      <c r="D28" s="397"/>
      <c r="E28" s="397"/>
      <c r="F28" s="397"/>
      <c r="G28" s="397"/>
      <c r="H28" s="397"/>
      <c r="I28" s="397"/>
      <c r="J28" s="397"/>
      <c r="K28" s="205">
        <f>'Dev servers'!C51</f>
        <v>44490</v>
      </c>
      <c r="L28" s="205" t="str">
        <f>'Dev servers'!F51</f>
        <v>Thursday</v>
      </c>
      <c r="M28" s="397"/>
      <c r="N28" s="398"/>
    </row>
    <row r="29" spans="1:14" ht="15" x14ac:dyDescent="0.2">
      <c r="A29" s="439">
        <f>Updates!A47</f>
        <v>2.13</v>
      </c>
      <c r="B29" s="439" t="str">
        <f>Updates!B47</f>
        <v>Winged Lions</v>
      </c>
      <c r="C29" s="439" t="s">
        <v>22</v>
      </c>
      <c r="D29" s="394"/>
      <c r="E29" s="436">
        <f>Devblogs!BB$2</f>
        <v>44530</v>
      </c>
      <c r="F29" s="436" t="str">
        <f>Devblogs!BC$2</f>
        <v>Tuesday</v>
      </c>
      <c r="G29" s="436">
        <f>Teasers!C8</f>
        <v>44532</v>
      </c>
      <c r="H29" s="436" t="str">
        <f>Teasers!E8</f>
        <v>Thursday</v>
      </c>
      <c r="I29" s="447">
        <f>'Dev streams'!C17</f>
        <v>44533</v>
      </c>
      <c r="J29" s="447" t="str">
        <f>'Dev streams'!D17</f>
        <v>Friday</v>
      </c>
      <c r="K29" s="200">
        <f>'Dev servers'!C52</f>
        <v>44533</v>
      </c>
      <c r="L29" s="199" t="str">
        <f>'Dev servers'!F52</f>
        <v>Friday</v>
      </c>
      <c r="M29" s="436">
        <f>Updates!C47</f>
        <v>44544</v>
      </c>
      <c r="N29" s="437" t="str">
        <f>Updates!D47</f>
        <v>Tuesday</v>
      </c>
    </row>
    <row r="30" spans="1:14" ht="15" x14ac:dyDescent="0.2">
      <c r="A30" s="397"/>
      <c r="B30" s="397"/>
      <c r="C30" s="397"/>
      <c r="D30" s="397"/>
      <c r="E30" s="397"/>
      <c r="F30" s="397"/>
      <c r="G30" s="397"/>
      <c r="H30" s="397"/>
      <c r="I30" s="397"/>
      <c r="J30" s="397"/>
      <c r="K30" s="201">
        <f>'Dev servers'!C53</f>
        <v>44538</v>
      </c>
      <c r="L30" s="201" t="str">
        <f>'Dev servers'!F53</f>
        <v>Wednesday</v>
      </c>
      <c r="M30" s="397"/>
      <c r="N30" s="398"/>
    </row>
    <row r="31" spans="1:14" ht="15" x14ac:dyDescent="0.2">
      <c r="A31" s="446">
        <f>Updates!A48</f>
        <v>2.15</v>
      </c>
      <c r="B31" s="446" t="str">
        <f>Updates!B48</f>
        <v>Wind of Change</v>
      </c>
      <c r="C31" s="435" t="s">
        <v>22</v>
      </c>
      <c r="D31" s="394"/>
      <c r="E31" s="444">
        <f>Devblogs!AY$2</f>
        <v>44610</v>
      </c>
      <c r="F31" s="444" t="str">
        <f>Devblogs!AZ$2</f>
        <v>Friday</v>
      </c>
      <c r="G31" s="444">
        <f>Teasers!C9</f>
        <v>44630</v>
      </c>
      <c r="H31" s="444" t="str">
        <f>Teasers!E9</f>
        <v>Thursday</v>
      </c>
      <c r="I31" s="444">
        <f>'Dev streams'!C18</f>
        <v>44631</v>
      </c>
      <c r="J31" s="444" t="str">
        <f>'Dev streams'!D18</f>
        <v>Friday</v>
      </c>
      <c r="K31" s="203">
        <f>'Dev servers'!C54</f>
        <v>44631</v>
      </c>
      <c r="L31" s="105" t="str">
        <f>'Dev servers'!F54</f>
        <v>Friday</v>
      </c>
      <c r="M31" s="444">
        <f>Updates!C48</f>
        <v>44644</v>
      </c>
      <c r="N31" s="445" t="str">
        <f>Updates!D48</f>
        <v>Thursday</v>
      </c>
    </row>
    <row r="32" spans="1:14" ht="15" x14ac:dyDescent="0.2">
      <c r="A32" s="397"/>
      <c r="B32" s="397"/>
      <c r="C32" s="397"/>
      <c r="D32" s="397"/>
      <c r="E32" s="397"/>
      <c r="F32" s="397"/>
      <c r="G32" s="397"/>
      <c r="H32" s="397"/>
      <c r="I32" s="397"/>
      <c r="J32" s="397"/>
      <c r="K32" s="205">
        <f>'Dev servers'!C55</f>
        <v>44636</v>
      </c>
      <c r="L32" s="113" t="str">
        <f>'Dev servers'!F55</f>
        <v>Wednesday</v>
      </c>
      <c r="M32" s="397"/>
      <c r="N32" s="398"/>
    </row>
    <row r="33" spans="1:14" ht="15" x14ac:dyDescent="0.2">
      <c r="A33" s="439">
        <f>Updates!A49</f>
        <v>2.17</v>
      </c>
      <c r="B33" s="439" t="str">
        <f>Updates!B49</f>
        <v>Danger Zone</v>
      </c>
      <c r="C33" s="439" t="s">
        <v>22</v>
      </c>
      <c r="D33" s="394"/>
      <c r="E33" s="436">
        <f>Devblogs!AV$2</f>
        <v>44699</v>
      </c>
      <c r="F33" s="436" t="str">
        <f>Devblogs!AW$2</f>
        <v>Wednesday</v>
      </c>
      <c r="G33" s="436">
        <f>Teasers!C10</f>
        <v>44707</v>
      </c>
      <c r="H33" s="436" t="str">
        <f>Teasers!E10</f>
        <v>Thursday</v>
      </c>
      <c r="I33" s="447">
        <f>'Dev streams'!C19</f>
        <v>44708</v>
      </c>
      <c r="J33" s="447" t="str">
        <f>'Dev streams'!D19</f>
        <v>Friday</v>
      </c>
      <c r="K33" s="200">
        <f>'Dev servers'!C56</f>
        <v>44708</v>
      </c>
      <c r="L33" s="199" t="str">
        <f>'Dev servers'!F56</f>
        <v>Friday</v>
      </c>
      <c r="M33" s="436">
        <f>Updates!C49</f>
        <v>44727</v>
      </c>
      <c r="N33" s="437" t="str">
        <f>Updates!D49</f>
        <v>Wednesday</v>
      </c>
    </row>
    <row r="34" spans="1:14" ht="15" x14ac:dyDescent="0.2">
      <c r="A34" s="397"/>
      <c r="B34" s="397"/>
      <c r="C34" s="397"/>
      <c r="D34" s="397"/>
      <c r="E34" s="397"/>
      <c r="F34" s="397"/>
      <c r="G34" s="397"/>
      <c r="H34" s="397"/>
      <c r="I34" s="397"/>
      <c r="J34" s="397"/>
      <c r="K34" s="201">
        <f>'Dev servers'!C57</f>
        <v>44715</v>
      </c>
      <c r="L34" s="201" t="str">
        <f>'Dev servers'!F57</f>
        <v>Friday</v>
      </c>
      <c r="M34" s="397"/>
      <c r="N34" s="398"/>
    </row>
    <row r="35" spans="1:14" ht="15" x14ac:dyDescent="0.2">
      <c r="A35" s="211">
        <f>Updates!A50</f>
        <v>2.19</v>
      </c>
      <c r="B35" s="211" t="str">
        <f>Updates!B50</f>
        <v>Drone Age</v>
      </c>
      <c r="C35" s="435" t="s">
        <v>22</v>
      </c>
      <c r="D35" s="394"/>
      <c r="E35" s="212">
        <f>Devblogs!AS$2</f>
        <v>44789</v>
      </c>
      <c r="F35" s="212" t="str">
        <f>Devblogs!AT$2</f>
        <v>Tuesday</v>
      </c>
      <c r="G35" s="212">
        <f>Teasers!C12</f>
        <v>44805</v>
      </c>
      <c r="H35" s="212" t="str">
        <f>Teasers!E12</f>
        <v>Thursday</v>
      </c>
      <c r="I35" s="212">
        <f>'Dev streams'!C20</f>
        <v>44806</v>
      </c>
      <c r="J35" s="212" t="str">
        <f>'Dev streams'!D21</f>
        <v>Friday</v>
      </c>
      <c r="K35" s="212">
        <f>'Dev servers'!C58</f>
        <v>44806</v>
      </c>
      <c r="L35" s="212" t="str">
        <f>'Dev servers'!F58</f>
        <v>Friday</v>
      </c>
      <c r="M35" s="212">
        <f>Updates!C50</f>
        <v>44818</v>
      </c>
      <c r="N35" s="213" t="str">
        <f>Updates!D50</f>
        <v>Wednesday</v>
      </c>
    </row>
    <row r="36" spans="1:14" ht="15" x14ac:dyDescent="0.2">
      <c r="A36" s="207">
        <f>Updates!A51</f>
        <v>2.21</v>
      </c>
      <c r="B36" s="207" t="str">
        <f>Updates!B51</f>
        <v>Fire and Ice</v>
      </c>
      <c r="C36" s="443" t="s">
        <v>22</v>
      </c>
      <c r="D36" s="404"/>
      <c r="E36" s="208">
        <f>Devblogs!AP$2</f>
        <v>44846</v>
      </c>
      <c r="F36" s="208" t="str">
        <f>Devblogs!AQ$2</f>
        <v>Wednesday</v>
      </c>
      <c r="G36" s="208">
        <f>Teasers!C13</f>
        <v>44847</v>
      </c>
      <c r="H36" s="208" t="str">
        <f>Teasers!E13</f>
        <v>Thursday</v>
      </c>
      <c r="I36" s="208">
        <f>'Dev streams'!C21</f>
        <v>44848</v>
      </c>
      <c r="J36" s="208" t="str">
        <f>'Dev streams'!D21</f>
        <v>Friday</v>
      </c>
      <c r="K36" s="208">
        <f>'Dev servers'!C59</f>
        <v>44848</v>
      </c>
      <c r="L36" s="207" t="str">
        <f>'Dev servers'!F59</f>
        <v>Friday</v>
      </c>
      <c r="M36" s="208">
        <f>Updates!C51</f>
        <v>44860</v>
      </c>
      <c r="N36" s="209" t="str">
        <f>Updates!D51</f>
        <v>Wednesday</v>
      </c>
    </row>
    <row r="37" spans="1:14" ht="15" x14ac:dyDescent="0.2">
      <c r="A37" s="211">
        <f>Updates!A52</f>
        <v>2.23</v>
      </c>
      <c r="B37" s="211" t="str">
        <f>Updates!B52</f>
        <v>Apex Predators</v>
      </c>
      <c r="C37" s="435" t="s">
        <v>22</v>
      </c>
      <c r="D37" s="394"/>
      <c r="E37" s="212">
        <f>Devblogs!AM$2</f>
        <v>44894</v>
      </c>
      <c r="F37" s="212" t="str">
        <f>Devblogs!AN$2</f>
        <v>Tuesday</v>
      </c>
      <c r="G37" s="212">
        <f>Teasers!C14</f>
        <v>44903</v>
      </c>
      <c r="H37" s="212" t="str">
        <f>Teasers!E14</f>
        <v>Thursday</v>
      </c>
      <c r="I37" s="212">
        <f>'Dev streams'!C22</f>
        <v>44904</v>
      </c>
      <c r="J37" s="212" t="str">
        <f>'Dev streams'!D22</f>
        <v>Friday</v>
      </c>
      <c r="K37" s="212">
        <f>'Dev servers'!C60</f>
        <v>44904</v>
      </c>
      <c r="L37" s="212" t="str">
        <f>'Dev servers'!F60</f>
        <v>Friday</v>
      </c>
      <c r="M37" s="212">
        <f>Updates!C52</f>
        <v>44915</v>
      </c>
      <c r="N37" s="213" t="str">
        <f>Updates!D52</f>
        <v>Tuesday</v>
      </c>
    </row>
    <row r="38" spans="1:14" ht="15" x14ac:dyDescent="0.2">
      <c r="A38" s="207">
        <f>Updates!A53</f>
        <v>2.25</v>
      </c>
      <c r="B38" s="207" t="str">
        <f>Updates!B53</f>
        <v>Sky Guardians</v>
      </c>
      <c r="C38" s="443" t="s">
        <v>22</v>
      </c>
      <c r="D38" s="404"/>
      <c r="E38" s="208">
        <f>Devblogs!AJ$2</f>
        <v>44967</v>
      </c>
      <c r="F38" s="208" t="str">
        <f>Devblogs!AK$2</f>
        <v>Friday</v>
      </c>
      <c r="G38" s="208">
        <f>Teasers!C15</f>
        <v>44980</v>
      </c>
      <c r="H38" s="208" t="str">
        <f>Teasers!E15</f>
        <v>Thursday</v>
      </c>
      <c r="I38" s="208">
        <f>'Dev streams'!C23</f>
        <v>44982</v>
      </c>
      <c r="J38" s="208" t="str">
        <f>'Dev streams'!D23</f>
        <v>Saturday</v>
      </c>
      <c r="K38" s="208">
        <f>'Dev servers'!C61</f>
        <v>44982</v>
      </c>
      <c r="L38" s="207" t="str">
        <f>'Dev servers'!F61</f>
        <v>Saturday</v>
      </c>
      <c r="M38" s="208">
        <f>Updates!C53</f>
        <v>44992</v>
      </c>
      <c r="N38" s="209" t="str">
        <f>Updates!D53</f>
        <v>Tuesday</v>
      </c>
    </row>
    <row r="39" spans="1:14" ht="15" x14ac:dyDescent="0.2">
      <c r="A39" s="446">
        <f>Updates!A54</f>
        <v>2.27</v>
      </c>
      <c r="B39" s="446" t="str">
        <f>Updates!B54</f>
        <v>La Royale</v>
      </c>
      <c r="C39" s="435" t="s">
        <v>22</v>
      </c>
      <c r="D39" s="394"/>
      <c r="E39" s="444">
        <f>Devblogs!AG$2</f>
        <v>45037</v>
      </c>
      <c r="F39" s="444" t="str">
        <f>Devblogs!AH$2</f>
        <v>Friday</v>
      </c>
      <c r="G39" s="444">
        <f>Teasers!C16</f>
        <v>45064</v>
      </c>
      <c r="H39" s="444" t="str">
        <f>Teasers!E16</f>
        <v>Thursday</v>
      </c>
      <c r="I39" s="444">
        <f>'Dev streams'!C24</f>
        <v>45065</v>
      </c>
      <c r="J39" s="444" t="str">
        <f>'Dev streams'!D24</f>
        <v>Friday</v>
      </c>
      <c r="K39" s="203">
        <f>'Dev servers'!C62</f>
        <v>45065</v>
      </c>
      <c r="L39" s="105" t="str">
        <f>'Dev servers'!F62</f>
        <v>Friday</v>
      </c>
      <c r="M39" s="444">
        <f>Updates!C54</f>
        <v>45091</v>
      </c>
      <c r="N39" s="445" t="str">
        <f>Updates!D54</f>
        <v>Wednesday</v>
      </c>
    </row>
    <row r="40" spans="1:14" ht="15" x14ac:dyDescent="0.2">
      <c r="A40" s="397"/>
      <c r="B40" s="397"/>
      <c r="C40" s="397"/>
      <c r="D40" s="397"/>
      <c r="E40" s="397"/>
      <c r="F40" s="397"/>
      <c r="G40" s="397"/>
      <c r="H40" s="397"/>
      <c r="I40" s="397"/>
      <c r="J40" s="397"/>
      <c r="K40" s="205">
        <f>'Dev servers'!C63</f>
        <v>45076</v>
      </c>
      <c r="L40" s="113" t="str">
        <f>'Dev servers'!F63</f>
        <v>Tuesday</v>
      </c>
      <c r="M40" s="397"/>
      <c r="N40" s="398"/>
    </row>
    <row r="41" spans="1:14" ht="15" x14ac:dyDescent="0.2">
      <c r="A41" s="439">
        <f>Updates!A55</f>
        <v>2.29</v>
      </c>
      <c r="B41" s="439" t="str">
        <f>Updates!B55</f>
        <v>Sons of Attila</v>
      </c>
      <c r="C41" s="436">
        <f>Leaks!C$3</f>
        <v>45160</v>
      </c>
      <c r="D41" s="436" t="str">
        <f>Leaks!D$3</f>
        <v>Tuesday</v>
      </c>
      <c r="E41" s="436">
        <f>Devblogs!AD$2</f>
        <v>45159</v>
      </c>
      <c r="F41" s="436" t="str">
        <f>Devblogs!AE$2</f>
        <v>Monday</v>
      </c>
      <c r="G41" s="436">
        <f>Teasers!C17</f>
        <v>45169</v>
      </c>
      <c r="H41" s="436" t="str">
        <f>Teasers!E17</f>
        <v>Thursday</v>
      </c>
      <c r="I41" s="447">
        <f>'Dev streams'!C25</f>
        <v>45170</v>
      </c>
      <c r="J41" s="447" t="str">
        <f>'Dev streams'!D25</f>
        <v>Friday</v>
      </c>
      <c r="K41" s="200">
        <f>'Dev servers'!C64</f>
        <v>45170</v>
      </c>
      <c r="L41" s="199" t="str">
        <f>'Dev servers'!F64</f>
        <v>Friday</v>
      </c>
      <c r="M41" s="436">
        <f>Updates!C55</f>
        <v>45188</v>
      </c>
      <c r="N41" s="437" t="str">
        <f>Updates!D55</f>
        <v>Tuesday</v>
      </c>
    </row>
    <row r="42" spans="1:14" ht="15" x14ac:dyDescent="0.2">
      <c r="A42" s="397"/>
      <c r="B42" s="397"/>
      <c r="C42" s="397"/>
      <c r="D42" s="397"/>
      <c r="E42" s="397"/>
      <c r="F42" s="397"/>
      <c r="G42" s="397"/>
      <c r="H42" s="397"/>
      <c r="I42" s="397"/>
      <c r="J42" s="397"/>
      <c r="K42" s="201">
        <f>'Dev servers'!C65</f>
        <v>45181</v>
      </c>
      <c r="L42" s="201" t="str">
        <f>'Dev servers'!F65</f>
        <v>Tuesday</v>
      </c>
      <c r="M42" s="397"/>
      <c r="N42" s="398"/>
    </row>
    <row r="43" spans="1:14" ht="15" x14ac:dyDescent="0.2">
      <c r="A43" s="113">
        <f>Updates!A56</f>
        <v>2.31</v>
      </c>
      <c r="B43" s="113" t="str">
        <f>Updates!B56</f>
        <v>Kings of Battle</v>
      </c>
      <c r="C43" s="205">
        <f>Leaks!C$4</f>
        <v>45209</v>
      </c>
      <c r="D43" s="205" t="str">
        <f>Leaks!D$4</f>
        <v>Tuesday</v>
      </c>
      <c r="E43" s="205">
        <f>Devblogs!AA$2</f>
        <v>45212</v>
      </c>
      <c r="F43" s="205" t="str">
        <f>Devblogs!AB$2</f>
        <v>Friday</v>
      </c>
      <c r="G43" s="205">
        <f>Teasers!C18</f>
        <v>45218</v>
      </c>
      <c r="H43" s="205" t="str">
        <f>Teasers!E18</f>
        <v>Thursday</v>
      </c>
      <c r="I43" s="205">
        <f>'Dev streams'!C26</f>
        <v>45219</v>
      </c>
      <c r="J43" s="205" t="str">
        <f>'Dev streams'!D26</f>
        <v>Friday</v>
      </c>
      <c r="K43" s="212">
        <f>'Dev servers'!C66</f>
        <v>45219</v>
      </c>
      <c r="L43" s="211" t="str">
        <f>'Dev servers'!F66</f>
        <v>Friday</v>
      </c>
      <c r="M43" s="205">
        <f>Updates!C56</f>
        <v>45230</v>
      </c>
      <c r="N43" s="214" t="str">
        <f>Updates!D56</f>
        <v>Tuesday</v>
      </c>
    </row>
    <row r="44" spans="1:14" ht="15" x14ac:dyDescent="0.2">
      <c r="A44" s="207">
        <f>Updates!A57</f>
        <v>2.33</v>
      </c>
      <c r="B44" s="207" t="str">
        <f>Updates!B57</f>
        <v>Air Superiority</v>
      </c>
      <c r="C44" s="208">
        <f>Leaks!C$5</f>
        <v>45254</v>
      </c>
      <c r="D44" s="208" t="str">
        <f>Leaks!D$5</f>
        <v>Friday</v>
      </c>
      <c r="E44" s="208">
        <f>Devblogs!X$2</f>
        <v>45261</v>
      </c>
      <c r="F44" s="208" t="str">
        <f>Devblogs!Y$2</f>
        <v>Friday</v>
      </c>
      <c r="G44" s="208">
        <f>Teasers!C19</f>
        <v>45266</v>
      </c>
      <c r="H44" s="208" t="str">
        <f>Teasers!E19</f>
        <v>Wednesday</v>
      </c>
      <c r="I44" s="201">
        <f>'Dev streams'!C27</f>
        <v>45267</v>
      </c>
      <c r="J44" s="201" t="str">
        <f>'Dev streams'!D27</f>
        <v>Thursday</v>
      </c>
      <c r="K44" s="208">
        <f>'Dev servers'!C67</f>
        <v>45267</v>
      </c>
      <c r="L44" s="207" t="str">
        <f>'Dev servers'!F67</f>
        <v>Thursday</v>
      </c>
      <c r="M44" s="208">
        <f>Updates!C57</f>
        <v>45274</v>
      </c>
      <c r="N44" s="209" t="str">
        <f>Updates!D57</f>
        <v>Thursday</v>
      </c>
    </row>
    <row r="45" spans="1:14" ht="15" x14ac:dyDescent="0.2">
      <c r="A45" s="113">
        <f>Updates!A58</f>
        <v>2.35</v>
      </c>
      <c r="B45" s="113" t="str">
        <f>Updates!B58</f>
        <v>Alpha Strike</v>
      </c>
      <c r="C45" s="205">
        <f>Leaks!C$6</f>
        <v>45344</v>
      </c>
      <c r="D45" s="205" t="str">
        <f>Leaks!D$6</f>
        <v>Thursday</v>
      </c>
      <c r="E45" s="205">
        <f>Devblogs!U$2</f>
        <v>45344</v>
      </c>
      <c r="F45" s="205" t="str">
        <f>Devblogs!V$2</f>
        <v>Thursday</v>
      </c>
      <c r="G45" s="205">
        <f>Teasers!C20</f>
        <v>45351</v>
      </c>
      <c r="H45" s="205" t="str">
        <f>Teasers!E20</f>
        <v>Thursday</v>
      </c>
      <c r="I45" s="205">
        <f>'Dev streams'!C28</f>
        <v>45352</v>
      </c>
      <c r="J45" s="205" t="str">
        <f>'Dev streams'!D28</f>
        <v>Friday</v>
      </c>
      <c r="K45" s="212">
        <f>'Dev servers'!C68</f>
        <v>45352</v>
      </c>
      <c r="L45" s="211" t="str">
        <f>'Dev servers'!F68</f>
        <v>Friday</v>
      </c>
      <c r="M45" s="205">
        <f>Updates!C58</f>
        <v>45364</v>
      </c>
      <c r="N45" s="214" t="str">
        <f>Updates!D58</f>
        <v>Wednesday</v>
      </c>
    </row>
    <row r="46" spans="1:14" ht="15" x14ac:dyDescent="0.2">
      <c r="A46" s="207">
        <f>Updates!A59</f>
        <v>2.37</v>
      </c>
      <c r="B46" s="207" t="str">
        <f>Updates!B59</f>
        <v>Seek &amp; Destroy</v>
      </c>
      <c r="C46" s="208">
        <f>Leaks!C7</f>
        <v>45416</v>
      </c>
      <c r="D46" s="208" t="str">
        <f>Leaks!D$7</f>
        <v>Saturday</v>
      </c>
      <c r="E46" s="208">
        <f>Devblogs!R$2</f>
        <v>45436</v>
      </c>
      <c r="F46" s="208" t="str">
        <f>Devblogs!S$2</f>
        <v>Friday</v>
      </c>
      <c r="G46" s="208">
        <f>Teasers!C21</f>
        <v>45442</v>
      </c>
      <c r="H46" s="208" t="str">
        <f>Teasers!E21</f>
        <v>Thursday</v>
      </c>
      <c r="I46" s="201">
        <f>'Dev streams'!C29</f>
        <v>45443</v>
      </c>
      <c r="J46" s="201" t="str">
        <f>'Dev streams'!D29</f>
        <v>Friday</v>
      </c>
      <c r="K46" s="208">
        <f>'Dev servers'!C69</f>
        <v>45443</v>
      </c>
      <c r="L46" s="207" t="str">
        <f>'Dev servers'!F69</f>
        <v>Friday</v>
      </c>
      <c r="M46" s="208">
        <f>Updates!C59</f>
        <v>45462</v>
      </c>
      <c r="N46" s="209" t="str">
        <f>Updates!D59</f>
        <v>Wednesday</v>
      </c>
    </row>
    <row r="47" spans="1:14" ht="15" x14ac:dyDescent="0.2">
      <c r="A47" s="113">
        <f>Updates!A60</f>
        <v>2.39</v>
      </c>
      <c r="B47" s="113" t="str">
        <f>Updates!B60</f>
        <v>Dance of Dragons</v>
      </c>
      <c r="C47" s="205">
        <f>Leaks!C$8</f>
        <v>45515</v>
      </c>
      <c r="D47" s="205" t="str">
        <f>Leaks!D$8</f>
        <v>Sunday</v>
      </c>
      <c r="E47" s="205">
        <f>Devblogs!O$2</f>
        <v>45526</v>
      </c>
      <c r="F47" s="205" t="str">
        <f>Devblogs!P$2</f>
        <v>Thursday</v>
      </c>
      <c r="G47" s="205">
        <f>Teasers!C22</f>
        <v>45533</v>
      </c>
      <c r="H47" s="205" t="str">
        <f>Teasers!E22</f>
        <v>Thursday</v>
      </c>
      <c r="I47" s="205">
        <f>'Dev streams'!C30</f>
        <v>45534</v>
      </c>
      <c r="J47" s="205" t="str">
        <f>'Dev streams'!D30</f>
        <v>Friday</v>
      </c>
      <c r="K47" s="212">
        <f>'Dev servers'!C70</f>
        <v>45534</v>
      </c>
      <c r="L47" s="211" t="str">
        <f>'Dev servers'!F70</f>
        <v>Friday</v>
      </c>
      <c r="M47" s="205">
        <f>Updates!C60</f>
        <v>45545</v>
      </c>
      <c r="N47" s="214" t="str">
        <f>Updates!D60</f>
        <v>Tuesday</v>
      </c>
    </row>
    <row r="48" spans="1:14" ht="15" x14ac:dyDescent="0.2">
      <c r="A48" s="207">
        <f>Updates!A61</f>
        <v>2.41</v>
      </c>
      <c r="B48" s="207" t="str">
        <f>Updates!B61</f>
        <v>Firebirds</v>
      </c>
      <c r="C48" s="208">
        <f>Leaks!C$9</f>
        <v>45583</v>
      </c>
      <c r="D48" s="208" t="str">
        <f>Leaks!D$9</f>
        <v>Friday</v>
      </c>
      <c r="E48" s="208">
        <f>Devblogs!L$2</f>
        <v>45580</v>
      </c>
      <c r="F48" s="208" t="str">
        <f>Devblogs!M$2</f>
        <v>Tuesday</v>
      </c>
      <c r="G48" s="208">
        <f>Teasers!C23</f>
        <v>45589</v>
      </c>
      <c r="H48" s="208" t="str">
        <f>Teasers!E23</f>
        <v>Thursday</v>
      </c>
      <c r="I48" s="201">
        <f>'Dev streams'!C31</f>
        <v>45590</v>
      </c>
      <c r="J48" s="201" t="str">
        <f>'Dev streams'!D31</f>
        <v>Friday</v>
      </c>
      <c r="K48" s="208">
        <f>'Dev servers'!C71</f>
        <v>45590</v>
      </c>
      <c r="L48" s="207" t="str">
        <f>'Dev servers'!F71</f>
        <v>Friday</v>
      </c>
      <c r="M48" s="208">
        <f>Updates!C61</f>
        <v>45615</v>
      </c>
      <c r="N48" s="209" t="str">
        <f>Updates!D61</f>
        <v>Tuesday</v>
      </c>
    </row>
    <row r="49" spans="1:14" ht="15" x14ac:dyDescent="0.2">
      <c r="A49" s="113">
        <f>Updates!A62</f>
        <v>2.4300000000000002</v>
      </c>
      <c r="B49" s="113" t="str">
        <f>Updates!B62</f>
        <v>Storm Warning</v>
      </c>
      <c r="C49" s="205">
        <f>Leaks!C$10</f>
        <v>45623</v>
      </c>
      <c r="D49" s="205" t="str">
        <f>Leaks!D$10</f>
        <v>Wednesday</v>
      </c>
      <c r="E49" s="205">
        <f>Devblogs!I$2</f>
        <v>45631</v>
      </c>
      <c r="F49" s="205" t="str">
        <f>Devblogs!J$2</f>
        <v>Thursday</v>
      </c>
      <c r="G49" s="205">
        <f>Teasers!C24</f>
        <v>45635</v>
      </c>
      <c r="H49" s="205" t="str">
        <f>Teasers!E24</f>
        <v>Monday</v>
      </c>
      <c r="I49" s="205">
        <f>'Dev streams'!C32</f>
        <v>45636</v>
      </c>
      <c r="J49" s="205" t="str">
        <f>'Dev streams'!D32</f>
        <v>Tuesday</v>
      </c>
      <c r="K49" s="212">
        <f>'Dev servers'!C72</f>
        <v>45636</v>
      </c>
      <c r="L49" s="211" t="str">
        <f>'Dev servers'!F72</f>
        <v>Tuesday</v>
      </c>
      <c r="M49" s="205">
        <f>Updates!C62</f>
        <v>45642</v>
      </c>
      <c r="N49" s="214" t="str">
        <f>Updates!D62</f>
        <v>Monday</v>
      </c>
    </row>
    <row r="50" spans="1:14" ht="15" x14ac:dyDescent="0.2">
      <c r="A50" s="207">
        <f>Updates!A63</f>
        <v>2.4500000000000002</v>
      </c>
      <c r="B50" s="207">
        <f>Updates!B63</f>
        <v>0</v>
      </c>
      <c r="C50" s="208">
        <f>Leaks!C$11</f>
        <v>45708</v>
      </c>
      <c r="D50" s="208" t="str">
        <f>Leaks!D$11</f>
        <v>Thursday</v>
      </c>
      <c r="E50" s="208">
        <f>Devblogs!F$2</f>
        <v>45708</v>
      </c>
      <c r="F50" s="208" t="str">
        <f>Devblogs!G$2</f>
        <v>Thursday</v>
      </c>
      <c r="G50" s="208">
        <f>Teasers!C25</f>
        <v>0</v>
      </c>
      <c r="H50" s="208">
        <f>Teasers!E25</f>
        <v>0</v>
      </c>
      <c r="I50" s="201">
        <f>'Dev streams'!C33</f>
        <v>0</v>
      </c>
      <c r="J50" s="201">
        <f>'Dev streams'!D33</f>
        <v>0</v>
      </c>
      <c r="K50" s="208">
        <f>'Dev servers'!C73</f>
        <v>0</v>
      </c>
      <c r="L50" s="207">
        <f>'Dev servers'!F73</f>
        <v>0</v>
      </c>
      <c r="M50" s="208">
        <f>Updates!C63</f>
        <v>0</v>
      </c>
      <c r="N50" s="209">
        <f>Updates!D63</f>
        <v>0</v>
      </c>
    </row>
  </sheetData>
  <mergeCells count="188">
    <mergeCell ref="I29:I30"/>
    <mergeCell ref="J29:J30"/>
    <mergeCell ref="M29:M30"/>
    <mergeCell ref="N29:N30"/>
    <mergeCell ref="A29:A30"/>
    <mergeCell ref="B29:B30"/>
    <mergeCell ref="C29:D30"/>
    <mergeCell ref="E29:E30"/>
    <mergeCell ref="F29:F30"/>
    <mergeCell ref="G29:G30"/>
    <mergeCell ref="H29:H30"/>
    <mergeCell ref="A24:A25"/>
    <mergeCell ref="B24:B25"/>
    <mergeCell ref="C24:D25"/>
    <mergeCell ref="E24:E25"/>
    <mergeCell ref="F24:F25"/>
    <mergeCell ref="G24:G25"/>
    <mergeCell ref="H24:H25"/>
    <mergeCell ref="I26:I28"/>
    <mergeCell ref="J26:J28"/>
    <mergeCell ref="A26:A28"/>
    <mergeCell ref="B26:B28"/>
    <mergeCell ref="C26:D28"/>
    <mergeCell ref="E26:E28"/>
    <mergeCell ref="F26:F28"/>
    <mergeCell ref="G26:G28"/>
    <mergeCell ref="H26:H28"/>
    <mergeCell ref="B22:B23"/>
    <mergeCell ref="C22:D23"/>
    <mergeCell ref="E22:E23"/>
    <mergeCell ref="F22:F23"/>
    <mergeCell ref="G22:G23"/>
    <mergeCell ref="H22:H23"/>
    <mergeCell ref="I24:I25"/>
    <mergeCell ref="J24:J25"/>
    <mergeCell ref="M24:M25"/>
    <mergeCell ref="J39:J40"/>
    <mergeCell ref="M39:M40"/>
    <mergeCell ref="N39:N40"/>
    <mergeCell ref="J15:J16"/>
    <mergeCell ref="M15:M16"/>
    <mergeCell ref="N15:N16"/>
    <mergeCell ref="A15:A16"/>
    <mergeCell ref="B15:B16"/>
    <mergeCell ref="C15:D16"/>
    <mergeCell ref="E15:E16"/>
    <mergeCell ref="F15:F16"/>
    <mergeCell ref="G15:H16"/>
    <mergeCell ref="I15:I16"/>
    <mergeCell ref="I17:I18"/>
    <mergeCell ref="J17:J18"/>
    <mergeCell ref="M17:M18"/>
    <mergeCell ref="N17:N18"/>
    <mergeCell ref="A17:A18"/>
    <mergeCell ref="B17:B18"/>
    <mergeCell ref="C17:D18"/>
    <mergeCell ref="E17:E18"/>
    <mergeCell ref="F17:F18"/>
    <mergeCell ref="G17:G18"/>
    <mergeCell ref="H17:H18"/>
    <mergeCell ref="A13:A14"/>
    <mergeCell ref="B13:B14"/>
    <mergeCell ref="C13:D14"/>
    <mergeCell ref="E13:E14"/>
    <mergeCell ref="F13:F14"/>
    <mergeCell ref="G13:H14"/>
    <mergeCell ref="I13:I14"/>
    <mergeCell ref="E39:E40"/>
    <mergeCell ref="F39:F40"/>
    <mergeCell ref="G39:G40"/>
    <mergeCell ref="H39:H40"/>
    <mergeCell ref="I39:I40"/>
    <mergeCell ref="G20:G21"/>
    <mergeCell ref="H20:H21"/>
    <mergeCell ref="I20:I21"/>
    <mergeCell ref="C19:D19"/>
    <mergeCell ref="G19:H19"/>
    <mergeCell ref="A20:A21"/>
    <mergeCell ref="B20:B21"/>
    <mergeCell ref="C20:D21"/>
    <mergeCell ref="E20:E21"/>
    <mergeCell ref="F20:F21"/>
    <mergeCell ref="I22:I23"/>
    <mergeCell ref="A22:A23"/>
    <mergeCell ref="A7:A8"/>
    <mergeCell ref="B7:B8"/>
    <mergeCell ref="C7:D8"/>
    <mergeCell ref="E7:E8"/>
    <mergeCell ref="F7:F8"/>
    <mergeCell ref="I7:I8"/>
    <mergeCell ref="C9:D9"/>
    <mergeCell ref="J11:J12"/>
    <mergeCell ref="M11:M12"/>
    <mergeCell ref="A11:A12"/>
    <mergeCell ref="B11:B12"/>
    <mergeCell ref="C11:D12"/>
    <mergeCell ref="E11:E12"/>
    <mergeCell ref="F11:F12"/>
    <mergeCell ref="G11:H12"/>
    <mergeCell ref="I11:I12"/>
    <mergeCell ref="J41:J42"/>
    <mergeCell ref="M41:M42"/>
    <mergeCell ref="N41:N42"/>
    <mergeCell ref="A41:A42"/>
    <mergeCell ref="B41:B42"/>
    <mergeCell ref="C41:C42"/>
    <mergeCell ref="D41:D42"/>
    <mergeCell ref="E41:E42"/>
    <mergeCell ref="F41:F42"/>
    <mergeCell ref="G41:G42"/>
    <mergeCell ref="C35:D35"/>
    <mergeCell ref="C36:D36"/>
    <mergeCell ref="C37:D37"/>
    <mergeCell ref="C38:D38"/>
    <mergeCell ref="A39:A40"/>
    <mergeCell ref="B39:B40"/>
    <mergeCell ref="C39:D40"/>
    <mergeCell ref="H41:H42"/>
    <mergeCell ref="I41:I42"/>
    <mergeCell ref="M33:M34"/>
    <mergeCell ref="N33:N34"/>
    <mergeCell ref="A33:A34"/>
    <mergeCell ref="B33:B34"/>
    <mergeCell ref="C33:D34"/>
    <mergeCell ref="E33:E34"/>
    <mergeCell ref="F33:F34"/>
    <mergeCell ref="G33:G34"/>
    <mergeCell ref="H33:H34"/>
    <mergeCell ref="A31:A32"/>
    <mergeCell ref="B31:B32"/>
    <mergeCell ref="C31:D32"/>
    <mergeCell ref="E31:E32"/>
    <mergeCell ref="F31:F32"/>
    <mergeCell ref="G31:G32"/>
    <mergeCell ref="H31:H32"/>
    <mergeCell ref="I33:I34"/>
    <mergeCell ref="J33:J34"/>
    <mergeCell ref="J7:J8"/>
    <mergeCell ref="M7:M8"/>
    <mergeCell ref="N7:N8"/>
    <mergeCell ref="C10:D10"/>
    <mergeCell ref="G10:H10"/>
    <mergeCell ref="I31:I32"/>
    <mergeCell ref="J31:J32"/>
    <mergeCell ref="M31:M32"/>
    <mergeCell ref="N31:N32"/>
    <mergeCell ref="G7:H8"/>
    <mergeCell ref="G9:H9"/>
    <mergeCell ref="N11:N12"/>
    <mergeCell ref="J13:J14"/>
    <mergeCell ref="M13:M14"/>
    <mergeCell ref="N13:N14"/>
    <mergeCell ref="J20:J21"/>
    <mergeCell ref="M20:M21"/>
    <mergeCell ref="N20:N21"/>
    <mergeCell ref="J22:J23"/>
    <mergeCell ref="M22:M23"/>
    <mergeCell ref="N22:N23"/>
    <mergeCell ref="N24:N25"/>
    <mergeCell ref="M26:M28"/>
    <mergeCell ref="N26:N28"/>
    <mergeCell ref="J5:J6"/>
    <mergeCell ref="M5:M6"/>
    <mergeCell ref="N5:N6"/>
    <mergeCell ref="A5:A6"/>
    <mergeCell ref="B5:B6"/>
    <mergeCell ref="C5:D6"/>
    <mergeCell ref="E5:E6"/>
    <mergeCell ref="F5:F6"/>
    <mergeCell ref="G5:H6"/>
    <mergeCell ref="I5:I6"/>
    <mergeCell ref="A1:N1"/>
    <mergeCell ref="C2:D2"/>
    <mergeCell ref="E2:F2"/>
    <mergeCell ref="G2:H2"/>
    <mergeCell ref="I2:J2"/>
    <mergeCell ref="K2:L2"/>
    <mergeCell ref="M2:N2"/>
    <mergeCell ref="J3:J4"/>
    <mergeCell ref="M3:M4"/>
    <mergeCell ref="N3:N4"/>
    <mergeCell ref="A3:A4"/>
    <mergeCell ref="B3:B4"/>
    <mergeCell ref="C3:D4"/>
    <mergeCell ref="E3:E4"/>
    <mergeCell ref="F3:F4"/>
    <mergeCell ref="G3:H4"/>
    <mergeCell ref="I3:I4"/>
  </mergeCells>
  <conditionalFormatting sqref="A1:N50">
    <cfRule type="cellIs" dxfId="47" priority="1" operator="equal">
      <formula>"Monday"</formula>
    </cfRule>
    <cfRule type="cellIs" dxfId="46" priority="2" operator="equal">
      <formula>"Tuesday"</formula>
    </cfRule>
    <cfRule type="cellIs" dxfId="45" priority="3" operator="equal">
      <formula>"Wednesday"</formula>
    </cfRule>
    <cfRule type="cellIs" dxfId="44" priority="4" operator="equal">
      <formula>"Thursday"</formula>
    </cfRule>
    <cfRule type="cellIs" dxfId="43" priority="5" operator="equal">
      <formula>"Friday"</formula>
    </cfRule>
    <cfRule type="cellIs" dxfId="42" priority="6" operator="equal">
      <formula>"Saturday"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P1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7109375" customWidth="1"/>
    <col min="4" max="4" width="4.28515625" customWidth="1"/>
    <col min="5" max="5" width="33.42578125" customWidth="1"/>
    <col min="6" max="7" width="12.5703125" customWidth="1"/>
    <col min="8" max="8" width="53" customWidth="1"/>
    <col min="9" max="10" width="12.5703125" customWidth="1"/>
    <col min="11" max="11" width="72.140625" customWidth="1"/>
    <col min="12" max="13" width="12.5703125" customWidth="1"/>
    <col min="14" max="14" width="42.42578125" customWidth="1"/>
    <col min="15" max="16" width="12.5703125" customWidth="1"/>
    <col min="17" max="17" width="41" customWidth="1"/>
    <col min="18" max="19" width="12.5703125" customWidth="1"/>
    <col min="20" max="20" width="45" customWidth="1"/>
    <col min="21" max="22" width="12.5703125" customWidth="1"/>
    <col min="23" max="23" width="89.42578125" customWidth="1"/>
    <col min="24" max="25" width="12.5703125" customWidth="1"/>
    <col min="26" max="26" width="25.28515625" customWidth="1"/>
    <col min="27" max="28" width="12.5703125" customWidth="1"/>
    <col min="29" max="29" width="37.5703125" customWidth="1"/>
    <col min="30" max="31" width="12.5703125" customWidth="1"/>
    <col min="32" max="32" width="39.5703125" customWidth="1"/>
    <col min="33" max="34" width="12.5703125" customWidth="1"/>
    <col min="35" max="35" width="61" customWidth="1"/>
    <col min="36" max="37" width="12.5703125" customWidth="1"/>
    <col min="38" max="38" width="82.28515625" customWidth="1"/>
    <col min="39" max="40" width="12.5703125" customWidth="1"/>
    <col min="41" max="41" width="41" customWidth="1"/>
    <col min="42" max="43" width="12.5703125" customWidth="1"/>
    <col min="44" max="44" width="41.28515625" customWidth="1"/>
    <col min="45" max="46" width="12.5703125" customWidth="1"/>
    <col min="47" max="47" width="50.5703125" customWidth="1"/>
    <col min="48" max="49" width="12.5703125" customWidth="1"/>
    <col min="50" max="50" width="50.5703125" customWidth="1"/>
    <col min="51" max="52" width="12.5703125" customWidth="1"/>
    <col min="53" max="53" width="50.5703125" customWidth="1"/>
    <col min="54" max="55" width="12.5703125" customWidth="1"/>
    <col min="56" max="56" width="34.5703125" customWidth="1"/>
    <col min="57" max="58" width="12.5703125" customWidth="1"/>
    <col min="59" max="59" width="52.28515625" customWidth="1"/>
    <col min="60" max="61" width="12.5703125" customWidth="1"/>
    <col min="62" max="62" width="36.28515625" customWidth="1"/>
    <col min="63" max="64" width="12.5703125" customWidth="1"/>
    <col min="65" max="65" width="34.42578125" customWidth="1"/>
    <col min="66" max="67" width="12.5703125" customWidth="1"/>
    <col min="68" max="68" width="29.140625" customWidth="1"/>
    <col min="71" max="71" width="61.7109375" customWidth="1"/>
    <col min="74" max="74" width="24" customWidth="1"/>
    <col min="77" max="77" width="24.28515625" customWidth="1"/>
    <col min="80" max="80" width="22.140625" customWidth="1"/>
    <col min="83" max="83" width="19.85546875" customWidth="1"/>
    <col min="86" max="86" width="26" customWidth="1"/>
    <col min="89" max="89" width="36.42578125" customWidth="1"/>
    <col min="92" max="92" width="26.42578125" customWidth="1"/>
    <col min="95" max="95" width="35.5703125" customWidth="1"/>
    <col min="98" max="98" width="29.28515625" customWidth="1"/>
    <col min="101" max="101" width="22" customWidth="1"/>
    <col min="104" max="104" width="26.85546875" customWidth="1"/>
    <col min="107" max="107" width="28.5703125" customWidth="1"/>
    <col min="110" max="110" width="29.5703125" customWidth="1"/>
    <col min="113" max="113" width="19.28515625" customWidth="1"/>
    <col min="116" max="116" width="23.7109375" customWidth="1"/>
    <col min="119" max="119" width="36.28515625" customWidth="1"/>
    <col min="122" max="122" width="29.5703125" customWidth="1"/>
    <col min="125" max="125" width="31.7109375" customWidth="1"/>
    <col min="128" max="128" width="31.42578125" customWidth="1"/>
    <col min="131" max="131" width="25.140625" customWidth="1"/>
    <col min="134" max="134" width="32.5703125" customWidth="1"/>
    <col min="137" max="137" width="56.7109375" customWidth="1"/>
    <col min="140" max="140" width="36.7109375" customWidth="1"/>
    <col min="143" max="143" width="34.140625" customWidth="1"/>
    <col min="146" max="146" width="42.42578125" customWidth="1"/>
    <col min="149" max="149" width="45.140625" customWidth="1"/>
    <col min="152" max="152" width="49.42578125" customWidth="1"/>
    <col min="155" max="155" width="36.85546875" customWidth="1"/>
    <col min="158" max="158" width="32.85546875" customWidth="1"/>
    <col min="161" max="161" width="38" customWidth="1"/>
    <col min="164" max="164" width="33.7109375" customWidth="1"/>
    <col min="167" max="167" width="84.5703125" customWidth="1"/>
    <col min="170" max="170" width="55.42578125" customWidth="1"/>
  </cols>
  <sheetData>
    <row r="1" spans="1:172" ht="15" x14ac:dyDescent="0.2">
      <c r="A1" s="65"/>
      <c r="B1" s="65"/>
      <c r="C1" s="65"/>
      <c r="D1" s="215"/>
      <c r="E1" s="449">
        <f>IF(Updates!$B63&lt;&gt;"",CONCATENATE(Updates!$A63, " """, Updates!$B63, """"), Updates!$A63)</f>
        <v>2.4500000000000002</v>
      </c>
      <c r="F1" s="397"/>
      <c r="G1" s="450"/>
      <c r="H1" s="449" t="str">
        <f>IF(Updates!$B62&lt;&gt;"",CONCATENATE(Updates!$A62, " """, Updates!$B62, """"), Updates!$A62)</f>
        <v>2.43 "Storm Warning"</v>
      </c>
      <c r="I1" s="397"/>
      <c r="J1" s="450"/>
      <c r="K1" s="449" t="str">
        <f>IF(Updates!$B61&lt;&gt;"",CONCATENATE(Updates!$A61, " """, Updates!$B61, """"), Updates!$A61)</f>
        <v>2.41 "Firebirds"</v>
      </c>
      <c r="L1" s="397"/>
      <c r="M1" s="450"/>
      <c r="N1" s="449" t="str">
        <f>IF(Updates!$B60&lt;&gt;"",CONCATENATE(Updates!$A60, " """, Updates!$B60, """"), Updates!$A60)</f>
        <v>2.39 "Dance of Dragons"</v>
      </c>
      <c r="O1" s="397"/>
      <c r="P1" s="450"/>
      <c r="Q1" s="449" t="str">
        <f>IF(Updates!$B59&lt;&gt;"",CONCATENATE(Updates!$A59, " """, Updates!$B59, """"), Updates!$A59)</f>
        <v>2.37 "Seek &amp; Destroy"</v>
      </c>
      <c r="R1" s="397"/>
      <c r="S1" s="450"/>
      <c r="T1" s="449" t="str">
        <f>IF(Updates!$B58&lt;&gt;"",CONCATENATE(Updates!$A58, " """, Updates!$B58, """"), Updates!$A58)</f>
        <v>2.35 "Alpha Strike"</v>
      </c>
      <c r="U1" s="397"/>
      <c r="V1" s="450"/>
      <c r="W1" s="449" t="str">
        <f>IF(Updates!$B57&lt;&gt;"",CONCATENATE(Updates!$A57, " """, Updates!$B57, """"), Updates!$A57)</f>
        <v>2.33 "Air Superiority"</v>
      </c>
      <c r="X1" s="397"/>
      <c r="Y1" s="450"/>
      <c r="Z1" s="449" t="str">
        <f>IF(Updates!$B56&lt;&gt;"",CONCATENATE(Updates!$A56, " """, Updates!$B56, """"), Updates!$A56)</f>
        <v>2.31 "Kings of Battle"</v>
      </c>
      <c r="AA1" s="397"/>
      <c r="AB1" s="450"/>
      <c r="AC1" s="449" t="str">
        <f>IF(Updates!$B55&lt;&gt;"",CONCATENATE(Updates!$A55, " """, Updates!$B55, """"), Updates!$A55)</f>
        <v>2.29 "Sons of Attila"</v>
      </c>
      <c r="AD1" s="397"/>
      <c r="AE1" s="450"/>
      <c r="AF1" s="449" t="str">
        <f>IF(Updates!$B54&lt;&gt;"",CONCATENATE(Updates!$A54, " """, Updates!$B54, """"), Updates!$A54)</f>
        <v>2.27 "La Royale"</v>
      </c>
      <c r="AG1" s="397"/>
      <c r="AH1" s="450"/>
      <c r="AI1" s="449" t="str">
        <f>IF(Updates!$B53&lt;&gt;"",CONCATENATE(Updates!$A53, " """, Updates!$B53, """"), Updates!$A53)</f>
        <v>2.25 "Sky Guardians"</v>
      </c>
      <c r="AJ1" s="397"/>
      <c r="AK1" s="450"/>
      <c r="AL1" s="449" t="str">
        <f>IF(Updates!$B52&lt;&gt;"",CONCATENATE(Updates!$A52, " """, Updates!$B52, """"), Updates!$A52)</f>
        <v>2.23 "Apex Predators"</v>
      </c>
      <c r="AM1" s="397"/>
      <c r="AN1" s="450"/>
      <c r="AO1" s="449" t="str">
        <f>IF(Updates!$B51&lt;&gt;"",CONCATENATE(Updates!$A51, " """, Updates!$B51, """"), Updates!$A51)</f>
        <v>2.21 "Fire and Ice"</v>
      </c>
      <c r="AP1" s="397"/>
      <c r="AQ1" s="450"/>
      <c r="AR1" s="449" t="str">
        <f>IF(Updates!$B50&lt;&gt;"",CONCATENATE(Updates!$A50, " """, Updates!$B50, """"), Updates!$A50)</f>
        <v>2.19 "Drone Age"</v>
      </c>
      <c r="AS1" s="397"/>
      <c r="AT1" s="450"/>
      <c r="AU1" s="449" t="str">
        <f>IF(Updates!$B49&lt;&gt;"",CONCATENATE(Updates!$A49, " """, Updates!$B49, """"), Updates!$A49)</f>
        <v>2.17 "Danger Zone"</v>
      </c>
      <c r="AV1" s="397"/>
      <c r="AW1" s="450"/>
      <c r="AX1" s="449" t="str">
        <f>IF(Updates!$B48&lt;&gt;"",CONCATENATE(Updates!$A48, " """, Updates!$B48, """"), Updates!$A48)</f>
        <v>2.15 "Wind of Change"</v>
      </c>
      <c r="AY1" s="397"/>
      <c r="AZ1" s="450"/>
      <c r="BA1" s="449" t="str">
        <f>IF(Updates!$B47&lt;&gt;"",CONCATENATE(Updates!$A47, " """, Updates!$B47, """"), Updates!$A47)</f>
        <v>2.13 "Winged Lions"</v>
      </c>
      <c r="BB1" s="397"/>
      <c r="BC1" s="450"/>
      <c r="BD1" s="449" t="str">
        <f>IF(Updates!$B46&lt;&gt;"",CONCATENATE(Updates!$A46, " """, Updates!$B46, """"), Updates!$A46)</f>
        <v>2.11 "Ground Breaking"</v>
      </c>
      <c r="BE1" s="397"/>
      <c r="BF1" s="450"/>
      <c r="BG1" s="449" t="str">
        <f>IF(Updates!$B45&lt;&gt;"",CONCATENATE(Updates!$A45, " """, Updates!$B45, """"), Updates!$A45)</f>
        <v>2.9 "Direct Hit"</v>
      </c>
      <c r="BH1" s="397"/>
      <c r="BI1" s="450"/>
      <c r="BJ1" s="449" t="str">
        <f>IF(Updates!$B44&lt;&gt;"",CONCATENATE(Updates!$A44, " """, Updates!$B44, """"), Updates!$A44)</f>
        <v>2.7 "Red Skies"</v>
      </c>
      <c r="BK1" s="397"/>
      <c r="BL1" s="450"/>
      <c r="BM1" s="449" t="str">
        <f>IF(Updates!$B43&lt;&gt;"",CONCATENATE(Updates!$A43, " """, Updates!$B43, """"), Updates!$A43)</f>
        <v>2.5 "Ixwa Strike"</v>
      </c>
      <c r="BN1" s="397"/>
      <c r="BO1" s="450"/>
      <c r="BP1" s="449" t="str">
        <f>IF(Updates!$B42&lt;&gt;"",CONCATENATE(Updates!$A42, " """, Updates!$B42, """"), Updates!$A42)</f>
        <v>2.3 "Hot Tracks"</v>
      </c>
      <c r="BQ1" s="397"/>
      <c r="BR1" s="450"/>
      <c r="BS1" s="449" t="str">
        <f>IF(Updates!$B41&lt;&gt;"",CONCATENATE(Updates!$A41, " """, Updates!$B41, """"), Updates!$A41)</f>
        <v>2.1 "New Power"</v>
      </c>
      <c r="BT1" s="397"/>
      <c r="BU1" s="450"/>
      <c r="BV1" s="449" t="str">
        <f>IF(Updates!$B40&lt;&gt;"",CONCATENATE(Updates!$A40, " """, Updates!$B40, """"), Updates!$A40)</f>
        <v>1.101 "Raining Fire"</v>
      </c>
      <c r="BW1" s="397"/>
      <c r="BX1" s="450"/>
      <c r="BY1" s="449" t="str">
        <f>IF(Updates!$B39&lt;&gt;"",CONCATENATE(Updates!$A39, " """, Updates!$B39, """"), Updates!$A39)</f>
        <v>1.99 "Starfighters"</v>
      </c>
      <c r="BZ1" s="397"/>
      <c r="CA1" s="450"/>
      <c r="CB1" s="449" t="str">
        <f>IF(Updates!$B38&lt;&gt;"",CONCATENATE(Updates!$A38, " """, Updates!$B38, """"), Updates!$A38)</f>
        <v>1.97 "Viking Fury"</v>
      </c>
      <c r="CC1" s="397"/>
      <c r="CD1" s="450"/>
      <c r="CE1" s="449" t="str">
        <f>IF(Updates!$B37&lt;&gt;"",CONCATENATE(Updates!$A37, " """, Updates!$B37, """"), Updates!$A37)</f>
        <v>1.95 "Northern Wind"</v>
      </c>
      <c r="CF1" s="397"/>
      <c r="CG1" s="450"/>
      <c r="CH1" s="449" t="str">
        <f>IF(Updates!$B36&lt;&gt;"",CONCATENATE(Updates!$A36, " """, Updates!$B36, """"), Updates!$A36)</f>
        <v>1.93 "Shark Attack"</v>
      </c>
      <c r="CI1" s="397"/>
      <c r="CJ1" s="450"/>
      <c r="CK1" s="449" t="str">
        <f>IF(Updates!$B35&lt;&gt;"",CONCATENATE(Updates!$A35, " """, Updates!$B35, """"), Updates!$A35)</f>
        <v>1.91 "Night Vision"</v>
      </c>
      <c r="CL1" s="397"/>
      <c r="CM1" s="450"/>
      <c r="CN1" s="449" t="str">
        <f>IF(Updates!$B34&lt;&gt;"",CONCATENATE(Updates!$A34, " """, Updates!$B34, """"), Updates!$A34)</f>
        <v>1.89 "Imperial Navy"</v>
      </c>
      <c r="CO1" s="397"/>
      <c r="CP1" s="450"/>
      <c r="CQ1" s="449" t="str">
        <f>IF(Updates!$B33&lt;&gt;"",CONCATENATE(Updates!$A33, " """, Updates!$B33, """"), Updates!$A33)</f>
        <v>1.87 "Locked On"</v>
      </c>
      <c r="CR1" s="397"/>
      <c r="CS1" s="450"/>
      <c r="CT1" s="449" t="str">
        <f>IF(Updates!$B32&lt;&gt;"",CONCATENATE(Updates!$A32, " """, Updates!$B32, """"), Updates!$A32)</f>
        <v>1.85 "Supersonic"</v>
      </c>
      <c r="CU1" s="397"/>
      <c r="CV1" s="450"/>
      <c r="CW1" s="449" t="str">
        <f>IF(Updates!$B31&lt;&gt;"",CONCATENATE(Updates!$A31, " """, Updates!$B31, """"), Updates!$A31)</f>
        <v>1.83 "Masters of the Sea"</v>
      </c>
      <c r="CX1" s="397"/>
      <c r="CY1" s="450"/>
      <c r="CZ1" s="449" t="str">
        <f>IF(Updates!$B30&lt;&gt;"",CONCATENATE(Updates!$A30, " """, Updates!$B30, """"), Updates!$A30)</f>
        <v>1.81 "The Valkyries"</v>
      </c>
      <c r="DA1" s="397"/>
      <c r="DB1" s="450"/>
      <c r="DC1" s="449" t="str">
        <f>IF(Updates!$B29&lt;&gt;"",CONCATENATE(Updates!$A29, " """, Updates!$B29, """"), Updates!$A29)</f>
        <v>1.79 "Project X"</v>
      </c>
      <c r="DD1" s="397"/>
      <c r="DE1" s="450"/>
      <c r="DF1" s="449" t="str">
        <f>IF(Updates!$B28&lt;&gt;"",CONCATENATE(Updates!$A28, " """, Updates!$B28, """"), Updates!$A28)</f>
        <v>1.77 "Advancing Storm"</v>
      </c>
      <c r="DG1" s="397"/>
      <c r="DH1" s="450"/>
      <c r="DI1" s="449" t="str">
        <f>IF(Updates!$B27&lt;&gt;"",CONCATENATE(Updates!$A27, " """, Updates!$B27, """"), Updates!$A27)</f>
        <v>1.75 "La Résistance"</v>
      </c>
      <c r="DJ1" s="397"/>
      <c r="DK1" s="450"/>
      <c r="DL1" s="449" t="str">
        <f>IF(Updates!$B26&lt;&gt;"",CONCATENATE(Updates!$A26, " """, Updates!$B26, """"), Updates!$A26)</f>
        <v>1.73 "Vive la France"</v>
      </c>
      <c r="DM1" s="397"/>
      <c r="DN1" s="450"/>
      <c r="DO1" s="449" t="str">
        <f>IF(Updates!$B25&lt;&gt;"",CONCATENATE(Updates!$A25, " """, Updates!$B25, """"), Updates!$A25)</f>
        <v>1.71 "New E.R.A."</v>
      </c>
      <c r="DP1" s="397"/>
      <c r="DQ1" s="450"/>
      <c r="DR1" s="449" t="str">
        <f>IF(Updates!$B24&lt;&gt;"",CONCATENATE(Updates!$A24, " """, Updates!$B24, """"), Updates!$A24)</f>
        <v>1.69 "Regia Aeronautica"</v>
      </c>
      <c r="DS1" s="397"/>
      <c r="DT1" s="450"/>
      <c r="DU1" s="449" t="str">
        <f>IF(Updates!$B23&lt;&gt;"",CONCATENATE(Updates!$A23, " """, Updates!$B23, """"), Updates!$A23)</f>
        <v>1.67 "Assault"</v>
      </c>
      <c r="DV1" s="397"/>
      <c r="DW1" s="450"/>
      <c r="DX1" s="449" t="str">
        <f>IF(Updates!$B22&lt;&gt;"",CONCATENATE(Updates!$A22, " """, Updates!$B22, """"), Updates!$A22)</f>
        <v>1.65 "Way of the Samurai"</v>
      </c>
      <c r="DY1" s="397"/>
      <c r="DZ1" s="450"/>
      <c r="EA1" s="449" t="str">
        <f>IF(Updates!$B21&lt;&gt;"",CONCATENATE(Updates!$A21, " """, Updates!$B21, """"), Updates!$A21)</f>
        <v>1.63 "Desert Hunters"</v>
      </c>
      <c r="EB1" s="397"/>
      <c r="EC1" s="450"/>
      <c r="ED1" s="449" t="str">
        <f>IF(Updates!$B20&lt;&gt;"",CONCATENATE(Updates!$A20, " """, Updates!$B20, """"), Updates!$A20)</f>
        <v>1.61 "Road to Glory"</v>
      </c>
      <c r="EE1" s="397"/>
      <c r="EF1" s="450"/>
      <c r="EG1" s="449" t="str">
        <f>IF(Updates!$B19&lt;&gt;"",CONCATENATE(Updates!$A19, " """, Updates!$B19, """"), Updates!$A19)</f>
        <v>1.59 "Flaming Arrows"</v>
      </c>
      <c r="EH1" s="397"/>
      <c r="EI1" s="450"/>
      <c r="EJ1" s="449" t="str">
        <f>IF(Updates!$B18&lt;&gt;"",CONCATENATE(Updates!$A18, " """, Updates!$B18, """"), Updates!$A18)</f>
        <v>1.57 "Battle March"</v>
      </c>
      <c r="EK1" s="397"/>
      <c r="EL1" s="450"/>
      <c r="EM1" s="449" t="str">
        <f>IF(Updates!$B17&lt;&gt;"",CONCATENATE(Updates!$A17, " """, Updates!$B17, """"), Updates!$A17)</f>
        <v>1.55 "Royal Armour"</v>
      </c>
      <c r="EN1" s="397"/>
      <c r="EO1" s="450"/>
      <c r="EP1" s="449" t="str">
        <f>IF(Updates!$B16&lt;&gt;"",CONCATENATE(Updates!$A16, " """, Updates!$B16, """"), Updates!$A16)</f>
        <v>1.53 "Firestorm"</v>
      </c>
      <c r="EQ1" s="397"/>
      <c r="ER1" s="450"/>
      <c r="ES1" s="449" t="str">
        <f>IF(Updates!$B15&lt;&gt;"",CONCATENATE(Updates!$A15, " """, Updates!$B15, """"), Updates!$A15)</f>
        <v>1.51 "Cold Steel"</v>
      </c>
      <c r="ET1" s="397"/>
      <c r="EU1" s="450"/>
      <c r="EV1" s="449" t="str">
        <f>IF(Updates!$B14&lt;&gt;"",CONCATENATE(Updates!$A14, " """, Updates!$B14, """"), Updates!$A14)</f>
        <v>1.49 "Weapons of Victory"</v>
      </c>
      <c r="EW1" s="397"/>
      <c r="EX1" s="450"/>
      <c r="EY1" s="449" t="str">
        <f>IF(Updates!$B13&lt;&gt;"",CONCATENATE(Updates!$A13, " """, Updates!$B13, """"), Updates!$A13)</f>
        <v>1.47 "Big Guns"</v>
      </c>
      <c r="EZ1" s="397"/>
      <c r="FA1" s="450"/>
      <c r="FB1" s="449" t="str">
        <f>IF(Updates!$B12&lt;&gt;"",CONCATENATE(Updates!$A12, " """, Updates!$B12, """"), Updates!$A12)</f>
        <v>1.45 "Steel Generals"</v>
      </c>
      <c r="FC1" s="397"/>
      <c r="FD1" s="450"/>
      <c r="FE1" s="449" t="str">
        <f>CONCATENATE(Updates!A11)</f>
        <v>1.43</v>
      </c>
      <c r="FF1" s="397"/>
      <c r="FG1" s="450"/>
      <c r="FH1" s="449" t="str">
        <f>CONCATENATE(Updates!A10)</f>
        <v>1.41</v>
      </c>
      <c r="FI1" s="397"/>
      <c r="FJ1" s="450"/>
      <c r="FK1" s="448" t="str">
        <f>CONCATENATE(Updates!A9)</f>
        <v>1.39</v>
      </c>
      <c r="FL1" s="397"/>
      <c r="FM1" s="397"/>
      <c r="FN1" s="449" t="str">
        <f>CONCATENATE(Updates!A8)</f>
        <v>1.37</v>
      </c>
      <c r="FO1" s="397"/>
      <c r="FP1" s="450"/>
    </row>
    <row r="2" spans="1:172" ht="15" x14ac:dyDescent="0.2">
      <c r="A2" s="451" t="s">
        <v>399</v>
      </c>
      <c r="B2" s="215"/>
      <c r="C2" s="215"/>
      <c r="D2" s="216"/>
      <c r="E2" s="217" t="s">
        <v>400</v>
      </c>
      <c r="F2" s="84">
        <v>45708</v>
      </c>
      <c r="G2" s="218" t="str">
        <f>CHOOSE(WEEKDAY(F2,2),"Monday","Tuesday","Wednesday","Thursday","Friday","Saturday","Sunday")</f>
        <v>Thursday</v>
      </c>
      <c r="H2" s="217" t="s">
        <v>401</v>
      </c>
      <c r="I2" s="84">
        <v>45631</v>
      </c>
      <c r="J2" s="218" t="str">
        <f t="shared" ref="J2:J13" si="0">CHOOSE(WEEKDAY(I2,2),"Monday","Tuesday","Wednesday","Thursday","Friday","Saturday","Sunday")</f>
        <v>Thursday</v>
      </c>
      <c r="K2" s="217" t="s">
        <v>402</v>
      </c>
      <c r="L2" s="84">
        <v>45580</v>
      </c>
      <c r="M2" s="218" t="str">
        <f t="shared" ref="M2:M26" si="1">CHOOSE(WEEKDAY(L2,2),"Monday","Tuesday","Wednesday","Thursday","Friday","Saturday","Sunday")</f>
        <v>Tuesday</v>
      </c>
      <c r="N2" s="217" t="s">
        <v>403</v>
      </c>
      <c r="O2" s="84">
        <v>45526</v>
      </c>
      <c r="P2" s="218" t="str">
        <f t="shared" ref="P2:P19" si="2">CHOOSE(WEEKDAY(O2,2),"Monday","Tuesday","Wednesday","Thursday","Friday","Saturday","Sunday")</f>
        <v>Thursday</v>
      </c>
      <c r="Q2" s="217" t="s">
        <v>404</v>
      </c>
      <c r="R2" s="84">
        <v>45436</v>
      </c>
      <c r="S2" s="218" t="str">
        <f t="shared" ref="S2:S22" si="3">CHOOSE(WEEKDAY(R2,2),"Monday","Tuesday","Wednesday","Thursday","Friday","Saturday","Sunday")</f>
        <v>Friday</v>
      </c>
      <c r="T2" s="217" t="s">
        <v>405</v>
      </c>
      <c r="U2" s="84">
        <v>45344</v>
      </c>
      <c r="V2" s="218" t="str">
        <f t="shared" ref="V2:V20" si="4">CHOOSE(WEEKDAY(U2,2),"Monday","Tuesday","Wednesday","Thursday","Friday","Saturday","Sunday")</f>
        <v>Thursday</v>
      </c>
      <c r="W2" s="217" t="s">
        <v>406</v>
      </c>
      <c r="X2" s="84">
        <v>45261</v>
      </c>
      <c r="Y2" s="218" t="str">
        <f t="shared" ref="Y2:Y17" si="5">CHOOSE(WEEKDAY(X2,2),"Monday","Tuesday","Wednesday","Thursday","Friday","Saturday","Sunday")</f>
        <v>Friday</v>
      </c>
      <c r="Z2" s="217" t="s">
        <v>407</v>
      </c>
      <c r="AA2" s="84">
        <v>45212</v>
      </c>
      <c r="AB2" s="218" t="str">
        <f t="shared" ref="AB2:AB13" si="6">CHOOSE(WEEKDAY(AA2,2),"Monday","Tuesday","Wednesday","Thursday","Friday","Saturday","Sunday")</f>
        <v>Friday</v>
      </c>
      <c r="AC2" s="217" t="s">
        <v>408</v>
      </c>
      <c r="AD2" s="84">
        <v>45159</v>
      </c>
      <c r="AE2" s="218" t="str">
        <f t="shared" ref="AE2:AE26" si="7">CHOOSE(WEEKDAY(AD2,2),"Monday","Tuesday","Wednesday","Thursday","Friday","Saturday","Sunday")</f>
        <v>Monday</v>
      </c>
      <c r="AF2" s="217" t="s">
        <v>409</v>
      </c>
      <c r="AG2" s="84">
        <v>45037</v>
      </c>
      <c r="AH2" s="218" t="str">
        <f t="shared" ref="AH2:AH26" si="8">CHOOSE(WEEKDAY(AG2,2),"Monday","Tuesday","Wednesday","Thursday","Friday","Saturday","Sunday")</f>
        <v>Friday</v>
      </c>
      <c r="AI2" s="217" t="s">
        <v>410</v>
      </c>
      <c r="AJ2" s="84">
        <v>44967</v>
      </c>
      <c r="AK2" s="218" t="str">
        <f t="shared" ref="AK2:AK21" si="9">CHOOSE(WEEKDAY(AJ2,2),"Monday","Tuesday","Wednesday","Thursday","Friday","Saturday","Sunday")</f>
        <v>Friday</v>
      </c>
      <c r="AL2" s="217" t="s">
        <v>411</v>
      </c>
      <c r="AM2" s="84">
        <v>44894</v>
      </c>
      <c r="AN2" s="218" t="str">
        <f t="shared" ref="AN2:AN18" si="10">CHOOSE(WEEKDAY(AM2,2),"Monday","Tuesday","Wednesday","Thursday","Friday","Saturday","Sunday")</f>
        <v>Tuesday</v>
      </c>
      <c r="AO2" s="217" t="s">
        <v>412</v>
      </c>
      <c r="AP2" s="84">
        <v>44846</v>
      </c>
      <c r="AQ2" s="218" t="str">
        <f t="shared" ref="AQ2:AQ13" si="11">CHOOSE(WEEKDAY(AP2,2),"Monday","Tuesday","Wednesday","Thursday","Friday","Saturday","Sunday")</f>
        <v>Wednesday</v>
      </c>
      <c r="AR2" s="217" t="s">
        <v>413</v>
      </c>
      <c r="AS2" s="84">
        <v>44789</v>
      </c>
      <c r="AT2" s="218" t="str">
        <f t="shared" ref="AT2:AT23" si="12">CHOOSE(WEEKDAY(AS2,2),"Monday","Tuesday","Wednesday","Thursday","Friday","Saturday","Sunday")</f>
        <v>Tuesday</v>
      </c>
      <c r="AU2" s="219" t="s">
        <v>414</v>
      </c>
      <c r="AV2" s="84">
        <v>44699</v>
      </c>
      <c r="AW2" s="218" t="str">
        <f t="shared" ref="AW2:AW20" si="13">CHOOSE(WEEKDAY(AV2,2),"Monday","Tuesday","Wednesday","Thursday","Friday","Saturday","Sunday")</f>
        <v>Wednesday</v>
      </c>
      <c r="AX2" s="219" t="s">
        <v>415</v>
      </c>
      <c r="AY2" s="84">
        <v>44610</v>
      </c>
      <c r="AZ2" s="218" t="str">
        <f t="shared" ref="AZ2:AZ21" si="14">CHOOSE(WEEKDAY(AY2,2),"Monday","Tuesday","Wednesday","Thursday","Friday","Saturday","Sunday")</f>
        <v>Friday</v>
      </c>
      <c r="BA2" s="219" t="s">
        <v>416</v>
      </c>
      <c r="BB2" s="84">
        <v>44530</v>
      </c>
      <c r="BC2" s="218" t="str">
        <f t="shared" ref="BC2:BC16" si="15">CHOOSE(WEEKDAY(BB2,2),"Monday","Tuesday","Wednesday","Thursday","Friday","Saturday","Sunday")</f>
        <v>Tuesday</v>
      </c>
      <c r="BD2" s="219" t="s">
        <v>417</v>
      </c>
      <c r="BE2" s="84">
        <v>44477</v>
      </c>
      <c r="BF2" s="218" t="str">
        <f t="shared" ref="BF2:BF13" si="16">CHOOSE(WEEKDAY(BE2,2),"Monday","Tuesday","Wednesday","Thursday","Friday","Saturday","Sunday")</f>
        <v>Friday</v>
      </c>
      <c r="BG2" s="219" t="s">
        <v>418</v>
      </c>
      <c r="BH2" s="84">
        <v>44426</v>
      </c>
      <c r="BI2" s="218" t="str">
        <f t="shared" ref="BI2:BI17" si="17">CHOOSE(WEEKDAY(BH2,2),"Monday","Tuesday","Wednesday","Thursday","Friday","Saturday","Sunday")</f>
        <v>Wednesday</v>
      </c>
      <c r="BJ2" s="217" t="s">
        <v>419</v>
      </c>
      <c r="BK2" s="84">
        <v>44328</v>
      </c>
      <c r="BL2" s="218" t="str">
        <f t="shared" ref="BL2:BL22" si="18">CHOOSE(WEEKDAY(BK2,2),"Monday","Tuesday","Wednesday","Thursday","Friday","Saturday","Sunday")</f>
        <v>Wednesday</v>
      </c>
      <c r="BM2" s="219" t="s">
        <v>420</v>
      </c>
      <c r="BN2" s="84">
        <v>44242</v>
      </c>
      <c r="BO2" s="218" t="str">
        <f t="shared" ref="BO2:BO20" si="19">CHOOSE(WEEKDAY(BN2,2),"Monday","Tuesday","Wednesday","Thursday","Friday","Saturday","Sunday")</f>
        <v>Monday</v>
      </c>
      <c r="BP2" s="220" t="s">
        <v>421</v>
      </c>
      <c r="BQ2" s="79">
        <v>44172</v>
      </c>
      <c r="BR2" s="218" t="str">
        <f t="shared" ref="BR2:BR12" si="20">CHOOSE(WEEKDAY(BQ2,2),"Monday","Tuesday","Wednesday","Thursday","Friday","Saturday","Sunday")</f>
        <v>Monday</v>
      </c>
      <c r="BS2" s="220" t="s">
        <v>422</v>
      </c>
      <c r="BT2" s="79">
        <v>44124</v>
      </c>
      <c r="BU2" s="221" t="str">
        <f t="shared" ref="BU2:BU26" si="21">CHOOSE(WEEKDAY(BT2,2),"Monday","Tuesday","Wednesday","Thursday","Friday","Saturday","Sunday")</f>
        <v>Tuesday</v>
      </c>
      <c r="BV2" s="216" t="s">
        <v>423</v>
      </c>
      <c r="BW2" s="79">
        <v>44057</v>
      </c>
      <c r="BX2" s="222" t="str">
        <f t="shared" ref="BX2:BX14" si="22">CHOOSE(WEEKDAY(BW2,2),"Monday","Tuesday","Wednesday","Thursday","Friday","Saturday","Sunday")</f>
        <v>Friday</v>
      </c>
      <c r="BY2" s="220" t="s">
        <v>424</v>
      </c>
      <c r="BZ2" s="79">
        <v>43956</v>
      </c>
      <c r="CA2" s="221" t="str">
        <f t="shared" ref="CA2:CA20" si="23">CHOOSE(WEEKDAY(BZ2,2),"Monday","Tuesday","Wednesday","Thursday","Friday","Saturday","Sunday")</f>
        <v>Tuesday</v>
      </c>
      <c r="CB2" s="223" t="s">
        <v>425</v>
      </c>
      <c r="CC2" s="79">
        <v>43881</v>
      </c>
      <c r="CD2" s="224" t="str">
        <f t="shared" ref="CD2:CD27" si="24">CHOOSE(WEEKDAY(CC2,2),"Monday","Tuesday","Wednesday","Thursday","Friday","Saturday","Sunday")</f>
        <v>Thursday</v>
      </c>
      <c r="CE2" s="220" t="s">
        <v>426</v>
      </c>
      <c r="CF2" s="79">
        <v>43797</v>
      </c>
      <c r="CG2" s="224" t="str">
        <f t="shared" ref="CG2:CG18" si="25">CHOOSE(WEEKDAY(CF2,2),"Monday","Tuesday","Wednesday","Thursday","Friday","Saturday","Sunday")</f>
        <v>Thursday</v>
      </c>
      <c r="CH2" s="225" t="s">
        <v>427</v>
      </c>
      <c r="CI2" s="79">
        <v>43749</v>
      </c>
      <c r="CJ2" s="222" t="str">
        <f t="shared" ref="CJ2:CJ16" si="26">CHOOSE(WEEKDAY(CI2,2),"Monday","Tuesday","Wednesday","Thursday","Friday","Saturday","Sunday")</f>
        <v>Friday</v>
      </c>
      <c r="CK2" s="220" t="s">
        <v>428</v>
      </c>
      <c r="CL2" s="79">
        <v>43690</v>
      </c>
      <c r="CM2" s="221" t="str">
        <f t="shared" ref="CM2:CM26" si="27">CHOOSE(WEEKDAY(CL2,2),"Monday","Tuesday","Wednesday","Thursday","Friday","Saturday","Sunday")</f>
        <v>Tuesday</v>
      </c>
      <c r="CN2" s="225" t="s">
        <v>429</v>
      </c>
      <c r="CO2" s="79">
        <v>43588</v>
      </c>
      <c r="CP2" s="222" t="str">
        <f t="shared" ref="CP2:CP22" si="28">CHOOSE(WEEKDAY(CO2,2),"Monday","Tuesday","Wednesday","Thursday","Friday","Saturday","Sunday")</f>
        <v>Friday</v>
      </c>
      <c r="CQ2" s="223" t="s">
        <v>430</v>
      </c>
      <c r="CR2" s="79">
        <v>43511</v>
      </c>
      <c r="CS2" s="226" t="str">
        <f t="shared" ref="CS2:CS26" si="29">CHOOSE(WEEKDAY(CR2,2),"Monday","Tuesday","Wednesday","Thursday","Friday","Saturday","Sunday")</f>
        <v>Friday</v>
      </c>
      <c r="CT2" s="220" t="s">
        <v>431</v>
      </c>
      <c r="CU2" s="79">
        <v>43427</v>
      </c>
      <c r="CV2" s="226" t="str">
        <f t="shared" ref="CV2:CV26" si="30">CHOOSE(WEEKDAY(CU2,2),"Monday","Tuesday","Wednesday","Thursday","Friday","Saturday","Sunday")</f>
        <v>Friday</v>
      </c>
      <c r="CW2" s="220" t="s">
        <v>432</v>
      </c>
      <c r="CX2" s="79">
        <v>43382</v>
      </c>
      <c r="CY2" s="221" t="str">
        <f t="shared" ref="CY2:CY14" si="31">CHOOSE(WEEKDAY(CX2,2),"Monday","Tuesday","Wednesday","Thursday","Friday","Saturday","Sunday")</f>
        <v>Tuesday</v>
      </c>
      <c r="CZ2" s="220" t="s">
        <v>433</v>
      </c>
      <c r="DA2" s="79">
        <v>43333</v>
      </c>
      <c r="DB2" s="221" t="str">
        <f t="shared" ref="DB2:DB22" si="32">CHOOSE(WEEKDAY(DA2,2),"Monday","Tuesday","Wednesday","Thursday","Friday","Saturday","Sunday")</f>
        <v>Tuesday</v>
      </c>
      <c r="DC2" s="220" t="s">
        <v>434</v>
      </c>
      <c r="DD2" s="79">
        <v>43231</v>
      </c>
      <c r="DE2" s="226" t="str">
        <f t="shared" ref="DE2:DE26" si="33">CHOOSE(WEEKDAY(DD2,2),"Monday","Tuesday","Wednesday","Thursday","Friday","Saturday","Sunday")</f>
        <v>Friday</v>
      </c>
      <c r="DF2" s="220" t="s">
        <v>435</v>
      </c>
      <c r="DG2" s="79">
        <v>43138</v>
      </c>
      <c r="DH2" s="227" t="str">
        <f t="shared" ref="DH2:DH25" si="34">CHOOSE(WEEKDAY(DG2,2),"Monday","Tuesday","Wednesday","Thursday","Friday","Saturday","Sunday")</f>
        <v>Wednesday</v>
      </c>
      <c r="DI2" s="220" t="s">
        <v>436</v>
      </c>
      <c r="DJ2" s="79">
        <v>43071</v>
      </c>
      <c r="DK2" s="228" t="str">
        <f t="shared" ref="DK2:DK15" si="35">CHOOSE(WEEKDAY(DJ2,2),"Monday","Tuesday","Wednesday","Thursday","Friday","Saturday","Sunday")</f>
        <v>Saturday</v>
      </c>
      <c r="DL2" s="225" t="s">
        <v>437</v>
      </c>
      <c r="DM2" s="79">
        <v>43019</v>
      </c>
      <c r="DN2" s="229" t="str">
        <f t="shared" ref="DN2:DN14" si="36">CHOOSE(WEEKDAY(DM2,2),"Monday","Tuesday","Wednesday","Thursday","Friday","Saturday","Sunday")</f>
        <v>Wednesday</v>
      </c>
      <c r="DO2" s="220" t="s">
        <v>438</v>
      </c>
      <c r="DP2" s="79">
        <v>42965</v>
      </c>
      <c r="DQ2" s="226" t="str">
        <f t="shared" ref="DQ2:DQ24" si="37">CHOOSE(WEEKDAY(DP2,2),"Monday","Tuesday","Wednesday","Thursday","Friday","Saturday","Sunday")</f>
        <v>Friday</v>
      </c>
      <c r="DR2" s="225" t="s">
        <v>439</v>
      </c>
      <c r="DS2" s="79">
        <v>42857</v>
      </c>
      <c r="DT2" s="230" t="str">
        <f t="shared" ref="DT2:DT17" si="38">CHOOSE(WEEKDAY(DS2,2),"Monday","Tuesday","Wednesday","Thursday","Friday","Saturday","Sunday")</f>
        <v>Tuesday</v>
      </c>
      <c r="DU2" s="220" t="s">
        <v>440</v>
      </c>
      <c r="DV2" s="79">
        <v>42780</v>
      </c>
      <c r="DW2" s="221" t="str">
        <f t="shared" ref="DW2:DW22" si="39">CHOOSE(WEEKDAY(DV2,2),"Monday","Tuesday","Wednesday","Thursday","Friday","Saturday","Sunday")</f>
        <v>Tuesday</v>
      </c>
      <c r="DX2" s="220" t="s">
        <v>441</v>
      </c>
      <c r="DY2" s="79">
        <v>42684</v>
      </c>
      <c r="DZ2" s="224" t="str">
        <f t="shared" ref="DZ2:DZ29" si="40">CHOOSE(WEEKDAY(DY2,2),"Monday","Tuesday","Wednesday","Thursday","Friday","Saturday","Sunday")</f>
        <v>Thursday</v>
      </c>
      <c r="EA2" s="220" t="s">
        <v>442</v>
      </c>
      <c r="EB2" s="79">
        <v>42615</v>
      </c>
      <c r="EC2" s="226" t="str">
        <f t="shared" ref="EC2:EC18" si="41">CHOOSE(WEEKDAY(EB2,2),"Monday","Tuesday","Wednesday","Thursday","Friday","Saturday","Sunday")</f>
        <v>Friday</v>
      </c>
      <c r="ED2" s="225" t="s">
        <v>443</v>
      </c>
      <c r="EE2" s="79">
        <v>42557</v>
      </c>
      <c r="EF2" s="229" t="str">
        <f t="shared" ref="EF2:EF11" si="42">CHOOSE(WEEKDAY(EE2,2),"Monday","Tuesday","Wednesday","Thursday","Friday","Saturday","Sunday")</f>
        <v>Wednesday</v>
      </c>
      <c r="EG2" s="223" t="s">
        <v>444</v>
      </c>
      <c r="EH2" s="79">
        <v>42452</v>
      </c>
      <c r="EI2" s="224" t="str">
        <f t="shared" ref="EI2:EI30" si="43">CHOOSE(WEEKDAY(EH2,2),"Monday","Tuesday","Wednesday","Thursday","Friday","Saturday","Sunday")</f>
        <v>Wednesday</v>
      </c>
      <c r="EJ2" s="231" t="s">
        <v>445</v>
      </c>
      <c r="EK2" s="79">
        <v>42395</v>
      </c>
      <c r="EL2" s="224" t="str">
        <f t="shared" ref="EL2:EL26" si="44">CHOOSE(WEEKDAY(EK2,2),"Monday","Tuesday","Wednesday","Thursday","Friday","Saturday","Sunday")</f>
        <v>Tuesday</v>
      </c>
      <c r="EM2" s="231" t="s">
        <v>446</v>
      </c>
      <c r="EN2" s="79">
        <v>42341</v>
      </c>
      <c r="EO2" s="232" t="str">
        <f t="shared" ref="EO2:EO17" si="45">CHOOSE(WEEKDAY(EN2,2),"Monday","Tuesday","Wednesday","Thursday","Friday","Saturday","Sunday")</f>
        <v>Thursday</v>
      </c>
      <c r="EP2" s="223" t="s">
        <v>447</v>
      </c>
      <c r="EQ2" s="79">
        <v>42221</v>
      </c>
      <c r="ER2" s="227" t="str">
        <f t="shared" ref="ER2:ER28" si="46">CHOOSE(WEEKDAY(EQ2,2),"Monday","Tuesday","Wednesday","Thursday","Friday","Saturday","Sunday")</f>
        <v>Wednesday</v>
      </c>
      <c r="ES2" s="225" t="s">
        <v>448</v>
      </c>
      <c r="ET2" s="79">
        <v>42171</v>
      </c>
      <c r="EU2" s="230" t="str">
        <f t="shared" ref="EU2:EU15" si="47">CHOOSE(WEEKDAY(ET2,2),"Monday","Tuesday","Wednesday","Thursday","Friday","Saturday","Sunday")</f>
        <v>Tuesday</v>
      </c>
      <c r="EV2" s="223" t="s">
        <v>449</v>
      </c>
      <c r="EW2" s="79">
        <v>42111</v>
      </c>
      <c r="EX2" s="226" t="str">
        <f t="shared" ref="EX2:EX19" si="48">CHOOSE(WEEKDAY(EW2,2),"Monday","Tuesday","Wednesday","Thursday","Friday","Saturday","Sunday")</f>
        <v>Friday</v>
      </c>
      <c r="EY2" s="231" t="s">
        <v>450</v>
      </c>
      <c r="EZ2" s="79">
        <v>42037</v>
      </c>
      <c r="FA2" s="233" t="str">
        <f t="shared" ref="FA2:FA19" si="49">CHOOSE(WEEKDAY(EZ2,2),"Monday","Tuesday","Wednesday","Thursday","Friday","Saturday","Sunday")</f>
        <v>Monday</v>
      </c>
      <c r="FB2" s="223" t="s">
        <v>451</v>
      </c>
      <c r="FC2" s="79">
        <v>41941</v>
      </c>
      <c r="FD2" s="227" t="str">
        <f t="shared" ref="FD2:FD39" si="50">CHOOSE(WEEKDAY(FC2,2),"Monday","Tuesday","Wednesday","Thursday","Friday","Saturday","Sunday")</f>
        <v>Wednesday</v>
      </c>
      <c r="FE2" s="223" t="s">
        <v>452</v>
      </c>
      <c r="FF2" s="79">
        <v>41795</v>
      </c>
      <c r="FG2" s="224" t="str">
        <f t="shared" ref="FG2:FG50" si="51">CHOOSE(WEEKDAY(FF2,2),"Monday","Tuesday","Wednesday","Thursday","Friday","Saturday","Sunday")</f>
        <v>Thursday</v>
      </c>
      <c r="FH2" s="223" t="s">
        <v>453</v>
      </c>
      <c r="FI2" s="79">
        <v>41747</v>
      </c>
      <c r="FJ2" s="226" t="str">
        <f t="shared" ref="FJ2:FJ16" si="52">CHOOSE(WEEKDAY(FI2,2),"Monday","Tuesday","Wednesday","Thursday","Friday","Saturday","Sunday")</f>
        <v>Friday</v>
      </c>
      <c r="FK2" s="231" t="s">
        <v>454</v>
      </c>
      <c r="FL2" s="79">
        <v>41649</v>
      </c>
      <c r="FM2" s="222" t="str">
        <f t="shared" ref="FM2:FM6" si="53">CHOOSE(WEEKDAY(FL2,2),"Monday","Tuesday","Wednesday","Thursday","Friday","Saturday","Sunday")</f>
        <v>Friday</v>
      </c>
      <c r="FN2" s="220" t="s">
        <v>455</v>
      </c>
      <c r="FO2" s="79">
        <v>41561</v>
      </c>
      <c r="FP2" s="218" t="str">
        <f t="shared" ref="FP2:FP13" si="54">CHOOSE(WEEKDAY(FO2,2),"Monday","Tuesday","Wednesday","Thursday","Friday","Saturday","Sunday")</f>
        <v>Monday</v>
      </c>
    </row>
    <row r="3" spans="1:172" ht="15" x14ac:dyDescent="0.2">
      <c r="A3" s="452"/>
      <c r="B3" s="216"/>
      <c r="C3" s="216"/>
      <c r="D3" s="216"/>
      <c r="E3" s="234"/>
      <c r="F3" s="84"/>
      <c r="G3" s="74"/>
      <c r="H3" s="217" t="s">
        <v>456</v>
      </c>
      <c r="I3" s="84">
        <v>45632</v>
      </c>
      <c r="J3" s="218" t="str">
        <f t="shared" si="0"/>
        <v>Friday</v>
      </c>
      <c r="K3" s="217" t="s">
        <v>457</v>
      </c>
      <c r="L3" s="84">
        <v>45582</v>
      </c>
      <c r="M3" s="218" t="str">
        <f t="shared" si="1"/>
        <v>Thursday</v>
      </c>
      <c r="N3" s="217" t="s">
        <v>458</v>
      </c>
      <c r="O3" s="84">
        <v>45527</v>
      </c>
      <c r="P3" s="218" t="str">
        <f t="shared" si="2"/>
        <v>Friday</v>
      </c>
      <c r="Q3" s="217" t="str">
        <f>HYPERLINK("https://warthunder.com/en/news/8897-development-xm800t-brave-prowess-en", "XM800T")</f>
        <v>XM800T</v>
      </c>
      <c r="R3" s="84">
        <v>45436</v>
      </c>
      <c r="S3" s="218" t="str">
        <f t="shared" si="3"/>
        <v>Friday</v>
      </c>
      <c r="T3" s="217" t="s">
        <v>459</v>
      </c>
      <c r="U3" s="84">
        <v>45348</v>
      </c>
      <c r="V3" s="218" t="str">
        <f t="shared" si="4"/>
        <v>Monday</v>
      </c>
      <c r="W3" s="217" t="s">
        <v>460</v>
      </c>
      <c r="X3" s="84">
        <v>45265</v>
      </c>
      <c r="Y3" s="218" t="str">
        <f t="shared" si="5"/>
        <v>Tuesday</v>
      </c>
      <c r="Z3" s="217" t="s">
        <v>461</v>
      </c>
      <c r="AA3" s="84">
        <v>45217</v>
      </c>
      <c r="AB3" s="218" t="str">
        <f t="shared" si="6"/>
        <v>Wednesday</v>
      </c>
      <c r="AC3" s="217" t="s">
        <v>462</v>
      </c>
      <c r="AD3" s="84">
        <v>45160</v>
      </c>
      <c r="AE3" s="218" t="str">
        <f t="shared" si="7"/>
        <v>Tuesday</v>
      </c>
      <c r="AF3" s="217" t="s">
        <v>463</v>
      </c>
      <c r="AG3" s="84">
        <v>45050</v>
      </c>
      <c r="AH3" s="218" t="str">
        <f t="shared" si="8"/>
        <v>Thursday</v>
      </c>
      <c r="AI3" s="217" t="s">
        <v>464</v>
      </c>
      <c r="AJ3" s="84">
        <v>44971</v>
      </c>
      <c r="AK3" s="218" t="str">
        <f t="shared" si="9"/>
        <v>Tuesday</v>
      </c>
      <c r="AL3" s="217" t="s">
        <v>465</v>
      </c>
      <c r="AM3" s="84">
        <v>44895</v>
      </c>
      <c r="AN3" s="218" t="str">
        <f t="shared" si="10"/>
        <v>Wednesday</v>
      </c>
      <c r="AO3" s="217" t="s">
        <v>466</v>
      </c>
      <c r="AP3" s="84">
        <v>44847</v>
      </c>
      <c r="AQ3" s="218" t="str">
        <f t="shared" si="11"/>
        <v>Thursday</v>
      </c>
      <c r="AR3" s="217" t="s">
        <v>467</v>
      </c>
      <c r="AS3" s="84">
        <v>44791</v>
      </c>
      <c r="AT3" s="218" t="str">
        <f t="shared" si="12"/>
        <v>Thursday</v>
      </c>
      <c r="AU3" s="217" t="s">
        <v>468</v>
      </c>
      <c r="AV3" s="84">
        <v>44700</v>
      </c>
      <c r="AW3" s="218" t="str">
        <f t="shared" si="13"/>
        <v>Thursday</v>
      </c>
      <c r="AX3" s="219" t="s">
        <v>469</v>
      </c>
      <c r="AY3" s="84">
        <v>44614</v>
      </c>
      <c r="AZ3" s="218" t="str">
        <f t="shared" si="14"/>
        <v>Tuesday</v>
      </c>
      <c r="BA3" s="219" t="s">
        <v>470</v>
      </c>
      <c r="BB3" s="84">
        <v>44531</v>
      </c>
      <c r="BC3" s="218" t="str">
        <f t="shared" si="15"/>
        <v>Wednesday</v>
      </c>
      <c r="BD3" s="219" t="s">
        <v>471</v>
      </c>
      <c r="BE3" s="84">
        <v>44480</v>
      </c>
      <c r="BF3" s="218" t="str">
        <f t="shared" si="16"/>
        <v>Monday</v>
      </c>
      <c r="BG3" s="217" t="s">
        <v>472</v>
      </c>
      <c r="BH3" s="84">
        <v>44427</v>
      </c>
      <c r="BI3" s="218" t="str">
        <f t="shared" si="17"/>
        <v>Thursday</v>
      </c>
      <c r="BJ3" s="219" t="s">
        <v>473</v>
      </c>
      <c r="BK3" s="84">
        <v>44329</v>
      </c>
      <c r="BL3" s="218" t="str">
        <f t="shared" si="18"/>
        <v>Thursday</v>
      </c>
      <c r="BM3" s="219" t="s">
        <v>474</v>
      </c>
      <c r="BN3" s="84">
        <v>44243</v>
      </c>
      <c r="BO3" s="218" t="str">
        <f t="shared" si="19"/>
        <v>Tuesday</v>
      </c>
      <c r="BP3" s="235" t="s">
        <v>475</v>
      </c>
      <c r="BQ3" s="84">
        <v>44173</v>
      </c>
      <c r="BR3" s="221" t="str">
        <f t="shared" si="20"/>
        <v>Tuesday</v>
      </c>
      <c r="BS3" s="220" t="s">
        <v>476</v>
      </c>
      <c r="BT3" s="79">
        <v>44125</v>
      </c>
      <c r="BU3" s="227" t="str">
        <f t="shared" si="21"/>
        <v>Wednesday</v>
      </c>
      <c r="BV3" s="216" t="s">
        <v>477</v>
      </c>
      <c r="BW3" s="79">
        <v>44058</v>
      </c>
      <c r="BX3" s="236" t="str">
        <f t="shared" si="22"/>
        <v>Saturday</v>
      </c>
      <c r="BY3" s="235" t="s">
        <v>478</v>
      </c>
      <c r="BZ3" s="79">
        <v>43957</v>
      </c>
      <c r="CA3" s="227" t="str">
        <f t="shared" si="23"/>
        <v>Wednesday</v>
      </c>
      <c r="CB3" s="223" t="s">
        <v>479</v>
      </c>
      <c r="CC3" s="79">
        <v>43882</v>
      </c>
      <c r="CD3" s="226" t="str">
        <f t="shared" si="24"/>
        <v>Friday</v>
      </c>
      <c r="CE3" s="220" t="s">
        <v>480</v>
      </c>
      <c r="CF3" s="79">
        <v>43798</v>
      </c>
      <c r="CG3" s="226" t="str">
        <f t="shared" si="25"/>
        <v>Friday</v>
      </c>
      <c r="CH3" s="225" t="s">
        <v>481</v>
      </c>
      <c r="CI3" s="79">
        <v>43753</v>
      </c>
      <c r="CJ3" s="230" t="str">
        <f t="shared" si="26"/>
        <v>Tuesday</v>
      </c>
      <c r="CK3" s="223" t="s">
        <v>482</v>
      </c>
      <c r="CL3" s="79">
        <v>43692</v>
      </c>
      <c r="CM3" s="224" t="str">
        <f t="shared" si="27"/>
        <v>Thursday</v>
      </c>
      <c r="CN3" s="225" t="s">
        <v>483</v>
      </c>
      <c r="CO3" s="79">
        <v>43591</v>
      </c>
      <c r="CP3" s="233" t="str">
        <f t="shared" si="28"/>
        <v>Monday</v>
      </c>
      <c r="CQ3" s="220" t="s">
        <v>484</v>
      </c>
      <c r="CR3" s="79">
        <v>43514</v>
      </c>
      <c r="CS3" s="218" t="str">
        <f t="shared" si="29"/>
        <v>Monday</v>
      </c>
      <c r="CT3" s="220" t="s">
        <v>485</v>
      </c>
      <c r="CU3" s="79">
        <v>43427</v>
      </c>
      <c r="CV3" s="226" t="str">
        <f t="shared" si="30"/>
        <v>Friday</v>
      </c>
      <c r="CW3" s="220" t="s">
        <v>486</v>
      </c>
      <c r="CX3" s="79">
        <v>43383</v>
      </c>
      <c r="CY3" s="227" t="str">
        <f t="shared" si="31"/>
        <v>Wednesday</v>
      </c>
      <c r="CZ3" s="220" t="s">
        <v>487</v>
      </c>
      <c r="DA3" s="79">
        <v>43333</v>
      </c>
      <c r="DB3" s="221" t="str">
        <f t="shared" si="32"/>
        <v>Tuesday</v>
      </c>
      <c r="DC3" s="220" t="s">
        <v>488</v>
      </c>
      <c r="DD3" s="79">
        <v>43235</v>
      </c>
      <c r="DE3" s="221" t="str">
        <f t="shared" si="33"/>
        <v>Tuesday</v>
      </c>
      <c r="DF3" s="220" t="s">
        <v>489</v>
      </c>
      <c r="DG3" s="79">
        <v>43140</v>
      </c>
      <c r="DH3" s="226" t="str">
        <f t="shared" si="34"/>
        <v>Friday</v>
      </c>
      <c r="DI3" s="220" t="s">
        <v>490</v>
      </c>
      <c r="DJ3" s="79">
        <v>43071</v>
      </c>
      <c r="DK3" s="228" t="str">
        <f t="shared" si="35"/>
        <v>Saturday</v>
      </c>
      <c r="DL3" s="225" t="s">
        <v>491</v>
      </c>
      <c r="DM3" s="79">
        <v>43025</v>
      </c>
      <c r="DN3" s="230" t="str">
        <f t="shared" si="36"/>
        <v>Tuesday</v>
      </c>
      <c r="DO3" s="220" t="s">
        <v>492</v>
      </c>
      <c r="DP3" s="79">
        <v>42969</v>
      </c>
      <c r="DQ3" s="221" t="str">
        <f t="shared" si="37"/>
        <v>Tuesday</v>
      </c>
      <c r="DR3" s="225" t="s">
        <v>493</v>
      </c>
      <c r="DS3" s="79">
        <v>42859</v>
      </c>
      <c r="DT3" s="232" t="str">
        <f t="shared" si="38"/>
        <v>Thursday</v>
      </c>
      <c r="DU3" s="220" t="s">
        <v>494</v>
      </c>
      <c r="DV3" s="79">
        <v>42780</v>
      </c>
      <c r="DW3" s="221" t="str">
        <f t="shared" si="39"/>
        <v>Tuesday</v>
      </c>
      <c r="DX3" s="220" t="s">
        <v>495</v>
      </c>
      <c r="DY3" s="79">
        <v>42685</v>
      </c>
      <c r="DZ3" s="226" t="str">
        <f t="shared" si="40"/>
        <v>Friday</v>
      </c>
      <c r="EA3" s="220" t="s">
        <v>496</v>
      </c>
      <c r="EB3" s="79">
        <v>42618</v>
      </c>
      <c r="EC3" s="218" t="str">
        <f t="shared" si="41"/>
        <v>Monday</v>
      </c>
      <c r="ED3" s="225" t="s">
        <v>497</v>
      </c>
      <c r="EE3" s="79">
        <v>42570</v>
      </c>
      <c r="EF3" s="230" t="str">
        <f t="shared" si="42"/>
        <v>Tuesday</v>
      </c>
      <c r="EG3" s="223" t="s">
        <v>498</v>
      </c>
      <c r="EH3" s="79">
        <v>42453</v>
      </c>
      <c r="EI3" s="224" t="str">
        <f t="shared" si="43"/>
        <v>Thursday</v>
      </c>
      <c r="EJ3" s="223" t="s">
        <v>499</v>
      </c>
      <c r="EK3" s="79">
        <v>42396</v>
      </c>
      <c r="EL3" s="227" t="str">
        <f t="shared" si="44"/>
        <v>Wednesday</v>
      </c>
      <c r="EM3" s="231" t="s">
        <v>500</v>
      </c>
      <c r="EN3" s="79">
        <v>42342</v>
      </c>
      <c r="EO3" s="222" t="str">
        <f t="shared" si="45"/>
        <v>Friday</v>
      </c>
      <c r="EP3" s="223" t="s">
        <v>501</v>
      </c>
      <c r="EQ3" s="79">
        <v>42222</v>
      </c>
      <c r="ER3" s="224" t="str">
        <f t="shared" si="46"/>
        <v>Thursday</v>
      </c>
      <c r="ES3" s="225" t="s">
        <v>502</v>
      </c>
      <c r="ET3" s="79">
        <v>42175</v>
      </c>
      <c r="EU3" s="236" t="str">
        <f t="shared" si="47"/>
        <v>Saturday</v>
      </c>
      <c r="EV3" s="223" t="s">
        <v>503</v>
      </c>
      <c r="EW3" s="79">
        <v>42111</v>
      </c>
      <c r="EX3" s="226" t="str">
        <f t="shared" si="48"/>
        <v>Friday</v>
      </c>
      <c r="EY3" s="231" t="s">
        <v>504</v>
      </c>
      <c r="EZ3" s="79">
        <v>42038</v>
      </c>
      <c r="FA3" s="230" t="str">
        <f t="shared" si="49"/>
        <v>Tuesday</v>
      </c>
      <c r="FB3" s="223" t="s">
        <v>505</v>
      </c>
      <c r="FC3" s="79">
        <v>41941</v>
      </c>
      <c r="FD3" s="227" t="str">
        <f t="shared" si="50"/>
        <v>Wednesday</v>
      </c>
      <c r="FE3" s="231" t="s">
        <v>506</v>
      </c>
      <c r="FF3" s="79">
        <v>41813</v>
      </c>
      <c r="FG3" s="218" t="str">
        <f t="shared" si="51"/>
        <v>Monday</v>
      </c>
      <c r="FH3" s="220" t="s">
        <v>507</v>
      </c>
      <c r="FI3" s="79">
        <v>41748</v>
      </c>
      <c r="FJ3" s="228" t="str">
        <f t="shared" si="52"/>
        <v>Saturday</v>
      </c>
      <c r="FK3" s="231" t="s">
        <v>508</v>
      </c>
      <c r="FL3" s="79">
        <v>41674</v>
      </c>
      <c r="FM3" s="230" t="str">
        <f t="shared" si="53"/>
        <v>Tuesday</v>
      </c>
      <c r="FN3" s="220" t="s">
        <v>509</v>
      </c>
      <c r="FO3" s="79">
        <v>41569</v>
      </c>
      <c r="FP3" s="221" t="str">
        <f t="shared" si="54"/>
        <v>Tuesday</v>
      </c>
    </row>
    <row r="4" spans="1:172" ht="15" x14ac:dyDescent="0.25">
      <c r="A4" s="74"/>
      <c r="B4" s="216"/>
      <c r="C4" s="216"/>
      <c r="D4" s="74"/>
      <c r="E4" s="234"/>
      <c r="F4" s="237"/>
      <c r="G4" s="74"/>
      <c r="H4" s="217" t="s">
        <v>510</v>
      </c>
      <c r="I4" s="237">
        <v>45635</v>
      </c>
      <c r="J4" s="238" t="str">
        <f t="shared" si="0"/>
        <v>Monday</v>
      </c>
      <c r="K4" s="217" t="s">
        <v>511</v>
      </c>
      <c r="L4" s="84">
        <v>45583</v>
      </c>
      <c r="M4" s="218" t="str">
        <f t="shared" si="1"/>
        <v>Friday</v>
      </c>
      <c r="N4" s="217" t="s">
        <v>512</v>
      </c>
      <c r="O4" s="84">
        <v>45530</v>
      </c>
      <c r="P4" s="218" t="str">
        <f t="shared" si="2"/>
        <v>Monday</v>
      </c>
      <c r="Q4" s="217" t="s">
        <v>513</v>
      </c>
      <c r="R4" s="84">
        <v>45439</v>
      </c>
      <c r="S4" s="218" t="str">
        <f t="shared" si="3"/>
        <v>Monday</v>
      </c>
      <c r="T4" s="217" t="s">
        <v>514</v>
      </c>
      <c r="U4" s="84">
        <v>45349</v>
      </c>
      <c r="V4" s="218" t="str">
        <f t="shared" si="4"/>
        <v>Tuesday</v>
      </c>
      <c r="W4" s="217" t="s">
        <v>515</v>
      </c>
      <c r="X4" s="84">
        <v>45265</v>
      </c>
      <c r="Y4" s="218" t="str">
        <f t="shared" si="5"/>
        <v>Tuesday</v>
      </c>
      <c r="Z4" s="217" t="s">
        <v>516</v>
      </c>
      <c r="AA4" s="84">
        <v>45219</v>
      </c>
      <c r="AB4" s="218" t="str">
        <f t="shared" si="6"/>
        <v>Friday</v>
      </c>
      <c r="AC4" s="217" t="s">
        <v>517</v>
      </c>
      <c r="AD4" s="84">
        <v>45161</v>
      </c>
      <c r="AE4" s="218" t="str">
        <f t="shared" si="7"/>
        <v>Wednesday</v>
      </c>
      <c r="AF4" s="217" t="s">
        <v>518</v>
      </c>
      <c r="AG4" s="84">
        <v>45052</v>
      </c>
      <c r="AH4" s="218" t="str">
        <f t="shared" si="8"/>
        <v>Saturday</v>
      </c>
      <c r="AI4" s="217" t="s">
        <v>519</v>
      </c>
      <c r="AJ4" s="84">
        <v>44971</v>
      </c>
      <c r="AK4" s="218" t="str">
        <f t="shared" si="9"/>
        <v>Tuesday</v>
      </c>
      <c r="AL4" s="217" t="s">
        <v>520</v>
      </c>
      <c r="AM4" s="84">
        <v>44896</v>
      </c>
      <c r="AN4" s="218" t="str">
        <f t="shared" si="10"/>
        <v>Thursday</v>
      </c>
      <c r="AO4" s="217" t="s">
        <v>521</v>
      </c>
      <c r="AP4" s="84">
        <v>44848</v>
      </c>
      <c r="AQ4" s="218" t="str">
        <f t="shared" si="11"/>
        <v>Friday</v>
      </c>
      <c r="AR4" s="217" t="s">
        <v>522</v>
      </c>
      <c r="AS4" s="84">
        <v>44792</v>
      </c>
      <c r="AT4" s="218" t="str">
        <f t="shared" si="12"/>
        <v>Friday</v>
      </c>
      <c r="AU4" s="219" t="s">
        <v>523</v>
      </c>
      <c r="AV4" s="84">
        <v>44701</v>
      </c>
      <c r="AW4" s="218" t="str">
        <f t="shared" si="13"/>
        <v>Friday</v>
      </c>
      <c r="AX4" s="219" t="s">
        <v>524</v>
      </c>
      <c r="AY4" s="84">
        <v>44616</v>
      </c>
      <c r="AZ4" s="218" t="str">
        <f t="shared" si="14"/>
        <v>Thursday</v>
      </c>
      <c r="BA4" s="217" t="s">
        <v>525</v>
      </c>
      <c r="BB4" s="84">
        <v>44531</v>
      </c>
      <c r="BC4" s="218" t="str">
        <f t="shared" si="15"/>
        <v>Wednesday</v>
      </c>
      <c r="BD4" s="219" t="s">
        <v>526</v>
      </c>
      <c r="BE4" s="84">
        <v>44481</v>
      </c>
      <c r="BF4" s="218" t="str">
        <f t="shared" si="16"/>
        <v>Tuesday</v>
      </c>
      <c r="BG4" s="219" t="s">
        <v>527</v>
      </c>
      <c r="BH4" s="84">
        <v>44428</v>
      </c>
      <c r="BI4" s="218" t="str">
        <f t="shared" si="17"/>
        <v>Friday</v>
      </c>
      <c r="BJ4" s="219" t="s">
        <v>528</v>
      </c>
      <c r="BK4" s="84">
        <v>44330</v>
      </c>
      <c r="BL4" s="218" t="str">
        <f t="shared" si="18"/>
        <v>Friday</v>
      </c>
      <c r="BM4" s="219" t="s">
        <v>529</v>
      </c>
      <c r="BN4" s="84">
        <v>44244</v>
      </c>
      <c r="BO4" s="218" t="str">
        <f t="shared" si="19"/>
        <v>Wednesday</v>
      </c>
      <c r="BP4" s="220" t="s">
        <v>530</v>
      </c>
      <c r="BQ4" s="84">
        <v>44174</v>
      </c>
      <c r="BR4" s="221" t="str">
        <f t="shared" si="20"/>
        <v>Wednesday</v>
      </c>
      <c r="BS4" s="220" t="s">
        <v>531</v>
      </c>
      <c r="BT4" s="79">
        <v>44126</v>
      </c>
      <c r="BU4" s="224" t="str">
        <f t="shared" si="21"/>
        <v>Thursday</v>
      </c>
      <c r="BV4" s="216" t="s">
        <v>532</v>
      </c>
      <c r="BW4" s="79">
        <v>44061</v>
      </c>
      <c r="BX4" s="230" t="str">
        <f t="shared" si="22"/>
        <v>Tuesday</v>
      </c>
      <c r="BY4" s="235" t="s">
        <v>533</v>
      </c>
      <c r="BZ4" s="79">
        <v>43958</v>
      </c>
      <c r="CA4" s="224" t="str">
        <f t="shared" si="23"/>
        <v>Thursday</v>
      </c>
      <c r="CB4" s="223" t="s">
        <v>534</v>
      </c>
      <c r="CC4" s="79">
        <v>43885</v>
      </c>
      <c r="CD4" s="218" t="str">
        <f t="shared" si="24"/>
        <v>Monday</v>
      </c>
      <c r="CE4" s="220" t="s">
        <v>535</v>
      </c>
      <c r="CF4" s="79">
        <v>43801</v>
      </c>
      <c r="CG4" s="218" t="str">
        <f t="shared" si="25"/>
        <v>Monday</v>
      </c>
      <c r="CH4" s="225" t="s">
        <v>536</v>
      </c>
      <c r="CI4" s="79">
        <v>43754</v>
      </c>
      <c r="CJ4" s="229" t="str">
        <f t="shared" si="26"/>
        <v>Wednesday</v>
      </c>
      <c r="CK4" s="220" t="s">
        <v>537</v>
      </c>
      <c r="CL4" s="79">
        <v>43696</v>
      </c>
      <c r="CM4" s="218" t="str">
        <f t="shared" si="27"/>
        <v>Monday</v>
      </c>
      <c r="CN4" s="225" t="s">
        <v>538</v>
      </c>
      <c r="CO4" s="79">
        <v>43592</v>
      </c>
      <c r="CP4" s="230" t="str">
        <f t="shared" si="28"/>
        <v>Tuesday</v>
      </c>
      <c r="CQ4" s="220" t="s">
        <v>539</v>
      </c>
      <c r="CR4" s="79">
        <v>43516</v>
      </c>
      <c r="CS4" s="227" t="str">
        <f t="shared" si="29"/>
        <v>Wednesday</v>
      </c>
      <c r="CT4" s="220" t="s">
        <v>540</v>
      </c>
      <c r="CU4" s="79">
        <v>43431</v>
      </c>
      <c r="CV4" s="221" t="str">
        <f t="shared" si="30"/>
        <v>Tuesday</v>
      </c>
      <c r="CW4" s="220" t="s">
        <v>541</v>
      </c>
      <c r="CX4" s="79">
        <v>43384</v>
      </c>
      <c r="CY4" s="224" t="str">
        <f t="shared" si="31"/>
        <v>Thursday</v>
      </c>
      <c r="CZ4" s="223" t="s">
        <v>542</v>
      </c>
      <c r="DA4" s="79">
        <v>43334</v>
      </c>
      <c r="DB4" s="227" t="str">
        <f t="shared" si="32"/>
        <v>Wednesday</v>
      </c>
      <c r="DC4" s="220" t="s">
        <v>543</v>
      </c>
      <c r="DD4" s="79">
        <v>43236</v>
      </c>
      <c r="DE4" s="227" t="str">
        <f t="shared" si="33"/>
        <v>Wednesday</v>
      </c>
      <c r="DF4" s="220" t="s">
        <v>544</v>
      </c>
      <c r="DG4" s="79">
        <v>43140</v>
      </c>
      <c r="DH4" s="226" t="str">
        <f t="shared" si="34"/>
        <v>Friday</v>
      </c>
      <c r="DI4" s="220" t="s">
        <v>545</v>
      </c>
      <c r="DJ4" s="79">
        <v>43073</v>
      </c>
      <c r="DK4" s="218" t="str">
        <f t="shared" si="35"/>
        <v>Monday</v>
      </c>
      <c r="DL4" s="225" t="s">
        <v>546</v>
      </c>
      <c r="DM4" s="79">
        <v>43027</v>
      </c>
      <c r="DN4" s="232" t="str">
        <f t="shared" si="36"/>
        <v>Thursday</v>
      </c>
      <c r="DO4" s="220" t="s">
        <v>547</v>
      </c>
      <c r="DP4" s="79">
        <v>42970</v>
      </c>
      <c r="DQ4" s="227" t="str">
        <f t="shared" si="37"/>
        <v>Wednesday</v>
      </c>
      <c r="DR4" s="225" t="s">
        <v>548</v>
      </c>
      <c r="DS4" s="79">
        <v>42865</v>
      </c>
      <c r="DT4" s="229" t="str">
        <f t="shared" si="38"/>
        <v>Wednesday</v>
      </c>
      <c r="DU4" s="220" t="s">
        <v>549</v>
      </c>
      <c r="DV4" s="79">
        <v>42781</v>
      </c>
      <c r="DW4" s="227" t="str">
        <f t="shared" si="39"/>
        <v>Wednesday</v>
      </c>
      <c r="DX4" s="220" t="s">
        <v>550</v>
      </c>
      <c r="DY4" s="79">
        <v>42690</v>
      </c>
      <c r="DZ4" s="227" t="str">
        <f t="shared" si="40"/>
        <v>Wednesday</v>
      </c>
      <c r="EA4" s="220" t="s">
        <v>551</v>
      </c>
      <c r="EB4" s="79">
        <v>42620</v>
      </c>
      <c r="EC4" s="227" t="str">
        <f t="shared" si="41"/>
        <v>Wednesday</v>
      </c>
      <c r="ED4" s="225" t="s">
        <v>552</v>
      </c>
      <c r="EE4" s="79">
        <v>42571</v>
      </c>
      <c r="EF4" s="229" t="str">
        <f t="shared" si="42"/>
        <v>Wednesday</v>
      </c>
      <c r="EG4" s="223" t="s">
        <v>553</v>
      </c>
      <c r="EH4" s="79">
        <v>42457</v>
      </c>
      <c r="EI4" s="218" t="str">
        <f t="shared" si="43"/>
        <v>Monday</v>
      </c>
      <c r="EJ4" s="220" t="s">
        <v>554</v>
      </c>
      <c r="EK4" s="79">
        <v>42408</v>
      </c>
      <c r="EL4" s="218" t="str">
        <f t="shared" si="44"/>
        <v>Monday</v>
      </c>
      <c r="EM4" s="231" t="s">
        <v>555</v>
      </c>
      <c r="EN4" s="79">
        <v>42343</v>
      </c>
      <c r="EO4" s="236" t="str">
        <f t="shared" si="45"/>
        <v>Saturday</v>
      </c>
      <c r="EP4" s="223" t="s">
        <v>556</v>
      </c>
      <c r="EQ4" s="79">
        <v>42223</v>
      </c>
      <c r="ER4" s="226" t="str">
        <f t="shared" si="46"/>
        <v>Friday</v>
      </c>
      <c r="ES4" s="225" t="s">
        <v>557</v>
      </c>
      <c r="ET4" s="79">
        <v>42177</v>
      </c>
      <c r="EU4" s="233" t="str">
        <f t="shared" si="47"/>
        <v>Monday</v>
      </c>
      <c r="EV4" s="223" t="s">
        <v>558</v>
      </c>
      <c r="EW4" s="79">
        <v>42112</v>
      </c>
      <c r="EX4" s="228" t="str">
        <f t="shared" si="48"/>
        <v>Saturday</v>
      </c>
      <c r="EY4" s="231" t="s">
        <v>559</v>
      </c>
      <c r="EZ4" s="79">
        <v>42039</v>
      </c>
      <c r="FA4" s="229" t="str">
        <f t="shared" si="49"/>
        <v>Wednesday</v>
      </c>
      <c r="FB4" s="223" t="s">
        <v>560</v>
      </c>
      <c r="FC4" s="79">
        <v>41943</v>
      </c>
      <c r="FD4" s="226" t="str">
        <f t="shared" si="50"/>
        <v>Friday</v>
      </c>
      <c r="FE4" s="231" t="s">
        <v>561</v>
      </c>
      <c r="FF4" s="79">
        <v>41816</v>
      </c>
      <c r="FG4" s="218" t="str">
        <f t="shared" si="51"/>
        <v>Thursday</v>
      </c>
      <c r="FH4" s="223" t="s">
        <v>562</v>
      </c>
      <c r="FI4" s="79">
        <v>41754</v>
      </c>
      <c r="FJ4" s="226" t="str">
        <f t="shared" si="52"/>
        <v>Friday</v>
      </c>
      <c r="FK4" s="231" t="s">
        <v>563</v>
      </c>
      <c r="FL4" s="79">
        <v>41688</v>
      </c>
      <c r="FM4" s="230" t="str">
        <f t="shared" si="53"/>
        <v>Tuesday</v>
      </c>
      <c r="FN4" s="223" t="s">
        <v>564</v>
      </c>
      <c r="FO4" s="79">
        <v>41573</v>
      </c>
      <c r="FP4" s="228" t="str">
        <f t="shared" si="54"/>
        <v>Saturday</v>
      </c>
    </row>
    <row r="5" spans="1:172" ht="15" x14ac:dyDescent="0.25">
      <c r="A5" s="239" t="s">
        <v>124</v>
      </c>
      <c r="B5" s="211">
        <f>COUNTIF(D2:FP45,"Monday")</f>
        <v>170</v>
      </c>
      <c r="C5" s="240">
        <f t="shared" ref="C5:C11" si="55">B5/SUM($B$5:$B$11)</f>
        <v>0.15813953488372093</v>
      </c>
      <c r="D5" s="74"/>
      <c r="E5" s="234"/>
      <c r="F5" s="237"/>
      <c r="G5" s="74"/>
      <c r="H5" s="217" t="s">
        <v>565</v>
      </c>
      <c r="I5" s="237">
        <v>45635</v>
      </c>
      <c r="J5" s="238" t="str">
        <f t="shared" si="0"/>
        <v>Monday</v>
      </c>
      <c r="K5" s="217" t="s">
        <v>566</v>
      </c>
      <c r="L5" s="84">
        <v>45587</v>
      </c>
      <c r="M5" s="218" t="str">
        <f t="shared" si="1"/>
        <v>Tuesday</v>
      </c>
      <c r="N5" s="217" t="s">
        <v>567</v>
      </c>
      <c r="O5" s="84">
        <v>45531</v>
      </c>
      <c r="P5" s="218" t="str">
        <f t="shared" si="2"/>
        <v>Tuesday</v>
      </c>
      <c r="Q5" s="217" t="s">
        <v>568</v>
      </c>
      <c r="R5" s="84">
        <v>45440</v>
      </c>
      <c r="S5" s="218" t="str">
        <f t="shared" si="3"/>
        <v>Tuesday</v>
      </c>
      <c r="T5" s="217" t="s">
        <v>569</v>
      </c>
      <c r="U5" s="84">
        <v>45350</v>
      </c>
      <c r="V5" s="218" t="str">
        <f t="shared" si="4"/>
        <v>Wednesday</v>
      </c>
      <c r="W5" s="217" t="s">
        <v>570</v>
      </c>
      <c r="X5" s="84">
        <v>45266</v>
      </c>
      <c r="Y5" s="218" t="str">
        <f t="shared" si="5"/>
        <v>Wednesday</v>
      </c>
      <c r="Z5" s="217" t="s">
        <v>571</v>
      </c>
      <c r="AA5" s="84">
        <v>45222</v>
      </c>
      <c r="AB5" s="218" t="str">
        <f t="shared" si="6"/>
        <v>Monday</v>
      </c>
      <c r="AC5" s="217" t="s">
        <v>572</v>
      </c>
      <c r="AD5" s="84">
        <v>45162</v>
      </c>
      <c r="AE5" s="218" t="str">
        <f t="shared" si="7"/>
        <v>Thursday</v>
      </c>
      <c r="AF5" s="217" t="s">
        <v>573</v>
      </c>
      <c r="AG5" s="84">
        <v>45054</v>
      </c>
      <c r="AH5" s="218" t="str">
        <f t="shared" si="8"/>
        <v>Monday</v>
      </c>
      <c r="AI5" s="217" t="s">
        <v>574</v>
      </c>
      <c r="AJ5" s="84">
        <v>44973</v>
      </c>
      <c r="AK5" s="218" t="str">
        <f t="shared" si="9"/>
        <v>Thursday</v>
      </c>
      <c r="AL5" s="217" t="s">
        <v>575</v>
      </c>
      <c r="AM5" s="84">
        <v>44900</v>
      </c>
      <c r="AN5" s="218" t="str">
        <f t="shared" si="10"/>
        <v>Monday</v>
      </c>
      <c r="AO5" s="217" t="s">
        <v>576</v>
      </c>
      <c r="AP5" s="84">
        <v>44848</v>
      </c>
      <c r="AQ5" s="218" t="str">
        <f t="shared" si="11"/>
        <v>Friday</v>
      </c>
      <c r="AR5" s="217" t="s">
        <v>577</v>
      </c>
      <c r="AS5" s="84">
        <v>44796</v>
      </c>
      <c r="AT5" s="218" t="str">
        <f t="shared" si="12"/>
        <v>Tuesday</v>
      </c>
      <c r="AU5" s="217" t="s">
        <v>578</v>
      </c>
      <c r="AV5" s="84">
        <v>44704</v>
      </c>
      <c r="AW5" s="241" t="str">
        <f t="shared" si="13"/>
        <v>Monday</v>
      </c>
      <c r="AX5" s="219" t="s">
        <v>579</v>
      </c>
      <c r="AY5" s="84">
        <v>44629</v>
      </c>
      <c r="AZ5" s="218" t="str">
        <f t="shared" si="14"/>
        <v>Wednesday</v>
      </c>
      <c r="BA5" s="219" t="s">
        <v>580</v>
      </c>
      <c r="BB5" s="84">
        <v>44532</v>
      </c>
      <c r="BC5" s="218" t="str">
        <f t="shared" si="15"/>
        <v>Thursday</v>
      </c>
      <c r="BD5" s="219" t="s">
        <v>581</v>
      </c>
      <c r="BE5" s="84">
        <v>44482</v>
      </c>
      <c r="BF5" s="221" t="str">
        <f t="shared" si="16"/>
        <v>Wednesday</v>
      </c>
      <c r="BG5" s="219" t="s">
        <v>582</v>
      </c>
      <c r="BH5" s="84">
        <v>44431</v>
      </c>
      <c r="BI5" s="218" t="str">
        <f t="shared" si="17"/>
        <v>Monday</v>
      </c>
      <c r="BJ5" s="219" t="s">
        <v>583</v>
      </c>
      <c r="BK5" s="84">
        <v>44333</v>
      </c>
      <c r="BL5" s="218" t="str">
        <f t="shared" si="18"/>
        <v>Monday</v>
      </c>
      <c r="BM5" s="219" t="s">
        <v>584</v>
      </c>
      <c r="BN5" s="84">
        <v>44245</v>
      </c>
      <c r="BO5" s="218" t="str">
        <f t="shared" si="19"/>
        <v>Thursday</v>
      </c>
      <c r="BP5" s="223" t="s">
        <v>585</v>
      </c>
      <c r="BQ5" s="84">
        <v>44175</v>
      </c>
      <c r="BR5" s="221" t="str">
        <f t="shared" si="20"/>
        <v>Thursday</v>
      </c>
      <c r="BS5" s="220" t="s">
        <v>586</v>
      </c>
      <c r="BT5" s="79">
        <v>44131</v>
      </c>
      <c r="BU5" s="221" t="str">
        <f t="shared" si="21"/>
        <v>Tuesday</v>
      </c>
      <c r="BV5" s="231" t="s">
        <v>587</v>
      </c>
      <c r="BW5" s="79">
        <v>44062</v>
      </c>
      <c r="BX5" s="229" t="str">
        <f t="shared" si="22"/>
        <v>Wednesday</v>
      </c>
      <c r="BY5" s="235" t="s">
        <v>588</v>
      </c>
      <c r="BZ5" s="79">
        <v>43959</v>
      </c>
      <c r="CA5" s="226" t="str">
        <f t="shared" si="23"/>
        <v>Friday</v>
      </c>
      <c r="CB5" s="235" t="s">
        <v>589</v>
      </c>
      <c r="CC5" s="79">
        <v>43886</v>
      </c>
      <c r="CD5" s="221" t="str">
        <f t="shared" si="24"/>
        <v>Tuesday</v>
      </c>
      <c r="CE5" s="220" t="s">
        <v>590</v>
      </c>
      <c r="CF5" s="79">
        <v>43801</v>
      </c>
      <c r="CG5" s="218" t="str">
        <f t="shared" si="25"/>
        <v>Monday</v>
      </c>
      <c r="CH5" s="225" t="s">
        <v>591</v>
      </c>
      <c r="CI5" s="79">
        <v>43755</v>
      </c>
      <c r="CJ5" s="232" t="str">
        <f t="shared" si="26"/>
        <v>Thursday</v>
      </c>
      <c r="CK5" s="220" t="s">
        <v>592</v>
      </c>
      <c r="CL5" s="79">
        <v>43697</v>
      </c>
      <c r="CM5" s="221" t="str">
        <f t="shared" si="27"/>
        <v>Tuesday</v>
      </c>
      <c r="CN5" s="225" t="s">
        <v>593</v>
      </c>
      <c r="CO5" s="79">
        <v>43592</v>
      </c>
      <c r="CP5" s="230" t="str">
        <f t="shared" si="28"/>
        <v>Tuesday</v>
      </c>
      <c r="CQ5" s="220" t="s">
        <v>594</v>
      </c>
      <c r="CR5" s="79">
        <v>43516</v>
      </c>
      <c r="CS5" s="227" t="str">
        <f t="shared" si="29"/>
        <v>Wednesday</v>
      </c>
      <c r="CT5" s="220" t="s">
        <v>595</v>
      </c>
      <c r="CU5" s="79">
        <v>43433</v>
      </c>
      <c r="CV5" s="224" t="str">
        <f t="shared" si="30"/>
        <v>Thursday</v>
      </c>
      <c r="CW5" s="220" t="s">
        <v>596</v>
      </c>
      <c r="CX5" s="79">
        <v>43385</v>
      </c>
      <c r="CY5" s="226" t="str">
        <f t="shared" si="31"/>
        <v>Friday</v>
      </c>
      <c r="CZ5" s="220" t="s">
        <v>597</v>
      </c>
      <c r="DA5" s="79">
        <v>43334</v>
      </c>
      <c r="DB5" s="227" t="str">
        <f t="shared" si="32"/>
        <v>Wednesday</v>
      </c>
      <c r="DC5" s="220" t="s">
        <v>598</v>
      </c>
      <c r="DD5" s="79">
        <v>43238</v>
      </c>
      <c r="DE5" s="226" t="str">
        <f t="shared" si="33"/>
        <v>Friday</v>
      </c>
      <c r="DF5" s="220" t="s">
        <v>599</v>
      </c>
      <c r="DG5" s="79">
        <v>43145</v>
      </c>
      <c r="DH5" s="227" t="str">
        <f t="shared" si="34"/>
        <v>Wednesday</v>
      </c>
      <c r="DI5" s="220" t="s">
        <v>600</v>
      </c>
      <c r="DJ5" s="79">
        <v>43074</v>
      </c>
      <c r="DK5" s="221" t="str">
        <f t="shared" si="35"/>
        <v>Tuesday</v>
      </c>
      <c r="DL5" s="225" t="s">
        <v>601</v>
      </c>
      <c r="DM5" s="79">
        <v>43028</v>
      </c>
      <c r="DN5" s="222" t="str">
        <f t="shared" si="36"/>
        <v>Friday</v>
      </c>
      <c r="DO5" s="220" t="s">
        <v>602</v>
      </c>
      <c r="DP5" s="79">
        <v>42970</v>
      </c>
      <c r="DQ5" s="227" t="str">
        <f t="shared" si="37"/>
        <v>Wednesday</v>
      </c>
      <c r="DR5" s="225" t="s">
        <v>603</v>
      </c>
      <c r="DS5" s="79">
        <v>42866</v>
      </c>
      <c r="DT5" s="232" t="str">
        <f t="shared" si="38"/>
        <v>Thursday</v>
      </c>
      <c r="DU5" s="220" t="s">
        <v>604</v>
      </c>
      <c r="DV5" s="79">
        <v>42782</v>
      </c>
      <c r="DW5" s="224" t="str">
        <f t="shared" si="39"/>
        <v>Thursday</v>
      </c>
      <c r="DX5" s="220" t="s">
        <v>605</v>
      </c>
      <c r="DY5" s="79">
        <v>42692</v>
      </c>
      <c r="DZ5" s="226" t="str">
        <f t="shared" si="40"/>
        <v>Friday</v>
      </c>
      <c r="EA5" s="220" t="s">
        <v>606</v>
      </c>
      <c r="EB5" s="79">
        <v>42621</v>
      </c>
      <c r="EC5" s="224" t="str">
        <f t="shared" si="41"/>
        <v>Thursday</v>
      </c>
      <c r="ED5" s="225" t="s">
        <v>607</v>
      </c>
      <c r="EE5" s="79">
        <v>42572</v>
      </c>
      <c r="EF5" s="232" t="str">
        <f t="shared" si="42"/>
        <v>Thursday</v>
      </c>
      <c r="EG5" s="223" t="s">
        <v>608</v>
      </c>
      <c r="EH5" s="79">
        <v>42457</v>
      </c>
      <c r="EI5" s="218" t="str">
        <f t="shared" si="43"/>
        <v>Monday</v>
      </c>
      <c r="EJ5" s="223" t="s">
        <v>609</v>
      </c>
      <c r="EK5" s="79">
        <v>46063</v>
      </c>
      <c r="EL5" s="221" t="str">
        <f t="shared" si="44"/>
        <v>Tuesday</v>
      </c>
      <c r="EM5" s="225" t="s">
        <v>610</v>
      </c>
      <c r="EN5" s="79">
        <v>42345</v>
      </c>
      <c r="EO5" s="233" t="str">
        <f t="shared" si="45"/>
        <v>Monday</v>
      </c>
      <c r="EP5" s="223" t="s">
        <v>611</v>
      </c>
      <c r="EQ5" s="79">
        <v>42233</v>
      </c>
      <c r="ER5" s="227" t="str">
        <f t="shared" si="46"/>
        <v>Monday</v>
      </c>
      <c r="ES5" s="231" t="s">
        <v>612</v>
      </c>
      <c r="ET5" s="79">
        <v>42178</v>
      </c>
      <c r="EU5" s="230" t="str">
        <f t="shared" si="47"/>
        <v>Tuesday</v>
      </c>
      <c r="EV5" s="223" t="s">
        <v>613</v>
      </c>
      <c r="EW5" s="79">
        <v>42114</v>
      </c>
      <c r="EX5" s="218" t="str">
        <f t="shared" si="48"/>
        <v>Monday</v>
      </c>
      <c r="EY5" s="231" t="s">
        <v>614</v>
      </c>
      <c r="EZ5" s="79">
        <v>42040</v>
      </c>
      <c r="FA5" s="232" t="str">
        <f t="shared" si="49"/>
        <v>Thursday</v>
      </c>
      <c r="FB5" s="223" t="s">
        <v>615</v>
      </c>
      <c r="FC5" s="79">
        <v>41944</v>
      </c>
      <c r="FD5" s="228" t="str">
        <f t="shared" si="50"/>
        <v>Saturday</v>
      </c>
      <c r="FE5" s="231" t="s">
        <v>616</v>
      </c>
      <c r="FF5" s="79">
        <v>41817</v>
      </c>
      <c r="FG5" s="218" t="str">
        <f t="shared" si="51"/>
        <v>Friday</v>
      </c>
      <c r="FH5" s="223" t="s">
        <v>617</v>
      </c>
      <c r="FI5" s="79">
        <v>41760</v>
      </c>
      <c r="FJ5" s="224" t="str">
        <f t="shared" si="52"/>
        <v>Thursday</v>
      </c>
      <c r="FK5" s="231" t="s">
        <v>618</v>
      </c>
      <c r="FL5" s="79">
        <v>41740</v>
      </c>
      <c r="FM5" s="222" t="str">
        <f t="shared" si="53"/>
        <v>Friday</v>
      </c>
      <c r="FN5" s="223" t="s">
        <v>619</v>
      </c>
      <c r="FO5" s="79">
        <v>41575</v>
      </c>
      <c r="FP5" s="218" t="str">
        <f t="shared" si="54"/>
        <v>Monday</v>
      </c>
    </row>
    <row r="6" spans="1:172" ht="15" x14ac:dyDescent="0.25">
      <c r="A6" s="239" t="s">
        <v>125</v>
      </c>
      <c r="B6" s="242">
        <f>COUNTIF(D2:FP45,"Tuesday")</f>
        <v>199</v>
      </c>
      <c r="C6" s="240">
        <f t="shared" si="55"/>
        <v>0.18511627906976744</v>
      </c>
      <c r="D6" s="74"/>
      <c r="E6" s="234"/>
      <c r="F6" s="237"/>
      <c r="G6" s="74"/>
      <c r="H6" s="217" t="s">
        <v>620</v>
      </c>
      <c r="I6" s="237">
        <v>45636</v>
      </c>
      <c r="J6" s="238" t="str">
        <f t="shared" si="0"/>
        <v>Tuesday</v>
      </c>
      <c r="K6" s="217" t="s">
        <v>621</v>
      </c>
      <c r="L6" s="84">
        <v>45587</v>
      </c>
      <c r="M6" s="218" t="str">
        <f t="shared" si="1"/>
        <v>Tuesday</v>
      </c>
      <c r="N6" s="217" t="s">
        <v>622</v>
      </c>
      <c r="O6" s="84">
        <v>45534</v>
      </c>
      <c r="P6" s="218" t="str">
        <f t="shared" si="2"/>
        <v>Friday</v>
      </c>
      <c r="Q6" s="217" t="s">
        <v>623</v>
      </c>
      <c r="R6" s="84">
        <v>45440</v>
      </c>
      <c r="S6" s="218" t="str">
        <f t="shared" si="3"/>
        <v>Tuesday</v>
      </c>
      <c r="T6" s="217" t="s">
        <v>624</v>
      </c>
      <c r="U6" s="84">
        <v>45351</v>
      </c>
      <c r="V6" s="218" t="str">
        <f t="shared" si="4"/>
        <v>Thursday</v>
      </c>
      <c r="W6" s="217" t="s">
        <v>625</v>
      </c>
      <c r="X6" s="84">
        <v>45267</v>
      </c>
      <c r="Y6" s="218" t="str">
        <f t="shared" si="5"/>
        <v>Thursday</v>
      </c>
      <c r="Z6" s="217" t="s">
        <v>626</v>
      </c>
      <c r="AA6" s="84">
        <v>45222</v>
      </c>
      <c r="AB6" s="218" t="str">
        <f t="shared" si="6"/>
        <v>Monday</v>
      </c>
      <c r="AC6" s="217" t="s">
        <v>627</v>
      </c>
      <c r="AD6" s="84">
        <v>45163</v>
      </c>
      <c r="AE6" s="218" t="str">
        <f t="shared" si="7"/>
        <v>Friday</v>
      </c>
      <c r="AF6" s="217" t="s">
        <v>628</v>
      </c>
      <c r="AG6" s="84">
        <v>45055</v>
      </c>
      <c r="AH6" s="218" t="str">
        <f t="shared" si="8"/>
        <v>Tuesday</v>
      </c>
      <c r="AI6" s="217" t="s">
        <v>629</v>
      </c>
      <c r="AJ6" s="84">
        <v>44973</v>
      </c>
      <c r="AK6" s="218" t="str">
        <f t="shared" si="9"/>
        <v>Thursday</v>
      </c>
      <c r="AL6" s="217" t="s">
        <v>630</v>
      </c>
      <c r="AM6" s="84">
        <v>44901</v>
      </c>
      <c r="AN6" s="218" t="str">
        <f t="shared" si="10"/>
        <v>Tuesday</v>
      </c>
      <c r="AO6" s="217" t="s">
        <v>631</v>
      </c>
      <c r="AP6" s="84">
        <v>44852</v>
      </c>
      <c r="AQ6" s="218" t="str">
        <f t="shared" si="11"/>
        <v>Tuesday</v>
      </c>
      <c r="AR6" s="217" t="s">
        <v>632</v>
      </c>
      <c r="AS6" s="84">
        <v>44797</v>
      </c>
      <c r="AT6" s="218" t="str">
        <f t="shared" si="12"/>
        <v>Wednesday</v>
      </c>
      <c r="AU6" s="219" t="s">
        <v>633</v>
      </c>
      <c r="AV6" s="84">
        <v>44705</v>
      </c>
      <c r="AW6" s="241" t="str">
        <f t="shared" si="13"/>
        <v>Tuesday</v>
      </c>
      <c r="AX6" s="219" t="s">
        <v>634</v>
      </c>
      <c r="AY6" s="84">
        <v>44630</v>
      </c>
      <c r="AZ6" s="218" t="str">
        <f t="shared" si="14"/>
        <v>Thursday</v>
      </c>
      <c r="BA6" s="219" t="s">
        <v>635</v>
      </c>
      <c r="BB6" s="84">
        <v>44532</v>
      </c>
      <c r="BC6" s="218" t="str">
        <f t="shared" si="15"/>
        <v>Thursday</v>
      </c>
      <c r="BD6" s="219" t="s">
        <v>636</v>
      </c>
      <c r="BE6" s="84">
        <v>44483</v>
      </c>
      <c r="BF6" s="221" t="str">
        <f t="shared" si="16"/>
        <v>Thursday</v>
      </c>
      <c r="BG6" s="217" t="s">
        <v>637</v>
      </c>
      <c r="BH6" s="84">
        <v>44432</v>
      </c>
      <c r="BI6" s="218" t="str">
        <f t="shared" si="17"/>
        <v>Tuesday</v>
      </c>
      <c r="BJ6" s="217" t="s">
        <v>638</v>
      </c>
      <c r="BK6" s="84">
        <v>44335</v>
      </c>
      <c r="BL6" s="218" t="str">
        <f t="shared" si="18"/>
        <v>Wednesday</v>
      </c>
      <c r="BM6" s="219" t="s">
        <v>639</v>
      </c>
      <c r="BN6" s="84">
        <v>44245</v>
      </c>
      <c r="BO6" s="218" t="str">
        <f t="shared" si="19"/>
        <v>Thursday</v>
      </c>
      <c r="BP6" s="220" t="s">
        <v>640</v>
      </c>
      <c r="BQ6" s="84">
        <v>44176</v>
      </c>
      <c r="BR6" s="221" t="str">
        <f t="shared" si="20"/>
        <v>Friday</v>
      </c>
      <c r="BS6" s="235" t="s">
        <v>641</v>
      </c>
      <c r="BT6" s="79">
        <v>44131</v>
      </c>
      <c r="BU6" s="221" t="str">
        <f t="shared" si="21"/>
        <v>Tuesday</v>
      </c>
      <c r="BV6" s="216" t="s">
        <v>642</v>
      </c>
      <c r="BW6" s="79">
        <v>44063</v>
      </c>
      <c r="BX6" s="232" t="str">
        <f t="shared" si="22"/>
        <v>Thursday</v>
      </c>
      <c r="BY6" s="235" t="s">
        <v>643</v>
      </c>
      <c r="BZ6" s="79">
        <v>43962</v>
      </c>
      <c r="CA6" s="218" t="str">
        <f t="shared" si="23"/>
        <v>Monday</v>
      </c>
      <c r="CB6" s="235" t="s">
        <v>644</v>
      </c>
      <c r="CC6" s="79">
        <v>43886</v>
      </c>
      <c r="CD6" s="221" t="str">
        <f t="shared" si="24"/>
        <v>Tuesday</v>
      </c>
      <c r="CE6" s="220" t="s">
        <v>645</v>
      </c>
      <c r="CF6" s="79">
        <v>43802</v>
      </c>
      <c r="CG6" s="221" t="str">
        <f t="shared" si="25"/>
        <v>Tuesday</v>
      </c>
      <c r="CH6" s="216" t="s">
        <v>646</v>
      </c>
      <c r="CI6" s="79">
        <v>43756</v>
      </c>
      <c r="CJ6" s="222" t="str">
        <f t="shared" si="26"/>
        <v>Friday</v>
      </c>
      <c r="CK6" s="220" t="s">
        <v>647</v>
      </c>
      <c r="CL6" s="79">
        <v>43699</v>
      </c>
      <c r="CM6" s="224" t="str">
        <f t="shared" si="27"/>
        <v>Thursday</v>
      </c>
      <c r="CN6" s="225" t="s">
        <v>648</v>
      </c>
      <c r="CO6" s="79">
        <v>43593</v>
      </c>
      <c r="CP6" s="229" t="str">
        <f t="shared" si="28"/>
        <v>Wednesday</v>
      </c>
      <c r="CQ6" s="220" t="s">
        <v>649</v>
      </c>
      <c r="CR6" s="79">
        <v>43517</v>
      </c>
      <c r="CS6" s="224" t="str">
        <f t="shared" si="29"/>
        <v>Thursday</v>
      </c>
      <c r="CT6" s="220" t="s">
        <v>650</v>
      </c>
      <c r="CU6" s="79">
        <v>43434</v>
      </c>
      <c r="CV6" s="226" t="str">
        <f t="shared" si="30"/>
        <v>Friday</v>
      </c>
      <c r="CW6" s="220" t="s">
        <v>651</v>
      </c>
      <c r="CX6" s="79">
        <v>43388</v>
      </c>
      <c r="CY6" s="218" t="str">
        <f t="shared" si="31"/>
        <v>Monday</v>
      </c>
      <c r="CZ6" s="220" t="s">
        <v>652</v>
      </c>
      <c r="DA6" s="79">
        <v>43339</v>
      </c>
      <c r="DB6" s="218" t="str">
        <f t="shared" si="32"/>
        <v>Monday</v>
      </c>
      <c r="DC6" s="220" t="s">
        <v>653</v>
      </c>
      <c r="DD6" s="79">
        <v>43242</v>
      </c>
      <c r="DE6" s="221" t="str">
        <f t="shared" si="33"/>
        <v>Tuesday</v>
      </c>
      <c r="DF6" s="220" t="s">
        <v>654</v>
      </c>
      <c r="DG6" s="79">
        <v>43145</v>
      </c>
      <c r="DH6" s="227" t="str">
        <f t="shared" si="34"/>
        <v>Wednesday</v>
      </c>
      <c r="DI6" s="220" t="s">
        <v>655</v>
      </c>
      <c r="DJ6" s="79">
        <v>43075</v>
      </c>
      <c r="DK6" s="227" t="str">
        <f t="shared" si="35"/>
        <v>Wednesday</v>
      </c>
      <c r="DL6" s="225" t="s">
        <v>656</v>
      </c>
      <c r="DM6" s="79">
        <v>43032</v>
      </c>
      <c r="DN6" s="230" t="str">
        <f t="shared" si="36"/>
        <v>Tuesday</v>
      </c>
      <c r="DO6" s="220" t="s">
        <v>657</v>
      </c>
      <c r="DP6" s="79">
        <v>42971</v>
      </c>
      <c r="DQ6" s="224" t="str">
        <f t="shared" si="37"/>
        <v>Thursday</v>
      </c>
      <c r="DR6" s="225" t="s">
        <v>658</v>
      </c>
      <c r="DS6" s="79">
        <v>42870</v>
      </c>
      <c r="DT6" s="233" t="str">
        <f t="shared" si="38"/>
        <v>Monday</v>
      </c>
      <c r="DU6" s="220" t="s">
        <v>659</v>
      </c>
      <c r="DV6" s="79">
        <v>42783</v>
      </c>
      <c r="DW6" s="226" t="str">
        <f t="shared" si="39"/>
        <v>Friday</v>
      </c>
      <c r="DX6" s="220" t="s">
        <v>660</v>
      </c>
      <c r="DY6" s="79">
        <v>42695</v>
      </c>
      <c r="DZ6" s="218" t="str">
        <f t="shared" si="40"/>
        <v>Monday</v>
      </c>
      <c r="EA6" s="220" t="s">
        <v>661</v>
      </c>
      <c r="EB6" s="79">
        <v>42623</v>
      </c>
      <c r="EC6" s="228" t="str">
        <f t="shared" si="41"/>
        <v>Saturday</v>
      </c>
      <c r="ED6" s="225" t="s">
        <v>662</v>
      </c>
      <c r="EE6" s="79">
        <v>42576</v>
      </c>
      <c r="EF6" s="233" t="str">
        <f t="shared" si="42"/>
        <v>Monday</v>
      </c>
      <c r="EG6" s="220" t="s">
        <v>663</v>
      </c>
      <c r="EH6" s="79">
        <v>42487</v>
      </c>
      <c r="EI6" s="227" t="str">
        <f t="shared" si="43"/>
        <v>Wednesday</v>
      </c>
      <c r="EJ6" s="223" t="s">
        <v>664</v>
      </c>
      <c r="EK6" s="79">
        <v>42412</v>
      </c>
      <c r="EL6" s="226" t="str">
        <f t="shared" si="44"/>
        <v>Friday</v>
      </c>
      <c r="EM6" s="231" t="s">
        <v>665</v>
      </c>
      <c r="EN6" s="79">
        <v>42345</v>
      </c>
      <c r="EO6" s="233" t="str">
        <f t="shared" si="45"/>
        <v>Monday</v>
      </c>
      <c r="EP6" s="223" t="s">
        <v>666</v>
      </c>
      <c r="EQ6" s="79">
        <v>42235</v>
      </c>
      <c r="ER6" s="227" t="str">
        <f t="shared" si="46"/>
        <v>Wednesday</v>
      </c>
      <c r="ES6" s="231" t="s">
        <v>667</v>
      </c>
      <c r="ET6" s="79">
        <v>42178</v>
      </c>
      <c r="EU6" s="230" t="str">
        <f t="shared" si="47"/>
        <v>Tuesday</v>
      </c>
      <c r="EV6" s="223" t="s">
        <v>668</v>
      </c>
      <c r="EW6" s="79">
        <v>42114</v>
      </c>
      <c r="EX6" s="218" t="str">
        <f t="shared" si="48"/>
        <v>Monday</v>
      </c>
      <c r="EY6" s="231" t="s">
        <v>669</v>
      </c>
      <c r="EZ6" s="79">
        <v>42041</v>
      </c>
      <c r="FA6" s="222" t="str">
        <f t="shared" si="49"/>
        <v>Friday</v>
      </c>
      <c r="FB6" s="223" t="s">
        <v>670</v>
      </c>
      <c r="FC6" s="79">
        <v>41945</v>
      </c>
      <c r="FD6" s="243" t="str">
        <f t="shared" si="50"/>
        <v>Sunday</v>
      </c>
      <c r="FE6" s="231" t="s">
        <v>671</v>
      </c>
      <c r="FF6" s="79">
        <v>41821</v>
      </c>
      <c r="FG6" s="218" t="str">
        <f t="shared" si="51"/>
        <v>Tuesday</v>
      </c>
      <c r="FH6" s="223" t="s">
        <v>672</v>
      </c>
      <c r="FI6" s="79">
        <v>41765</v>
      </c>
      <c r="FJ6" s="221" t="str">
        <f t="shared" si="52"/>
        <v>Tuesday</v>
      </c>
      <c r="FK6" s="225" t="s">
        <v>673</v>
      </c>
      <c r="FL6" s="79">
        <v>41745</v>
      </c>
      <c r="FM6" s="229" t="str">
        <f t="shared" si="53"/>
        <v>Wednesday</v>
      </c>
      <c r="FN6" s="223" t="s">
        <v>674</v>
      </c>
      <c r="FO6" s="79">
        <v>41575</v>
      </c>
      <c r="FP6" s="218" t="str">
        <f t="shared" si="54"/>
        <v>Monday</v>
      </c>
    </row>
    <row r="7" spans="1:172" ht="15" x14ac:dyDescent="0.25">
      <c r="A7" s="239" t="s">
        <v>128</v>
      </c>
      <c r="B7" s="242">
        <f>COUNTIF(D2:FP45,"Wednesday")</f>
        <v>207</v>
      </c>
      <c r="C7" s="240">
        <f t="shared" si="55"/>
        <v>0.19255813953488371</v>
      </c>
      <c r="D7" s="74"/>
      <c r="E7" s="234"/>
      <c r="F7" s="237"/>
      <c r="G7" s="74"/>
      <c r="H7" s="217" t="s">
        <v>675</v>
      </c>
      <c r="I7" s="237">
        <v>45637</v>
      </c>
      <c r="J7" s="238" t="str">
        <f t="shared" si="0"/>
        <v>Wednesday</v>
      </c>
      <c r="K7" s="217" t="s">
        <v>676</v>
      </c>
      <c r="L7" s="84">
        <v>45589</v>
      </c>
      <c r="M7" s="218" t="str">
        <f t="shared" si="1"/>
        <v>Thursday</v>
      </c>
      <c r="N7" s="217" t="s">
        <v>677</v>
      </c>
      <c r="O7" s="84">
        <v>45534</v>
      </c>
      <c r="P7" s="218" t="str">
        <f t="shared" si="2"/>
        <v>Friday</v>
      </c>
      <c r="Q7" s="217" t="s">
        <v>678</v>
      </c>
      <c r="R7" s="84">
        <v>45441</v>
      </c>
      <c r="S7" s="218" t="str">
        <f t="shared" si="3"/>
        <v>Wednesday</v>
      </c>
      <c r="T7" s="217" t="s">
        <v>679</v>
      </c>
      <c r="U7" s="84">
        <v>45352</v>
      </c>
      <c r="V7" s="218" t="str">
        <f t="shared" si="4"/>
        <v>Friday</v>
      </c>
      <c r="W7" s="217" t="s">
        <v>680</v>
      </c>
      <c r="X7" s="84">
        <v>45267</v>
      </c>
      <c r="Y7" s="218" t="str">
        <f t="shared" si="5"/>
        <v>Thursday</v>
      </c>
      <c r="Z7" s="217" t="s">
        <v>681</v>
      </c>
      <c r="AA7" s="84">
        <v>45223</v>
      </c>
      <c r="AB7" s="218" t="str">
        <f t="shared" si="6"/>
        <v>Tuesday</v>
      </c>
      <c r="AC7" s="217" t="s">
        <v>682</v>
      </c>
      <c r="AD7" s="84">
        <v>45166</v>
      </c>
      <c r="AE7" s="218" t="str">
        <f t="shared" si="7"/>
        <v>Monday</v>
      </c>
      <c r="AF7" s="217" t="s">
        <v>683</v>
      </c>
      <c r="AG7" s="84">
        <v>45057</v>
      </c>
      <c r="AH7" s="218" t="str">
        <f t="shared" si="8"/>
        <v>Thursday</v>
      </c>
      <c r="AI7" s="217" t="s">
        <v>684</v>
      </c>
      <c r="AJ7" s="237">
        <v>44974</v>
      </c>
      <c r="AK7" s="244" t="str">
        <f t="shared" si="9"/>
        <v>Friday</v>
      </c>
      <c r="AL7" s="217" t="s">
        <v>685</v>
      </c>
      <c r="AM7" s="84">
        <v>44903</v>
      </c>
      <c r="AN7" s="218" t="str">
        <f t="shared" si="10"/>
        <v>Thursday</v>
      </c>
      <c r="AO7" s="217" t="s">
        <v>686</v>
      </c>
      <c r="AP7" s="84">
        <v>44853</v>
      </c>
      <c r="AQ7" s="218" t="str">
        <f t="shared" si="11"/>
        <v>Wednesday</v>
      </c>
      <c r="AR7" s="217" t="s">
        <v>687</v>
      </c>
      <c r="AS7" s="84">
        <v>44798</v>
      </c>
      <c r="AT7" s="218" t="str">
        <f t="shared" si="12"/>
        <v>Thursday</v>
      </c>
      <c r="AU7" s="219" t="s">
        <v>688</v>
      </c>
      <c r="AV7" s="84">
        <v>44706</v>
      </c>
      <c r="AW7" s="241" t="str">
        <f t="shared" si="13"/>
        <v>Wednesday</v>
      </c>
      <c r="AX7" s="219" t="s">
        <v>689</v>
      </c>
      <c r="AY7" s="84">
        <v>44630</v>
      </c>
      <c r="AZ7" s="218" t="str">
        <f t="shared" si="14"/>
        <v>Thursday</v>
      </c>
      <c r="BA7" s="219" t="s">
        <v>690</v>
      </c>
      <c r="BB7" s="84">
        <v>44533</v>
      </c>
      <c r="BC7" s="218" t="str">
        <f t="shared" si="15"/>
        <v>Friday</v>
      </c>
      <c r="BD7" s="219" t="s">
        <v>691</v>
      </c>
      <c r="BE7" s="84">
        <v>44484</v>
      </c>
      <c r="BF7" s="221" t="str">
        <f t="shared" si="16"/>
        <v>Friday</v>
      </c>
      <c r="BG7" s="219" t="s">
        <v>692</v>
      </c>
      <c r="BH7" s="84">
        <v>44433</v>
      </c>
      <c r="BI7" s="218" t="str">
        <f t="shared" si="17"/>
        <v>Wednesday</v>
      </c>
      <c r="BJ7" s="219" t="s">
        <v>693</v>
      </c>
      <c r="BK7" s="84">
        <v>44336</v>
      </c>
      <c r="BL7" s="218" t="str">
        <f t="shared" si="18"/>
        <v>Thursday</v>
      </c>
      <c r="BM7" s="219" t="s">
        <v>694</v>
      </c>
      <c r="BN7" s="84">
        <v>44246</v>
      </c>
      <c r="BO7" s="218" t="str">
        <f t="shared" si="19"/>
        <v>Friday</v>
      </c>
      <c r="BP7" s="220" t="s">
        <v>695</v>
      </c>
      <c r="BQ7" s="84">
        <v>44177</v>
      </c>
      <c r="BR7" s="221" t="str">
        <f t="shared" si="20"/>
        <v>Saturday</v>
      </c>
      <c r="BS7" s="235" t="s">
        <v>696</v>
      </c>
      <c r="BT7" s="79">
        <v>44132</v>
      </c>
      <c r="BU7" s="227" t="str">
        <f t="shared" si="21"/>
        <v>Wednesday</v>
      </c>
      <c r="BV7" s="216" t="s">
        <v>697</v>
      </c>
      <c r="BW7" s="79">
        <v>44068</v>
      </c>
      <c r="BX7" s="230" t="str">
        <f t="shared" si="22"/>
        <v>Tuesday</v>
      </c>
      <c r="BY7" s="235" t="s">
        <v>698</v>
      </c>
      <c r="BZ7" s="79">
        <v>43963</v>
      </c>
      <c r="CA7" s="221" t="str">
        <f t="shared" si="23"/>
        <v>Tuesday</v>
      </c>
      <c r="CB7" s="223" t="s">
        <v>699</v>
      </c>
      <c r="CC7" s="79">
        <v>43887</v>
      </c>
      <c r="CD7" s="227" t="str">
        <f t="shared" si="24"/>
        <v>Wednesday</v>
      </c>
      <c r="CE7" s="220" t="s">
        <v>700</v>
      </c>
      <c r="CF7" s="79">
        <v>43803</v>
      </c>
      <c r="CG7" s="227" t="str">
        <f t="shared" si="25"/>
        <v>Wednesday</v>
      </c>
      <c r="CH7" s="231" t="s">
        <v>701</v>
      </c>
      <c r="CI7" s="79">
        <v>43759</v>
      </c>
      <c r="CJ7" s="233" t="str">
        <f t="shared" si="26"/>
        <v>Monday</v>
      </c>
      <c r="CK7" s="223" t="s">
        <v>702</v>
      </c>
      <c r="CL7" s="79">
        <v>43699</v>
      </c>
      <c r="CM7" s="224" t="str">
        <f t="shared" si="27"/>
        <v>Thursday</v>
      </c>
      <c r="CN7" s="225" t="s">
        <v>703</v>
      </c>
      <c r="CO7" s="79">
        <v>43595</v>
      </c>
      <c r="CP7" s="222" t="str">
        <f t="shared" si="28"/>
        <v>Friday</v>
      </c>
      <c r="CQ7" s="220" t="s">
        <v>704</v>
      </c>
      <c r="CR7" s="79">
        <v>43518</v>
      </c>
      <c r="CS7" s="226" t="str">
        <f t="shared" si="29"/>
        <v>Friday</v>
      </c>
      <c r="CT7" s="220" t="s">
        <v>705</v>
      </c>
      <c r="CU7" s="79">
        <v>43435</v>
      </c>
      <c r="CV7" s="228" t="str">
        <f t="shared" si="30"/>
        <v>Saturday</v>
      </c>
      <c r="CW7" s="220" t="s">
        <v>706</v>
      </c>
      <c r="CX7" s="79">
        <v>43389</v>
      </c>
      <c r="CY7" s="221" t="str">
        <f t="shared" si="31"/>
        <v>Tuesday</v>
      </c>
      <c r="CZ7" s="220" t="s">
        <v>707</v>
      </c>
      <c r="DA7" s="79">
        <v>43340</v>
      </c>
      <c r="DB7" s="221" t="str">
        <f t="shared" si="32"/>
        <v>Tuesday</v>
      </c>
      <c r="DC7" s="220" t="s">
        <v>708</v>
      </c>
      <c r="DD7" s="79">
        <v>43243</v>
      </c>
      <c r="DE7" s="227" t="str">
        <f t="shared" si="33"/>
        <v>Wednesday</v>
      </c>
      <c r="DF7" s="220" t="s">
        <v>709</v>
      </c>
      <c r="DG7" s="79">
        <v>43146</v>
      </c>
      <c r="DH7" s="224" t="str">
        <f t="shared" si="34"/>
        <v>Thursday</v>
      </c>
      <c r="DI7" s="220" t="s">
        <v>710</v>
      </c>
      <c r="DJ7" s="79">
        <v>43076</v>
      </c>
      <c r="DK7" s="224" t="str">
        <f t="shared" si="35"/>
        <v>Thursday</v>
      </c>
      <c r="DL7" s="225" t="s">
        <v>711</v>
      </c>
      <c r="DM7" s="79">
        <v>43033</v>
      </c>
      <c r="DN7" s="229" t="str">
        <f t="shared" si="36"/>
        <v>Wednesday</v>
      </c>
      <c r="DO7" s="220" t="s">
        <v>712</v>
      </c>
      <c r="DP7" s="79">
        <v>42971</v>
      </c>
      <c r="DQ7" s="224" t="str">
        <f t="shared" si="37"/>
        <v>Thursday</v>
      </c>
      <c r="DR7" s="225" t="s">
        <v>713</v>
      </c>
      <c r="DS7" s="79">
        <v>42870</v>
      </c>
      <c r="DT7" s="233" t="str">
        <f t="shared" si="38"/>
        <v>Monday</v>
      </c>
      <c r="DU7" s="220" t="s">
        <v>714</v>
      </c>
      <c r="DV7" s="79">
        <v>42784</v>
      </c>
      <c r="DW7" s="228" t="str">
        <f t="shared" si="39"/>
        <v>Saturday</v>
      </c>
      <c r="DX7" s="220" t="s">
        <v>715</v>
      </c>
      <c r="DY7" s="79">
        <v>42697</v>
      </c>
      <c r="DZ7" s="227" t="str">
        <f t="shared" si="40"/>
        <v>Wednesday</v>
      </c>
      <c r="EA7" s="220" t="s">
        <v>716</v>
      </c>
      <c r="EB7" s="79">
        <v>42625</v>
      </c>
      <c r="EC7" s="218" t="str">
        <f t="shared" si="41"/>
        <v>Monday</v>
      </c>
      <c r="ED7" s="225" t="s">
        <v>717</v>
      </c>
      <c r="EE7" s="79">
        <v>42576</v>
      </c>
      <c r="EF7" s="233" t="str">
        <f t="shared" si="42"/>
        <v>Monday</v>
      </c>
      <c r="EG7" s="220" t="s">
        <v>718</v>
      </c>
      <c r="EH7" s="79">
        <v>42495</v>
      </c>
      <c r="EI7" s="224" t="str">
        <f t="shared" si="43"/>
        <v>Thursday</v>
      </c>
      <c r="EJ7" s="223" t="s">
        <v>719</v>
      </c>
      <c r="EK7" s="79">
        <v>42416</v>
      </c>
      <c r="EL7" s="221" t="str">
        <f t="shared" si="44"/>
        <v>Tuesday</v>
      </c>
      <c r="EM7" s="231" t="s">
        <v>720</v>
      </c>
      <c r="EN7" s="79">
        <v>42346</v>
      </c>
      <c r="EO7" s="230" t="str">
        <f t="shared" si="45"/>
        <v>Tuesday</v>
      </c>
      <c r="EP7" s="223" t="s">
        <v>721</v>
      </c>
      <c r="EQ7" s="79">
        <v>42236</v>
      </c>
      <c r="ER7" s="226" t="str">
        <f t="shared" si="46"/>
        <v>Thursday</v>
      </c>
      <c r="ES7" s="231" t="s">
        <v>722</v>
      </c>
      <c r="ET7" s="79">
        <v>42179</v>
      </c>
      <c r="EU7" s="229" t="str">
        <f t="shared" si="47"/>
        <v>Wednesday</v>
      </c>
      <c r="EV7" s="223" t="s">
        <v>723</v>
      </c>
      <c r="EW7" s="79">
        <v>42115</v>
      </c>
      <c r="EX7" s="221" t="str">
        <f t="shared" si="48"/>
        <v>Tuesday</v>
      </c>
      <c r="EY7" s="231" t="s">
        <v>724</v>
      </c>
      <c r="EZ7" s="79">
        <v>42042</v>
      </c>
      <c r="FA7" s="236" t="str">
        <f t="shared" si="49"/>
        <v>Saturday</v>
      </c>
      <c r="FB7" s="223" t="s">
        <v>725</v>
      </c>
      <c r="FC7" s="79">
        <v>41967</v>
      </c>
      <c r="FD7" s="218" t="str">
        <f t="shared" si="50"/>
        <v>Monday</v>
      </c>
      <c r="FE7" s="223" t="s">
        <v>726</v>
      </c>
      <c r="FF7" s="79">
        <v>41827</v>
      </c>
      <c r="FG7" s="218" t="str">
        <f t="shared" si="51"/>
        <v>Monday</v>
      </c>
      <c r="FH7" s="223" t="s">
        <v>727</v>
      </c>
      <c r="FI7" s="79">
        <v>41766</v>
      </c>
      <c r="FJ7" s="227" t="str">
        <f t="shared" si="52"/>
        <v>Wednesday</v>
      </c>
      <c r="FN7" s="220" t="s">
        <v>728</v>
      </c>
      <c r="FO7" s="79">
        <v>41575</v>
      </c>
      <c r="FP7" s="218" t="str">
        <f t="shared" si="54"/>
        <v>Monday</v>
      </c>
    </row>
    <row r="8" spans="1:172" ht="15" x14ac:dyDescent="0.25">
      <c r="A8" s="239" t="s">
        <v>130</v>
      </c>
      <c r="B8" s="242">
        <f>COUNTIF(D2:FP45,"Thursday")</f>
        <v>221</v>
      </c>
      <c r="C8" s="240">
        <f t="shared" si="55"/>
        <v>0.20558139534883721</v>
      </c>
      <c r="D8" s="74"/>
      <c r="E8" s="234"/>
      <c r="F8" s="237"/>
      <c r="G8" s="74"/>
      <c r="H8" s="223" t="s">
        <v>729</v>
      </c>
      <c r="I8" s="237">
        <v>45637</v>
      </c>
      <c r="J8" s="238" t="str">
        <f t="shared" si="0"/>
        <v>Wednesday</v>
      </c>
      <c r="K8" s="223" t="s">
        <v>730</v>
      </c>
      <c r="L8" s="84">
        <v>45590</v>
      </c>
      <c r="M8" s="218" t="str">
        <f t="shared" si="1"/>
        <v>Friday</v>
      </c>
      <c r="N8" s="223" t="s">
        <v>731</v>
      </c>
      <c r="O8" s="84">
        <v>45534</v>
      </c>
      <c r="P8" s="218" t="str">
        <f t="shared" si="2"/>
        <v>Friday</v>
      </c>
      <c r="Q8" s="223" t="s">
        <v>732</v>
      </c>
      <c r="R8" s="237">
        <v>45442</v>
      </c>
      <c r="S8" s="245" t="str">
        <f t="shared" si="3"/>
        <v>Thursday</v>
      </c>
      <c r="T8" s="223" t="s">
        <v>733</v>
      </c>
      <c r="U8" s="84">
        <v>45352</v>
      </c>
      <c r="V8" s="218" t="str">
        <f t="shared" si="4"/>
        <v>Friday</v>
      </c>
      <c r="W8" s="223" t="s">
        <v>734</v>
      </c>
      <c r="X8" s="84">
        <v>45268</v>
      </c>
      <c r="Y8" s="218" t="str">
        <f t="shared" si="5"/>
        <v>Friday</v>
      </c>
      <c r="Z8" s="223" t="s">
        <v>735</v>
      </c>
      <c r="AA8" s="84">
        <v>45224</v>
      </c>
      <c r="AB8" s="218" t="str">
        <f t="shared" si="6"/>
        <v>Wednesday</v>
      </c>
      <c r="AC8" s="223" t="s">
        <v>736</v>
      </c>
      <c r="AD8" s="84">
        <v>45167</v>
      </c>
      <c r="AE8" s="218" t="str">
        <f t="shared" si="7"/>
        <v>Tuesday</v>
      </c>
      <c r="AF8" s="223" t="s">
        <v>737</v>
      </c>
      <c r="AG8" s="84">
        <v>45058</v>
      </c>
      <c r="AH8" s="218" t="str">
        <f t="shared" si="8"/>
        <v>Friday</v>
      </c>
      <c r="AI8" s="223" t="s">
        <v>738</v>
      </c>
      <c r="AJ8" s="237">
        <v>44977</v>
      </c>
      <c r="AK8" s="244" t="str">
        <f t="shared" si="9"/>
        <v>Monday</v>
      </c>
      <c r="AL8" s="223" t="s">
        <v>739</v>
      </c>
      <c r="AM8" s="84">
        <v>44904</v>
      </c>
      <c r="AN8" s="218" t="str">
        <f t="shared" si="10"/>
        <v>Friday</v>
      </c>
      <c r="AO8" s="223" t="s">
        <v>740</v>
      </c>
      <c r="AP8" s="84">
        <v>44854</v>
      </c>
      <c r="AQ8" s="218" t="str">
        <f t="shared" si="11"/>
        <v>Thursday</v>
      </c>
      <c r="AR8" s="223" t="s">
        <v>741</v>
      </c>
      <c r="AS8" s="84">
        <v>44798</v>
      </c>
      <c r="AT8" s="246" t="str">
        <f t="shared" si="12"/>
        <v>Thursday</v>
      </c>
      <c r="AU8" s="223" t="s">
        <v>742</v>
      </c>
      <c r="AV8" s="84">
        <v>44707</v>
      </c>
      <c r="AW8" s="241" t="str">
        <f t="shared" si="13"/>
        <v>Thursday</v>
      </c>
      <c r="AX8" s="220" t="str">
        <f>HYPERLINK("https://warthunder.com/en/news/7591-development-israeli-armored-vehicles-tech-tree-en", "Israeli tanks")</f>
        <v>Israeli tanks</v>
      </c>
      <c r="AY8" s="84">
        <v>44631</v>
      </c>
      <c r="AZ8" s="218" t="str">
        <f t="shared" si="14"/>
        <v>Friday</v>
      </c>
      <c r="BA8" s="220" t="s">
        <v>743</v>
      </c>
      <c r="BB8" s="84">
        <v>44533</v>
      </c>
      <c r="BC8" s="218" t="str">
        <f t="shared" si="15"/>
        <v>Friday</v>
      </c>
      <c r="BD8" s="220" t="s">
        <v>744</v>
      </c>
      <c r="BE8" s="84">
        <v>44484</v>
      </c>
      <c r="BF8" s="221" t="str">
        <f t="shared" si="16"/>
        <v>Friday</v>
      </c>
      <c r="BG8" s="220" t="s">
        <v>745</v>
      </c>
      <c r="BH8" s="84">
        <v>44434</v>
      </c>
      <c r="BI8" s="227" t="str">
        <f t="shared" si="17"/>
        <v>Thursday</v>
      </c>
      <c r="BJ8" s="219" t="s">
        <v>746</v>
      </c>
      <c r="BK8" s="84">
        <v>44337</v>
      </c>
      <c r="BL8" s="218" t="str">
        <f t="shared" si="18"/>
        <v>Friday</v>
      </c>
      <c r="BM8" s="219" t="s">
        <v>747</v>
      </c>
      <c r="BN8" s="84">
        <v>44249</v>
      </c>
      <c r="BO8" s="74" t="str">
        <f t="shared" si="19"/>
        <v>Monday</v>
      </c>
      <c r="BP8" s="220" t="s">
        <v>748</v>
      </c>
      <c r="BQ8" s="84">
        <v>44179</v>
      </c>
      <c r="BR8" s="221" t="str">
        <f t="shared" si="20"/>
        <v>Monday</v>
      </c>
      <c r="BS8" s="235" t="s">
        <v>749</v>
      </c>
      <c r="BT8" s="79">
        <v>44132</v>
      </c>
      <c r="BU8" s="227" t="str">
        <f t="shared" si="21"/>
        <v>Wednesday</v>
      </c>
      <c r="BV8" s="216" t="s">
        <v>750</v>
      </c>
      <c r="BW8" s="79">
        <v>44069</v>
      </c>
      <c r="BX8" s="229" t="str">
        <f t="shared" si="22"/>
        <v>Wednesday</v>
      </c>
      <c r="BY8" s="235" t="s">
        <v>751</v>
      </c>
      <c r="BZ8" s="79">
        <v>43964</v>
      </c>
      <c r="CA8" s="227" t="str">
        <f t="shared" si="23"/>
        <v>Wednesday</v>
      </c>
      <c r="CB8" s="235" t="s">
        <v>752</v>
      </c>
      <c r="CC8" s="79">
        <v>43888</v>
      </c>
      <c r="CD8" s="224" t="str">
        <f t="shared" si="24"/>
        <v>Thursday</v>
      </c>
      <c r="CE8" s="220" t="s">
        <v>753</v>
      </c>
      <c r="CF8" s="79">
        <v>43803</v>
      </c>
      <c r="CG8" s="227" t="str">
        <f t="shared" si="25"/>
        <v>Wednesday</v>
      </c>
      <c r="CH8" s="216" t="s">
        <v>754</v>
      </c>
      <c r="CI8" s="79">
        <v>43760</v>
      </c>
      <c r="CJ8" s="230" t="str">
        <f t="shared" si="26"/>
        <v>Tuesday</v>
      </c>
      <c r="CK8" s="220" t="s">
        <v>755</v>
      </c>
      <c r="CL8" s="79">
        <v>43700</v>
      </c>
      <c r="CM8" s="226" t="str">
        <f t="shared" si="27"/>
        <v>Friday</v>
      </c>
      <c r="CN8" s="225" t="s">
        <v>756</v>
      </c>
      <c r="CO8" s="79">
        <v>43597</v>
      </c>
      <c r="CP8" s="74" t="str">
        <f t="shared" si="28"/>
        <v>Sunday</v>
      </c>
      <c r="CQ8" s="220" t="s">
        <v>757</v>
      </c>
      <c r="CR8" s="79">
        <v>43518</v>
      </c>
      <c r="CS8" s="226" t="str">
        <f t="shared" si="29"/>
        <v>Friday</v>
      </c>
      <c r="CT8" s="220" t="s">
        <v>758</v>
      </c>
      <c r="CU8" s="79">
        <v>43438</v>
      </c>
      <c r="CV8" s="221" t="str">
        <f t="shared" si="30"/>
        <v>Tuesday</v>
      </c>
      <c r="CW8" s="220" t="s">
        <v>759</v>
      </c>
      <c r="CX8" s="79">
        <v>43390</v>
      </c>
      <c r="CY8" s="227" t="str">
        <f t="shared" si="31"/>
        <v>Wednesday</v>
      </c>
      <c r="CZ8" s="220" t="s">
        <v>760</v>
      </c>
      <c r="DA8" s="79">
        <v>43340</v>
      </c>
      <c r="DB8" s="221" t="str">
        <f t="shared" si="32"/>
        <v>Tuesday</v>
      </c>
      <c r="DC8" s="220" t="s">
        <v>761</v>
      </c>
      <c r="DD8" s="79">
        <v>43244</v>
      </c>
      <c r="DE8" s="224" t="str">
        <f t="shared" si="33"/>
        <v>Thursday</v>
      </c>
      <c r="DF8" s="220" t="s">
        <v>762</v>
      </c>
      <c r="DG8" s="79">
        <v>43147</v>
      </c>
      <c r="DH8" s="226" t="str">
        <f t="shared" si="34"/>
        <v>Friday</v>
      </c>
      <c r="DI8" s="220" t="s">
        <v>763</v>
      </c>
      <c r="DJ8" s="79">
        <v>43077</v>
      </c>
      <c r="DK8" s="226" t="str">
        <f t="shared" si="35"/>
        <v>Friday</v>
      </c>
      <c r="DL8" s="225" t="s">
        <v>764</v>
      </c>
      <c r="DM8" s="79">
        <v>43034</v>
      </c>
      <c r="DN8" s="232" t="str">
        <f t="shared" si="36"/>
        <v>Thursday</v>
      </c>
      <c r="DO8" s="220" t="s">
        <v>765</v>
      </c>
      <c r="DP8" s="79">
        <v>42972</v>
      </c>
      <c r="DQ8" s="226" t="str">
        <f t="shared" si="37"/>
        <v>Friday</v>
      </c>
      <c r="DR8" s="225" t="s">
        <v>766</v>
      </c>
      <c r="DS8" s="79">
        <v>42871</v>
      </c>
      <c r="DT8" s="230" t="str">
        <f t="shared" si="38"/>
        <v>Tuesday</v>
      </c>
      <c r="DU8" s="220" t="s">
        <v>767</v>
      </c>
      <c r="DV8" s="79">
        <v>42787</v>
      </c>
      <c r="DW8" s="221" t="str">
        <f t="shared" si="39"/>
        <v>Tuesday</v>
      </c>
      <c r="DX8" s="220" t="s">
        <v>768</v>
      </c>
      <c r="DY8" s="79">
        <v>42698</v>
      </c>
      <c r="DZ8" s="224" t="str">
        <f t="shared" si="40"/>
        <v>Thursday</v>
      </c>
      <c r="EA8" s="220" t="s">
        <v>769</v>
      </c>
      <c r="EB8" s="79">
        <v>42626</v>
      </c>
      <c r="EC8" s="221" t="str">
        <f t="shared" si="41"/>
        <v>Tuesday</v>
      </c>
      <c r="ED8" s="225" t="s">
        <v>770</v>
      </c>
      <c r="EE8" s="79">
        <v>42578</v>
      </c>
      <c r="EF8" s="229" t="str">
        <f t="shared" si="42"/>
        <v>Wednesday</v>
      </c>
      <c r="EG8" s="220" t="s">
        <v>771</v>
      </c>
      <c r="EH8" s="79">
        <v>42503</v>
      </c>
      <c r="EI8" s="226" t="str">
        <f t="shared" si="43"/>
        <v>Friday</v>
      </c>
      <c r="EJ8" s="223" t="s">
        <v>772</v>
      </c>
      <c r="EK8" s="79">
        <v>42418</v>
      </c>
      <c r="EL8" s="224" t="str">
        <f t="shared" si="44"/>
        <v>Thursday</v>
      </c>
      <c r="EM8" s="231" t="s">
        <v>773</v>
      </c>
      <c r="EN8" s="79">
        <v>42346</v>
      </c>
      <c r="EO8" s="230" t="str">
        <f t="shared" si="45"/>
        <v>Tuesday</v>
      </c>
      <c r="EP8" s="223" t="s">
        <v>774</v>
      </c>
      <c r="EQ8" s="79">
        <v>42237</v>
      </c>
      <c r="ER8" s="226" t="str">
        <f t="shared" si="46"/>
        <v>Friday</v>
      </c>
      <c r="ES8" s="231" t="s">
        <v>775</v>
      </c>
      <c r="ET8" s="79">
        <v>42179</v>
      </c>
      <c r="EU8" s="229" t="str">
        <f t="shared" si="47"/>
        <v>Wednesday</v>
      </c>
      <c r="EV8" s="223" t="s">
        <v>776</v>
      </c>
      <c r="EW8" s="79">
        <v>42115</v>
      </c>
      <c r="EX8" s="221" t="str">
        <f t="shared" si="48"/>
        <v>Tuesday</v>
      </c>
      <c r="EY8" s="231" t="s">
        <v>777</v>
      </c>
      <c r="EZ8" s="79">
        <v>42043</v>
      </c>
      <c r="FA8" s="74" t="str">
        <f t="shared" si="49"/>
        <v>Sunday</v>
      </c>
      <c r="FB8" s="223" t="s">
        <v>778</v>
      </c>
      <c r="FC8" s="79">
        <v>41969</v>
      </c>
      <c r="FD8" s="227" t="str">
        <f t="shared" si="50"/>
        <v>Wednesday</v>
      </c>
      <c r="FE8" s="223" t="s">
        <v>779</v>
      </c>
      <c r="FF8" s="79">
        <v>41828</v>
      </c>
      <c r="FG8" s="221" t="str">
        <f t="shared" si="51"/>
        <v>Tuesday</v>
      </c>
      <c r="FH8" s="223" t="s">
        <v>780</v>
      </c>
      <c r="FI8" s="79">
        <v>41767</v>
      </c>
      <c r="FJ8" s="224" t="str">
        <f t="shared" si="52"/>
        <v>Thursday</v>
      </c>
      <c r="FN8" s="220" t="s">
        <v>781</v>
      </c>
      <c r="FO8" s="79">
        <v>41576</v>
      </c>
      <c r="FP8" s="221" t="str">
        <f t="shared" si="54"/>
        <v>Tuesday</v>
      </c>
    </row>
    <row r="9" spans="1:172" ht="15" x14ac:dyDescent="0.25">
      <c r="A9" s="239" t="s">
        <v>132</v>
      </c>
      <c r="B9" s="242">
        <f>COUNTIF(D2:FP45,"Friday")</f>
        <v>223</v>
      </c>
      <c r="C9" s="240">
        <f t="shared" si="55"/>
        <v>0.20744186046511628</v>
      </c>
      <c r="D9" s="74"/>
      <c r="E9" s="234"/>
      <c r="F9" s="237"/>
      <c r="G9" s="74"/>
      <c r="H9" s="223" t="s">
        <v>782</v>
      </c>
      <c r="I9" s="237">
        <v>45638</v>
      </c>
      <c r="J9" s="238" t="str">
        <f t="shared" si="0"/>
        <v>Thursday</v>
      </c>
      <c r="K9" s="223" t="s">
        <v>783</v>
      </c>
      <c r="L9" s="84">
        <v>45590</v>
      </c>
      <c r="M9" s="218" t="str">
        <f t="shared" si="1"/>
        <v>Friday</v>
      </c>
      <c r="N9" s="223" t="s">
        <v>784</v>
      </c>
      <c r="O9" s="84">
        <v>45537</v>
      </c>
      <c r="P9" s="218" t="str">
        <f t="shared" si="2"/>
        <v>Monday</v>
      </c>
      <c r="Q9" s="223" t="s">
        <v>785</v>
      </c>
      <c r="R9" s="237">
        <v>45443</v>
      </c>
      <c r="S9" s="245" t="str">
        <f t="shared" si="3"/>
        <v>Friday</v>
      </c>
      <c r="T9" s="223" t="s">
        <v>786</v>
      </c>
      <c r="U9" s="84">
        <v>45355</v>
      </c>
      <c r="V9" s="218" t="str">
        <f t="shared" si="4"/>
        <v>Monday</v>
      </c>
      <c r="W9" s="223" t="s">
        <v>787</v>
      </c>
      <c r="X9" s="84">
        <v>45268</v>
      </c>
      <c r="Y9" s="218" t="str">
        <f t="shared" si="5"/>
        <v>Friday</v>
      </c>
      <c r="Z9" s="223" t="s">
        <v>788</v>
      </c>
      <c r="AA9" s="84">
        <v>45224</v>
      </c>
      <c r="AB9" s="218" t="str">
        <f t="shared" si="6"/>
        <v>Wednesday</v>
      </c>
      <c r="AC9" s="223" t="s">
        <v>789</v>
      </c>
      <c r="AD9" s="84">
        <v>45168</v>
      </c>
      <c r="AE9" s="218" t="str">
        <f t="shared" si="7"/>
        <v>Wednesday</v>
      </c>
      <c r="AF9" s="223" t="s">
        <v>790</v>
      </c>
      <c r="AG9" s="84">
        <v>45061</v>
      </c>
      <c r="AH9" s="218" t="str">
        <f t="shared" si="8"/>
        <v>Monday</v>
      </c>
      <c r="AI9" s="223" t="s">
        <v>791</v>
      </c>
      <c r="AJ9" s="237">
        <v>44978</v>
      </c>
      <c r="AK9" s="247" t="str">
        <f t="shared" si="9"/>
        <v>Tuesday</v>
      </c>
      <c r="AL9" s="223" t="s">
        <v>792</v>
      </c>
      <c r="AM9" s="84">
        <v>44904</v>
      </c>
      <c r="AN9" s="218" t="str">
        <f t="shared" si="10"/>
        <v>Friday</v>
      </c>
      <c r="AO9" s="223" t="s">
        <v>793</v>
      </c>
      <c r="AP9" s="84">
        <v>44854</v>
      </c>
      <c r="AQ9" s="218" t="str">
        <f t="shared" si="11"/>
        <v>Thursday</v>
      </c>
      <c r="AR9" s="223" t="s">
        <v>794</v>
      </c>
      <c r="AS9" s="84">
        <v>44799</v>
      </c>
      <c r="AT9" s="246" t="str">
        <f t="shared" si="12"/>
        <v>Friday</v>
      </c>
      <c r="AU9" s="223" t="s">
        <v>795</v>
      </c>
      <c r="AV9" s="84">
        <v>44707</v>
      </c>
      <c r="AW9" s="241" t="str">
        <f t="shared" si="13"/>
        <v>Thursday</v>
      </c>
      <c r="AX9" s="220" t="str">
        <f>HYPERLINK("https://warthunder.com/en/news/7590-development-a-10a-thunderbolt-ii-the-warthog-arrives-in-war-thunder-en", "Fairchild Republic A-10A Thunderbolt II")</f>
        <v>Fairchild Republic A-10A Thunderbolt II</v>
      </c>
      <c r="AY9" s="84">
        <v>44631</v>
      </c>
      <c r="AZ9" s="218" t="str">
        <f t="shared" si="14"/>
        <v>Friday</v>
      </c>
      <c r="BA9" s="220" t="s">
        <v>796</v>
      </c>
      <c r="BB9" s="84">
        <v>44536</v>
      </c>
      <c r="BC9" s="218" t="str">
        <f t="shared" si="15"/>
        <v>Monday</v>
      </c>
      <c r="BD9" s="220" t="s">
        <v>797</v>
      </c>
      <c r="BE9" s="84">
        <v>44488</v>
      </c>
      <c r="BF9" s="221" t="str">
        <f t="shared" si="16"/>
        <v>Tuesday</v>
      </c>
      <c r="BG9" s="220" t="s">
        <v>798</v>
      </c>
      <c r="BH9" s="84">
        <v>44434</v>
      </c>
      <c r="BI9" s="224" t="str">
        <f t="shared" si="17"/>
        <v>Thursday</v>
      </c>
      <c r="BJ9" s="248" t="s">
        <v>799</v>
      </c>
      <c r="BK9" s="84">
        <v>44337</v>
      </c>
      <c r="BL9" s="218" t="str">
        <f t="shared" si="18"/>
        <v>Friday</v>
      </c>
      <c r="BM9" s="217" t="s">
        <v>800</v>
      </c>
      <c r="BN9" s="84">
        <v>44251</v>
      </c>
      <c r="BO9" s="74" t="str">
        <f t="shared" si="19"/>
        <v>Wednesday</v>
      </c>
      <c r="BP9" s="220" t="s">
        <v>801</v>
      </c>
      <c r="BQ9" s="84">
        <v>44180</v>
      </c>
      <c r="BR9" s="221" t="str">
        <f t="shared" si="20"/>
        <v>Tuesday</v>
      </c>
      <c r="BS9" s="235" t="s">
        <v>802</v>
      </c>
      <c r="BT9" s="79">
        <v>44132</v>
      </c>
      <c r="BU9" s="227" t="str">
        <f t="shared" si="21"/>
        <v>Wednesday</v>
      </c>
      <c r="BV9" s="231" t="s">
        <v>803</v>
      </c>
      <c r="BW9" s="79">
        <v>44070</v>
      </c>
      <c r="BX9" s="232" t="str">
        <f t="shared" si="22"/>
        <v>Thursday</v>
      </c>
      <c r="BY9" s="235" t="s">
        <v>804</v>
      </c>
      <c r="BZ9" s="79">
        <v>43965</v>
      </c>
      <c r="CA9" s="224" t="str">
        <f t="shared" si="23"/>
        <v>Thursday</v>
      </c>
      <c r="CB9" s="235" t="s">
        <v>805</v>
      </c>
      <c r="CC9" s="79">
        <v>43888</v>
      </c>
      <c r="CD9" s="224" t="str">
        <f t="shared" si="24"/>
        <v>Thursday</v>
      </c>
      <c r="CE9" s="235" t="s">
        <v>806</v>
      </c>
      <c r="CF9" s="79">
        <v>43804</v>
      </c>
      <c r="CG9" s="224" t="str">
        <f t="shared" si="25"/>
        <v>Thursday</v>
      </c>
      <c r="CH9" s="216" t="s">
        <v>807</v>
      </c>
      <c r="CI9" s="79">
        <v>43761</v>
      </c>
      <c r="CJ9" s="229" t="str">
        <f t="shared" si="26"/>
        <v>Wednesday</v>
      </c>
      <c r="CK9" s="220" t="s">
        <v>808</v>
      </c>
      <c r="CL9" s="79">
        <v>43700</v>
      </c>
      <c r="CM9" s="226" t="str">
        <f t="shared" si="27"/>
        <v>Friday</v>
      </c>
      <c r="CN9" s="225" t="s">
        <v>809</v>
      </c>
      <c r="CO9" s="79">
        <v>43598</v>
      </c>
      <c r="CP9" s="233" t="str">
        <f t="shared" si="28"/>
        <v>Monday</v>
      </c>
      <c r="CQ9" s="220" t="s">
        <v>810</v>
      </c>
      <c r="CR9" s="79">
        <v>43522</v>
      </c>
      <c r="CS9" s="221" t="str">
        <f t="shared" si="29"/>
        <v>Tuesday</v>
      </c>
      <c r="CT9" s="220" t="s">
        <v>811</v>
      </c>
      <c r="CU9" s="79">
        <v>43439</v>
      </c>
      <c r="CV9" s="227" t="str">
        <f t="shared" si="30"/>
        <v>Wednesday</v>
      </c>
      <c r="CW9" s="220" t="s">
        <v>812</v>
      </c>
      <c r="CX9" s="79">
        <v>43390</v>
      </c>
      <c r="CY9" s="227" t="str">
        <f t="shared" si="31"/>
        <v>Wednesday</v>
      </c>
      <c r="CZ9" s="220" t="s">
        <v>813</v>
      </c>
      <c r="DA9" s="79">
        <v>43341</v>
      </c>
      <c r="DB9" s="227" t="str">
        <f t="shared" si="32"/>
        <v>Wednesday</v>
      </c>
      <c r="DC9" s="220" t="s">
        <v>814</v>
      </c>
      <c r="DD9" s="79">
        <v>43245</v>
      </c>
      <c r="DE9" s="221" t="str">
        <f t="shared" si="33"/>
        <v>Friday</v>
      </c>
      <c r="DF9" s="220" t="s">
        <v>815</v>
      </c>
      <c r="DG9" s="79">
        <v>43147</v>
      </c>
      <c r="DH9" s="226" t="str">
        <f t="shared" si="34"/>
        <v>Friday</v>
      </c>
      <c r="DI9" s="220" t="s">
        <v>816</v>
      </c>
      <c r="DJ9" s="79">
        <v>43080</v>
      </c>
      <c r="DK9" s="218" t="str">
        <f t="shared" si="35"/>
        <v>Monday</v>
      </c>
      <c r="DL9" s="225" t="s">
        <v>817</v>
      </c>
      <c r="DM9" s="79">
        <v>43038</v>
      </c>
      <c r="DN9" s="233" t="str">
        <f t="shared" si="36"/>
        <v>Monday</v>
      </c>
      <c r="DO9" s="220" t="s">
        <v>818</v>
      </c>
      <c r="DP9" s="79">
        <v>42975</v>
      </c>
      <c r="DQ9" s="218" t="str">
        <f t="shared" si="37"/>
        <v>Monday</v>
      </c>
      <c r="DR9" s="225" t="s">
        <v>819</v>
      </c>
      <c r="DS9" s="79">
        <v>42872</v>
      </c>
      <c r="DT9" s="229" t="str">
        <f t="shared" si="38"/>
        <v>Wednesday</v>
      </c>
      <c r="DU9" s="220" t="s">
        <v>820</v>
      </c>
      <c r="DV9" s="79">
        <v>42789</v>
      </c>
      <c r="DW9" s="224" t="str">
        <f t="shared" si="39"/>
        <v>Thursday</v>
      </c>
      <c r="DX9" s="220" t="s">
        <v>821</v>
      </c>
      <c r="DY9" s="79">
        <v>42699</v>
      </c>
      <c r="DZ9" s="226" t="str">
        <f t="shared" si="40"/>
        <v>Friday</v>
      </c>
      <c r="EA9" s="220" t="s">
        <v>822</v>
      </c>
      <c r="EB9" s="79">
        <v>42626</v>
      </c>
      <c r="EC9" s="221" t="str">
        <f t="shared" si="41"/>
        <v>Tuesday</v>
      </c>
      <c r="ED9" s="231" t="s">
        <v>823</v>
      </c>
      <c r="EE9" s="79">
        <v>42578</v>
      </c>
      <c r="EF9" s="229" t="str">
        <f t="shared" si="42"/>
        <v>Wednesday</v>
      </c>
      <c r="EG9" s="220" t="s">
        <v>824</v>
      </c>
      <c r="EH9" s="79">
        <v>42507</v>
      </c>
      <c r="EI9" s="221" t="str">
        <f t="shared" si="43"/>
        <v>Tuesday</v>
      </c>
      <c r="EJ9" s="223" t="s">
        <v>825</v>
      </c>
      <c r="EK9" s="79">
        <v>42419</v>
      </c>
      <c r="EL9" s="226" t="str">
        <f t="shared" si="44"/>
        <v>Friday</v>
      </c>
      <c r="EM9" s="231" t="s">
        <v>826</v>
      </c>
      <c r="EN9" s="79">
        <v>42347</v>
      </c>
      <c r="EO9" s="229" t="str">
        <f t="shared" si="45"/>
        <v>Wednesday</v>
      </c>
      <c r="EP9" s="223" t="s">
        <v>827</v>
      </c>
      <c r="EQ9" s="79">
        <v>42240</v>
      </c>
      <c r="ER9" s="227" t="str">
        <f t="shared" si="46"/>
        <v>Monday</v>
      </c>
      <c r="ES9" s="231" t="s">
        <v>828</v>
      </c>
      <c r="ET9" s="79">
        <v>42180</v>
      </c>
      <c r="EU9" s="232" t="str">
        <f t="shared" si="47"/>
        <v>Thursday</v>
      </c>
      <c r="EV9" s="223" t="s">
        <v>829</v>
      </c>
      <c r="EW9" s="79">
        <v>42116</v>
      </c>
      <c r="EX9" s="227" t="str">
        <f t="shared" si="48"/>
        <v>Wednesday</v>
      </c>
      <c r="EY9" s="225" t="s">
        <v>830</v>
      </c>
      <c r="EZ9" s="79">
        <v>42044</v>
      </c>
      <c r="FA9" s="233" t="str">
        <f t="shared" si="49"/>
        <v>Monday</v>
      </c>
      <c r="FB9" s="223" t="s">
        <v>831</v>
      </c>
      <c r="FC9" s="79">
        <v>41971</v>
      </c>
      <c r="FD9" s="226" t="str">
        <f t="shared" si="50"/>
        <v>Friday</v>
      </c>
      <c r="FE9" s="223" t="s">
        <v>832</v>
      </c>
      <c r="FF9" s="79">
        <v>41828</v>
      </c>
      <c r="FG9" s="221" t="str">
        <f t="shared" si="51"/>
        <v>Tuesday</v>
      </c>
      <c r="FH9" s="220" t="s">
        <v>833</v>
      </c>
      <c r="FI9" s="79">
        <v>41768</v>
      </c>
      <c r="FJ9" s="226" t="str">
        <f t="shared" si="52"/>
        <v>Friday</v>
      </c>
      <c r="FN9" s="223" t="s">
        <v>834</v>
      </c>
      <c r="FO9" s="79">
        <v>41577</v>
      </c>
      <c r="FP9" s="227" t="str">
        <f t="shared" si="54"/>
        <v>Wednesday</v>
      </c>
    </row>
    <row r="10" spans="1:172" ht="15" x14ac:dyDescent="0.25">
      <c r="A10" s="239" t="s">
        <v>134</v>
      </c>
      <c r="B10" s="242">
        <f>COUNTIF(D2:FP45,"Saturday")</f>
        <v>45</v>
      </c>
      <c r="C10" s="240">
        <f t="shared" si="55"/>
        <v>4.1860465116279069E-2</v>
      </c>
      <c r="D10" s="74"/>
      <c r="E10" s="234"/>
      <c r="F10" s="237"/>
      <c r="G10" s="74"/>
      <c r="H10" s="223" t="s">
        <v>835</v>
      </c>
      <c r="I10" s="237">
        <v>45638</v>
      </c>
      <c r="J10" s="238" t="str">
        <f t="shared" si="0"/>
        <v>Thursday</v>
      </c>
      <c r="K10" s="223" t="s">
        <v>836</v>
      </c>
      <c r="L10" s="84">
        <v>45593</v>
      </c>
      <c r="M10" s="218" t="str">
        <f t="shared" si="1"/>
        <v>Monday</v>
      </c>
      <c r="N10" s="223" t="s">
        <v>837</v>
      </c>
      <c r="O10" s="84">
        <v>45537</v>
      </c>
      <c r="P10" s="218" t="str">
        <f t="shared" si="2"/>
        <v>Monday</v>
      </c>
      <c r="Q10" s="223" t="s">
        <v>838</v>
      </c>
      <c r="R10" s="237">
        <v>45443</v>
      </c>
      <c r="S10" s="245" t="str">
        <f t="shared" si="3"/>
        <v>Friday</v>
      </c>
      <c r="T10" s="223" t="s">
        <v>839</v>
      </c>
      <c r="U10" s="84">
        <v>45356</v>
      </c>
      <c r="V10" s="218" t="str">
        <f t="shared" si="4"/>
        <v>Tuesday</v>
      </c>
      <c r="W10" s="223" t="s">
        <v>840</v>
      </c>
      <c r="X10" s="84">
        <v>45271</v>
      </c>
      <c r="Y10" s="218" t="str">
        <f t="shared" si="5"/>
        <v>Monday</v>
      </c>
      <c r="Z10" s="223" t="s">
        <v>841</v>
      </c>
      <c r="AA10" s="84">
        <v>45225</v>
      </c>
      <c r="AB10" s="218" t="str">
        <f t="shared" si="6"/>
        <v>Thursday</v>
      </c>
      <c r="AC10" s="223" t="s">
        <v>842</v>
      </c>
      <c r="AD10" s="84">
        <v>45169</v>
      </c>
      <c r="AE10" s="218" t="str">
        <f t="shared" si="7"/>
        <v>Thursday</v>
      </c>
      <c r="AF10" s="223" t="s">
        <v>843</v>
      </c>
      <c r="AG10" s="84">
        <v>45062</v>
      </c>
      <c r="AH10" s="218" t="str">
        <f t="shared" si="8"/>
        <v>Tuesday</v>
      </c>
      <c r="AI10" s="223" t="s">
        <v>844</v>
      </c>
      <c r="AJ10" s="237">
        <v>44979</v>
      </c>
      <c r="AK10" s="247" t="str">
        <f t="shared" si="9"/>
        <v>Wednesday</v>
      </c>
      <c r="AL10" s="223" t="s">
        <v>845</v>
      </c>
      <c r="AM10" s="84">
        <v>44907</v>
      </c>
      <c r="AN10" s="218" t="str">
        <f t="shared" si="10"/>
        <v>Monday</v>
      </c>
      <c r="AO10" s="223" t="s">
        <v>846</v>
      </c>
      <c r="AP10" s="84">
        <v>44858</v>
      </c>
      <c r="AQ10" s="218" t="str">
        <f t="shared" si="11"/>
        <v>Monday</v>
      </c>
      <c r="AR10" s="223" t="s">
        <v>847</v>
      </c>
      <c r="AS10" s="84">
        <v>44802</v>
      </c>
      <c r="AT10" s="246" t="str">
        <f t="shared" si="12"/>
        <v>Monday</v>
      </c>
      <c r="AU10" s="223" t="s">
        <v>848</v>
      </c>
      <c r="AV10" s="84">
        <v>44708</v>
      </c>
      <c r="AW10" s="241" t="str">
        <f t="shared" si="13"/>
        <v>Friday</v>
      </c>
      <c r="AX10" s="220" t="str">
        <f>HYPERLINK("https://warthunder.com/en/news/7594-development-pre-order-ztz96a-prototype-china-en", "ZTZ96A (P)")</f>
        <v>ZTZ96A (P)</v>
      </c>
      <c r="AY10" s="84">
        <v>44632</v>
      </c>
      <c r="AZ10" s="218" t="str">
        <f t="shared" si="14"/>
        <v>Saturday</v>
      </c>
      <c r="BA10" s="220" t="s">
        <v>849</v>
      </c>
      <c r="BB10" s="84">
        <v>44536</v>
      </c>
      <c r="BC10" s="218" t="str">
        <f t="shared" si="15"/>
        <v>Monday</v>
      </c>
      <c r="BD10" s="220" t="s">
        <v>850</v>
      </c>
      <c r="BE10" s="84">
        <v>44488</v>
      </c>
      <c r="BF10" s="221" t="str">
        <f t="shared" si="16"/>
        <v>Tuesday</v>
      </c>
      <c r="BG10" s="223" t="s">
        <v>851</v>
      </c>
      <c r="BH10" s="84">
        <v>44435</v>
      </c>
      <c r="BI10" s="226" t="str">
        <f t="shared" si="17"/>
        <v>Friday</v>
      </c>
      <c r="BJ10" s="219" t="s">
        <v>852</v>
      </c>
      <c r="BK10" s="84">
        <v>44340</v>
      </c>
      <c r="BL10" s="218" t="str">
        <f t="shared" si="18"/>
        <v>Monday</v>
      </c>
      <c r="BM10" s="219" t="s">
        <v>853</v>
      </c>
      <c r="BN10" s="84">
        <v>44253</v>
      </c>
      <c r="BO10" s="74" t="str">
        <f t="shared" si="19"/>
        <v>Friday</v>
      </c>
      <c r="BP10" s="220" t="s">
        <v>854</v>
      </c>
      <c r="BQ10" s="84">
        <v>44181</v>
      </c>
      <c r="BR10" s="221" t="str">
        <f t="shared" si="20"/>
        <v>Wednesday</v>
      </c>
      <c r="BS10" s="235" t="s">
        <v>855</v>
      </c>
      <c r="BT10" s="79">
        <v>44133</v>
      </c>
      <c r="BU10" s="224" t="str">
        <f t="shared" si="21"/>
        <v>Thursday</v>
      </c>
      <c r="BV10" s="216" t="s">
        <v>856</v>
      </c>
      <c r="BW10" s="79">
        <v>44070</v>
      </c>
      <c r="BX10" s="232" t="str">
        <f t="shared" si="22"/>
        <v>Thursday</v>
      </c>
      <c r="BY10" s="235" t="s">
        <v>857</v>
      </c>
      <c r="BZ10" s="79">
        <v>43966</v>
      </c>
      <c r="CA10" s="226" t="str">
        <f t="shared" si="23"/>
        <v>Friday</v>
      </c>
      <c r="CB10" s="223" t="s">
        <v>858</v>
      </c>
      <c r="CC10" s="79">
        <v>43889</v>
      </c>
      <c r="CD10" s="226" t="str">
        <f t="shared" si="24"/>
        <v>Friday</v>
      </c>
      <c r="CE10" s="223" t="s">
        <v>859</v>
      </c>
      <c r="CF10" s="79">
        <v>43805</v>
      </c>
      <c r="CG10" s="226" t="str">
        <f t="shared" si="25"/>
        <v>Friday</v>
      </c>
      <c r="CH10" s="216" t="s">
        <v>860</v>
      </c>
      <c r="CI10" s="79">
        <v>43762</v>
      </c>
      <c r="CJ10" s="232" t="str">
        <f t="shared" si="26"/>
        <v>Thursday</v>
      </c>
      <c r="CK10" s="220" t="s">
        <v>861</v>
      </c>
      <c r="CL10" s="79">
        <v>43703</v>
      </c>
      <c r="CM10" s="218" t="str">
        <f t="shared" si="27"/>
        <v>Monday</v>
      </c>
      <c r="CN10" s="225" t="s">
        <v>862</v>
      </c>
      <c r="CO10" s="79">
        <v>43600</v>
      </c>
      <c r="CP10" s="229" t="str">
        <f t="shared" si="28"/>
        <v>Wednesday</v>
      </c>
      <c r="CQ10" s="220" t="s">
        <v>863</v>
      </c>
      <c r="CR10" s="79">
        <v>43522</v>
      </c>
      <c r="CS10" s="221" t="str">
        <f t="shared" si="29"/>
        <v>Tuesday</v>
      </c>
      <c r="CT10" s="220" t="s">
        <v>864</v>
      </c>
      <c r="CU10" s="79">
        <v>43440</v>
      </c>
      <c r="CV10" s="224" t="str">
        <f t="shared" si="30"/>
        <v>Thursday</v>
      </c>
      <c r="CW10" s="220" t="s">
        <v>865</v>
      </c>
      <c r="CX10" s="79">
        <v>43391</v>
      </c>
      <c r="CY10" s="224" t="str">
        <f t="shared" si="31"/>
        <v>Thursday</v>
      </c>
      <c r="CZ10" s="220" t="s">
        <v>866</v>
      </c>
      <c r="DA10" s="79">
        <v>43341</v>
      </c>
      <c r="DB10" s="227" t="str">
        <f t="shared" si="32"/>
        <v>Wednesday</v>
      </c>
      <c r="DC10" s="225" t="s">
        <v>867</v>
      </c>
      <c r="DD10" s="249">
        <v>43249</v>
      </c>
      <c r="DE10" s="221" t="str">
        <f t="shared" si="33"/>
        <v>Tuesday</v>
      </c>
      <c r="DF10" s="220" t="s">
        <v>868</v>
      </c>
      <c r="DG10" s="79">
        <v>43150</v>
      </c>
      <c r="DH10" s="218" t="str">
        <f t="shared" si="34"/>
        <v>Monday</v>
      </c>
      <c r="DI10" s="220" t="s">
        <v>869</v>
      </c>
      <c r="DJ10" s="79">
        <v>43081</v>
      </c>
      <c r="DK10" s="221" t="str">
        <f t="shared" si="35"/>
        <v>Tuesday</v>
      </c>
      <c r="DL10" s="225" t="s">
        <v>870</v>
      </c>
      <c r="DM10" s="79">
        <v>43042</v>
      </c>
      <c r="DN10" s="222" t="str">
        <f t="shared" si="36"/>
        <v>Friday</v>
      </c>
      <c r="DO10" s="220" t="s">
        <v>871</v>
      </c>
      <c r="DP10" s="79">
        <v>42976</v>
      </c>
      <c r="DQ10" s="221" t="str">
        <f t="shared" si="37"/>
        <v>Tuesday</v>
      </c>
      <c r="DR10" s="225" t="s">
        <v>872</v>
      </c>
      <c r="DS10" s="79">
        <v>42872</v>
      </c>
      <c r="DT10" s="229" t="str">
        <f t="shared" si="38"/>
        <v>Wednesday</v>
      </c>
      <c r="DU10" s="223" t="s">
        <v>873</v>
      </c>
      <c r="DV10" s="79">
        <v>42790</v>
      </c>
      <c r="DW10" s="226" t="str">
        <f t="shared" si="39"/>
        <v>Friday</v>
      </c>
      <c r="DX10" s="220" t="s">
        <v>874</v>
      </c>
      <c r="DY10" s="79">
        <v>42702</v>
      </c>
      <c r="DZ10" s="218" t="str">
        <f t="shared" si="40"/>
        <v>Monday</v>
      </c>
      <c r="EA10" s="220" t="s">
        <v>875</v>
      </c>
      <c r="EB10" s="79">
        <v>42627</v>
      </c>
      <c r="EC10" s="227" t="str">
        <f t="shared" si="41"/>
        <v>Wednesday</v>
      </c>
      <c r="ED10" s="225" t="s">
        <v>876</v>
      </c>
      <c r="EE10" s="79">
        <v>42580</v>
      </c>
      <c r="EF10" s="222" t="str">
        <f t="shared" si="42"/>
        <v>Friday</v>
      </c>
      <c r="EG10" s="220" t="s">
        <v>877</v>
      </c>
      <c r="EH10" s="79">
        <v>42509</v>
      </c>
      <c r="EI10" s="224" t="str">
        <f t="shared" si="43"/>
        <v>Thursday</v>
      </c>
      <c r="EJ10" s="223" t="s">
        <v>878</v>
      </c>
      <c r="EK10" s="79">
        <v>42420</v>
      </c>
      <c r="EL10" s="228" t="str">
        <f t="shared" si="44"/>
        <v>Saturday</v>
      </c>
      <c r="EM10" s="225" t="s">
        <v>879</v>
      </c>
      <c r="EN10" s="79">
        <v>42348</v>
      </c>
      <c r="EO10" s="232" t="str">
        <f t="shared" si="45"/>
        <v>Thursday</v>
      </c>
      <c r="EP10" s="223" t="s">
        <v>880</v>
      </c>
      <c r="EQ10" s="79">
        <v>42242</v>
      </c>
      <c r="ER10" s="227" t="str">
        <f t="shared" si="46"/>
        <v>Wednesday</v>
      </c>
      <c r="ES10" s="231" t="s">
        <v>881</v>
      </c>
      <c r="ET10" s="79">
        <v>42180</v>
      </c>
      <c r="EU10" s="232" t="str">
        <f t="shared" si="47"/>
        <v>Thursday</v>
      </c>
      <c r="EV10" s="223" t="s">
        <v>882</v>
      </c>
      <c r="EW10" s="79">
        <v>42116</v>
      </c>
      <c r="EX10" s="227" t="str">
        <f t="shared" si="48"/>
        <v>Wednesday</v>
      </c>
      <c r="EY10" s="231" t="s">
        <v>883</v>
      </c>
      <c r="EZ10" s="79">
        <v>42045</v>
      </c>
      <c r="FA10" s="230" t="str">
        <f t="shared" si="49"/>
        <v>Tuesday</v>
      </c>
      <c r="FB10" s="223" t="s">
        <v>884</v>
      </c>
      <c r="FC10" s="79">
        <v>41972</v>
      </c>
      <c r="FD10" s="228" t="str">
        <f t="shared" si="50"/>
        <v>Saturday</v>
      </c>
      <c r="FE10" s="223" t="s">
        <v>885</v>
      </c>
      <c r="FF10" s="79">
        <v>41829</v>
      </c>
      <c r="FG10" s="227" t="str">
        <f t="shared" si="51"/>
        <v>Wednesday</v>
      </c>
      <c r="FH10" s="223" t="s">
        <v>886</v>
      </c>
      <c r="FI10" s="84">
        <v>41768</v>
      </c>
      <c r="FJ10" s="226" t="str">
        <f t="shared" si="52"/>
        <v>Friday</v>
      </c>
      <c r="FN10" s="220" t="s">
        <v>887</v>
      </c>
      <c r="FO10" s="79">
        <v>41599</v>
      </c>
      <c r="FP10" s="224" t="str">
        <f t="shared" si="54"/>
        <v>Thursday</v>
      </c>
    </row>
    <row r="11" spans="1:172" ht="15" x14ac:dyDescent="0.25">
      <c r="A11" s="239" t="s">
        <v>136</v>
      </c>
      <c r="B11" s="242">
        <f>COUNTIF(D2:FP45,"Sunday")</f>
        <v>10</v>
      </c>
      <c r="C11" s="240">
        <f t="shared" si="55"/>
        <v>9.3023255813953487E-3</v>
      </c>
      <c r="D11" s="74"/>
      <c r="E11" s="234"/>
      <c r="F11" s="237"/>
      <c r="G11" s="74"/>
      <c r="H11" s="223" t="s">
        <v>888</v>
      </c>
      <c r="I11" s="237">
        <v>45639</v>
      </c>
      <c r="J11" s="238" t="str">
        <f t="shared" si="0"/>
        <v>Friday</v>
      </c>
      <c r="K11" s="223" t="s">
        <v>889</v>
      </c>
      <c r="L11" s="84">
        <v>45593</v>
      </c>
      <c r="M11" s="218" t="str">
        <f t="shared" si="1"/>
        <v>Monday</v>
      </c>
      <c r="N11" s="223" t="s">
        <v>890</v>
      </c>
      <c r="O11" s="84">
        <v>45538</v>
      </c>
      <c r="P11" s="218" t="str">
        <f t="shared" si="2"/>
        <v>Tuesday</v>
      </c>
      <c r="Q11" s="223" t="s">
        <v>891</v>
      </c>
      <c r="R11" s="237">
        <v>45443</v>
      </c>
      <c r="S11" s="245" t="str">
        <f t="shared" si="3"/>
        <v>Friday</v>
      </c>
      <c r="T11" s="223" t="s">
        <v>892</v>
      </c>
      <c r="U11" s="84">
        <v>45356</v>
      </c>
      <c r="V11" s="218" t="str">
        <f t="shared" si="4"/>
        <v>Tuesday</v>
      </c>
      <c r="W11" s="223" t="s">
        <v>893</v>
      </c>
      <c r="X11" s="84">
        <v>45271</v>
      </c>
      <c r="Y11" s="218" t="str">
        <f t="shared" si="5"/>
        <v>Monday</v>
      </c>
      <c r="Z11" s="223" t="s">
        <v>894</v>
      </c>
      <c r="AA11" s="84">
        <v>45225</v>
      </c>
      <c r="AB11" s="218" t="str">
        <f t="shared" si="6"/>
        <v>Thursday</v>
      </c>
      <c r="AC11" s="223" t="s">
        <v>895</v>
      </c>
      <c r="AD11" s="84">
        <v>45170</v>
      </c>
      <c r="AE11" s="218" t="str">
        <f t="shared" si="7"/>
        <v>Friday</v>
      </c>
      <c r="AF11" s="223" t="s">
        <v>896</v>
      </c>
      <c r="AG11" s="84">
        <v>45062</v>
      </c>
      <c r="AH11" s="218" t="str">
        <f t="shared" si="8"/>
        <v>Tuesday</v>
      </c>
      <c r="AI11" s="223" t="s">
        <v>897</v>
      </c>
      <c r="AJ11" s="237">
        <v>44981</v>
      </c>
      <c r="AK11" s="245" t="str">
        <f t="shared" si="9"/>
        <v>Friday</v>
      </c>
      <c r="AL11" s="223" t="s">
        <v>898</v>
      </c>
      <c r="AM11" s="237">
        <v>44908</v>
      </c>
      <c r="AN11" s="247" t="str">
        <f t="shared" si="10"/>
        <v>Tuesday</v>
      </c>
      <c r="AO11" s="223" t="s">
        <v>899</v>
      </c>
      <c r="AP11" s="84">
        <v>44859</v>
      </c>
      <c r="AQ11" s="218" t="str">
        <f t="shared" si="11"/>
        <v>Tuesday</v>
      </c>
      <c r="AR11" s="223" t="s">
        <v>900</v>
      </c>
      <c r="AS11" s="84">
        <v>44803</v>
      </c>
      <c r="AT11" s="246" t="str">
        <f t="shared" si="12"/>
        <v>Tuesday</v>
      </c>
      <c r="AU11" s="220" t="s">
        <v>901</v>
      </c>
      <c r="AV11" s="84">
        <v>44712</v>
      </c>
      <c r="AW11" s="241" t="str">
        <f t="shared" si="13"/>
        <v>Tuesday</v>
      </c>
      <c r="AX11" s="220" t="str">
        <f>HYPERLINK("https://warthunder.com/en/news/7597-development-swedish-helicopters-in-war-thunder-en", "Swedish helicopters")</f>
        <v>Swedish helicopters</v>
      </c>
      <c r="AY11" s="84">
        <v>44634</v>
      </c>
      <c r="AZ11" s="218" t="str">
        <f t="shared" si="14"/>
        <v>Monday</v>
      </c>
      <c r="BA11" s="220" t="s">
        <v>902</v>
      </c>
      <c r="BB11" s="84">
        <v>44537</v>
      </c>
      <c r="BC11" s="250" t="str">
        <f t="shared" si="15"/>
        <v>Tuesday</v>
      </c>
      <c r="BD11" s="220" t="s">
        <v>903</v>
      </c>
      <c r="BE11" s="84">
        <v>44489</v>
      </c>
      <c r="BF11" s="221" t="str">
        <f t="shared" si="16"/>
        <v>Wednesday</v>
      </c>
      <c r="BG11" s="220" t="s">
        <v>904</v>
      </c>
      <c r="BH11" s="84">
        <v>44438</v>
      </c>
      <c r="BI11" s="218" t="str">
        <f t="shared" si="17"/>
        <v>Monday</v>
      </c>
      <c r="BJ11" s="219" t="s">
        <v>905</v>
      </c>
      <c r="BK11" s="84">
        <v>44340</v>
      </c>
      <c r="BL11" s="218" t="str">
        <f t="shared" si="18"/>
        <v>Monday</v>
      </c>
      <c r="BM11" s="219" t="s">
        <v>906</v>
      </c>
      <c r="BN11" s="84">
        <v>44257</v>
      </c>
      <c r="BO11" s="74" t="str">
        <f t="shared" si="19"/>
        <v>Tuesday</v>
      </c>
      <c r="BP11" s="220" t="s">
        <v>907</v>
      </c>
      <c r="BQ11" s="84">
        <v>44181</v>
      </c>
      <c r="BR11" s="221" t="str">
        <f t="shared" si="20"/>
        <v>Wednesday</v>
      </c>
      <c r="BS11" s="235" t="s">
        <v>908</v>
      </c>
      <c r="BT11" s="79">
        <v>44133</v>
      </c>
      <c r="BU11" s="224" t="str">
        <f t="shared" si="21"/>
        <v>Thursday</v>
      </c>
      <c r="BV11" s="225" t="s">
        <v>909</v>
      </c>
      <c r="BW11" s="79">
        <v>44071</v>
      </c>
      <c r="BX11" s="222" t="str">
        <f t="shared" si="22"/>
        <v>Friday</v>
      </c>
      <c r="BY11" s="235" t="s">
        <v>910</v>
      </c>
      <c r="BZ11" s="79">
        <v>43966</v>
      </c>
      <c r="CA11" s="226" t="str">
        <f t="shared" si="23"/>
        <v>Friday</v>
      </c>
      <c r="CB11" s="235" t="s">
        <v>911</v>
      </c>
      <c r="CC11" s="79">
        <v>43889</v>
      </c>
      <c r="CD11" s="226" t="str">
        <f t="shared" si="24"/>
        <v>Friday</v>
      </c>
      <c r="CE11" s="235" t="s">
        <v>912</v>
      </c>
      <c r="CF11" s="79">
        <v>43805</v>
      </c>
      <c r="CG11" s="226" t="str">
        <f t="shared" si="25"/>
        <v>Friday</v>
      </c>
      <c r="CH11" s="225" t="s">
        <v>913</v>
      </c>
      <c r="CI11" s="79">
        <v>43762</v>
      </c>
      <c r="CJ11" s="232" t="str">
        <f t="shared" si="26"/>
        <v>Thursday</v>
      </c>
      <c r="CK11" s="220" t="s">
        <v>914</v>
      </c>
      <c r="CL11" s="79">
        <v>43703</v>
      </c>
      <c r="CM11" s="218" t="str">
        <f t="shared" si="27"/>
        <v>Monday</v>
      </c>
      <c r="CN11" s="225" t="s">
        <v>915</v>
      </c>
      <c r="CO11" s="79">
        <v>43601</v>
      </c>
      <c r="CP11" s="232" t="str">
        <f t="shared" si="28"/>
        <v>Thursday</v>
      </c>
      <c r="CQ11" s="220" t="s">
        <v>916</v>
      </c>
      <c r="CR11" s="79">
        <v>43523</v>
      </c>
      <c r="CS11" s="227" t="str">
        <f t="shared" si="29"/>
        <v>Wednesday</v>
      </c>
      <c r="CT11" s="220" t="s">
        <v>917</v>
      </c>
      <c r="CU11" s="79">
        <v>43441</v>
      </c>
      <c r="CV11" s="226" t="str">
        <f t="shared" si="30"/>
        <v>Friday</v>
      </c>
      <c r="CW11" s="220" t="s">
        <v>918</v>
      </c>
      <c r="CX11" s="79">
        <v>43391</v>
      </c>
      <c r="CY11" s="224" t="str">
        <f t="shared" si="31"/>
        <v>Thursday</v>
      </c>
      <c r="CZ11" s="220" t="s">
        <v>919</v>
      </c>
      <c r="DA11" s="79">
        <v>43342</v>
      </c>
      <c r="DB11" s="224" t="str">
        <f t="shared" si="32"/>
        <v>Thursday</v>
      </c>
      <c r="DC11" s="220" t="s">
        <v>920</v>
      </c>
      <c r="DD11" s="79">
        <v>43249</v>
      </c>
      <c r="DE11" s="221" t="str">
        <f t="shared" si="33"/>
        <v>Tuesday</v>
      </c>
      <c r="DF11" s="220" t="s">
        <v>921</v>
      </c>
      <c r="DG11" s="79">
        <v>43151</v>
      </c>
      <c r="DH11" s="221" t="str">
        <f t="shared" si="34"/>
        <v>Tuesday</v>
      </c>
      <c r="DI11" s="220" t="s">
        <v>922</v>
      </c>
      <c r="DJ11" s="79">
        <v>43082</v>
      </c>
      <c r="DK11" s="227" t="str">
        <f t="shared" si="35"/>
        <v>Wednesday</v>
      </c>
      <c r="DL11" s="225" t="s">
        <v>923</v>
      </c>
      <c r="DM11" s="79">
        <v>43046</v>
      </c>
      <c r="DN11" s="230" t="str">
        <f t="shared" si="36"/>
        <v>Tuesday</v>
      </c>
      <c r="DO11" s="220" t="s">
        <v>924</v>
      </c>
      <c r="DP11" s="79">
        <v>42976</v>
      </c>
      <c r="DQ11" s="221" t="str">
        <f t="shared" si="37"/>
        <v>Tuesday</v>
      </c>
      <c r="DR11" s="225" t="s">
        <v>925</v>
      </c>
      <c r="DS11" s="79">
        <v>42873</v>
      </c>
      <c r="DT11" s="232" t="str">
        <f t="shared" si="38"/>
        <v>Thursday</v>
      </c>
      <c r="DU11" s="220" t="s">
        <v>926</v>
      </c>
      <c r="DV11" s="79">
        <v>42790</v>
      </c>
      <c r="DW11" s="226" t="str">
        <f t="shared" si="39"/>
        <v>Friday</v>
      </c>
      <c r="DX11" s="220" t="s">
        <v>927</v>
      </c>
      <c r="DY11" s="79">
        <v>42704</v>
      </c>
      <c r="DZ11" s="227" t="str">
        <f t="shared" si="40"/>
        <v>Wednesday</v>
      </c>
      <c r="EA11" s="220" t="s">
        <v>928</v>
      </c>
      <c r="EB11" s="79">
        <v>42627</v>
      </c>
      <c r="EC11" s="227" t="str">
        <f t="shared" si="41"/>
        <v>Wednesday</v>
      </c>
      <c r="ED11" s="225" t="s">
        <v>929</v>
      </c>
      <c r="EE11" s="79">
        <v>42580</v>
      </c>
      <c r="EF11" s="222" t="str">
        <f t="shared" si="42"/>
        <v>Friday</v>
      </c>
      <c r="EG11" s="220" t="s">
        <v>930</v>
      </c>
      <c r="EH11" s="79">
        <v>42510</v>
      </c>
      <c r="EI11" s="226" t="str">
        <f t="shared" si="43"/>
        <v>Friday</v>
      </c>
      <c r="EJ11" s="223" t="s">
        <v>931</v>
      </c>
      <c r="EK11" s="79">
        <v>42420</v>
      </c>
      <c r="EL11" s="228" t="str">
        <f t="shared" si="44"/>
        <v>Saturday</v>
      </c>
      <c r="EM11" s="231" t="s">
        <v>932</v>
      </c>
      <c r="EN11" s="79">
        <v>42348</v>
      </c>
      <c r="EO11" s="232" t="str">
        <f t="shared" si="45"/>
        <v>Thursday</v>
      </c>
      <c r="EP11" s="223" t="s">
        <v>933</v>
      </c>
      <c r="EQ11" s="79">
        <v>42243</v>
      </c>
      <c r="ER11" s="226" t="str">
        <f t="shared" si="46"/>
        <v>Thursday</v>
      </c>
      <c r="ES11" s="231" t="s">
        <v>934</v>
      </c>
      <c r="ET11" s="79">
        <v>42180</v>
      </c>
      <c r="EU11" s="232" t="str">
        <f t="shared" si="47"/>
        <v>Thursday</v>
      </c>
      <c r="EV11" s="223" t="s">
        <v>935</v>
      </c>
      <c r="EW11" s="79">
        <v>42117</v>
      </c>
      <c r="EX11" s="224" t="str">
        <f t="shared" si="48"/>
        <v>Thursday</v>
      </c>
      <c r="EY11" s="231" t="s">
        <v>936</v>
      </c>
      <c r="EZ11" s="79">
        <v>42046</v>
      </c>
      <c r="FA11" s="222" t="str">
        <f t="shared" si="49"/>
        <v>Wednesday</v>
      </c>
      <c r="FB11" s="223" t="s">
        <v>937</v>
      </c>
      <c r="FC11" s="79">
        <v>41973</v>
      </c>
      <c r="FD11" s="243" t="str">
        <f t="shared" si="50"/>
        <v>Sunday</v>
      </c>
      <c r="FE11" s="223" t="s">
        <v>938</v>
      </c>
      <c r="FF11" s="79">
        <v>41830</v>
      </c>
      <c r="FG11" s="224" t="str">
        <f t="shared" si="51"/>
        <v>Thursday</v>
      </c>
      <c r="FH11" s="223" t="s">
        <v>939</v>
      </c>
      <c r="FI11" s="79">
        <v>41770</v>
      </c>
      <c r="FJ11" s="243" t="str">
        <f t="shared" si="52"/>
        <v>Sunday</v>
      </c>
      <c r="FK11" s="251"/>
      <c r="FL11" s="79"/>
      <c r="FM11" s="74"/>
      <c r="FN11" s="220" t="s">
        <v>940</v>
      </c>
      <c r="FO11" s="79">
        <v>41606</v>
      </c>
      <c r="FP11" s="224" t="str">
        <f t="shared" si="54"/>
        <v>Thursday</v>
      </c>
    </row>
    <row r="12" spans="1:172" ht="15" x14ac:dyDescent="0.25">
      <c r="A12" s="74"/>
      <c r="B12" s="74"/>
      <c r="C12" s="74"/>
      <c r="D12" s="74"/>
      <c r="E12" s="234"/>
      <c r="F12" s="237"/>
      <c r="G12" s="74"/>
      <c r="H12" s="223" t="s">
        <v>941</v>
      </c>
      <c r="I12" s="237">
        <v>45639</v>
      </c>
      <c r="J12" s="238" t="str">
        <f t="shared" si="0"/>
        <v>Friday</v>
      </c>
      <c r="K12" s="223" t="s">
        <v>942</v>
      </c>
      <c r="L12" s="84">
        <v>45594</v>
      </c>
      <c r="M12" s="218" t="str">
        <f t="shared" si="1"/>
        <v>Tuesday</v>
      </c>
      <c r="N12" s="223" t="s">
        <v>943</v>
      </c>
      <c r="O12" s="84">
        <v>45538</v>
      </c>
      <c r="P12" s="218" t="str">
        <f t="shared" si="2"/>
        <v>Tuesday</v>
      </c>
      <c r="Q12" s="223" t="s">
        <v>944</v>
      </c>
      <c r="R12" s="237">
        <v>45446</v>
      </c>
      <c r="S12" s="245" t="str">
        <f t="shared" si="3"/>
        <v>Monday</v>
      </c>
      <c r="T12" s="223" t="s">
        <v>945</v>
      </c>
      <c r="U12" s="84">
        <v>45356</v>
      </c>
      <c r="V12" s="218" t="str">
        <f t="shared" si="4"/>
        <v>Tuesday</v>
      </c>
      <c r="W12" s="223" t="s">
        <v>946</v>
      </c>
      <c r="X12" s="84">
        <v>45272</v>
      </c>
      <c r="Y12" s="218" t="str">
        <f t="shared" si="5"/>
        <v>Tuesday</v>
      </c>
      <c r="Z12" s="223" t="s">
        <v>947</v>
      </c>
      <c r="AA12" s="84">
        <v>45226</v>
      </c>
      <c r="AB12" s="218" t="str">
        <f t="shared" si="6"/>
        <v>Friday</v>
      </c>
      <c r="AC12" s="223" t="s">
        <v>948</v>
      </c>
      <c r="AD12" s="84">
        <v>45170</v>
      </c>
      <c r="AE12" s="218" t="str">
        <f t="shared" si="7"/>
        <v>Friday</v>
      </c>
      <c r="AF12" s="223" t="s">
        <v>949</v>
      </c>
      <c r="AG12" s="84">
        <v>45063</v>
      </c>
      <c r="AH12" s="218" t="str">
        <f t="shared" si="8"/>
        <v>Wednesday</v>
      </c>
      <c r="AI12" s="223" t="s">
        <v>950</v>
      </c>
      <c r="AJ12" s="237">
        <v>44981</v>
      </c>
      <c r="AK12" s="245" t="str">
        <f t="shared" si="9"/>
        <v>Friday</v>
      </c>
      <c r="AL12" s="223" t="s">
        <v>951</v>
      </c>
      <c r="AM12" s="237">
        <v>44908</v>
      </c>
      <c r="AN12" s="247" t="str">
        <f t="shared" si="10"/>
        <v>Tuesday</v>
      </c>
      <c r="AO12" s="223" t="s">
        <v>952</v>
      </c>
      <c r="AP12" s="84">
        <v>44859</v>
      </c>
      <c r="AQ12" s="218" t="str">
        <f t="shared" si="11"/>
        <v>Tuesday</v>
      </c>
      <c r="AR12" s="223" t="s">
        <v>953</v>
      </c>
      <c r="AS12" s="84">
        <v>44804</v>
      </c>
      <c r="AT12" s="246" t="str">
        <f t="shared" si="12"/>
        <v>Wednesday</v>
      </c>
      <c r="AU12" s="220" t="s">
        <v>954</v>
      </c>
      <c r="AV12" s="84">
        <v>44713</v>
      </c>
      <c r="AW12" s="241" t="str">
        <f t="shared" si="13"/>
        <v>Wednesday</v>
      </c>
      <c r="AX12" s="220" t="str">
        <f>HYPERLINK("https://warthunder.com/en/news/7598-development-lav-ad-revolving-firepower-en", "LAV-AD")</f>
        <v>LAV-AD</v>
      </c>
      <c r="AY12" s="84">
        <v>44634</v>
      </c>
      <c r="AZ12" s="218" t="str">
        <f t="shared" si="14"/>
        <v>Monday</v>
      </c>
      <c r="BA12" s="220" t="s">
        <v>955</v>
      </c>
      <c r="BB12" s="84">
        <v>44538</v>
      </c>
      <c r="BC12" s="250" t="str">
        <f t="shared" si="15"/>
        <v>Wednesday</v>
      </c>
      <c r="BD12" s="220" t="s">
        <v>956</v>
      </c>
      <c r="BE12" s="84">
        <v>44491</v>
      </c>
      <c r="BF12" s="221" t="str">
        <f t="shared" si="16"/>
        <v>Friday</v>
      </c>
      <c r="BG12" s="223" t="s">
        <v>957</v>
      </c>
      <c r="BH12" s="84">
        <v>44438</v>
      </c>
      <c r="BI12" s="221" t="str">
        <f t="shared" si="17"/>
        <v>Monday</v>
      </c>
      <c r="BJ12" s="219" t="s">
        <v>958</v>
      </c>
      <c r="BK12" s="84">
        <v>44341</v>
      </c>
      <c r="BL12" s="218" t="str">
        <f t="shared" si="18"/>
        <v>Tuesday</v>
      </c>
      <c r="BM12" s="219" t="s">
        <v>959</v>
      </c>
      <c r="BN12" s="84">
        <v>44258</v>
      </c>
      <c r="BO12" s="74" t="str">
        <f t="shared" si="19"/>
        <v>Wednesday</v>
      </c>
      <c r="BP12" s="220" t="s">
        <v>960</v>
      </c>
      <c r="BQ12" s="84">
        <v>44184</v>
      </c>
      <c r="BR12" s="221" t="str">
        <f t="shared" si="20"/>
        <v>Saturday</v>
      </c>
      <c r="BS12" s="235" t="s">
        <v>961</v>
      </c>
      <c r="BT12" s="79">
        <v>44134</v>
      </c>
      <c r="BU12" s="226" t="str">
        <f t="shared" si="21"/>
        <v>Friday</v>
      </c>
      <c r="BV12" s="216" t="s">
        <v>962</v>
      </c>
      <c r="BW12" s="79">
        <v>44075</v>
      </c>
      <c r="BX12" s="230" t="str">
        <f t="shared" si="22"/>
        <v>Tuesday</v>
      </c>
      <c r="BY12" s="235" t="s">
        <v>963</v>
      </c>
      <c r="BZ12" s="79">
        <v>43967</v>
      </c>
      <c r="CA12" s="228" t="str">
        <f t="shared" si="23"/>
        <v>Saturday</v>
      </c>
      <c r="CB12" s="235" t="s">
        <v>964</v>
      </c>
      <c r="CC12" s="79">
        <v>43890</v>
      </c>
      <c r="CD12" s="228" t="str">
        <f t="shared" si="24"/>
        <v>Saturday</v>
      </c>
      <c r="CE12" s="223" t="s">
        <v>965</v>
      </c>
      <c r="CF12" s="79">
        <v>43808</v>
      </c>
      <c r="CG12" s="218" t="str">
        <f t="shared" si="25"/>
        <v>Monday</v>
      </c>
      <c r="CH12" s="225" t="s">
        <v>966</v>
      </c>
      <c r="CI12" s="79">
        <v>43763</v>
      </c>
      <c r="CJ12" s="222" t="str">
        <f t="shared" si="26"/>
        <v>Friday</v>
      </c>
      <c r="CK12" s="220" t="s">
        <v>967</v>
      </c>
      <c r="CL12" s="79">
        <v>43704</v>
      </c>
      <c r="CM12" s="221" t="str">
        <f t="shared" si="27"/>
        <v>Tuesday</v>
      </c>
      <c r="CN12" s="225" t="s">
        <v>968</v>
      </c>
      <c r="CO12" s="79">
        <v>43602</v>
      </c>
      <c r="CP12" s="222" t="str">
        <f t="shared" si="28"/>
        <v>Friday</v>
      </c>
      <c r="CQ12" s="220" t="s">
        <v>969</v>
      </c>
      <c r="CR12" s="79">
        <v>43524</v>
      </c>
      <c r="CS12" s="224" t="str">
        <f t="shared" si="29"/>
        <v>Thursday</v>
      </c>
      <c r="CT12" s="220" t="s">
        <v>970</v>
      </c>
      <c r="CU12" s="79">
        <v>43442</v>
      </c>
      <c r="CV12" s="228" t="str">
        <f t="shared" si="30"/>
        <v>Saturday</v>
      </c>
      <c r="CW12" s="220" t="s">
        <v>971</v>
      </c>
      <c r="CX12" s="79">
        <v>43392</v>
      </c>
      <c r="CY12" s="226" t="str">
        <f t="shared" si="31"/>
        <v>Friday</v>
      </c>
      <c r="CZ12" s="220" t="s">
        <v>972</v>
      </c>
      <c r="DA12" s="79">
        <v>43343</v>
      </c>
      <c r="DB12" s="226" t="str">
        <f t="shared" si="32"/>
        <v>Friday</v>
      </c>
      <c r="DC12" s="220" t="s">
        <v>973</v>
      </c>
      <c r="DD12" s="79">
        <v>43250</v>
      </c>
      <c r="DE12" s="227" t="str">
        <f t="shared" si="33"/>
        <v>Wednesday</v>
      </c>
      <c r="DF12" s="220" t="s">
        <v>974</v>
      </c>
      <c r="DG12" s="79">
        <v>43152</v>
      </c>
      <c r="DH12" s="227" t="str">
        <f t="shared" si="34"/>
        <v>Wednesday</v>
      </c>
      <c r="DI12" s="220" t="s">
        <v>975</v>
      </c>
      <c r="DJ12" s="79">
        <v>43082</v>
      </c>
      <c r="DK12" s="227" t="str">
        <f t="shared" si="35"/>
        <v>Wednesday</v>
      </c>
      <c r="DL12" s="225" t="s">
        <v>976</v>
      </c>
      <c r="DM12" s="79">
        <v>43053</v>
      </c>
      <c r="DN12" s="230" t="str">
        <f t="shared" si="36"/>
        <v>Tuesday</v>
      </c>
      <c r="DO12" s="220" t="s">
        <v>977</v>
      </c>
      <c r="DP12" s="79">
        <v>42977</v>
      </c>
      <c r="DQ12" s="227" t="str">
        <f t="shared" si="37"/>
        <v>Wednesday</v>
      </c>
      <c r="DR12" s="225" t="s">
        <v>978</v>
      </c>
      <c r="DS12" s="79">
        <v>42873</v>
      </c>
      <c r="DT12" s="232" t="str">
        <f t="shared" si="38"/>
        <v>Thursday</v>
      </c>
      <c r="DU12" s="220" t="s">
        <v>979</v>
      </c>
      <c r="DV12" s="79">
        <v>42794</v>
      </c>
      <c r="DW12" s="221" t="str">
        <f t="shared" si="39"/>
        <v>Tuesday</v>
      </c>
      <c r="DX12" s="220" t="s">
        <v>980</v>
      </c>
      <c r="DY12" s="79">
        <v>42705</v>
      </c>
      <c r="DZ12" s="224" t="str">
        <f t="shared" si="40"/>
        <v>Thursday</v>
      </c>
      <c r="EA12" s="220" t="s">
        <v>981</v>
      </c>
      <c r="EB12" s="79">
        <v>42628</v>
      </c>
      <c r="EC12" s="224" t="str">
        <f t="shared" si="41"/>
        <v>Thursday</v>
      </c>
      <c r="ED12" s="74"/>
      <c r="EE12" s="252"/>
      <c r="EF12" s="74"/>
      <c r="EG12" s="220" t="s">
        <v>982</v>
      </c>
      <c r="EH12" s="79">
        <v>42513</v>
      </c>
      <c r="EI12" s="218" t="str">
        <f t="shared" si="43"/>
        <v>Monday</v>
      </c>
      <c r="EJ12" s="223" t="s">
        <v>983</v>
      </c>
      <c r="EK12" s="79">
        <v>42422</v>
      </c>
      <c r="EL12" s="218" t="str">
        <f t="shared" si="44"/>
        <v>Monday</v>
      </c>
      <c r="EM12" s="231" t="s">
        <v>984</v>
      </c>
      <c r="EN12" s="79">
        <v>42349</v>
      </c>
      <c r="EO12" s="222" t="str">
        <f t="shared" si="45"/>
        <v>Friday</v>
      </c>
      <c r="EP12" s="223" t="s">
        <v>985</v>
      </c>
      <c r="EQ12" s="79">
        <v>42244</v>
      </c>
      <c r="ER12" s="226" t="str">
        <f t="shared" si="46"/>
        <v>Friday</v>
      </c>
      <c r="ES12" s="231" t="s">
        <v>986</v>
      </c>
      <c r="ET12" s="79">
        <v>42181</v>
      </c>
      <c r="EU12" s="222" t="str">
        <f t="shared" si="47"/>
        <v>Friday</v>
      </c>
      <c r="EV12" s="223" t="s">
        <v>987</v>
      </c>
      <c r="EW12" s="79">
        <v>42117</v>
      </c>
      <c r="EX12" s="224" t="str">
        <f t="shared" si="48"/>
        <v>Thursday</v>
      </c>
      <c r="EY12" s="231" t="s">
        <v>988</v>
      </c>
      <c r="EZ12" s="79">
        <v>42048</v>
      </c>
      <c r="FA12" s="222" t="str">
        <f t="shared" si="49"/>
        <v>Friday</v>
      </c>
      <c r="FB12" s="223" t="s">
        <v>989</v>
      </c>
      <c r="FC12" s="79">
        <v>41974</v>
      </c>
      <c r="FD12" s="218" t="str">
        <f t="shared" si="50"/>
        <v>Monday</v>
      </c>
      <c r="FE12" s="223" t="s">
        <v>990</v>
      </c>
      <c r="FF12" s="79">
        <v>41831</v>
      </c>
      <c r="FG12" s="226" t="str">
        <f t="shared" si="51"/>
        <v>Friday</v>
      </c>
      <c r="FH12" s="223" t="s">
        <v>991</v>
      </c>
      <c r="FI12" s="79">
        <v>41774</v>
      </c>
      <c r="FJ12" s="224" t="str">
        <f t="shared" si="52"/>
        <v>Thursday</v>
      </c>
      <c r="FK12" s="251"/>
      <c r="FL12" s="79"/>
      <c r="FM12" s="74"/>
      <c r="FN12" s="220" t="s">
        <v>992</v>
      </c>
      <c r="FO12" s="79">
        <v>41626</v>
      </c>
      <c r="FP12" s="227" t="str">
        <f t="shared" si="54"/>
        <v>Wednesday</v>
      </c>
    </row>
    <row r="13" spans="1:172" ht="15" x14ac:dyDescent="0.25">
      <c r="A13" s="239" t="s">
        <v>993</v>
      </c>
      <c r="B13" s="211">
        <f t="shared" ref="B13:B15" si="56">SUM(D52:FP52)</f>
        <v>606</v>
      </c>
      <c r="C13" s="240">
        <f>B13/B16</f>
        <v>0.56372093023255809</v>
      </c>
      <c r="D13" s="74"/>
      <c r="E13" s="234"/>
      <c r="F13" s="237"/>
      <c r="G13" s="74"/>
      <c r="H13" s="223" t="s">
        <v>994</v>
      </c>
      <c r="I13" s="237">
        <v>45643</v>
      </c>
      <c r="J13" s="238" t="str">
        <f t="shared" si="0"/>
        <v>Tuesday</v>
      </c>
      <c r="K13" s="223" t="s">
        <v>995</v>
      </c>
      <c r="L13" s="84">
        <v>45595</v>
      </c>
      <c r="M13" s="218" t="str">
        <f t="shared" si="1"/>
        <v>Wednesday</v>
      </c>
      <c r="N13" s="223" t="s">
        <v>996</v>
      </c>
      <c r="O13" s="84">
        <v>45539</v>
      </c>
      <c r="P13" s="218" t="str">
        <f t="shared" si="2"/>
        <v>Wednesday</v>
      </c>
      <c r="Q13" s="223" t="s">
        <v>997</v>
      </c>
      <c r="R13" s="237">
        <v>45447</v>
      </c>
      <c r="S13" s="245" t="str">
        <f t="shared" si="3"/>
        <v>Tuesday</v>
      </c>
      <c r="T13" s="223" t="s">
        <v>998</v>
      </c>
      <c r="U13" s="84">
        <v>45357</v>
      </c>
      <c r="V13" s="218" t="str">
        <f t="shared" si="4"/>
        <v>Wednesday</v>
      </c>
      <c r="W13" s="223" t="s">
        <v>999</v>
      </c>
      <c r="X13" s="84">
        <v>45272</v>
      </c>
      <c r="Y13" s="218" t="str">
        <f t="shared" si="5"/>
        <v>Tuesday</v>
      </c>
      <c r="Z13" s="223" t="s">
        <v>1000</v>
      </c>
      <c r="AA13" s="84">
        <v>45229</v>
      </c>
      <c r="AB13" s="218" t="str">
        <f t="shared" si="6"/>
        <v>Monday</v>
      </c>
      <c r="AC13" s="223" t="s">
        <v>1001</v>
      </c>
      <c r="AD13" s="84">
        <v>45170</v>
      </c>
      <c r="AE13" s="218" t="str">
        <f t="shared" si="7"/>
        <v>Friday</v>
      </c>
      <c r="AF13" s="223" t="s">
        <v>1002</v>
      </c>
      <c r="AG13" s="84">
        <v>45064</v>
      </c>
      <c r="AH13" s="218" t="str">
        <f t="shared" si="8"/>
        <v>Thursday</v>
      </c>
      <c r="AI13" s="223" t="s">
        <v>1003</v>
      </c>
      <c r="AJ13" s="237">
        <v>44984</v>
      </c>
      <c r="AK13" s="245" t="str">
        <f t="shared" si="9"/>
        <v>Monday</v>
      </c>
      <c r="AL13" s="223" t="s">
        <v>1004</v>
      </c>
      <c r="AM13" s="237">
        <v>44909</v>
      </c>
      <c r="AN13" s="253" t="str">
        <f t="shared" si="10"/>
        <v>Wednesday</v>
      </c>
      <c r="AO13" s="223" t="s">
        <v>1005</v>
      </c>
      <c r="AP13" s="84">
        <v>44861</v>
      </c>
      <c r="AQ13" s="218" t="str">
        <f t="shared" si="11"/>
        <v>Thursday</v>
      </c>
      <c r="AR13" s="223" t="s">
        <v>1006</v>
      </c>
      <c r="AS13" s="84">
        <v>44804</v>
      </c>
      <c r="AT13" s="246" t="str">
        <f t="shared" si="12"/>
        <v>Wednesday</v>
      </c>
      <c r="AU13" s="220" t="s">
        <v>1007</v>
      </c>
      <c r="AV13" s="84">
        <v>44714</v>
      </c>
      <c r="AW13" s="241" t="str">
        <f t="shared" si="13"/>
        <v>Thursday</v>
      </c>
      <c r="AX13" s="220" t="str">
        <f>HYPERLINK("https://warthunder.com/en/news/7600-development-kong%C5%8D-battleship-the-imperial-jewel-en", "Kongō")</f>
        <v>Kongō</v>
      </c>
      <c r="AY13" s="84">
        <v>44635</v>
      </c>
      <c r="AZ13" s="218" t="str">
        <f t="shared" si="14"/>
        <v>Tuesday</v>
      </c>
      <c r="BA13" s="220" t="s">
        <v>1008</v>
      </c>
      <c r="BB13" s="84">
        <v>44538</v>
      </c>
      <c r="BC13" s="250" t="str">
        <f t="shared" si="15"/>
        <v>Wednesday</v>
      </c>
      <c r="BD13" s="220" t="s">
        <v>1009</v>
      </c>
      <c r="BE13" s="84">
        <v>44495</v>
      </c>
      <c r="BF13" s="221" t="str">
        <f t="shared" si="16"/>
        <v>Tuesday</v>
      </c>
      <c r="BG13" s="220" t="s">
        <v>1010</v>
      </c>
      <c r="BH13" s="84">
        <v>44439</v>
      </c>
      <c r="BI13" s="227" t="str">
        <f t="shared" si="17"/>
        <v>Tuesday</v>
      </c>
      <c r="BJ13" s="219" t="s">
        <v>1011</v>
      </c>
      <c r="BK13" s="84">
        <v>44341</v>
      </c>
      <c r="BL13" s="218" t="str">
        <f t="shared" si="18"/>
        <v>Tuesday</v>
      </c>
      <c r="BM13" s="217" t="s">
        <v>1012</v>
      </c>
      <c r="BN13" s="84">
        <v>44258</v>
      </c>
      <c r="BO13" s="243" t="str">
        <f t="shared" si="19"/>
        <v>Wednesday</v>
      </c>
      <c r="BP13" s="74"/>
      <c r="BQ13" s="79"/>
      <c r="BR13" s="74"/>
      <c r="BS13" s="223" t="s">
        <v>1013</v>
      </c>
      <c r="BT13" s="79">
        <v>44135</v>
      </c>
      <c r="BU13" s="228" t="str">
        <f t="shared" si="21"/>
        <v>Saturday</v>
      </c>
      <c r="BV13" s="216" t="s">
        <v>1014</v>
      </c>
      <c r="BW13" s="79">
        <v>44077</v>
      </c>
      <c r="BX13" s="232" t="str">
        <f t="shared" si="22"/>
        <v>Thursday</v>
      </c>
      <c r="BY13" s="220" t="s">
        <v>1015</v>
      </c>
      <c r="BZ13" s="79">
        <v>43969</v>
      </c>
      <c r="CA13" s="218" t="str">
        <f t="shared" si="23"/>
        <v>Monday</v>
      </c>
      <c r="CB13" s="235" t="s">
        <v>1016</v>
      </c>
      <c r="CC13" s="79">
        <v>43890</v>
      </c>
      <c r="CD13" s="228" t="str">
        <f t="shared" si="24"/>
        <v>Saturday</v>
      </c>
      <c r="CE13" s="235" t="s">
        <v>1017</v>
      </c>
      <c r="CF13" s="79">
        <v>43809</v>
      </c>
      <c r="CG13" s="221" t="str">
        <f t="shared" si="25"/>
        <v>Tuesday</v>
      </c>
      <c r="CH13" s="225" t="s">
        <v>1018</v>
      </c>
      <c r="CI13" s="79">
        <v>43763</v>
      </c>
      <c r="CJ13" s="222" t="str">
        <f t="shared" si="26"/>
        <v>Friday</v>
      </c>
      <c r="CK13" s="220" t="s">
        <v>1019</v>
      </c>
      <c r="CL13" s="79">
        <v>43704</v>
      </c>
      <c r="CM13" s="221" t="str">
        <f t="shared" si="27"/>
        <v>Tuesday</v>
      </c>
      <c r="CN13" s="225" t="s">
        <v>1020</v>
      </c>
      <c r="CO13" s="79">
        <v>43602</v>
      </c>
      <c r="CP13" s="222" t="str">
        <f t="shared" si="28"/>
        <v>Friday</v>
      </c>
      <c r="CQ13" s="220" t="s">
        <v>1021</v>
      </c>
      <c r="CR13" s="79">
        <v>43524</v>
      </c>
      <c r="CS13" s="224" t="str">
        <f t="shared" si="29"/>
        <v>Thursday</v>
      </c>
      <c r="CT13" s="220" t="s">
        <v>1022</v>
      </c>
      <c r="CU13" s="79">
        <v>43445</v>
      </c>
      <c r="CV13" s="221" t="str">
        <f t="shared" si="30"/>
        <v>Tuesday</v>
      </c>
      <c r="CW13" s="220" t="s">
        <v>1023</v>
      </c>
      <c r="CX13" s="79">
        <v>43392</v>
      </c>
      <c r="CY13" s="226" t="str">
        <f t="shared" si="31"/>
        <v>Friday</v>
      </c>
      <c r="CZ13" s="220" t="s">
        <v>1024</v>
      </c>
      <c r="DA13" s="79">
        <v>43347</v>
      </c>
      <c r="DB13" s="221" t="str">
        <f t="shared" si="32"/>
        <v>Tuesday</v>
      </c>
      <c r="DC13" s="220" t="s">
        <v>1025</v>
      </c>
      <c r="DD13" s="79">
        <v>43250</v>
      </c>
      <c r="DE13" s="227" t="str">
        <f t="shared" si="33"/>
        <v>Wednesday</v>
      </c>
      <c r="DF13" s="220" t="s">
        <v>1026</v>
      </c>
      <c r="DG13" s="79">
        <v>43153</v>
      </c>
      <c r="DH13" s="224" t="str">
        <f t="shared" si="34"/>
        <v>Thursday</v>
      </c>
      <c r="DI13" s="220" t="s">
        <v>1027</v>
      </c>
      <c r="DJ13" s="79">
        <v>43083</v>
      </c>
      <c r="DK13" s="224" t="str">
        <f t="shared" si="35"/>
        <v>Thursday</v>
      </c>
      <c r="DL13" s="225" t="s">
        <v>1028</v>
      </c>
      <c r="DM13" s="79">
        <v>43056</v>
      </c>
      <c r="DN13" s="222" t="str">
        <f t="shared" si="36"/>
        <v>Friday</v>
      </c>
      <c r="DO13" s="220" t="s">
        <v>1029</v>
      </c>
      <c r="DP13" s="79">
        <v>42977</v>
      </c>
      <c r="DQ13" s="227" t="str">
        <f t="shared" si="37"/>
        <v>Wednesday</v>
      </c>
      <c r="DR13" s="225" t="s">
        <v>1030</v>
      </c>
      <c r="DS13" s="79">
        <v>42874</v>
      </c>
      <c r="DT13" s="222" t="str">
        <f t="shared" si="38"/>
        <v>Friday</v>
      </c>
      <c r="DU13" s="220" t="s">
        <v>1031</v>
      </c>
      <c r="DV13" s="79">
        <v>42794</v>
      </c>
      <c r="DW13" s="221" t="str">
        <f t="shared" si="39"/>
        <v>Tuesday</v>
      </c>
      <c r="DX13" s="220" t="s">
        <v>1032</v>
      </c>
      <c r="DY13" s="79">
        <v>42706</v>
      </c>
      <c r="DZ13" s="226" t="str">
        <f t="shared" si="40"/>
        <v>Friday</v>
      </c>
      <c r="EA13" s="220" t="s">
        <v>1033</v>
      </c>
      <c r="EB13" s="79">
        <v>42629</v>
      </c>
      <c r="EC13" s="226" t="str">
        <f t="shared" si="41"/>
        <v>Friday</v>
      </c>
      <c r="ED13" s="74"/>
      <c r="EE13" s="252"/>
      <c r="EF13" s="74"/>
      <c r="EG13" s="220" t="s">
        <v>1034</v>
      </c>
      <c r="EH13" s="79">
        <v>42513</v>
      </c>
      <c r="EI13" s="218" t="str">
        <f t="shared" si="43"/>
        <v>Monday</v>
      </c>
      <c r="EJ13" s="223" t="s">
        <v>1035</v>
      </c>
      <c r="EK13" s="79">
        <v>42422</v>
      </c>
      <c r="EL13" s="218" t="str">
        <f t="shared" si="44"/>
        <v>Monday</v>
      </c>
      <c r="EM13" s="225" t="s">
        <v>1036</v>
      </c>
      <c r="EN13" s="79">
        <v>42350</v>
      </c>
      <c r="EO13" s="236" t="str">
        <f t="shared" si="45"/>
        <v>Saturday</v>
      </c>
      <c r="EP13" s="223" t="s">
        <v>1037</v>
      </c>
      <c r="EQ13" s="79">
        <v>42249</v>
      </c>
      <c r="ER13" s="227" t="str">
        <f t="shared" si="46"/>
        <v>Wednesday</v>
      </c>
      <c r="ES13" s="231" t="s">
        <v>1038</v>
      </c>
      <c r="ET13" s="79">
        <v>42181</v>
      </c>
      <c r="EU13" s="222" t="str">
        <f t="shared" si="47"/>
        <v>Friday</v>
      </c>
      <c r="EV13" s="223" t="s">
        <v>1039</v>
      </c>
      <c r="EW13" s="79">
        <v>42118</v>
      </c>
      <c r="EX13" s="226" t="str">
        <f t="shared" si="48"/>
        <v>Friday</v>
      </c>
      <c r="EY13" s="231" t="s">
        <v>1040</v>
      </c>
      <c r="EZ13" s="79">
        <v>42049</v>
      </c>
      <c r="FA13" s="236" t="str">
        <f t="shared" si="49"/>
        <v>Saturday</v>
      </c>
      <c r="FB13" s="223" t="s">
        <v>1041</v>
      </c>
      <c r="FC13" s="79">
        <v>41974</v>
      </c>
      <c r="FD13" s="218" t="str">
        <f t="shared" si="50"/>
        <v>Monday</v>
      </c>
      <c r="FE13" s="223" t="s">
        <v>1042</v>
      </c>
      <c r="FF13" s="79">
        <v>41835</v>
      </c>
      <c r="FG13" s="221" t="str">
        <f t="shared" si="51"/>
        <v>Tuesday</v>
      </c>
      <c r="FH13" s="223" t="s">
        <v>1043</v>
      </c>
      <c r="FI13" s="79">
        <v>41780</v>
      </c>
      <c r="FJ13" s="227" t="str">
        <f t="shared" si="52"/>
        <v>Wednesday</v>
      </c>
      <c r="FK13" s="251"/>
      <c r="FL13" s="79"/>
      <c r="FM13" s="74"/>
      <c r="FN13" s="220" t="s">
        <v>1044</v>
      </c>
      <c r="FO13" s="79">
        <v>41628</v>
      </c>
      <c r="FP13" s="226" t="str">
        <f t="shared" si="54"/>
        <v>Friday</v>
      </c>
    </row>
    <row r="14" spans="1:172" ht="15" x14ac:dyDescent="0.25">
      <c r="A14" s="239" t="s">
        <v>1045</v>
      </c>
      <c r="B14" s="211">
        <f t="shared" si="56"/>
        <v>212</v>
      </c>
      <c r="C14" s="240">
        <f>B14*2/B16</f>
        <v>0.3944186046511628</v>
      </c>
      <c r="D14" s="74"/>
      <c r="E14" s="234"/>
      <c r="F14" s="84"/>
      <c r="G14" s="74"/>
      <c r="H14" s="234"/>
      <c r="I14" s="84"/>
      <c r="J14" s="74"/>
      <c r="K14" s="223" t="s">
        <v>1046</v>
      </c>
      <c r="L14" s="84">
        <v>45596</v>
      </c>
      <c r="M14" s="218" t="str">
        <f t="shared" si="1"/>
        <v>Thursday</v>
      </c>
      <c r="N14" s="223" t="s">
        <v>1047</v>
      </c>
      <c r="O14" s="84">
        <v>45539</v>
      </c>
      <c r="P14" s="218" t="str">
        <f t="shared" si="2"/>
        <v>Wednesday</v>
      </c>
      <c r="Q14" s="223" t="s">
        <v>1048</v>
      </c>
      <c r="R14" s="237">
        <v>45447</v>
      </c>
      <c r="S14" s="245" t="str">
        <f t="shared" si="3"/>
        <v>Tuesday</v>
      </c>
      <c r="T14" s="223" t="s">
        <v>1049</v>
      </c>
      <c r="U14" s="84">
        <v>45357</v>
      </c>
      <c r="V14" s="218" t="str">
        <f t="shared" si="4"/>
        <v>Wednesday</v>
      </c>
      <c r="W14" s="223" t="s">
        <v>1050</v>
      </c>
      <c r="X14" s="84">
        <v>45273</v>
      </c>
      <c r="Y14" s="218" t="str">
        <f t="shared" si="5"/>
        <v>Wednesday</v>
      </c>
      <c r="Z14" s="234"/>
      <c r="AA14" s="84"/>
      <c r="AB14" s="74"/>
      <c r="AC14" s="223" t="s">
        <v>1051</v>
      </c>
      <c r="AD14" s="84">
        <v>45174</v>
      </c>
      <c r="AE14" s="218" t="str">
        <f t="shared" si="7"/>
        <v>Tuesday</v>
      </c>
      <c r="AF14" s="223" t="s">
        <v>1052</v>
      </c>
      <c r="AG14" s="84">
        <v>45068</v>
      </c>
      <c r="AH14" s="218" t="str">
        <f t="shared" si="8"/>
        <v>Monday</v>
      </c>
      <c r="AI14" s="223" t="s">
        <v>1053</v>
      </c>
      <c r="AJ14" s="237">
        <v>44985</v>
      </c>
      <c r="AK14" s="245" t="str">
        <f t="shared" si="9"/>
        <v>Tuesday</v>
      </c>
      <c r="AL14" s="223" t="s">
        <v>1054</v>
      </c>
      <c r="AM14" s="237">
        <v>44910</v>
      </c>
      <c r="AN14" s="253" t="str">
        <f t="shared" si="10"/>
        <v>Thursday</v>
      </c>
      <c r="AO14" s="234"/>
      <c r="AP14" s="84"/>
      <c r="AQ14" s="74"/>
      <c r="AR14" s="223" t="s">
        <v>1055</v>
      </c>
      <c r="AS14" s="84">
        <v>44806</v>
      </c>
      <c r="AT14" s="246" t="str">
        <f t="shared" si="12"/>
        <v>Friday</v>
      </c>
      <c r="AU14" s="220" t="s">
        <v>1056</v>
      </c>
      <c r="AV14" s="84">
        <v>44715</v>
      </c>
      <c r="AW14" s="241" t="str">
        <f t="shared" si="13"/>
        <v>Friday</v>
      </c>
      <c r="AX14" s="220" t="str">
        <f>HYPERLINK("https://warthunder.com/en/news/7601-development-machbet-desert-vulcan-en", "Machbet")</f>
        <v>Machbet</v>
      </c>
      <c r="AY14" s="84">
        <v>44635</v>
      </c>
      <c r="AZ14" s="218" t="str">
        <f t="shared" si="14"/>
        <v>Tuesday</v>
      </c>
      <c r="BA14" s="220" t="s">
        <v>1057</v>
      </c>
      <c r="BB14" s="84">
        <v>44539</v>
      </c>
      <c r="BC14" s="250" t="str">
        <f t="shared" si="15"/>
        <v>Thursday</v>
      </c>
      <c r="BD14" s="225"/>
      <c r="BE14" s="84"/>
      <c r="BF14" s="243"/>
      <c r="BG14" s="220" t="s">
        <v>1058</v>
      </c>
      <c r="BH14" s="84">
        <v>44440</v>
      </c>
      <c r="BI14" s="224" t="str">
        <f t="shared" si="17"/>
        <v>Wednesday</v>
      </c>
      <c r="BJ14" s="220" t="s">
        <v>1059</v>
      </c>
      <c r="BK14" s="84">
        <v>44342</v>
      </c>
      <c r="BL14" s="218" t="str">
        <f t="shared" si="18"/>
        <v>Wednesday</v>
      </c>
      <c r="BM14" s="220" t="s">
        <v>1060</v>
      </c>
      <c r="BN14" s="84">
        <v>44259</v>
      </c>
      <c r="BO14" s="243" t="str">
        <f t="shared" si="19"/>
        <v>Thursday</v>
      </c>
      <c r="BP14" s="74"/>
      <c r="BQ14" s="79"/>
      <c r="BR14" s="74"/>
      <c r="BS14" s="235" t="s">
        <v>1061</v>
      </c>
      <c r="BT14" s="79">
        <v>44137</v>
      </c>
      <c r="BU14" s="218" t="str">
        <f t="shared" si="21"/>
        <v>Monday</v>
      </c>
      <c r="BV14" s="216" t="s">
        <v>1062</v>
      </c>
      <c r="BW14" s="79">
        <v>44098</v>
      </c>
      <c r="BX14" s="232" t="str">
        <f t="shared" si="22"/>
        <v>Thursday</v>
      </c>
      <c r="BY14" s="235" t="s">
        <v>1063</v>
      </c>
      <c r="BZ14" s="79">
        <v>43970</v>
      </c>
      <c r="CA14" s="221" t="str">
        <f t="shared" si="23"/>
        <v>Tuesday</v>
      </c>
      <c r="CB14" s="220" t="s">
        <v>1064</v>
      </c>
      <c r="CC14" s="79">
        <v>43892</v>
      </c>
      <c r="CD14" s="218" t="str">
        <f t="shared" si="24"/>
        <v>Monday</v>
      </c>
      <c r="CE14" s="235" t="s">
        <v>1065</v>
      </c>
      <c r="CF14" s="79">
        <v>43810</v>
      </c>
      <c r="CG14" s="227" t="str">
        <f t="shared" si="25"/>
        <v>Wednesday</v>
      </c>
      <c r="CH14" s="225" t="s">
        <v>1066</v>
      </c>
      <c r="CI14" s="79">
        <v>43764</v>
      </c>
      <c r="CJ14" s="233" t="str">
        <f t="shared" si="26"/>
        <v>Saturday</v>
      </c>
      <c r="CK14" s="223" t="s">
        <v>1067</v>
      </c>
      <c r="CL14" s="79">
        <v>43705</v>
      </c>
      <c r="CM14" s="227" t="str">
        <f t="shared" si="27"/>
        <v>Wednesday</v>
      </c>
      <c r="CN14" s="225" t="s">
        <v>1068</v>
      </c>
      <c r="CO14" s="79">
        <v>43605</v>
      </c>
      <c r="CP14" s="233" t="str">
        <f t="shared" si="28"/>
        <v>Monday</v>
      </c>
      <c r="CQ14" s="220" t="s">
        <v>1069</v>
      </c>
      <c r="CR14" s="79">
        <v>43525</v>
      </c>
      <c r="CS14" s="226" t="str">
        <f t="shared" si="29"/>
        <v>Friday</v>
      </c>
      <c r="CT14" s="220" t="s">
        <v>1070</v>
      </c>
      <c r="CU14" s="79">
        <v>43445</v>
      </c>
      <c r="CV14" s="221" t="str">
        <f t="shared" si="30"/>
        <v>Tuesday</v>
      </c>
      <c r="CW14" s="220" t="s">
        <v>1071</v>
      </c>
      <c r="CX14" s="79">
        <v>43395</v>
      </c>
      <c r="CY14" s="218" t="str">
        <f t="shared" si="31"/>
        <v>Monday</v>
      </c>
      <c r="CZ14" s="220" t="s">
        <v>1072</v>
      </c>
      <c r="DA14" s="79">
        <v>43347</v>
      </c>
      <c r="DB14" s="221" t="str">
        <f t="shared" si="32"/>
        <v>Tuesday</v>
      </c>
      <c r="DC14" s="220" t="s">
        <v>1073</v>
      </c>
      <c r="DD14" s="79">
        <v>43251</v>
      </c>
      <c r="DE14" s="224" t="str">
        <f t="shared" si="33"/>
        <v>Thursday</v>
      </c>
      <c r="DF14" s="220" t="s">
        <v>1074</v>
      </c>
      <c r="DG14" s="79">
        <v>43154</v>
      </c>
      <c r="DH14" s="226" t="str">
        <f t="shared" si="34"/>
        <v>Friday</v>
      </c>
      <c r="DI14" s="220" t="s">
        <v>1075</v>
      </c>
      <c r="DJ14" s="79">
        <v>43087</v>
      </c>
      <c r="DK14" s="218" t="str">
        <f t="shared" si="35"/>
        <v>Monday</v>
      </c>
      <c r="DL14" s="225" t="s">
        <v>1076</v>
      </c>
      <c r="DM14" s="79">
        <v>43060</v>
      </c>
      <c r="DN14" s="230" t="str">
        <f t="shared" si="36"/>
        <v>Tuesday</v>
      </c>
      <c r="DO14" s="220" t="s">
        <v>1077</v>
      </c>
      <c r="DP14" s="79">
        <v>42978</v>
      </c>
      <c r="DQ14" s="224" t="str">
        <f t="shared" si="37"/>
        <v>Thursday</v>
      </c>
      <c r="DR14" s="225" t="s">
        <v>1078</v>
      </c>
      <c r="DS14" s="79">
        <v>42874</v>
      </c>
      <c r="DT14" s="222" t="str">
        <f t="shared" si="38"/>
        <v>Friday</v>
      </c>
      <c r="DU14" s="220" t="s">
        <v>1079</v>
      </c>
      <c r="DV14" s="79">
        <v>42796</v>
      </c>
      <c r="DW14" s="224" t="str">
        <f t="shared" si="39"/>
        <v>Thursday</v>
      </c>
      <c r="DX14" s="220" t="s">
        <v>1080</v>
      </c>
      <c r="DY14" s="79">
        <v>42706</v>
      </c>
      <c r="DZ14" s="226" t="str">
        <f t="shared" si="40"/>
        <v>Friday</v>
      </c>
      <c r="EA14" s="220" t="s">
        <v>1081</v>
      </c>
      <c r="EB14" s="79">
        <v>42629</v>
      </c>
      <c r="EC14" s="226" t="str">
        <f t="shared" si="41"/>
        <v>Friday</v>
      </c>
      <c r="ED14" s="74"/>
      <c r="EE14" s="252"/>
      <c r="EF14" s="74"/>
      <c r="EG14" s="223" t="s">
        <v>1082</v>
      </c>
      <c r="EH14" s="79">
        <v>42514</v>
      </c>
      <c r="EI14" s="221" t="str">
        <f t="shared" si="43"/>
        <v>Tuesday</v>
      </c>
      <c r="EJ14" s="223" t="s">
        <v>1083</v>
      </c>
      <c r="EK14" s="79">
        <v>42422</v>
      </c>
      <c r="EL14" s="218" t="str">
        <f t="shared" si="44"/>
        <v>Monday</v>
      </c>
      <c r="EM14" s="231" t="s">
        <v>1084</v>
      </c>
      <c r="EN14" s="79">
        <v>42350</v>
      </c>
      <c r="EO14" s="236" t="str">
        <f t="shared" si="45"/>
        <v>Saturday</v>
      </c>
      <c r="EP14" s="223" t="s">
        <v>1085</v>
      </c>
      <c r="EQ14" s="79">
        <v>42251</v>
      </c>
      <c r="ER14" s="226" t="str">
        <f t="shared" si="46"/>
        <v>Friday</v>
      </c>
      <c r="ES14" s="231" t="s">
        <v>1086</v>
      </c>
      <c r="ET14" s="79">
        <v>42184</v>
      </c>
      <c r="EU14" s="233" t="str">
        <f t="shared" si="47"/>
        <v>Monday</v>
      </c>
      <c r="EV14" s="223" t="s">
        <v>1087</v>
      </c>
      <c r="EW14" s="79">
        <v>42118</v>
      </c>
      <c r="EX14" s="226" t="str">
        <f t="shared" si="48"/>
        <v>Friday</v>
      </c>
      <c r="EY14" s="231" t="s">
        <v>1088</v>
      </c>
      <c r="EZ14" s="79">
        <v>42049</v>
      </c>
      <c r="FA14" s="236" t="str">
        <f t="shared" si="49"/>
        <v>Saturday</v>
      </c>
      <c r="FB14" s="223" t="s">
        <v>1089</v>
      </c>
      <c r="FC14" s="79">
        <v>41975</v>
      </c>
      <c r="FD14" s="221" t="str">
        <f t="shared" si="50"/>
        <v>Tuesday</v>
      </c>
      <c r="FE14" s="223" t="s">
        <v>1090</v>
      </c>
      <c r="FF14" s="79">
        <v>41836</v>
      </c>
      <c r="FG14" s="227" t="str">
        <f t="shared" si="51"/>
        <v>Wednesday</v>
      </c>
      <c r="FH14" s="223" t="s">
        <v>1091</v>
      </c>
      <c r="FI14" s="79">
        <v>41781</v>
      </c>
      <c r="FJ14" s="224" t="str">
        <f t="shared" si="52"/>
        <v>Thursday</v>
      </c>
      <c r="FK14" s="74"/>
      <c r="FL14" s="79"/>
      <c r="FM14" s="74"/>
      <c r="FN14" s="74"/>
      <c r="FO14" s="79"/>
      <c r="FP14" s="74"/>
    </row>
    <row r="15" spans="1:172" ht="15" x14ac:dyDescent="0.25">
      <c r="A15" s="239" t="s">
        <v>1092</v>
      </c>
      <c r="B15" s="211">
        <f t="shared" si="56"/>
        <v>15</v>
      </c>
      <c r="C15" s="240">
        <f>B15*3/B16</f>
        <v>4.1860465116279069E-2</v>
      </c>
      <c r="D15" s="74"/>
      <c r="E15" s="234"/>
      <c r="F15" s="84"/>
      <c r="G15" s="74"/>
      <c r="H15" s="234"/>
      <c r="I15" s="84"/>
      <c r="J15" s="74"/>
      <c r="K15" s="223" t="s">
        <v>1093</v>
      </c>
      <c r="L15" s="84">
        <v>45597</v>
      </c>
      <c r="M15" s="218" t="str">
        <f t="shared" si="1"/>
        <v>Friday</v>
      </c>
      <c r="N15" s="223" t="s">
        <v>1094</v>
      </c>
      <c r="O15" s="84">
        <v>45540</v>
      </c>
      <c r="P15" s="218" t="str">
        <f t="shared" si="2"/>
        <v>Thursday</v>
      </c>
      <c r="Q15" s="223" t="s">
        <v>1095</v>
      </c>
      <c r="R15" s="237">
        <v>45450</v>
      </c>
      <c r="S15" s="245" t="str">
        <f t="shared" si="3"/>
        <v>Friday</v>
      </c>
      <c r="T15" s="223" t="s">
        <v>1096</v>
      </c>
      <c r="U15" s="84">
        <v>45358</v>
      </c>
      <c r="V15" s="218" t="str">
        <f t="shared" si="4"/>
        <v>Thursday</v>
      </c>
      <c r="W15" s="223" t="s">
        <v>1097</v>
      </c>
      <c r="X15" s="237">
        <v>45274</v>
      </c>
      <c r="Y15" s="245" t="str">
        <f t="shared" si="5"/>
        <v>Thursday</v>
      </c>
      <c r="Z15" s="234"/>
      <c r="AA15" s="84"/>
      <c r="AB15" s="74"/>
      <c r="AC15" s="223" t="s">
        <v>1098</v>
      </c>
      <c r="AD15" s="84">
        <v>45174</v>
      </c>
      <c r="AE15" s="218" t="str">
        <f t="shared" si="7"/>
        <v>Tuesday</v>
      </c>
      <c r="AF15" s="223" t="s">
        <v>1099</v>
      </c>
      <c r="AG15" s="84">
        <v>45069</v>
      </c>
      <c r="AH15" s="218" t="str">
        <f t="shared" si="8"/>
        <v>Tuesday</v>
      </c>
      <c r="AI15" s="223" t="s">
        <v>1100</v>
      </c>
      <c r="AJ15" s="237">
        <v>44986</v>
      </c>
      <c r="AK15" s="245" t="str">
        <f t="shared" si="9"/>
        <v>Wednesday</v>
      </c>
      <c r="AL15" s="223" t="s">
        <v>1101</v>
      </c>
      <c r="AM15" s="237">
        <v>44910</v>
      </c>
      <c r="AN15" s="253" t="str">
        <f t="shared" si="10"/>
        <v>Thursday</v>
      </c>
      <c r="AO15" s="234"/>
      <c r="AP15" s="84"/>
      <c r="AQ15" s="74"/>
      <c r="AR15" s="223" t="s">
        <v>1102</v>
      </c>
      <c r="AS15" s="84">
        <v>44806</v>
      </c>
      <c r="AT15" s="246" t="str">
        <f t="shared" si="12"/>
        <v>Friday</v>
      </c>
      <c r="AU15" s="220" t="s">
        <v>1103</v>
      </c>
      <c r="AV15" s="84">
        <v>44718</v>
      </c>
      <c r="AW15" s="241" t="str">
        <f t="shared" si="13"/>
        <v>Monday</v>
      </c>
      <c r="AX15" s="220" t="str">
        <f>HYPERLINK("https://warthunder.com/en/news/7604-development-puma-a-muss-have-en", "Puma")</f>
        <v>Puma</v>
      </c>
      <c r="AY15" s="84">
        <v>44636</v>
      </c>
      <c r="AZ15" s="218" t="str">
        <f t="shared" si="14"/>
        <v>Wednesday</v>
      </c>
      <c r="BA15" s="220" t="s">
        <v>1104</v>
      </c>
      <c r="BB15" s="84">
        <v>44543</v>
      </c>
      <c r="BC15" s="250" t="str">
        <f t="shared" si="15"/>
        <v>Monday</v>
      </c>
      <c r="BD15" s="225"/>
      <c r="BE15" s="84"/>
      <c r="BF15" s="243"/>
      <c r="BG15" s="220" t="s">
        <v>1105</v>
      </c>
      <c r="BH15" s="84">
        <v>44441</v>
      </c>
      <c r="BI15" s="226" t="str">
        <f t="shared" si="17"/>
        <v>Thursday</v>
      </c>
      <c r="BJ15" s="220" t="s">
        <v>1106</v>
      </c>
      <c r="BK15" s="84">
        <v>44342</v>
      </c>
      <c r="BL15" s="218" t="str">
        <f t="shared" si="18"/>
        <v>Wednesday</v>
      </c>
      <c r="BM15" s="223" t="s">
        <v>1107</v>
      </c>
      <c r="BN15" s="84">
        <v>44259</v>
      </c>
      <c r="BO15" s="243" t="str">
        <f t="shared" si="19"/>
        <v>Thursday</v>
      </c>
      <c r="BP15" s="254"/>
      <c r="BQ15" s="79"/>
      <c r="BR15" s="74"/>
      <c r="BS15" s="235" t="s">
        <v>1108</v>
      </c>
      <c r="BT15" s="79">
        <v>44138</v>
      </c>
      <c r="BU15" s="221" t="str">
        <f t="shared" si="21"/>
        <v>Tuesday</v>
      </c>
      <c r="BV15" s="74"/>
      <c r="BW15" s="74"/>
      <c r="BX15" s="74"/>
      <c r="BY15" s="235" t="s">
        <v>1109</v>
      </c>
      <c r="BZ15" s="79">
        <v>43970</v>
      </c>
      <c r="CA15" s="221" t="str">
        <f t="shared" si="23"/>
        <v>Tuesday</v>
      </c>
      <c r="CB15" s="235" t="s">
        <v>1110</v>
      </c>
      <c r="CC15" s="79">
        <v>43893</v>
      </c>
      <c r="CD15" s="221" t="str">
        <f t="shared" si="24"/>
        <v>Tuesday</v>
      </c>
      <c r="CE15" s="235" t="s">
        <v>1111</v>
      </c>
      <c r="CF15" s="79">
        <v>43811</v>
      </c>
      <c r="CG15" s="224" t="str">
        <f t="shared" si="25"/>
        <v>Thursday</v>
      </c>
      <c r="CH15" s="225" t="s">
        <v>1112</v>
      </c>
      <c r="CI15" s="79">
        <v>43766</v>
      </c>
      <c r="CJ15" s="233" t="str">
        <f t="shared" si="26"/>
        <v>Monday</v>
      </c>
      <c r="CK15" s="220" t="s">
        <v>1113</v>
      </c>
      <c r="CL15" s="79">
        <v>43706</v>
      </c>
      <c r="CM15" s="224" t="str">
        <f t="shared" si="27"/>
        <v>Thursday</v>
      </c>
      <c r="CN15" s="225" t="s">
        <v>1114</v>
      </c>
      <c r="CO15" s="79">
        <v>43606</v>
      </c>
      <c r="CP15" s="230" t="str">
        <f t="shared" si="28"/>
        <v>Tuesday</v>
      </c>
      <c r="CQ15" s="220" t="s">
        <v>1115</v>
      </c>
      <c r="CR15" s="79">
        <v>43525</v>
      </c>
      <c r="CS15" s="226" t="str">
        <f t="shared" si="29"/>
        <v>Friday</v>
      </c>
      <c r="CT15" s="220" t="s">
        <v>1116</v>
      </c>
      <c r="CU15" s="79">
        <v>43446</v>
      </c>
      <c r="CV15" s="227" t="str">
        <f t="shared" si="30"/>
        <v>Wednesday</v>
      </c>
      <c r="CW15" s="74"/>
      <c r="CX15" s="74"/>
      <c r="CY15" s="74"/>
      <c r="CZ15" s="220" t="s">
        <v>1117</v>
      </c>
      <c r="DA15" s="79">
        <v>43348</v>
      </c>
      <c r="DB15" s="227" t="str">
        <f t="shared" si="32"/>
        <v>Wednesday</v>
      </c>
      <c r="DC15" s="220" t="s">
        <v>1118</v>
      </c>
      <c r="DD15" s="79">
        <v>43252</v>
      </c>
      <c r="DE15" s="226" t="str">
        <f t="shared" si="33"/>
        <v>Friday</v>
      </c>
      <c r="DF15" s="220" t="s">
        <v>1119</v>
      </c>
      <c r="DG15" s="79">
        <v>43155</v>
      </c>
      <c r="DH15" s="228" t="str">
        <f t="shared" si="34"/>
        <v>Saturday</v>
      </c>
      <c r="DI15" s="220" t="s">
        <v>1120</v>
      </c>
      <c r="DJ15" s="79">
        <v>43087</v>
      </c>
      <c r="DK15" s="218" t="str">
        <f t="shared" si="35"/>
        <v>Monday</v>
      </c>
      <c r="DL15" s="74"/>
      <c r="DM15" s="252"/>
      <c r="DN15" s="74"/>
      <c r="DO15" s="220" t="s">
        <v>1121</v>
      </c>
      <c r="DP15" s="79">
        <v>42979</v>
      </c>
      <c r="DQ15" s="226" t="str">
        <f t="shared" si="37"/>
        <v>Friday</v>
      </c>
      <c r="DR15" s="225" t="s">
        <v>1122</v>
      </c>
      <c r="DS15" s="79">
        <v>42878</v>
      </c>
      <c r="DT15" s="230" t="str">
        <f t="shared" si="38"/>
        <v>Tuesday</v>
      </c>
      <c r="DU15" s="220" t="s">
        <v>1123</v>
      </c>
      <c r="DV15" s="79">
        <v>42797</v>
      </c>
      <c r="DW15" s="226" t="str">
        <f t="shared" si="39"/>
        <v>Friday</v>
      </c>
      <c r="DX15" s="220" t="s">
        <v>1124</v>
      </c>
      <c r="DY15" s="79">
        <v>42709</v>
      </c>
      <c r="DZ15" s="218" t="str">
        <f t="shared" si="40"/>
        <v>Monday</v>
      </c>
      <c r="EA15" s="223" t="s">
        <v>1125</v>
      </c>
      <c r="EB15" s="79">
        <v>42632</v>
      </c>
      <c r="EC15" s="218" t="str">
        <f t="shared" si="41"/>
        <v>Monday</v>
      </c>
      <c r="ED15" s="74"/>
      <c r="EE15" s="252"/>
      <c r="EF15" s="74"/>
      <c r="EG15" s="220" t="s">
        <v>1126</v>
      </c>
      <c r="EH15" s="79">
        <v>42514</v>
      </c>
      <c r="EI15" s="221" t="str">
        <f t="shared" si="43"/>
        <v>Tuesday</v>
      </c>
      <c r="EJ15" s="223" t="s">
        <v>1127</v>
      </c>
      <c r="EK15" s="79">
        <v>42424</v>
      </c>
      <c r="EL15" s="227" t="str">
        <f t="shared" si="44"/>
        <v>Wednesday</v>
      </c>
      <c r="EM15" s="231" t="s">
        <v>1128</v>
      </c>
      <c r="EN15" s="79">
        <v>42352</v>
      </c>
      <c r="EO15" s="233" t="str">
        <f t="shared" si="45"/>
        <v>Monday</v>
      </c>
      <c r="EP15" s="223" t="s">
        <v>1129</v>
      </c>
      <c r="EQ15" s="79">
        <v>42254</v>
      </c>
      <c r="ER15" s="227" t="str">
        <f t="shared" si="46"/>
        <v>Monday</v>
      </c>
      <c r="ES15" s="231" t="s">
        <v>1130</v>
      </c>
      <c r="ET15" s="79">
        <v>42184</v>
      </c>
      <c r="EU15" s="233" t="str">
        <f t="shared" si="47"/>
        <v>Monday</v>
      </c>
      <c r="EV15" s="223" t="s">
        <v>1131</v>
      </c>
      <c r="EW15" s="79">
        <v>42119</v>
      </c>
      <c r="EX15" s="228" t="str">
        <f t="shared" si="48"/>
        <v>Saturday</v>
      </c>
      <c r="EY15" s="231" t="s">
        <v>1132</v>
      </c>
      <c r="EZ15" s="79">
        <v>42051</v>
      </c>
      <c r="FA15" s="233" t="str">
        <f t="shared" si="49"/>
        <v>Monday</v>
      </c>
      <c r="FB15" s="223" t="s">
        <v>1133</v>
      </c>
      <c r="FC15" s="79">
        <v>41975</v>
      </c>
      <c r="FD15" s="221" t="str">
        <f t="shared" si="50"/>
        <v>Tuesday</v>
      </c>
      <c r="FE15" s="220" t="s">
        <v>1134</v>
      </c>
      <c r="FF15" s="79">
        <v>41837</v>
      </c>
      <c r="FG15" s="224" t="str">
        <f t="shared" si="51"/>
        <v>Thursday</v>
      </c>
      <c r="FH15" s="223" t="s">
        <v>1135</v>
      </c>
      <c r="FI15" s="79">
        <v>41786</v>
      </c>
      <c r="FJ15" s="221" t="str">
        <f t="shared" si="52"/>
        <v>Tuesday</v>
      </c>
      <c r="FK15" s="74"/>
      <c r="FL15" s="79"/>
      <c r="FM15" s="74"/>
      <c r="FN15" s="74"/>
      <c r="FO15" s="79"/>
      <c r="FP15" s="74"/>
    </row>
    <row r="16" spans="1:172" ht="15" x14ac:dyDescent="0.25">
      <c r="A16" s="255" t="s">
        <v>1136</v>
      </c>
      <c r="B16" s="114">
        <f>COUNTIF(D2:FP45,"&gt;10000")</f>
        <v>1075</v>
      </c>
      <c r="C16" s="74"/>
      <c r="D16" s="74"/>
      <c r="E16" s="234"/>
      <c r="F16" s="84"/>
      <c r="G16" s="74"/>
      <c r="H16" s="234"/>
      <c r="I16" s="84"/>
      <c r="J16" s="74"/>
      <c r="K16" s="223" t="s">
        <v>1137</v>
      </c>
      <c r="L16" s="84">
        <v>45601</v>
      </c>
      <c r="M16" s="218" t="str">
        <f t="shared" si="1"/>
        <v>Tuesday</v>
      </c>
      <c r="N16" s="223" t="s">
        <v>1138</v>
      </c>
      <c r="O16" s="84">
        <v>45541</v>
      </c>
      <c r="P16" s="218" t="str">
        <f t="shared" si="2"/>
        <v>Friday</v>
      </c>
      <c r="Q16" s="223" t="s">
        <v>1139</v>
      </c>
      <c r="R16" s="237">
        <v>45453</v>
      </c>
      <c r="S16" s="245" t="str">
        <f t="shared" si="3"/>
        <v>Monday</v>
      </c>
      <c r="T16" s="223" t="s">
        <v>1140</v>
      </c>
      <c r="U16" s="84">
        <v>45358</v>
      </c>
      <c r="V16" s="218" t="str">
        <f t="shared" si="4"/>
        <v>Thursday</v>
      </c>
      <c r="W16" s="223" t="s">
        <v>1141</v>
      </c>
      <c r="X16" s="237">
        <v>45279</v>
      </c>
      <c r="Y16" s="245" t="str">
        <f t="shared" si="5"/>
        <v>Tuesday</v>
      </c>
      <c r="Z16" s="234"/>
      <c r="AA16" s="84"/>
      <c r="AB16" s="74"/>
      <c r="AC16" s="223" t="s">
        <v>1142</v>
      </c>
      <c r="AD16" s="84">
        <v>45175</v>
      </c>
      <c r="AE16" s="218" t="str">
        <f t="shared" si="7"/>
        <v>Wednesday</v>
      </c>
      <c r="AF16" s="223" t="s">
        <v>1143</v>
      </c>
      <c r="AG16" s="84">
        <v>45070</v>
      </c>
      <c r="AH16" s="218" t="str">
        <f t="shared" si="8"/>
        <v>Wednesday</v>
      </c>
      <c r="AI16" s="223" t="s">
        <v>1144</v>
      </c>
      <c r="AJ16" s="237">
        <v>44986</v>
      </c>
      <c r="AK16" s="245" t="str">
        <f t="shared" si="9"/>
        <v>Wednesday</v>
      </c>
      <c r="AL16" s="223" t="s">
        <v>1145</v>
      </c>
      <c r="AM16" s="237">
        <v>44914</v>
      </c>
      <c r="AN16" s="253" t="str">
        <f t="shared" si="10"/>
        <v>Monday</v>
      </c>
      <c r="AO16" s="234"/>
      <c r="AP16" s="84"/>
      <c r="AQ16" s="74"/>
      <c r="AR16" s="223" t="s">
        <v>1146</v>
      </c>
      <c r="AS16" s="84">
        <v>44809</v>
      </c>
      <c r="AT16" s="246" t="str">
        <f t="shared" si="12"/>
        <v>Monday</v>
      </c>
      <c r="AU16" s="220" t="s">
        <v>1147</v>
      </c>
      <c r="AV16" s="84">
        <v>44720</v>
      </c>
      <c r="AW16" s="241" t="str">
        <f t="shared" si="13"/>
        <v>Wednesday</v>
      </c>
      <c r="AX16" s="220" t="s">
        <v>1148</v>
      </c>
      <c r="AY16" s="84">
        <v>44637</v>
      </c>
      <c r="AZ16" s="227" t="str">
        <f t="shared" si="14"/>
        <v>Thursday</v>
      </c>
      <c r="BA16" s="231" t="s">
        <v>1149</v>
      </c>
      <c r="BB16" s="84">
        <v>44546</v>
      </c>
      <c r="BC16" s="250" t="str">
        <f t="shared" si="15"/>
        <v>Thursday</v>
      </c>
      <c r="BD16" s="225"/>
      <c r="BE16" s="84"/>
      <c r="BF16" s="243"/>
      <c r="BG16" s="220" t="s">
        <v>1150</v>
      </c>
      <c r="BH16" s="84">
        <v>44442</v>
      </c>
      <c r="BI16" s="218" t="str">
        <f t="shared" si="17"/>
        <v>Friday</v>
      </c>
      <c r="BJ16" s="220" t="s">
        <v>1151</v>
      </c>
      <c r="BK16" s="84">
        <v>44343</v>
      </c>
      <c r="BL16" s="218" t="str">
        <f t="shared" si="18"/>
        <v>Thursday</v>
      </c>
      <c r="BM16" s="220" t="s">
        <v>1152</v>
      </c>
      <c r="BN16" s="84">
        <v>44260</v>
      </c>
      <c r="BO16" s="243" t="str">
        <f t="shared" si="19"/>
        <v>Friday</v>
      </c>
      <c r="BP16" s="74"/>
      <c r="BQ16" s="79"/>
      <c r="BR16" s="74"/>
      <c r="BS16" s="235" t="s">
        <v>1153</v>
      </c>
      <c r="BT16" s="79">
        <v>44139</v>
      </c>
      <c r="BU16" s="227" t="str">
        <f t="shared" si="21"/>
        <v>Wednesday</v>
      </c>
      <c r="BV16" s="74"/>
      <c r="BW16" s="74"/>
      <c r="BX16" s="74"/>
      <c r="BY16" s="235" t="s">
        <v>1154</v>
      </c>
      <c r="BZ16" s="79">
        <v>43971</v>
      </c>
      <c r="CA16" s="227" t="str">
        <f t="shared" si="23"/>
        <v>Wednesday</v>
      </c>
      <c r="CB16" s="235" t="s">
        <v>1155</v>
      </c>
      <c r="CC16" s="79">
        <v>43894</v>
      </c>
      <c r="CD16" s="227" t="str">
        <f t="shared" si="24"/>
        <v>Wednesday</v>
      </c>
      <c r="CE16" s="235" t="s">
        <v>1156</v>
      </c>
      <c r="CF16" s="79">
        <v>43812</v>
      </c>
      <c r="CG16" s="226" t="str">
        <f t="shared" si="25"/>
        <v>Friday</v>
      </c>
      <c r="CH16" s="225" t="s">
        <v>1157</v>
      </c>
      <c r="CI16" s="79">
        <v>43769</v>
      </c>
      <c r="CJ16" s="232" t="str">
        <f t="shared" si="26"/>
        <v>Thursday</v>
      </c>
      <c r="CK16" s="223" t="s">
        <v>1158</v>
      </c>
      <c r="CL16" s="79">
        <v>43706</v>
      </c>
      <c r="CM16" s="224" t="str">
        <f t="shared" si="27"/>
        <v>Thursday</v>
      </c>
      <c r="CN16" s="225" t="s">
        <v>1159</v>
      </c>
      <c r="CO16" s="79">
        <v>43607</v>
      </c>
      <c r="CP16" s="229" t="str">
        <f t="shared" si="28"/>
        <v>Wednesday</v>
      </c>
      <c r="CQ16" s="220" t="s">
        <v>1160</v>
      </c>
      <c r="CR16" s="79">
        <v>43526</v>
      </c>
      <c r="CS16" s="228" t="str">
        <f t="shared" si="29"/>
        <v>Saturday</v>
      </c>
      <c r="CT16" s="220" t="s">
        <v>1161</v>
      </c>
      <c r="CU16" s="79">
        <v>43446</v>
      </c>
      <c r="CV16" s="227" t="str">
        <f t="shared" si="30"/>
        <v>Wednesday</v>
      </c>
      <c r="CW16" s="74"/>
      <c r="CX16" s="74"/>
      <c r="CY16" s="74"/>
      <c r="CZ16" s="220" t="s">
        <v>1162</v>
      </c>
      <c r="DA16" s="79">
        <v>43350</v>
      </c>
      <c r="DB16" s="226" t="str">
        <f t="shared" si="32"/>
        <v>Friday</v>
      </c>
      <c r="DC16" s="220" t="s">
        <v>1163</v>
      </c>
      <c r="DD16" s="79">
        <v>43253</v>
      </c>
      <c r="DE16" s="228" t="str">
        <f t="shared" si="33"/>
        <v>Saturday</v>
      </c>
      <c r="DF16" s="220" t="s">
        <v>1164</v>
      </c>
      <c r="DG16" s="79">
        <v>43158</v>
      </c>
      <c r="DH16" s="221" t="str">
        <f t="shared" si="34"/>
        <v>Tuesday</v>
      </c>
      <c r="DI16" s="74"/>
      <c r="DJ16" s="252"/>
      <c r="DK16" s="74"/>
      <c r="DL16" s="74"/>
      <c r="DM16" s="74"/>
      <c r="DN16" s="74"/>
      <c r="DO16" s="220" t="s">
        <v>1165</v>
      </c>
      <c r="DP16" s="79">
        <v>42979</v>
      </c>
      <c r="DQ16" s="226" t="str">
        <f t="shared" si="37"/>
        <v>Friday</v>
      </c>
      <c r="DR16" s="225" t="s">
        <v>1166</v>
      </c>
      <c r="DS16" s="79">
        <v>42879</v>
      </c>
      <c r="DT16" s="229" t="str">
        <f t="shared" si="38"/>
        <v>Wednesday</v>
      </c>
      <c r="DU16" s="220" t="s">
        <v>1167</v>
      </c>
      <c r="DV16" s="79">
        <v>42798</v>
      </c>
      <c r="DW16" s="228" t="str">
        <f t="shared" si="39"/>
        <v>Saturday</v>
      </c>
      <c r="DX16" s="220" t="s">
        <v>1168</v>
      </c>
      <c r="DY16" s="79">
        <v>42711</v>
      </c>
      <c r="DZ16" s="227" t="str">
        <f t="shared" si="40"/>
        <v>Wednesday</v>
      </c>
      <c r="EA16" s="220" t="s">
        <v>1169</v>
      </c>
      <c r="EB16" s="79">
        <v>42635</v>
      </c>
      <c r="EC16" s="224" t="str">
        <f t="shared" si="41"/>
        <v>Thursday</v>
      </c>
      <c r="ED16" s="74"/>
      <c r="EE16" s="252"/>
      <c r="EF16" s="74"/>
      <c r="EG16" s="220" t="s">
        <v>1170</v>
      </c>
      <c r="EH16" s="79">
        <v>42515</v>
      </c>
      <c r="EI16" s="227" t="str">
        <f t="shared" si="43"/>
        <v>Wednesday</v>
      </c>
      <c r="EJ16" s="223" t="s">
        <v>1171</v>
      </c>
      <c r="EK16" s="79">
        <v>42424</v>
      </c>
      <c r="EL16" s="227" t="str">
        <f t="shared" si="44"/>
        <v>Wednesday</v>
      </c>
      <c r="EM16" s="231" t="s">
        <v>1172</v>
      </c>
      <c r="EN16" s="79">
        <v>42352</v>
      </c>
      <c r="EO16" s="233" t="str">
        <f t="shared" si="45"/>
        <v>Monday</v>
      </c>
      <c r="EP16" s="223" t="s">
        <v>1173</v>
      </c>
      <c r="EQ16" s="79">
        <v>42256</v>
      </c>
      <c r="ER16" s="227" t="str">
        <f t="shared" si="46"/>
        <v>Wednesday</v>
      </c>
      <c r="ES16" s="251"/>
      <c r="ET16" s="79"/>
      <c r="EU16" s="74"/>
      <c r="EV16" s="223" t="s">
        <v>1174</v>
      </c>
      <c r="EW16" s="79">
        <v>42119</v>
      </c>
      <c r="EX16" s="228" t="str">
        <f t="shared" si="48"/>
        <v>Saturday</v>
      </c>
      <c r="EY16" s="231" t="s">
        <v>1175</v>
      </c>
      <c r="EZ16" s="79">
        <v>42053</v>
      </c>
      <c r="FA16" s="229" t="str">
        <f t="shared" si="49"/>
        <v>Wednesday</v>
      </c>
      <c r="FB16" s="223" t="s">
        <v>1176</v>
      </c>
      <c r="FC16" s="79">
        <v>41976</v>
      </c>
      <c r="FD16" s="227" t="str">
        <f t="shared" si="50"/>
        <v>Wednesday</v>
      </c>
      <c r="FE16" s="220" t="s">
        <v>1177</v>
      </c>
      <c r="FF16" s="79">
        <v>41838</v>
      </c>
      <c r="FG16" s="226" t="str">
        <f t="shared" si="51"/>
        <v>Friday</v>
      </c>
      <c r="FH16" s="223" t="s">
        <v>1178</v>
      </c>
      <c r="FI16" s="79">
        <v>41788</v>
      </c>
      <c r="FJ16" s="224" t="str">
        <f t="shared" si="52"/>
        <v>Thursday</v>
      </c>
      <c r="FK16" s="74"/>
      <c r="FL16" s="79"/>
      <c r="FM16" s="74"/>
      <c r="FN16" s="74"/>
      <c r="FO16" s="79"/>
      <c r="FP16" s="74"/>
    </row>
    <row r="17" spans="1:172" ht="15" x14ac:dyDescent="0.25">
      <c r="A17" s="74"/>
      <c r="B17" s="74"/>
      <c r="C17" s="74"/>
      <c r="D17" s="74"/>
      <c r="E17" s="234"/>
      <c r="F17" s="84"/>
      <c r="G17" s="74"/>
      <c r="H17" s="234"/>
      <c r="I17" s="84"/>
      <c r="J17" s="74"/>
      <c r="K17" s="223" t="s">
        <v>1179</v>
      </c>
      <c r="L17" s="84">
        <v>45601</v>
      </c>
      <c r="M17" s="218" t="str">
        <f t="shared" si="1"/>
        <v>Tuesday</v>
      </c>
      <c r="N17" s="223" t="s">
        <v>1180</v>
      </c>
      <c r="O17" s="84">
        <v>45541</v>
      </c>
      <c r="P17" s="218" t="str">
        <f t="shared" si="2"/>
        <v>Friday</v>
      </c>
      <c r="Q17" s="223" t="s">
        <v>1181</v>
      </c>
      <c r="R17" s="237">
        <v>45454</v>
      </c>
      <c r="S17" s="245" t="str">
        <f t="shared" si="3"/>
        <v>Tuesday</v>
      </c>
      <c r="T17" s="223" t="s">
        <v>1182</v>
      </c>
      <c r="U17" s="84">
        <v>45359</v>
      </c>
      <c r="V17" s="218" t="str">
        <f t="shared" si="4"/>
        <v>Friday</v>
      </c>
      <c r="W17" s="223" t="s">
        <v>1183</v>
      </c>
      <c r="X17" s="237">
        <v>45280</v>
      </c>
      <c r="Y17" s="245" t="str">
        <f t="shared" si="5"/>
        <v>Wednesday</v>
      </c>
      <c r="Z17" s="234"/>
      <c r="AA17" s="84"/>
      <c r="AB17" s="74"/>
      <c r="AC17" s="223" t="s">
        <v>1184</v>
      </c>
      <c r="AD17" s="84">
        <v>45175</v>
      </c>
      <c r="AE17" s="218" t="str">
        <f t="shared" si="7"/>
        <v>Wednesday</v>
      </c>
      <c r="AF17" s="223" t="s">
        <v>1185</v>
      </c>
      <c r="AG17" s="84">
        <v>45071</v>
      </c>
      <c r="AH17" s="218" t="str">
        <f t="shared" si="8"/>
        <v>Thursday</v>
      </c>
      <c r="AI17" s="223" t="s">
        <v>1186</v>
      </c>
      <c r="AJ17" s="237">
        <v>44987</v>
      </c>
      <c r="AK17" s="245" t="str">
        <f t="shared" si="9"/>
        <v>Thursday</v>
      </c>
      <c r="AL17" s="223" t="s">
        <v>1187</v>
      </c>
      <c r="AM17" s="237">
        <v>44914</v>
      </c>
      <c r="AN17" s="253" t="str">
        <f t="shared" si="10"/>
        <v>Monday</v>
      </c>
      <c r="AO17" s="234"/>
      <c r="AP17" s="84"/>
      <c r="AQ17" s="74"/>
      <c r="AR17" s="223" t="s">
        <v>1188</v>
      </c>
      <c r="AS17" s="84">
        <v>44810</v>
      </c>
      <c r="AT17" s="246" t="str">
        <f t="shared" si="12"/>
        <v>Tuesday</v>
      </c>
      <c r="AU17" s="220" t="s">
        <v>1189</v>
      </c>
      <c r="AV17" s="84">
        <v>44721</v>
      </c>
      <c r="AW17" s="241" t="str">
        <f t="shared" si="13"/>
        <v>Thursday</v>
      </c>
      <c r="AX17" s="220" t="s">
        <v>1190</v>
      </c>
      <c r="AY17" s="84">
        <v>44637</v>
      </c>
      <c r="AZ17" s="227" t="str">
        <f t="shared" si="14"/>
        <v>Thursday</v>
      </c>
      <c r="BA17" s="225"/>
      <c r="BB17" s="84"/>
      <c r="BC17" s="74"/>
      <c r="BD17" s="225"/>
      <c r="BE17" s="84"/>
      <c r="BF17" s="243"/>
      <c r="BG17" s="220" t="s">
        <v>1191</v>
      </c>
      <c r="BH17" s="84">
        <v>44442</v>
      </c>
      <c r="BI17" s="221" t="str">
        <f t="shared" si="17"/>
        <v>Friday</v>
      </c>
      <c r="BJ17" s="220" t="s">
        <v>1192</v>
      </c>
      <c r="BK17" s="84">
        <v>44343</v>
      </c>
      <c r="BL17" s="218" t="str">
        <f t="shared" si="18"/>
        <v>Thursday</v>
      </c>
      <c r="BM17" s="220" t="s">
        <v>1193</v>
      </c>
      <c r="BN17" s="84">
        <v>44263</v>
      </c>
      <c r="BO17" s="243" t="str">
        <f t="shared" si="19"/>
        <v>Monday</v>
      </c>
      <c r="BP17" s="74"/>
      <c r="BQ17" s="79"/>
      <c r="BR17" s="74"/>
      <c r="BS17" s="235" t="s">
        <v>1194</v>
      </c>
      <c r="BT17" s="79">
        <v>44140</v>
      </c>
      <c r="BU17" s="224" t="str">
        <f t="shared" si="21"/>
        <v>Thursday</v>
      </c>
      <c r="BV17" s="74"/>
      <c r="BW17" s="74"/>
      <c r="BX17" s="74"/>
      <c r="BY17" s="235" t="s">
        <v>1195</v>
      </c>
      <c r="BZ17" s="79">
        <v>43971</v>
      </c>
      <c r="CA17" s="227" t="str">
        <f t="shared" si="23"/>
        <v>Wednesday</v>
      </c>
      <c r="CB17" s="235" t="s">
        <v>1196</v>
      </c>
      <c r="CC17" s="79">
        <v>43894</v>
      </c>
      <c r="CD17" s="227" t="str">
        <f t="shared" si="24"/>
        <v>Wednesday</v>
      </c>
      <c r="CE17" s="235" t="s">
        <v>1197</v>
      </c>
      <c r="CF17" s="79">
        <v>43815</v>
      </c>
      <c r="CG17" s="218" t="str">
        <f t="shared" si="25"/>
        <v>Monday</v>
      </c>
      <c r="CH17" s="74"/>
      <c r="CI17" s="74"/>
      <c r="CJ17" s="74"/>
      <c r="CK17" s="220" t="s">
        <v>1198</v>
      </c>
      <c r="CL17" s="79">
        <v>43707</v>
      </c>
      <c r="CM17" s="226" t="str">
        <f t="shared" si="27"/>
        <v>Friday</v>
      </c>
      <c r="CN17" s="225" t="s">
        <v>1199</v>
      </c>
      <c r="CO17" s="79">
        <v>43607</v>
      </c>
      <c r="CP17" s="229" t="str">
        <f t="shared" si="28"/>
        <v>Wednesday</v>
      </c>
      <c r="CQ17" s="220" t="s">
        <v>1200</v>
      </c>
      <c r="CR17" s="79">
        <v>43526</v>
      </c>
      <c r="CS17" s="228" t="str">
        <f t="shared" si="29"/>
        <v>Saturday</v>
      </c>
      <c r="CT17" s="220" t="s">
        <v>1201</v>
      </c>
      <c r="CU17" s="79">
        <v>43446</v>
      </c>
      <c r="CV17" s="227" t="str">
        <f t="shared" si="30"/>
        <v>Wednesday</v>
      </c>
      <c r="CW17" s="74"/>
      <c r="CX17" s="74"/>
      <c r="CY17" s="74"/>
      <c r="CZ17" s="220" t="s">
        <v>1202</v>
      </c>
      <c r="DA17" s="79">
        <v>43350</v>
      </c>
      <c r="DB17" s="226" t="str">
        <f t="shared" si="32"/>
        <v>Friday</v>
      </c>
      <c r="DC17" s="220" t="s">
        <v>1203</v>
      </c>
      <c r="DD17" s="79">
        <v>43255</v>
      </c>
      <c r="DE17" s="218" t="str">
        <f t="shared" si="33"/>
        <v>Monday</v>
      </c>
      <c r="DF17" s="220" t="s">
        <v>1204</v>
      </c>
      <c r="DG17" s="79">
        <v>43159</v>
      </c>
      <c r="DH17" s="227" t="str">
        <f t="shared" si="34"/>
        <v>Wednesday</v>
      </c>
      <c r="DI17" s="74"/>
      <c r="DJ17" s="252"/>
      <c r="DK17" s="74"/>
      <c r="DL17" s="74"/>
      <c r="DM17" s="74"/>
      <c r="DN17" s="74"/>
      <c r="DO17" s="220" t="s">
        <v>1205</v>
      </c>
      <c r="DP17" s="79">
        <v>42983</v>
      </c>
      <c r="DQ17" s="221" t="str">
        <f t="shared" si="37"/>
        <v>Tuesday</v>
      </c>
      <c r="DR17" s="225" t="s">
        <v>1206</v>
      </c>
      <c r="DS17" s="79">
        <v>42879</v>
      </c>
      <c r="DT17" s="229" t="str">
        <f t="shared" si="38"/>
        <v>Wednesday</v>
      </c>
      <c r="DU17" s="220" t="s">
        <v>1207</v>
      </c>
      <c r="DV17" s="79">
        <v>42800</v>
      </c>
      <c r="DW17" s="218" t="str">
        <f t="shared" si="39"/>
        <v>Monday</v>
      </c>
      <c r="DX17" s="220" t="s">
        <v>1208</v>
      </c>
      <c r="DY17" s="79">
        <v>42712</v>
      </c>
      <c r="DZ17" s="224" t="str">
        <f t="shared" si="40"/>
        <v>Thursday</v>
      </c>
      <c r="EA17" s="220" t="s">
        <v>1209</v>
      </c>
      <c r="EB17" s="79">
        <v>42636</v>
      </c>
      <c r="EC17" s="226" t="str">
        <f t="shared" si="41"/>
        <v>Friday</v>
      </c>
      <c r="ED17" s="74"/>
      <c r="EE17" s="252"/>
      <c r="EF17" s="74"/>
      <c r="EG17" s="220" t="s">
        <v>1210</v>
      </c>
      <c r="EH17" s="79">
        <v>46167</v>
      </c>
      <c r="EI17" s="218" t="str">
        <f t="shared" si="43"/>
        <v>Monday</v>
      </c>
      <c r="EJ17" s="223" t="s">
        <v>1211</v>
      </c>
      <c r="EK17" s="79">
        <v>42425</v>
      </c>
      <c r="EL17" s="224" t="str">
        <f t="shared" si="44"/>
        <v>Thursday</v>
      </c>
      <c r="EM17" s="231" t="s">
        <v>1212</v>
      </c>
      <c r="EN17" s="79">
        <v>42362</v>
      </c>
      <c r="EO17" s="232" t="str">
        <f t="shared" si="45"/>
        <v>Thursday</v>
      </c>
      <c r="EP17" s="223" t="s">
        <v>1213</v>
      </c>
      <c r="EQ17" s="79">
        <v>42258</v>
      </c>
      <c r="ER17" s="226" t="str">
        <f t="shared" si="46"/>
        <v>Friday</v>
      </c>
      <c r="ES17" s="74"/>
      <c r="ET17" s="252"/>
      <c r="EU17" s="74"/>
      <c r="EV17" s="223" t="s">
        <v>1214</v>
      </c>
      <c r="EW17" s="79">
        <v>42121</v>
      </c>
      <c r="EX17" s="218" t="str">
        <f t="shared" si="48"/>
        <v>Monday</v>
      </c>
      <c r="EY17" s="231" t="s">
        <v>1215</v>
      </c>
      <c r="EZ17" s="79">
        <v>42055</v>
      </c>
      <c r="FA17" s="222" t="str">
        <f t="shared" si="49"/>
        <v>Friday</v>
      </c>
      <c r="FB17" s="223" t="s">
        <v>1216</v>
      </c>
      <c r="FC17" s="79">
        <v>41976</v>
      </c>
      <c r="FD17" s="227" t="str">
        <f t="shared" si="50"/>
        <v>Wednesday</v>
      </c>
      <c r="FE17" s="223" t="s">
        <v>1217</v>
      </c>
      <c r="FF17" s="79">
        <v>41844</v>
      </c>
      <c r="FG17" s="224" t="str">
        <f t="shared" si="51"/>
        <v>Thursday</v>
      </c>
      <c r="FH17" s="74"/>
      <c r="FI17" s="79"/>
      <c r="FJ17" s="74"/>
      <c r="FK17" s="74"/>
      <c r="FL17" s="79"/>
      <c r="FM17" s="74"/>
      <c r="FN17" s="74"/>
      <c r="FO17" s="79"/>
      <c r="FP17" s="74"/>
    </row>
    <row r="18" spans="1:172" ht="15" x14ac:dyDescent="0.25">
      <c r="A18" s="453" t="s">
        <v>1218</v>
      </c>
      <c r="B18" s="394"/>
      <c r="C18" s="395"/>
      <c r="D18" s="74"/>
      <c r="E18" s="234"/>
      <c r="F18" s="84"/>
      <c r="G18" s="74"/>
      <c r="H18" s="234"/>
      <c r="I18" s="84"/>
      <c r="J18" s="74"/>
      <c r="K18" s="223" t="s">
        <v>1219</v>
      </c>
      <c r="L18" s="84">
        <v>45602</v>
      </c>
      <c r="M18" s="218" t="str">
        <f t="shared" si="1"/>
        <v>Wednesday</v>
      </c>
      <c r="N18" s="223" t="s">
        <v>1220</v>
      </c>
      <c r="O18" s="84">
        <v>45544</v>
      </c>
      <c r="P18" s="218" t="str">
        <f t="shared" si="2"/>
        <v>Monday</v>
      </c>
      <c r="Q18" s="223" t="s">
        <v>1221</v>
      </c>
      <c r="R18" s="237">
        <v>45455</v>
      </c>
      <c r="S18" s="245" t="str">
        <f t="shared" si="3"/>
        <v>Wednesday</v>
      </c>
      <c r="T18" s="223" t="s">
        <v>1222</v>
      </c>
      <c r="U18" s="84">
        <v>45362</v>
      </c>
      <c r="V18" s="218" t="str">
        <f t="shared" si="4"/>
        <v>Monday</v>
      </c>
      <c r="W18" s="234"/>
      <c r="X18" s="84"/>
      <c r="Y18" s="74"/>
      <c r="Z18" s="74"/>
      <c r="AA18" s="84"/>
      <c r="AB18" s="74"/>
      <c r="AC18" s="223" t="s">
        <v>1223</v>
      </c>
      <c r="AD18" s="84">
        <v>45176</v>
      </c>
      <c r="AE18" s="218" t="str">
        <f t="shared" si="7"/>
        <v>Thursday</v>
      </c>
      <c r="AF18" s="223" t="s">
        <v>1224</v>
      </c>
      <c r="AG18" s="84">
        <v>45072</v>
      </c>
      <c r="AH18" s="218" t="str">
        <f t="shared" si="8"/>
        <v>Friday</v>
      </c>
      <c r="AI18" s="223" t="s">
        <v>1225</v>
      </c>
      <c r="AJ18" s="237">
        <v>44987</v>
      </c>
      <c r="AK18" s="245" t="str">
        <f t="shared" si="9"/>
        <v>Thursday</v>
      </c>
      <c r="AL18" s="223" t="s">
        <v>1226</v>
      </c>
      <c r="AM18" s="237">
        <v>44917</v>
      </c>
      <c r="AN18" s="253" t="str">
        <f t="shared" si="10"/>
        <v>Thursday</v>
      </c>
      <c r="AO18" s="234"/>
      <c r="AP18" s="84"/>
      <c r="AQ18" s="74"/>
      <c r="AR18" s="223" t="s">
        <v>1227</v>
      </c>
      <c r="AS18" s="84">
        <v>44811</v>
      </c>
      <c r="AT18" s="246" t="str">
        <f t="shared" si="12"/>
        <v>Wednesday</v>
      </c>
      <c r="AU18" s="220" t="s">
        <v>1228</v>
      </c>
      <c r="AV18" s="84">
        <v>44722</v>
      </c>
      <c r="AW18" s="241" t="str">
        <f t="shared" si="13"/>
        <v>Friday</v>
      </c>
      <c r="AX18" s="220" t="s">
        <v>1229</v>
      </c>
      <c r="AY18" s="84">
        <v>44641</v>
      </c>
      <c r="AZ18" s="227" t="str">
        <f t="shared" si="14"/>
        <v>Monday</v>
      </c>
      <c r="BA18" s="225"/>
      <c r="BB18" s="84"/>
      <c r="BC18" s="74"/>
      <c r="BD18" s="225"/>
      <c r="BE18" s="84"/>
      <c r="BF18" s="74"/>
      <c r="BG18" s="225"/>
      <c r="BH18" s="84"/>
      <c r="BI18" s="243"/>
      <c r="BJ18" s="220" t="s">
        <v>1230</v>
      </c>
      <c r="BK18" s="84">
        <v>44344</v>
      </c>
      <c r="BL18" s="218" t="str">
        <f t="shared" si="18"/>
        <v>Friday</v>
      </c>
      <c r="BM18" s="220" t="s">
        <v>1231</v>
      </c>
      <c r="BN18" s="84">
        <v>44264</v>
      </c>
      <c r="BO18" s="243" t="str">
        <f t="shared" si="19"/>
        <v>Tuesday</v>
      </c>
      <c r="BP18" s="74"/>
      <c r="BQ18" s="79"/>
      <c r="BR18" s="74"/>
      <c r="BS18" s="235" t="s">
        <v>1232</v>
      </c>
      <c r="BT18" s="79">
        <v>44141</v>
      </c>
      <c r="BU18" s="226" t="str">
        <f t="shared" si="21"/>
        <v>Friday</v>
      </c>
      <c r="BV18" s="74"/>
      <c r="BW18" s="74"/>
      <c r="BX18" s="74"/>
      <c r="BY18" s="235" t="s">
        <v>1233</v>
      </c>
      <c r="BZ18" s="79">
        <v>43972</v>
      </c>
      <c r="CA18" s="224" t="str">
        <f t="shared" si="23"/>
        <v>Thursday</v>
      </c>
      <c r="CB18" s="223" t="s">
        <v>1234</v>
      </c>
      <c r="CC18" s="79">
        <v>43895</v>
      </c>
      <c r="CD18" s="224" t="str">
        <f t="shared" si="24"/>
        <v>Thursday</v>
      </c>
      <c r="CE18" s="235" t="s">
        <v>1235</v>
      </c>
      <c r="CF18" s="79">
        <v>43815</v>
      </c>
      <c r="CG18" s="218" t="str">
        <f t="shared" si="25"/>
        <v>Monday</v>
      </c>
      <c r="CH18" s="74"/>
      <c r="CI18" s="74"/>
      <c r="CJ18" s="74"/>
      <c r="CK18" s="220" t="s">
        <v>1236</v>
      </c>
      <c r="CL18" s="79">
        <v>43711</v>
      </c>
      <c r="CM18" s="221" t="str">
        <f t="shared" si="27"/>
        <v>Tuesday</v>
      </c>
      <c r="CN18" s="225" t="s">
        <v>1237</v>
      </c>
      <c r="CO18" s="79">
        <v>43608</v>
      </c>
      <c r="CP18" s="232" t="str">
        <f t="shared" si="28"/>
        <v>Thursday</v>
      </c>
      <c r="CQ18" s="220" t="s">
        <v>1238</v>
      </c>
      <c r="CR18" s="79">
        <v>43528</v>
      </c>
      <c r="CS18" s="218" t="str">
        <f t="shared" si="29"/>
        <v>Monday</v>
      </c>
      <c r="CT18" s="220" t="s">
        <v>1239</v>
      </c>
      <c r="CU18" s="79">
        <v>43447</v>
      </c>
      <c r="CV18" s="224" t="str">
        <f t="shared" si="30"/>
        <v>Thursday</v>
      </c>
      <c r="CW18" s="74"/>
      <c r="CX18" s="74"/>
      <c r="CY18" s="74"/>
      <c r="CZ18" s="220" t="s">
        <v>1240</v>
      </c>
      <c r="DA18" s="79">
        <v>43354</v>
      </c>
      <c r="DB18" s="221" t="str">
        <f t="shared" si="32"/>
        <v>Tuesday</v>
      </c>
      <c r="DC18" s="220" t="s">
        <v>1241</v>
      </c>
      <c r="DD18" s="79">
        <v>43256</v>
      </c>
      <c r="DE18" s="221" t="str">
        <f t="shared" si="33"/>
        <v>Tuesday</v>
      </c>
      <c r="DF18" s="220" t="s">
        <v>1242</v>
      </c>
      <c r="DG18" s="79">
        <v>43160</v>
      </c>
      <c r="DH18" s="224" t="str">
        <f t="shared" si="34"/>
        <v>Thursday</v>
      </c>
      <c r="DI18" s="74"/>
      <c r="DJ18" s="252"/>
      <c r="DK18" s="74"/>
      <c r="DL18" s="74"/>
      <c r="DM18" s="74"/>
      <c r="DN18" s="74"/>
      <c r="DO18" s="220" t="s">
        <v>1243</v>
      </c>
      <c r="DP18" s="79">
        <v>42984</v>
      </c>
      <c r="DQ18" s="227" t="str">
        <f t="shared" si="37"/>
        <v>Wednesday</v>
      </c>
      <c r="DR18" s="74"/>
      <c r="DS18" s="252"/>
      <c r="DT18" s="74"/>
      <c r="DU18" s="220" t="s">
        <v>1244</v>
      </c>
      <c r="DV18" s="79">
        <v>42801</v>
      </c>
      <c r="DW18" s="221" t="str">
        <f t="shared" si="39"/>
        <v>Tuesday</v>
      </c>
      <c r="DX18" s="220" t="s">
        <v>1245</v>
      </c>
      <c r="DY18" s="79">
        <v>42712</v>
      </c>
      <c r="DZ18" s="224" t="str">
        <f t="shared" si="40"/>
        <v>Thursday</v>
      </c>
      <c r="EA18" s="220" t="s">
        <v>1246</v>
      </c>
      <c r="EB18" s="79">
        <v>42641</v>
      </c>
      <c r="EC18" s="227" t="str">
        <f t="shared" si="41"/>
        <v>Wednesday</v>
      </c>
      <c r="ED18" s="74"/>
      <c r="EE18" s="252"/>
      <c r="EF18" s="74"/>
      <c r="EG18" s="220" t="s">
        <v>1247</v>
      </c>
      <c r="EH18" s="79">
        <v>42516</v>
      </c>
      <c r="EI18" s="224" t="str">
        <f t="shared" si="43"/>
        <v>Thursday</v>
      </c>
      <c r="EJ18" s="223" t="s">
        <v>1248</v>
      </c>
      <c r="EK18" s="79">
        <v>42429</v>
      </c>
      <c r="EL18" s="218" t="str">
        <f t="shared" si="44"/>
        <v>Monday</v>
      </c>
      <c r="EM18" s="225"/>
      <c r="EN18" s="79"/>
      <c r="EO18" s="79"/>
      <c r="EP18" s="223" t="s">
        <v>1249</v>
      </c>
      <c r="EQ18" s="79">
        <v>42263</v>
      </c>
      <c r="ER18" s="227" t="str">
        <f t="shared" si="46"/>
        <v>Wednesday</v>
      </c>
      <c r="ES18" s="74"/>
      <c r="ET18" s="252"/>
      <c r="EU18" s="74"/>
      <c r="EV18" s="223" t="s">
        <v>1250</v>
      </c>
      <c r="EW18" s="79">
        <v>42122</v>
      </c>
      <c r="EX18" s="221" t="str">
        <f t="shared" si="48"/>
        <v>Tuesday</v>
      </c>
      <c r="EY18" s="231" t="s">
        <v>1251</v>
      </c>
      <c r="EZ18" s="79">
        <v>42058</v>
      </c>
      <c r="FA18" s="233" t="str">
        <f t="shared" si="49"/>
        <v>Monday</v>
      </c>
      <c r="FB18" s="223" t="s">
        <v>1252</v>
      </c>
      <c r="FC18" s="79">
        <v>41976</v>
      </c>
      <c r="FD18" s="243" t="str">
        <f t="shared" si="50"/>
        <v>Wednesday</v>
      </c>
      <c r="FE18" s="223" t="s">
        <v>1253</v>
      </c>
      <c r="FF18" s="79">
        <v>41844</v>
      </c>
      <c r="FG18" s="224" t="str">
        <f t="shared" si="51"/>
        <v>Thursday</v>
      </c>
      <c r="FH18" s="74"/>
      <c r="FI18" s="79"/>
      <c r="FJ18" s="74"/>
      <c r="FK18" s="74"/>
      <c r="FL18" s="79"/>
      <c r="FM18" s="74"/>
      <c r="FN18" s="74"/>
      <c r="FO18" s="79"/>
      <c r="FP18" s="74"/>
    </row>
    <row r="19" spans="1:172" ht="15" x14ac:dyDescent="0.25">
      <c r="A19" s="239" t="s">
        <v>124</v>
      </c>
      <c r="B19" s="211">
        <f>COUNTIF(D2:FP2,"Monday")</f>
        <v>5</v>
      </c>
      <c r="C19" s="240">
        <f t="shared" ref="C19:C24" si="57">B19/SUM($B$19:$B$25)</f>
        <v>8.9285714285714288E-2</v>
      </c>
      <c r="D19" s="74"/>
      <c r="E19" s="234"/>
      <c r="F19" s="84"/>
      <c r="G19" s="74"/>
      <c r="H19" s="234"/>
      <c r="I19" s="84"/>
      <c r="J19" s="74"/>
      <c r="K19" s="223" t="s">
        <v>1254</v>
      </c>
      <c r="L19" s="84">
        <v>45602</v>
      </c>
      <c r="M19" s="218" t="str">
        <f t="shared" si="1"/>
        <v>Wednesday</v>
      </c>
      <c r="N19" s="223" t="s">
        <v>1255</v>
      </c>
      <c r="O19" s="84">
        <v>45545</v>
      </c>
      <c r="P19" s="218" t="str">
        <f t="shared" si="2"/>
        <v>Tuesday</v>
      </c>
      <c r="Q19" s="223" t="s">
        <v>1256</v>
      </c>
      <c r="R19" s="237">
        <v>45456</v>
      </c>
      <c r="S19" s="245" t="str">
        <f t="shared" si="3"/>
        <v>Thursday</v>
      </c>
      <c r="T19" s="223" t="s">
        <v>1257</v>
      </c>
      <c r="U19" s="84">
        <v>45363</v>
      </c>
      <c r="V19" s="218" t="str">
        <f t="shared" si="4"/>
        <v>Tuesday</v>
      </c>
      <c r="W19" s="234"/>
      <c r="X19" s="84"/>
      <c r="Y19" s="74"/>
      <c r="Z19" s="74"/>
      <c r="AA19" s="84"/>
      <c r="AB19" s="74"/>
      <c r="AC19" s="223" t="s">
        <v>1258</v>
      </c>
      <c r="AD19" s="84">
        <v>45176</v>
      </c>
      <c r="AE19" s="218" t="str">
        <f t="shared" si="7"/>
        <v>Thursday</v>
      </c>
      <c r="AF19" s="223" t="s">
        <v>1259</v>
      </c>
      <c r="AG19" s="84">
        <v>45076</v>
      </c>
      <c r="AH19" s="218" t="str">
        <f t="shared" si="8"/>
        <v>Tuesday</v>
      </c>
      <c r="AI19" s="223" t="s">
        <v>1260</v>
      </c>
      <c r="AJ19" s="237">
        <v>44988</v>
      </c>
      <c r="AK19" s="245" t="str">
        <f t="shared" si="9"/>
        <v>Friday</v>
      </c>
      <c r="AL19" s="256"/>
      <c r="AM19" s="84"/>
      <c r="AN19" s="74"/>
      <c r="AO19" s="74"/>
      <c r="AP19" s="84"/>
      <c r="AQ19" s="74"/>
      <c r="AR19" s="223" t="s">
        <v>1261</v>
      </c>
      <c r="AS19" s="84">
        <v>44812</v>
      </c>
      <c r="AT19" s="246" t="str">
        <f t="shared" si="12"/>
        <v>Thursday</v>
      </c>
      <c r="AU19" s="220" t="s">
        <v>1262</v>
      </c>
      <c r="AV19" s="84">
        <v>44726</v>
      </c>
      <c r="AW19" s="241" t="str">
        <f t="shared" si="13"/>
        <v>Tuesday</v>
      </c>
      <c r="AX19" s="220" t="s">
        <v>1263</v>
      </c>
      <c r="AY19" s="84">
        <v>44642</v>
      </c>
      <c r="AZ19" s="227" t="str">
        <f t="shared" si="14"/>
        <v>Tuesday</v>
      </c>
      <c r="BA19" s="225"/>
      <c r="BB19" s="84"/>
      <c r="BC19" s="74"/>
      <c r="BD19" s="225"/>
      <c r="BE19" s="84"/>
      <c r="BF19" s="74"/>
      <c r="BG19" s="225"/>
      <c r="BH19" s="84"/>
      <c r="BI19" s="243"/>
      <c r="BJ19" s="220" t="s">
        <v>1264</v>
      </c>
      <c r="BK19" s="84">
        <v>44344</v>
      </c>
      <c r="BL19" s="218" t="str">
        <f t="shared" si="18"/>
        <v>Friday</v>
      </c>
      <c r="BM19" s="220" t="s">
        <v>1252</v>
      </c>
      <c r="BN19" s="84">
        <v>44264</v>
      </c>
      <c r="BO19" s="243" t="str">
        <f t="shared" si="19"/>
        <v>Tuesday</v>
      </c>
      <c r="BP19" s="74"/>
      <c r="BQ19" s="84"/>
      <c r="BR19" s="74"/>
      <c r="BS19" s="223" t="s">
        <v>1265</v>
      </c>
      <c r="BT19" s="79">
        <v>44141</v>
      </c>
      <c r="BU19" s="226" t="str">
        <f t="shared" si="21"/>
        <v>Friday</v>
      </c>
      <c r="BV19" s="74"/>
      <c r="BW19" s="74"/>
      <c r="BX19" s="74"/>
      <c r="BY19" s="235" t="s">
        <v>1266</v>
      </c>
      <c r="BZ19" s="79">
        <v>43973</v>
      </c>
      <c r="CA19" s="226" t="str">
        <f t="shared" si="23"/>
        <v>Friday</v>
      </c>
      <c r="CB19" s="235" t="s">
        <v>1267</v>
      </c>
      <c r="CC19" s="79">
        <v>43895</v>
      </c>
      <c r="CD19" s="224" t="str">
        <f t="shared" si="24"/>
        <v>Thursday</v>
      </c>
      <c r="CE19" s="74"/>
      <c r="CF19" s="74"/>
      <c r="CG19" s="74"/>
      <c r="CH19" s="74"/>
      <c r="CI19" s="74"/>
      <c r="CJ19" s="74"/>
      <c r="CK19" s="223" t="s">
        <v>1268</v>
      </c>
      <c r="CL19" s="79">
        <v>43711</v>
      </c>
      <c r="CM19" s="221" t="str">
        <f t="shared" si="27"/>
        <v>Tuesday</v>
      </c>
      <c r="CN19" s="225" t="s">
        <v>1269</v>
      </c>
      <c r="CO19" s="79">
        <v>43608</v>
      </c>
      <c r="CP19" s="232" t="str">
        <f t="shared" si="28"/>
        <v>Thursday</v>
      </c>
      <c r="CQ19" s="220" t="s">
        <v>1270</v>
      </c>
      <c r="CR19" s="79">
        <v>43529</v>
      </c>
      <c r="CS19" s="221" t="str">
        <f t="shared" si="29"/>
        <v>Tuesday</v>
      </c>
      <c r="CT19" s="220" t="s">
        <v>1271</v>
      </c>
      <c r="CU19" s="79">
        <v>43447</v>
      </c>
      <c r="CV19" s="224" t="str">
        <f t="shared" si="30"/>
        <v>Thursday</v>
      </c>
      <c r="CW19" s="74"/>
      <c r="CX19" s="74"/>
      <c r="CY19" s="74"/>
      <c r="CZ19" s="220" t="s">
        <v>1272</v>
      </c>
      <c r="DA19" s="79">
        <v>43355</v>
      </c>
      <c r="DB19" s="227" t="str">
        <f t="shared" si="32"/>
        <v>Wednesday</v>
      </c>
      <c r="DC19" s="220" t="s">
        <v>1273</v>
      </c>
      <c r="DD19" s="79">
        <v>43256</v>
      </c>
      <c r="DE19" s="221" t="str">
        <f t="shared" si="33"/>
        <v>Tuesday</v>
      </c>
      <c r="DF19" s="220" t="s">
        <v>1274</v>
      </c>
      <c r="DG19" s="79">
        <v>43161</v>
      </c>
      <c r="DH19" s="226" t="str">
        <f t="shared" si="34"/>
        <v>Friday</v>
      </c>
      <c r="DI19" s="74"/>
      <c r="DJ19" s="252"/>
      <c r="DK19" s="74"/>
      <c r="DL19" s="74"/>
      <c r="DM19" s="74"/>
      <c r="DN19" s="74"/>
      <c r="DO19" s="220" t="s">
        <v>1275</v>
      </c>
      <c r="DP19" s="79">
        <v>42985</v>
      </c>
      <c r="DQ19" s="224" t="str">
        <f t="shared" si="37"/>
        <v>Thursday</v>
      </c>
      <c r="DR19" s="74"/>
      <c r="DS19" s="252"/>
      <c r="DT19" s="74"/>
      <c r="DU19" s="220" t="s">
        <v>1276</v>
      </c>
      <c r="DV19" s="79">
        <v>42801</v>
      </c>
      <c r="DW19" s="221" t="str">
        <f t="shared" si="39"/>
        <v>Tuesday</v>
      </c>
      <c r="DX19" s="220" t="s">
        <v>1277</v>
      </c>
      <c r="DY19" s="79">
        <v>42713</v>
      </c>
      <c r="DZ19" s="226" t="str">
        <f t="shared" si="40"/>
        <v>Friday</v>
      </c>
      <c r="EA19" s="74"/>
      <c r="EB19" s="252"/>
      <c r="EC19" s="74"/>
      <c r="ED19" s="74"/>
      <c r="EE19" s="252"/>
      <c r="EF19" s="74"/>
      <c r="EG19" s="223" t="s">
        <v>1278</v>
      </c>
      <c r="EH19" s="79">
        <v>42516</v>
      </c>
      <c r="EI19" s="224" t="str">
        <f t="shared" si="43"/>
        <v>Thursday</v>
      </c>
      <c r="EJ19" s="223" t="s">
        <v>1279</v>
      </c>
      <c r="EK19" s="79">
        <v>42431</v>
      </c>
      <c r="EL19" s="227" t="str">
        <f t="shared" si="44"/>
        <v>Wednesday</v>
      </c>
      <c r="EM19" s="74"/>
      <c r="EN19" s="252"/>
      <c r="EO19" s="74"/>
      <c r="EP19" s="223" t="s">
        <v>1280</v>
      </c>
      <c r="EQ19" s="79">
        <v>42265</v>
      </c>
      <c r="ER19" s="226" t="str">
        <f t="shared" si="46"/>
        <v>Friday</v>
      </c>
      <c r="ES19" s="74"/>
      <c r="ET19" s="252"/>
      <c r="EU19" s="74"/>
      <c r="EV19" s="220" t="s">
        <v>1281</v>
      </c>
      <c r="EW19" s="79">
        <v>42124</v>
      </c>
      <c r="EX19" s="224" t="str">
        <f t="shared" si="48"/>
        <v>Thursday</v>
      </c>
      <c r="EY19" s="231" t="s">
        <v>1282</v>
      </c>
      <c r="EZ19" s="79">
        <v>42058</v>
      </c>
      <c r="FA19" s="233" t="str">
        <f t="shared" si="49"/>
        <v>Monday</v>
      </c>
      <c r="FB19" s="223" t="s">
        <v>1283</v>
      </c>
      <c r="FC19" s="79">
        <v>41977</v>
      </c>
      <c r="FD19" s="224" t="str">
        <f t="shared" si="50"/>
        <v>Thursday</v>
      </c>
      <c r="FE19" s="223" t="s">
        <v>1284</v>
      </c>
      <c r="FF19" s="79">
        <v>41845</v>
      </c>
      <c r="FG19" s="224" t="str">
        <f t="shared" si="51"/>
        <v>Friday</v>
      </c>
      <c r="FH19" s="74"/>
      <c r="FI19" s="79"/>
      <c r="FJ19" s="74"/>
      <c r="FK19" s="74"/>
      <c r="FL19" s="79"/>
      <c r="FM19" s="74"/>
      <c r="FN19" s="74"/>
      <c r="FO19" s="79"/>
      <c r="FP19" s="74"/>
    </row>
    <row r="20" spans="1:172" ht="15" x14ac:dyDescent="0.25">
      <c r="A20" s="239" t="s">
        <v>125</v>
      </c>
      <c r="B20" s="242">
        <f>COUNTIF(D2:FP2,"Tuesday")</f>
        <v>13</v>
      </c>
      <c r="C20" s="240">
        <f t="shared" si="57"/>
        <v>0.23214285714285715</v>
      </c>
      <c r="D20" s="74"/>
      <c r="E20" s="234"/>
      <c r="F20" s="84"/>
      <c r="G20" s="74"/>
      <c r="H20" s="234"/>
      <c r="I20" s="84"/>
      <c r="J20" s="74"/>
      <c r="K20" s="223" t="s">
        <v>1285</v>
      </c>
      <c r="L20" s="84">
        <v>45603</v>
      </c>
      <c r="M20" s="218" t="str">
        <f t="shared" si="1"/>
        <v>Thursday</v>
      </c>
      <c r="N20" s="234"/>
      <c r="O20" s="237"/>
      <c r="P20" s="74"/>
      <c r="Q20" s="223" t="s">
        <v>1286</v>
      </c>
      <c r="R20" s="237">
        <v>45456</v>
      </c>
      <c r="S20" s="245" t="str">
        <f t="shared" si="3"/>
        <v>Thursday</v>
      </c>
      <c r="T20" s="223" t="s">
        <v>1287</v>
      </c>
      <c r="U20" s="84">
        <v>45369</v>
      </c>
      <c r="V20" s="218" t="str">
        <f t="shared" si="4"/>
        <v>Monday</v>
      </c>
      <c r="W20" s="234"/>
      <c r="X20" s="84"/>
      <c r="Y20" s="74"/>
      <c r="Z20" s="74"/>
      <c r="AA20" s="84"/>
      <c r="AB20" s="74"/>
      <c r="AC20" s="223" t="s">
        <v>1288</v>
      </c>
      <c r="AD20" s="84">
        <v>45177</v>
      </c>
      <c r="AE20" s="218" t="str">
        <f t="shared" si="7"/>
        <v>Friday</v>
      </c>
      <c r="AF20" s="223" t="s">
        <v>1289</v>
      </c>
      <c r="AG20" s="84">
        <v>45077</v>
      </c>
      <c r="AH20" s="218" t="str">
        <f t="shared" si="8"/>
        <v>Wednesday</v>
      </c>
      <c r="AI20" s="223" t="s">
        <v>1290</v>
      </c>
      <c r="AJ20" s="237">
        <v>44988</v>
      </c>
      <c r="AK20" s="245" t="str">
        <f t="shared" si="9"/>
        <v>Friday</v>
      </c>
      <c r="AL20" s="256"/>
      <c r="AM20" s="84"/>
      <c r="AN20" s="74"/>
      <c r="AO20" s="74"/>
      <c r="AP20" s="84"/>
      <c r="AQ20" s="74"/>
      <c r="AR20" s="223" t="s">
        <v>1291</v>
      </c>
      <c r="AS20" s="84">
        <v>44812</v>
      </c>
      <c r="AT20" s="246" t="str">
        <f t="shared" si="12"/>
        <v>Thursday</v>
      </c>
      <c r="AU20" s="220" t="s">
        <v>1292</v>
      </c>
      <c r="AV20" s="84">
        <v>44746</v>
      </c>
      <c r="AW20" s="241" t="str">
        <f t="shared" si="13"/>
        <v>Monday</v>
      </c>
      <c r="AX20" s="220" t="s">
        <v>1293</v>
      </c>
      <c r="AY20" s="84">
        <v>44643</v>
      </c>
      <c r="AZ20" s="227" t="str">
        <f t="shared" si="14"/>
        <v>Wednesday</v>
      </c>
      <c r="BA20" s="225"/>
      <c r="BB20" s="84"/>
      <c r="BC20" s="74"/>
      <c r="BD20" s="225"/>
      <c r="BE20" s="84"/>
      <c r="BF20" s="74"/>
      <c r="BG20" s="225"/>
      <c r="BH20" s="84"/>
      <c r="BI20" s="243"/>
      <c r="BJ20" s="220" t="s">
        <v>1294</v>
      </c>
      <c r="BK20" s="84">
        <v>44347</v>
      </c>
      <c r="BL20" s="218" t="str">
        <f t="shared" si="18"/>
        <v>Monday</v>
      </c>
      <c r="BM20" s="220" t="s">
        <v>1295</v>
      </c>
      <c r="BN20" s="84">
        <v>44266</v>
      </c>
      <c r="BO20" s="243" t="str">
        <f t="shared" si="19"/>
        <v>Thursday</v>
      </c>
      <c r="BP20" s="74"/>
      <c r="BQ20" s="84"/>
      <c r="BR20" s="74"/>
      <c r="BS20" s="235" t="s">
        <v>1296</v>
      </c>
      <c r="BT20" s="84">
        <v>44144</v>
      </c>
      <c r="BU20" s="218" t="str">
        <f t="shared" si="21"/>
        <v>Monday</v>
      </c>
      <c r="BV20" s="74"/>
      <c r="BW20" s="74"/>
      <c r="BX20" s="74"/>
      <c r="BY20" s="235" t="s">
        <v>1297</v>
      </c>
      <c r="BZ20" s="79">
        <v>43976</v>
      </c>
      <c r="CA20" s="218" t="str">
        <f t="shared" si="23"/>
        <v>Monday</v>
      </c>
      <c r="CB20" s="235" t="s">
        <v>1298</v>
      </c>
      <c r="CC20" s="79">
        <v>43896</v>
      </c>
      <c r="CD20" s="226" t="str">
        <f t="shared" si="24"/>
        <v>Friday</v>
      </c>
      <c r="CE20" s="74"/>
      <c r="CF20" s="74"/>
      <c r="CG20" s="74"/>
      <c r="CH20" s="74"/>
      <c r="CI20" s="74"/>
      <c r="CJ20" s="74"/>
      <c r="CK20" s="220" t="s">
        <v>1299</v>
      </c>
      <c r="CL20" s="79">
        <v>43712</v>
      </c>
      <c r="CM20" s="227" t="str">
        <f t="shared" si="27"/>
        <v>Wednesday</v>
      </c>
      <c r="CN20" s="225" t="s">
        <v>1300</v>
      </c>
      <c r="CO20" s="79">
        <v>43609</v>
      </c>
      <c r="CP20" s="222" t="str">
        <f t="shared" si="28"/>
        <v>Friday</v>
      </c>
      <c r="CQ20" s="220" t="s">
        <v>1301</v>
      </c>
      <c r="CR20" s="79">
        <v>43530</v>
      </c>
      <c r="CS20" s="227" t="str">
        <f t="shared" si="29"/>
        <v>Wednesday</v>
      </c>
      <c r="CT20" s="220" t="s">
        <v>1302</v>
      </c>
      <c r="CU20" s="79">
        <v>43448</v>
      </c>
      <c r="CV20" s="226" t="str">
        <f t="shared" si="30"/>
        <v>Friday</v>
      </c>
      <c r="CW20" s="74"/>
      <c r="CX20" s="74"/>
      <c r="CY20" s="74"/>
      <c r="CZ20" s="220" t="s">
        <v>1303</v>
      </c>
      <c r="DA20" s="79">
        <v>43356</v>
      </c>
      <c r="DB20" s="224" t="str">
        <f t="shared" si="32"/>
        <v>Thursday</v>
      </c>
      <c r="DC20" s="220" t="s">
        <v>1304</v>
      </c>
      <c r="DD20" s="79">
        <v>43257</v>
      </c>
      <c r="DE20" s="227" t="str">
        <f t="shared" si="33"/>
        <v>Wednesday</v>
      </c>
      <c r="DF20" s="220" t="s">
        <v>1305</v>
      </c>
      <c r="DG20" s="79">
        <v>43165</v>
      </c>
      <c r="DH20" s="221" t="str">
        <f t="shared" si="34"/>
        <v>Tuesday</v>
      </c>
      <c r="DI20" s="74"/>
      <c r="DJ20" s="252"/>
      <c r="DK20" s="74"/>
      <c r="DL20" s="74"/>
      <c r="DM20" s="74"/>
      <c r="DN20" s="74"/>
      <c r="DO20" s="220" t="s">
        <v>1306</v>
      </c>
      <c r="DP20" s="79">
        <v>42989</v>
      </c>
      <c r="DQ20" s="224" t="str">
        <f t="shared" si="37"/>
        <v>Monday</v>
      </c>
      <c r="DR20" s="74"/>
      <c r="DS20" s="252"/>
      <c r="DT20" s="74"/>
      <c r="DU20" s="220" t="s">
        <v>1307</v>
      </c>
      <c r="DV20" s="79">
        <v>42808</v>
      </c>
      <c r="DW20" s="221" t="str">
        <f t="shared" si="39"/>
        <v>Tuesday</v>
      </c>
      <c r="DX20" s="220" t="s">
        <v>1308</v>
      </c>
      <c r="DY20" s="79">
        <v>42714</v>
      </c>
      <c r="DZ20" s="228" t="str">
        <f t="shared" si="40"/>
        <v>Saturday</v>
      </c>
      <c r="EA20" s="74"/>
      <c r="EB20" s="252"/>
      <c r="EC20" s="74"/>
      <c r="ED20" s="74"/>
      <c r="EE20" s="252"/>
      <c r="EF20" s="74"/>
      <c r="EG20" s="220" t="s">
        <v>1309</v>
      </c>
      <c r="EH20" s="79">
        <v>42517</v>
      </c>
      <c r="EI20" s="226" t="str">
        <f t="shared" si="43"/>
        <v>Friday</v>
      </c>
      <c r="EJ20" s="223" t="s">
        <v>1310</v>
      </c>
      <c r="EK20" s="79">
        <v>42432</v>
      </c>
      <c r="EL20" s="224" t="str">
        <f t="shared" si="44"/>
        <v>Thursday</v>
      </c>
      <c r="EM20" s="74"/>
      <c r="EN20" s="252"/>
      <c r="EO20" s="74"/>
      <c r="EP20" s="220" t="s">
        <v>1311</v>
      </c>
      <c r="EQ20" s="79">
        <v>42272</v>
      </c>
      <c r="ER20" s="226" t="str">
        <f t="shared" si="46"/>
        <v>Friday</v>
      </c>
      <c r="ES20" s="74"/>
      <c r="ET20" s="252"/>
      <c r="EU20" s="74"/>
      <c r="EV20" s="225"/>
      <c r="EW20" s="79"/>
      <c r="EX20" s="79"/>
      <c r="EY20" s="74"/>
      <c r="EZ20" s="252"/>
      <c r="FA20" s="74"/>
      <c r="FB20" s="223" t="s">
        <v>1312</v>
      </c>
      <c r="FC20" s="79">
        <v>41977</v>
      </c>
      <c r="FD20" s="224" t="str">
        <f t="shared" si="50"/>
        <v>Thursday</v>
      </c>
      <c r="FE20" s="223" t="s">
        <v>1313</v>
      </c>
      <c r="FF20" s="79">
        <v>41846</v>
      </c>
      <c r="FG20" s="228" t="str">
        <f t="shared" si="51"/>
        <v>Saturday</v>
      </c>
      <c r="FH20" s="74"/>
      <c r="FI20" s="79"/>
      <c r="FJ20" s="74"/>
      <c r="FK20" s="74"/>
      <c r="FL20" s="79"/>
      <c r="FM20" s="74"/>
      <c r="FN20" s="74"/>
      <c r="FO20" s="79"/>
      <c r="FP20" s="74"/>
    </row>
    <row r="21" spans="1:172" ht="15" x14ac:dyDescent="0.25">
      <c r="A21" s="239" t="s">
        <v>128</v>
      </c>
      <c r="B21" s="242">
        <f>COUNTIF(D2:FP2,"Wednesday")</f>
        <v>10</v>
      </c>
      <c r="C21" s="240">
        <f t="shared" si="57"/>
        <v>0.17857142857142858</v>
      </c>
      <c r="D21" s="74"/>
      <c r="E21" s="234"/>
      <c r="F21" s="84"/>
      <c r="G21" s="74"/>
      <c r="H21" s="234"/>
      <c r="I21" s="84"/>
      <c r="J21" s="74"/>
      <c r="K21" s="223" t="s">
        <v>1314</v>
      </c>
      <c r="L21" s="84">
        <v>45603</v>
      </c>
      <c r="M21" s="218" t="str">
        <f t="shared" si="1"/>
        <v>Thursday</v>
      </c>
      <c r="N21" s="234"/>
      <c r="O21" s="237"/>
      <c r="P21" s="74"/>
      <c r="Q21" s="223" t="s">
        <v>1315</v>
      </c>
      <c r="R21" s="237">
        <v>45457</v>
      </c>
      <c r="S21" s="245" t="str">
        <f t="shared" si="3"/>
        <v>Friday</v>
      </c>
      <c r="T21" s="234"/>
      <c r="U21" s="84"/>
      <c r="V21" s="74"/>
      <c r="W21" s="256"/>
      <c r="X21" s="84"/>
      <c r="Y21" s="74"/>
      <c r="Z21" s="74"/>
      <c r="AA21" s="84"/>
      <c r="AB21" s="74"/>
      <c r="AC21" s="223" t="s">
        <v>1316</v>
      </c>
      <c r="AD21" s="84">
        <v>45181</v>
      </c>
      <c r="AE21" s="218" t="str">
        <f t="shared" si="7"/>
        <v>Tuesday</v>
      </c>
      <c r="AF21" s="223" t="s">
        <v>1317</v>
      </c>
      <c r="AG21" s="84">
        <v>45077</v>
      </c>
      <c r="AH21" s="218" t="str">
        <f t="shared" si="8"/>
        <v>Wednesday</v>
      </c>
      <c r="AI21" s="231" t="s">
        <v>1318</v>
      </c>
      <c r="AJ21" s="237">
        <v>44991</v>
      </c>
      <c r="AK21" s="245" t="str">
        <f t="shared" si="9"/>
        <v>Monday</v>
      </c>
      <c r="AL21" s="256"/>
      <c r="AM21" s="84"/>
      <c r="AN21" s="74"/>
      <c r="AO21" s="74"/>
      <c r="AP21" s="84"/>
      <c r="AQ21" s="74"/>
      <c r="AR21" s="223" t="s">
        <v>1319</v>
      </c>
      <c r="AS21" s="84">
        <v>44813</v>
      </c>
      <c r="AT21" s="246" t="str">
        <f t="shared" si="12"/>
        <v>Friday</v>
      </c>
      <c r="AU21" s="225"/>
      <c r="AV21" s="84"/>
      <c r="AW21" s="84"/>
      <c r="AX21" s="220" t="s">
        <v>1320</v>
      </c>
      <c r="AY21" s="84">
        <v>44643</v>
      </c>
      <c r="AZ21" s="227" t="str">
        <f t="shared" si="14"/>
        <v>Wednesday</v>
      </c>
      <c r="BA21" s="225"/>
      <c r="BB21" s="84"/>
      <c r="BC21" s="74"/>
      <c r="BD21" s="225"/>
      <c r="BE21" s="84"/>
      <c r="BF21" s="74"/>
      <c r="BG21" s="225"/>
      <c r="BH21" s="84"/>
      <c r="BI21" s="243"/>
      <c r="BJ21" s="220" t="s">
        <v>1321</v>
      </c>
      <c r="BK21" s="84">
        <v>44347</v>
      </c>
      <c r="BL21" s="218" t="str">
        <f t="shared" si="18"/>
        <v>Monday</v>
      </c>
      <c r="BM21" s="74"/>
      <c r="BN21" s="74"/>
      <c r="BO21" s="74"/>
      <c r="BP21" s="74"/>
      <c r="BQ21" s="84"/>
      <c r="BR21" s="74"/>
      <c r="BS21" s="220" t="s">
        <v>1322</v>
      </c>
      <c r="BT21" s="84">
        <v>44145</v>
      </c>
      <c r="BU21" s="221" t="str">
        <f t="shared" si="21"/>
        <v>Tuesday</v>
      </c>
      <c r="BV21" s="74"/>
      <c r="BW21" s="74"/>
      <c r="BX21" s="74"/>
      <c r="BY21" s="74"/>
      <c r="BZ21" s="74"/>
      <c r="CA21" s="74"/>
      <c r="CB21" s="220" t="s">
        <v>1323</v>
      </c>
      <c r="CC21" s="79">
        <v>43899</v>
      </c>
      <c r="CD21" s="218" t="str">
        <f t="shared" si="24"/>
        <v>Monday</v>
      </c>
      <c r="CE21" s="74"/>
      <c r="CF21" s="74"/>
      <c r="CG21" s="74"/>
      <c r="CH21" s="74"/>
      <c r="CI21" s="74"/>
      <c r="CJ21" s="74"/>
      <c r="CK21" s="220" t="s">
        <v>1324</v>
      </c>
      <c r="CL21" s="79">
        <v>43712</v>
      </c>
      <c r="CM21" s="227" t="str">
        <f t="shared" si="27"/>
        <v>Wednesday</v>
      </c>
      <c r="CN21" s="225" t="s">
        <v>1325</v>
      </c>
      <c r="CO21" s="79">
        <v>43612</v>
      </c>
      <c r="CP21" s="233" t="str">
        <f t="shared" si="28"/>
        <v>Monday</v>
      </c>
      <c r="CQ21" s="220" t="s">
        <v>1326</v>
      </c>
      <c r="CR21" s="79">
        <v>43531</v>
      </c>
      <c r="CS21" s="224" t="str">
        <f t="shared" si="29"/>
        <v>Thursday</v>
      </c>
      <c r="CT21" s="220" t="s">
        <v>1327</v>
      </c>
      <c r="CU21" s="79">
        <v>43448</v>
      </c>
      <c r="CV21" s="226" t="str">
        <f t="shared" si="30"/>
        <v>Friday</v>
      </c>
      <c r="CW21" s="74"/>
      <c r="CX21" s="74"/>
      <c r="CY21" s="74"/>
      <c r="CZ21" s="220" t="s">
        <v>1328</v>
      </c>
      <c r="DA21" s="79">
        <v>43357</v>
      </c>
      <c r="DB21" s="226" t="str">
        <f t="shared" si="32"/>
        <v>Friday</v>
      </c>
      <c r="DC21" s="220" t="s">
        <v>1329</v>
      </c>
      <c r="DD21" s="79">
        <v>43257</v>
      </c>
      <c r="DE21" s="227" t="str">
        <f t="shared" si="33"/>
        <v>Wednesday</v>
      </c>
      <c r="DF21" s="220" t="s">
        <v>1330</v>
      </c>
      <c r="DG21" s="79">
        <v>43166</v>
      </c>
      <c r="DH21" s="227" t="str">
        <f t="shared" si="34"/>
        <v>Wednesday</v>
      </c>
      <c r="DI21" s="74"/>
      <c r="DJ21" s="252"/>
      <c r="DK21" s="74"/>
      <c r="DL21" s="74"/>
      <c r="DM21" s="74"/>
      <c r="DN21" s="74"/>
      <c r="DO21" s="220" t="s">
        <v>1331</v>
      </c>
      <c r="DP21" s="79">
        <v>42991</v>
      </c>
      <c r="DQ21" s="227" t="str">
        <f t="shared" si="37"/>
        <v>Wednesday</v>
      </c>
      <c r="DR21" s="74"/>
      <c r="DS21" s="252"/>
      <c r="DT21" s="74"/>
      <c r="DU21" s="220" t="s">
        <v>1332</v>
      </c>
      <c r="DV21" s="79">
        <v>42808</v>
      </c>
      <c r="DW21" s="221" t="str">
        <f t="shared" si="39"/>
        <v>Tuesday</v>
      </c>
      <c r="DX21" s="220" t="s">
        <v>1333</v>
      </c>
      <c r="DY21" s="79">
        <v>42716</v>
      </c>
      <c r="DZ21" s="218" t="str">
        <f t="shared" si="40"/>
        <v>Monday</v>
      </c>
      <c r="EA21" s="74"/>
      <c r="EB21" s="252"/>
      <c r="EC21" s="74"/>
      <c r="ED21" s="74"/>
      <c r="EE21" s="252"/>
      <c r="EF21" s="74"/>
      <c r="EG21" s="220" t="s">
        <v>1334</v>
      </c>
      <c r="EH21" s="79">
        <v>42517</v>
      </c>
      <c r="EI21" s="226" t="str">
        <f t="shared" si="43"/>
        <v>Friday</v>
      </c>
      <c r="EJ21" s="223" t="s">
        <v>1335</v>
      </c>
      <c r="EK21" s="79">
        <v>42436</v>
      </c>
      <c r="EL21" s="218" t="str">
        <f t="shared" si="44"/>
        <v>Monday</v>
      </c>
      <c r="EM21" s="74"/>
      <c r="EN21" s="252"/>
      <c r="EO21" s="74"/>
      <c r="EP21" s="223" t="s">
        <v>1208</v>
      </c>
      <c r="EQ21" s="79">
        <v>42276</v>
      </c>
      <c r="ER21" s="221" t="str">
        <f t="shared" si="46"/>
        <v>Tuesday</v>
      </c>
      <c r="ES21" s="74"/>
      <c r="ET21" s="252"/>
      <c r="EU21" s="74"/>
      <c r="EV21" s="74"/>
      <c r="EW21" s="252"/>
      <c r="EX21" s="74"/>
      <c r="EY21" s="74"/>
      <c r="EZ21" s="252"/>
      <c r="FA21" s="74"/>
      <c r="FB21" s="223" t="s">
        <v>1336</v>
      </c>
      <c r="FC21" s="79">
        <v>41977</v>
      </c>
      <c r="FD21" s="224" t="str">
        <f t="shared" si="50"/>
        <v>Thursday</v>
      </c>
      <c r="FE21" s="223" t="s">
        <v>1337</v>
      </c>
      <c r="FF21" s="79">
        <v>41847</v>
      </c>
      <c r="FG21" s="243" t="str">
        <f t="shared" si="51"/>
        <v>Sunday</v>
      </c>
      <c r="FH21" s="74"/>
      <c r="FI21" s="79"/>
      <c r="FJ21" s="74"/>
      <c r="FK21" s="74"/>
      <c r="FL21" s="79"/>
      <c r="FM21" s="74"/>
      <c r="FN21" s="74"/>
      <c r="FO21" s="79"/>
      <c r="FP21" s="74"/>
    </row>
    <row r="22" spans="1:172" ht="15" x14ac:dyDescent="0.25">
      <c r="A22" s="239" t="s">
        <v>130</v>
      </c>
      <c r="B22" s="242">
        <f>COUNTIF(D2:FP2,"Thursday")</f>
        <v>9</v>
      </c>
      <c r="C22" s="240">
        <f t="shared" si="57"/>
        <v>0.16071428571428573</v>
      </c>
      <c r="D22" s="74"/>
      <c r="E22" s="234"/>
      <c r="F22" s="84"/>
      <c r="G22" s="74"/>
      <c r="H22" s="234"/>
      <c r="I22" s="84"/>
      <c r="J22" s="74"/>
      <c r="K22" s="223" t="s">
        <v>1338</v>
      </c>
      <c r="L22" s="84">
        <v>45604</v>
      </c>
      <c r="M22" s="218" t="str">
        <f t="shared" si="1"/>
        <v>Friday</v>
      </c>
      <c r="N22" s="234"/>
      <c r="O22" s="237"/>
      <c r="P22" s="74"/>
      <c r="Q22" s="223" t="s">
        <v>1339</v>
      </c>
      <c r="R22" s="237">
        <v>45461</v>
      </c>
      <c r="S22" s="245" t="str">
        <f t="shared" si="3"/>
        <v>Tuesday</v>
      </c>
      <c r="T22" s="234"/>
      <c r="U22" s="84"/>
      <c r="V22" s="74"/>
      <c r="W22" s="256"/>
      <c r="X22" s="84"/>
      <c r="Y22" s="74"/>
      <c r="Z22" s="74"/>
      <c r="AA22" s="84"/>
      <c r="AB22" s="74"/>
      <c r="AC22" s="223" t="s">
        <v>1340</v>
      </c>
      <c r="AD22" s="84">
        <v>45182</v>
      </c>
      <c r="AE22" s="218" t="str">
        <f t="shared" si="7"/>
        <v>Wednesday</v>
      </c>
      <c r="AF22" s="223" t="s">
        <v>1341</v>
      </c>
      <c r="AG22" s="84">
        <v>45078</v>
      </c>
      <c r="AH22" s="218" t="str">
        <f t="shared" si="8"/>
        <v>Thursday</v>
      </c>
      <c r="AI22" s="74"/>
      <c r="AJ22" s="84"/>
      <c r="AK22" s="74"/>
      <c r="AL22" s="256"/>
      <c r="AM22" s="84"/>
      <c r="AN22" s="74"/>
      <c r="AO22" s="74"/>
      <c r="AP22" s="84"/>
      <c r="AQ22" s="74"/>
      <c r="AR22" s="223" t="s">
        <v>1342</v>
      </c>
      <c r="AS22" s="84">
        <v>44816</v>
      </c>
      <c r="AT22" s="246" t="str">
        <f t="shared" si="12"/>
        <v>Monday</v>
      </c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220" t="s">
        <v>1343</v>
      </c>
      <c r="BK22" s="84">
        <v>44348</v>
      </c>
      <c r="BL22" s="218" t="str">
        <f t="shared" si="18"/>
        <v>Tuesday</v>
      </c>
      <c r="BM22" s="74"/>
      <c r="BN22" s="74"/>
      <c r="BO22" s="74"/>
      <c r="BP22" s="74"/>
      <c r="BQ22" s="84"/>
      <c r="BR22" s="74"/>
      <c r="BS22" s="220" t="s">
        <v>1344</v>
      </c>
      <c r="BT22" s="84">
        <v>44146</v>
      </c>
      <c r="BU22" s="227" t="str">
        <f t="shared" si="21"/>
        <v>Wednesday</v>
      </c>
      <c r="BV22" s="74"/>
      <c r="BW22" s="74"/>
      <c r="BX22" s="74"/>
      <c r="BY22" s="74"/>
      <c r="BZ22" s="74"/>
      <c r="CA22" s="74"/>
      <c r="CB22" s="235" t="s">
        <v>1345</v>
      </c>
      <c r="CC22" s="79">
        <v>43901</v>
      </c>
      <c r="CD22" s="227" t="str">
        <f t="shared" si="24"/>
        <v>Wednesday</v>
      </c>
      <c r="CE22" s="74"/>
      <c r="CF22" s="74"/>
      <c r="CG22" s="74"/>
      <c r="CH22" s="74"/>
      <c r="CI22" s="74"/>
      <c r="CJ22" s="74"/>
      <c r="CK22" s="220" t="s">
        <v>1346</v>
      </c>
      <c r="CL22" s="79">
        <v>43713</v>
      </c>
      <c r="CM22" s="224" t="str">
        <f t="shared" si="27"/>
        <v>Thursday</v>
      </c>
      <c r="CN22" s="225" t="s">
        <v>1347</v>
      </c>
      <c r="CO22" s="79">
        <v>43612</v>
      </c>
      <c r="CP22" s="233" t="str">
        <f t="shared" si="28"/>
        <v>Monday</v>
      </c>
      <c r="CQ22" s="220" t="s">
        <v>1348</v>
      </c>
      <c r="CR22" s="79">
        <v>43531</v>
      </c>
      <c r="CS22" s="224" t="str">
        <f t="shared" si="29"/>
        <v>Thursday</v>
      </c>
      <c r="CT22" s="220" t="s">
        <v>1349</v>
      </c>
      <c r="CU22" s="79">
        <v>43448</v>
      </c>
      <c r="CV22" s="226" t="str">
        <f t="shared" si="30"/>
        <v>Friday</v>
      </c>
      <c r="CW22" s="74"/>
      <c r="CX22" s="74"/>
      <c r="CY22" s="74"/>
      <c r="CZ22" s="220" t="s">
        <v>1350</v>
      </c>
      <c r="DA22" s="79">
        <v>43360</v>
      </c>
      <c r="DB22" s="218" t="str">
        <f t="shared" si="32"/>
        <v>Monday</v>
      </c>
      <c r="DC22" s="220" t="s">
        <v>1351</v>
      </c>
      <c r="DD22" s="79">
        <v>43258</v>
      </c>
      <c r="DE22" s="224" t="str">
        <f t="shared" si="33"/>
        <v>Thursday</v>
      </c>
      <c r="DF22" s="220" t="s">
        <v>1352</v>
      </c>
      <c r="DG22" s="79">
        <v>43168</v>
      </c>
      <c r="DH22" s="226" t="str">
        <f t="shared" si="34"/>
        <v>Friday</v>
      </c>
      <c r="DI22" s="74"/>
      <c r="DJ22" s="252"/>
      <c r="DK22" s="74"/>
      <c r="DL22" s="74"/>
      <c r="DM22" s="74"/>
      <c r="DN22" s="74"/>
      <c r="DO22" s="220" t="s">
        <v>1353</v>
      </c>
      <c r="DP22" s="79">
        <v>42992</v>
      </c>
      <c r="DQ22" s="224" t="str">
        <f t="shared" si="37"/>
        <v>Thursday</v>
      </c>
      <c r="DR22" s="74"/>
      <c r="DS22" s="252"/>
      <c r="DT22" s="74"/>
      <c r="DU22" s="220" t="s">
        <v>1354</v>
      </c>
      <c r="DV22" s="79">
        <v>42809</v>
      </c>
      <c r="DW22" s="227" t="str">
        <f t="shared" si="39"/>
        <v>Wednesday</v>
      </c>
      <c r="DX22" s="220" t="s">
        <v>1355</v>
      </c>
      <c r="DY22" s="79">
        <v>42718</v>
      </c>
      <c r="DZ22" s="227" t="str">
        <f t="shared" si="40"/>
        <v>Wednesday</v>
      </c>
      <c r="EA22" s="74"/>
      <c r="EB22" s="252"/>
      <c r="EC22" s="74"/>
      <c r="ED22" s="74"/>
      <c r="EE22" s="252"/>
      <c r="EF22" s="74"/>
      <c r="EG22" s="220" t="s">
        <v>1356</v>
      </c>
      <c r="EH22" s="79">
        <v>42520</v>
      </c>
      <c r="EI22" s="218" t="str">
        <f t="shared" si="43"/>
        <v>Monday</v>
      </c>
      <c r="EJ22" s="223" t="s">
        <v>1357</v>
      </c>
      <c r="EK22" s="79">
        <v>42438</v>
      </c>
      <c r="EL22" s="227" t="str">
        <f t="shared" si="44"/>
        <v>Wednesday</v>
      </c>
      <c r="EM22" s="74"/>
      <c r="EN22" s="252"/>
      <c r="EO22" s="74"/>
      <c r="EP22" s="223" t="s">
        <v>1358</v>
      </c>
      <c r="EQ22" s="79">
        <v>42277</v>
      </c>
      <c r="ER22" s="227" t="str">
        <f t="shared" si="46"/>
        <v>Wednesday</v>
      </c>
      <c r="ES22" s="74"/>
      <c r="ET22" s="252"/>
      <c r="EU22" s="74"/>
      <c r="EV22" s="74"/>
      <c r="EW22" s="252"/>
      <c r="EX22" s="74"/>
      <c r="EY22" s="74"/>
      <c r="EZ22" s="252"/>
      <c r="FA22" s="74"/>
      <c r="FB22" s="223" t="s">
        <v>1359</v>
      </c>
      <c r="FC22" s="79">
        <v>41978</v>
      </c>
      <c r="FD22" s="226" t="str">
        <f t="shared" si="50"/>
        <v>Friday</v>
      </c>
      <c r="FE22" s="223" t="s">
        <v>1360</v>
      </c>
      <c r="FF22" s="79">
        <v>41848</v>
      </c>
      <c r="FG22" s="218" t="str">
        <f t="shared" si="51"/>
        <v>Monday</v>
      </c>
      <c r="FH22" s="74"/>
      <c r="FI22" s="79"/>
      <c r="FJ22" s="74"/>
      <c r="FK22" s="74"/>
      <c r="FL22" s="79"/>
      <c r="FM22" s="74"/>
      <c r="FN22" s="74"/>
      <c r="FO22" s="79"/>
      <c r="FP22" s="74"/>
    </row>
    <row r="23" spans="1:172" ht="15" x14ac:dyDescent="0.2">
      <c r="A23" s="239" t="s">
        <v>132</v>
      </c>
      <c r="B23" s="242">
        <f>COUNTIF(D2:FP2,"Friday")</f>
        <v>18</v>
      </c>
      <c r="C23" s="240">
        <f t="shared" si="57"/>
        <v>0.32142857142857145</v>
      </c>
      <c r="D23" s="74"/>
      <c r="E23" s="234"/>
      <c r="F23" s="84"/>
      <c r="G23" s="74"/>
      <c r="H23" s="234"/>
      <c r="I23" s="84"/>
      <c r="J23" s="74"/>
      <c r="K23" s="223" t="s">
        <v>1361</v>
      </c>
      <c r="L23" s="84">
        <v>45604</v>
      </c>
      <c r="M23" s="218" t="str">
        <f t="shared" si="1"/>
        <v>Friday</v>
      </c>
      <c r="N23" s="234"/>
      <c r="O23" s="84"/>
      <c r="P23" s="74"/>
      <c r="Q23" s="256"/>
      <c r="R23" s="84"/>
      <c r="S23" s="74"/>
      <c r="T23" s="256"/>
      <c r="U23" s="84"/>
      <c r="V23" s="74"/>
      <c r="W23" s="256"/>
      <c r="X23" s="84"/>
      <c r="Y23" s="74"/>
      <c r="Z23" s="74"/>
      <c r="AA23" s="84"/>
      <c r="AB23" s="74"/>
      <c r="AC23" s="223" t="s">
        <v>1362</v>
      </c>
      <c r="AD23" s="84">
        <v>45183</v>
      </c>
      <c r="AE23" s="218" t="str">
        <f t="shared" si="7"/>
        <v>Thursday</v>
      </c>
      <c r="AF23" s="223" t="s">
        <v>1363</v>
      </c>
      <c r="AG23" s="84">
        <v>45079</v>
      </c>
      <c r="AH23" s="218" t="str">
        <f t="shared" si="8"/>
        <v>Friday</v>
      </c>
      <c r="AI23" s="74"/>
      <c r="AJ23" s="84"/>
      <c r="AK23" s="74"/>
      <c r="AL23" s="256"/>
      <c r="AM23" s="84"/>
      <c r="AN23" s="74"/>
      <c r="AO23" s="74"/>
      <c r="AP23" s="84"/>
      <c r="AQ23" s="74"/>
      <c r="AR23" s="223" t="s">
        <v>1364</v>
      </c>
      <c r="AS23" s="84">
        <v>44817</v>
      </c>
      <c r="AT23" s="246" t="str">
        <f t="shared" si="12"/>
        <v>Tuesday</v>
      </c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84"/>
      <c r="BR23" s="74"/>
      <c r="BS23" s="235" t="s">
        <v>1365</v>
      </c>
      <c r="BT23" s="84">
        <v>44147</v>
      </c>
      <c r="BU23" s="224" t="str">
        <f t="shared" si="21"/>
        <v>Thursday</v>
      </c>
      <c r="BV23" s="74"/>
      <c r="BW23" s="74"/>
      <c r="BX23" s="74"/>
      <c r="BY23" s="74"/>
      <c r="BZ23" s="74"/>
      <c r="CA23" s="74"/>
      <c r="CB23" s="223" t="s">
        <v>1366</v>
      </c>
      <c r="CC23" s="79">
        <v>43902</v>
      </c>
      <c r="CD23" s="224" t="str">
        <f t="shared" si="24"/>
        <v>Thursday</v>
      </c>
      <c r="CE23" s="74"/>
      <c r="CF23" s="74"/>
      <c r="CG23" s="74"/>
      <c r="CH23" s="74"/>
      <c r="CI23" s="74"/>
      <c r="CJ23" s="74"/>
      <c r="CK23" s="223" t="s">
        <v>1367</v>
      </c>
      <c r="CL23" s="79">
        <v>43714</v>
      </c>
      <c r="CM23" s="226" t="str">
        <f t="shared" si="27"/>
        <v>Friday</v>
      </c>
      <c r="CN23" s="74"/>
      <c r="CO23" s="74"/>
      <c r="CP23" s="74"/>
      <c r="CQ23" s="220" t="s">
        <v>1368</v>
      </c>
      <c r="CR23" s="79">
        <v>43532</v>
      </c>
      <c r="CS23" s="226" t="str">
        <f t="shared" si="29"/>
        <v>Friday</v>
      </c>
      <c r="CT23" s="220" t="s">
        <v>1369</v>
      </c>
      <c r="CU23" s="79">
        <v>43450</v>
      </c>
      <c r="CV23" s="243" t="str">
        <f t="shared" si="30"/>
        <v>Sunday</v>
      </c>
      <c r="CW23" s="74"/>
      <c r="CX23" s="74"/>
      <c r="CY23" s="74"/>
      <c r="CZ23" s="74"/>
      <c r="DA23" s="74"/>
      <c r="DB23" s="74"/>
      <c r="DC23" s="220" t="s">
        <v>1370</v>
      </c>
      <c r="DD23" s="79">
        <v>43258</v>
      </c>
      <c r="DE23" s="224" t="str">
        <f t="shared" si="33"/>
        <v>Thursday</v>
      </c>
      <c r="DF23" s="220" t="s">
        <v>1371</v>
      </c>
      <c r="DG23" s="79">
        <v>43171</v>
      </c>
      <c r="DH23" s="218" t="str">
        <f t="shared" si="34"/>
        <v>Monday</v>
      </c>
      <c r="DI23" s="74"/>
      <c r="DJ23" s="252"/>
      <c r="DK23" s="74"/>
      <c r="DL23" s="74"/>
      <c r="DM23" s="74"/>
      <c r="DN23" s="74"/>
      <c r="DO23" s="220" t="s">
        <v>1372</v>
      </c>
      <c r="DP23" s="79">
        <v>42993</v>
      </c>
      <c r="DQ23" s="226" t="str">
        <f t="shared" si="37"/>
        <v>Friday</v>
      </c>
      <c r="DR23" s="74"/>
      <c r="DS23" s="252"/>
      <c r="DT23" s="74"/>
      <c r="DU23" s="225"/>
      <c r="DV23" s="79"/>
      <c r="DW23" s="226"/>
      <c r="DX23" s="220" t="s">
        <v>1373</v>
      </c>
      <c r="DY23" s="79">
        <v>42719</v>
      </c>
      <c r="DZ23" s="224" t="str">
        <f t="shared" si="40"/>
        <v>Thursday</v>
      </c>
      <c r="EA23" s="234"/>
      <c r="EB23" s="252"/>
      <c r="EC23" s="74"/>
      <c r="ED23" s="74"/>
      <c r="EE23" s="252"/>
      <c r="EF23" s="74"/>
      <c r="EG23" s="220" t="s">
        <v>1374</v>
      </c>
      <c r="EH23" s="79">
        <v>42520</v>
      </c>
      <c r="EI23" s="218" t="str">
        <f t="shared" si="43"/>
        <v>Monday</v>
      </c>
      <c r="EJ23" s="220" t="s">
        <v>1375</v>
      </c>
      <c r="EK23" s="79">
        <v>42439</v>
      </c>
      <c r="EL23" s="224" t="str">
        <f t="shared" si="44"/>
        <v>Thursday</v>
      </c>
      <c r="EM23" s="74"/>
      <c r="EN23" s="252"/>
      <c r="EO23" s="74"/>
      <c r="EP23" s="223" t="s">
        <v>1376</v>
      </c>
      <c r="EQ23" s="79">
        <v>42279</v>
      </c>
      <c r="ER23" s="226" t="str">
        <f t="shared" si="46"/>
        <v>Friday</v>
      </c>
      <c r="ES23" s="74"/>
      <c r="ET23" s="252"/>
      <c r="EU23" s="74"/>
      <c r="EV23" s="74"/>
      <c r="EW23" s="252"/>
      <c r="EX23" s="74"/>
      <c r="EY23" s="65"/>
      <c r="EZ23" s="65"/>
      <c r="FA23" s="65"/>
      <c r="FB23" s="223" t="s">
        <v>1377</v>
      </c>
      <c r="FC23" s="79">
        <v>41979</v>
      </c>
      <c r="FD23" s="228" t="str">
        <f t="shared" si="50"/>
        <v>Saturday</v>
      </c>
      <c r="FE23" s="220" t="s">
        <v>1378</v>
      </c>
      <c r="FF23" s="79">
        <v>41849</v>
      </c>
      <c r="FG23" s="221" t="str">
        <f t="shared" si="51"/>
        <v>Tuesday</v>
      </c>
      <c r="FH23" s="74"/>
      <c r="FI23" s="79"/>
      <c r="FJ23" s="74"/>
      <c r="FK23" s="74"/>
      <c r="FL23" s="79"/>
      <c r="FM23" s="74"/>
      <c r="FN23" s="74"/>
      <c r="FO23" s="79"/>
      <c r="FP23" s="74"/>
    </row>
    <row r="24" spans="1:172" ht="15" x14ac:dyDescent="0.2">
      <c r="A24" s="239" t="s">
        <v>134</v>
      </c>
      <c r="B24" s="242">
        <f>COUNTIF(D2:FP2,"Saturday")</f>
        <v>1</v>
      </c>
      <c r="C24" s="240">
        <f t="shared" si="57"/>
        <v>1.7857142857142856E-2</v>
      </c>
      <c r="D24" s="74"/>
      <c r="E24" s="234"/>
      <c r="F24" s="84"/>
      <c r="G24" s="74"/>
      <c r="H24" s="234"/>
      <c r="I24" s="84"/>
      <c r="J24" s="74"/>
      <c r="K24" s="223" t="s">
        <v>1379</v>
      </c>
      <c r="L24" s="84">
        <v>45608</v>
      </c>
      <c r="M24" s="218" t="str">
        <f t="shared" si="1"/>
        <v>Tuesday</v>
      </c>
      <c r="N24" s="234"/>
      <c r="O24" s="84"/>
      <c r="P24" s="74"/>
      <c r="Q24" s="256"/>
      <c r="R24" s="84"/>
      <c r="S24" s="74"/>
      <c r="T24" s="256"/>
      <c r="U24" s="84"/>
      <c r="V24" s="74"/>
      <c r="W24" s="256"/>
      <c r="X24" s="84"/>
      <c r="Y24" s="74"/>
      <c r="Z24" s="74"/>
      <c r="AA24" s="84"/>
      <c r="AB24" s="74"/>
      <c r="AC24" s="223" t="s">
        <v>1380</v>
      </c>
      <c r="AD24" s="84">
        <v>45184</v>
      </c>
      <c r="AE24" s="218" t="str">
        <f t="shared" si="7"/>
        <v>Friday</v>
      </c>
      <c r="AF24" s="223" t="s">
        <v>1381</v>
      </c>
      <c r="AG24" s="84">
        <v>45083</v>
      </c>
      <c r="AH24" s="218" t="str">
        <f t="shared" si="8"/>
        <v>Tuesday</v>
      </c>
      <c r="AI24" s="74"/>
      <c r="AJ24" s="74"/>
      <c r="AK24" s="74"/>
      <c r="AL24" s="256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84"/>
      <c r="BR24" s="74"/>
      <c r="BS24" s="235" t="s">
        <v>1382</v>
      </c>
      <c r="BT24" s="84">
        <v>44148</v>
      </c>
      <c r="BU24" s="226" t="str">
        <f t="shared" si="21"/>
        <v>Friday</v>
      </c>
      <c r="BV24" s="74"/>
      <c r="BW24" s="74"/>
      <c r="BX24" s="74"/>
      <c r="BY24" s="74"/>
      <c r="BZ24" s="74"/>
      <c r="CA24" s="74"/>
      <c r="CB24" s="235" t="s">
        <v>1383</v>
      </c>
      <c r="CC24" s="79">
        <v>43902</v>
      </c>
      <c r="CD24" s="224" t="str">
        <f t="shared" si="24"/>
        <v>Thursday</v>
      </c>
      <c r="CE24" s="74"/>
      <c r="CF24" s="74"/>
      <c r="CG24" s="74"/>
      <c r="CH24" s="74"/>
      <c r="CI24" s="74"/>
      <c r="CJ24" s="74"/>
      <c r="CK24" s="220" t="s">
        <v>1384</v>
      </c>
      <c r="CL24" s="79">
        <v>43717</v>
      </c>
      <c r="CM24" s="218" t="str">
        <f t="shared" si="27"/>
        <v>Monday</v>
      </c>
      <c r="CN24" s="74"/>
      <c r="CO24" s="74"/>
      <c r="CP24" s="74"/>
      <c r="CQ24" s="220" t="s">
        <v>1385</v>
      </c>
      <c r="CR24" s="79">
        <v>43533</v>
      </c>
      <c r="CS24" s="228" t="str">
        <f t="shared" si="29"/>
        <v>Saturday</v>
      </c>
      <c r="CT24" s="220" t="s">
        <v>1386</v>
      </c>
      <c r="CU24" s="79">
        <v>43460</v>
      </c>
      <c r="CV24" s="227" t="str">
        <f t="shared" si="30"/>
        <v>Wednesday</v>
      </c>
      <c r="CW24" s="74"/>
      <c r="CX24" s="74"/>
      <c r="CY24" s="74"/>
      <c r="CZ24" s="74"/>
      <c r="DA24" s="74"/>
      <c r="DB24" s="74"/>
      <c r="DC24" s="220" t="s">
        <v>1387</v>
      </c>
      <c r="DD24" s="79">
        <v>43258</v>
      </c>
      <c r="DE24" s="224" t="str">
        <f t="shared" si="33"/>
        <v>Thursday</v>
      </c>
      <c r="DF24" s="220" t="s">
        <v>1388</v>
      </c>
      <c r="DG24" s="79">
        <v>43172</v>
      </c>
      <c r="DH24" s="221" t="str">
        <f t="shared" si="34"/>
        <v>Tuesday</v>
      </c>
      <c r="DI24" s="74"/>
      <c r="DJ24" s="252"/>
      <c r="DK24" s="74"/>
      <c r="DL24" s="74"/>
      <c r="DM24" s="74"/>
      <c r="DN24" s="74"/>
      <c r="DO24" s="220" t="s">
        <v>1389</v>
      </c>
      <c r="DP24" s="79">
        <v>43004</v>
      </c>
      <c r="DQ24" s="221" t="str">
        <f t="shared" si="37"/>
        <v>Tuesday</v>
      </c>
      <c r="DR24" s="74"/>
      <c r="DS24" s="74"/>
      <c r="DT24" s="74"/>
      <c r="DU24" s="74"/>
      <c r="DV24" s="74"/>
      <c r="DW24" s="74"/>
      <c r="DX24" s="220" t="s">
        <v>1390</v>
      </c>
      <c r="DY24" s="79">
        <v>42723</v>
      </c>
      <c r="DZ24" s="218" t="str">
        <f t="shared" si="40"/>
        <v>Monday</v>
      </c>
      <c r="EA24" s="74"/>
      <c r="EB24" s="74"/>
      <c r="EC24" s="74"/>
      <c r="ED24" s="74"/>
      <c r="EE24" s="74"/>
      <c r="EF24" s="74"/>
      <c r="EG24" s="220" t="s">
        <v>1391</v>
      </c>
      <c r="EH24" s="79">
        <v>42521</v>
      </c>
      <c r="EI24" s="221" t="str">
        <f t="shared" si="43"/>
        <v>Tuesday</v>
      </c>
      <c r="EJ24" s="223" t="s">
        <v>1392</v>
      </c>
      <c r="EK24" s="79">
        <v>42443</v>
      </c>
      <c r="EL24" s="218" t="str">
        <f t="shared" si="44"/>
        <v>Monday</v>
      </c>
      <c r="EM24" s="74"/>
      <c r="EN24" s="252"/>
      <c r="EO24" s="74"/>
      <c r="EP24" s="223" t="s">
        <v>1393</v>
      </c>
      <c r="EQ24" s="79">
        <v>42284</v>
      </c>
      <c r="ER24" s="226" t="str">
        <f t="shared" si="46"/>
        <v>Wednesday</v>
      </c>
      <c r="ES24" s="74"/>
      <c r="ET24" s="252"/>
      <c r="EU24" s="74"/>
      <c r="EV24" s="74"/>
      <c r="EW24" s="252"/>
      <c r="EX24" s="74"/>
      <c r="EY24" s="74"/>
      <c r="EZ24" s="252"/>
      <c r="FA24" s="74"/>
      <c r="FB24" s="223" t="s">
        <v>1394</v>
      </c>
      <c r="FC24" s="79">
        <v>41983</v>
      </c>
      <c r="FD24" s="227" t="str">
        <f t="shared" si="50"/>
        <v>Wednesday</v>
      </c>
      <c r="FE24" s="223" t="s">
        <v>1395</v>
      </c>
      <c r="FF24" s="79">
        <v>41850</v>
      </c>
      <c r="FG24" s="227" t="str">
        <f t="shared" si="51"/>
        <v>Wednesday</v>
      </c>
      <c r="FH24" s="74"/>
      <c r="FI24" s="252"/>
      <c r="FJ24" s="74"/>
      <c r="FK24" s="74"/>
      <c r="FL24" s="79"/>
      <c r="FM24" s="74"/>
      <c r="FN24" s="74"/>
      <c r="FO24" s="79"/>
      <c r="FP24" s="74"/>
    </row>
    <row r="25" spans="1:172" ht="15" x14ac:dyDescent="0.2">
      <c r="A25" s="239" t="s">
        <v>136</v>
      </c>
      <c r="B25" s="242">
        <f>COUNTIF(D2:FP2,"Sunday")</f>
        <v>0</v>
      </c>
      <c r="C25" s="240">
        <f>B25/SUM($B$5:$B$11)</f>
        <v>0</v>
      </c>
      <c r="D25" s="74"/>
      <c r="E25" s="234"/>
      <c r="F25" s="84"/>
      <c r="G25" s="74"/>
      <c r="H25" s="234"/>
      <c r="I25" s="84"/>
      <c r="J25" s="74"/>
      <c r="K25" s="223" t="s">
        <v>1396</v>
      </c>
      <c r="L25" s="84">
        <v>45610</v>
      </c>
      <c r="M25" s="218" t="str">
        <f t="shared" si="1"/>
        <v>Thursday</v>
      </c>
      <c r="N25" s="234"/>
      <c r="O25" s="84"/>
      <c r="P25" s="74"/>
      <c r="Q25" s="256"/>
      <c r="R25" s="84"/>
      <c r="S25" s="74"/>
      <c r="T25" s="256"/>
      <c r="U25" s="84"/>
      <c r="V25" s="74"/>
      <c r="W25" s="256"/>
      <c r="X25" s="84"/>
      <c r="Y25" s="74"/>
      <c r="Z25" s="74"/>
      <c r="AA25" s="84"/>
      <c r="AB25" s="74"/>
      <c r="AC25" s="223" t="s">
        <v>1397</v>
      </c>
      <c r="AD25" s="84">
        <v>45187</v>
      </c>
      <c r="AE25" s="218" t="str">
        <f t="shared" si="7"/>
        <v>Monday</v>
      </c>
      <c r="AF25" s="223" t="s">
        <v>1398</v>
      </c>
      <c r="AG25" s="84">
        <v>45084</v>
      </c>
      <c r="AH25" s="218" t="str">
        <f t="shared" si="8"/>
        <v>Wednesday</v>
      </c>
      <c r="AI25" s="74"/>
      <c r="AJ25" s="74"/>
      <c r="AK25" s="74"/>
      <c r="AL25" s="256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84"/>
      <c r="BR25" s="74"/>
      <c r="BS25" s="235" t="s">
        <v>1399</v>
      </c>
      <c r="BT25" s="84">
        <v>44151</v>
      </c>
      <c r="BU25" s="218" t="str">
        <f t="shared" si="21"/>
        <v>Monday</v>
      </c>
      <c r="BV25" s="74"/>
      <c r="BW25" s="74"/>
      <c r="BX25" s="74"/>
      <c r="BY25" s="74"/>
      <c r="BZ25" s="74"/>
      <c r="CA25" s="74"/>
      <c r="CB25" s="235" t="s">
        <v>1400</v>
      </c>
      <c r="CC25" s="79">
        <v>43903</v>
      </c>
      <c r="CD25" s="226" t="str">
        <f t="shared" si="24"/>
        <v>Friday</v>
      </c>
      <c r="CE25" s="74"/>
      <c r="CF25" s="74"/>
      <c r="CG25" s="74"/>
      <c r="CH25" s="74"/>
      <c r="CI25" s="74"/>
      <c r="CJ25" s="74"/>
      <c r="CK25" s="220" t="s">
        <v>1401</v>
      </c>
      <c r="CL25" s="79">
        <v>43717</v>
      </c>
      <c r="CM25" s="218" t="str">
        <f t="shared" si="27"/>
        <v>Monday</v>
      </c>
      <c r="CN25" s="74"/>
      <c r="CO25" s="74"/>
      <c r="CP25" s="74"/>
      <c r="CQ25" s="220" t="s">
        <v>1402</v>
      </c>
      <c r="CR25" s="79">
        <v>43533</v>
      </c>
      <c r="CS25" s="228" t="str">
        <f t="shared" si="29"/>
        <v>Saturday</v>
      </c>
      <c r="CT25" s="220" t="s">
        <v>1403</v>
      </c>
      <c r="CU25" s="79">
        <v>43460</v>
      </c>
      <c r="CV25" s="227" t="str">
        <f t="shared" si="30"/>
        <v>Wednesday</v>
      </c>
      <c r="CW25" s="74"/>
      <c r="CX25" s="74"/>
      <c r="CY25" s="74"/>
      <c r="CZ25" s="74"/>
      <c r="DA25" s="74"/>
      <c r="DB25" s="74"/>
      <c r="DC25" s="220" t="s">
        <v>1404</v>
      </c>
      <c r="DD25" s="79">
        <v>43259</v>
      </c>
      <c r="DE25" s="226" t="str">
        <f t="shared" si="33"/>
        <v>Friday</v>
      </c>
      <c r="DF25" s="220" t="s">
        <v>1405</v>
      </c>
      <c r="DG25" s="79">
        <v>43178</v>
      </c>
      <c r="DH25" s="218" t="str">
        <f t="shared" si="34"/>
        <v>Monday</v>
      </c>
      <c r="DI25" s="74"/>
      <c r="DJ25" s="252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220" t="s">
        <v>1406</v>
      </c>
      <c r="DY25" s="79">
        <v>42723</v>
      </c>
      <c r="DZ25" s="218" t="str">
        <f t="shared" si="40"/>
        <v>Monday</v>
      </c>
      <c r="EA25" s="74"/>
      <c r="EB25" s="74"/>
      <c r="EC25" s="74"/>
      <c r="ED25" s="74"/>
      <c r="EE25" s="74"/>
      <c r="EF25" s="74"/>
      <c r="EG25" s="220" t="s">
        <v>1407</v>
      </c>
      <c r="EH25" s="79">
        <v>42521</v>
      </c>
      <c r="EI25" s="221" t="str">
        <f t="shared" si="43"/>
        <v>Tuesday</v>
      </c>
      <c r="EJ25" s="223" t="s">
        <v>1408</v>
      </c>
      <c r="EK25" s="79">
        <v>42443</v>
      </c>
      <c r="EL25" s="218" t="str">
        <f t="shared" si="44"/>
        <v>Monday</v>
      </c>
      <c r="EM25" s="74"/>
      <c r="EN25" s="252"/>
      <c r="EO25" s="74"/>
      <c r="EP25" s="223" t="s">
        <v>1409</v>
      </c>
      <c r="EQ25" s="79">
        <v>42285</v>
      </c>
      <c r="ER25" s="226" t="str">
        <f t="shared" si="46"/>
        <v>Thursday</v>
      </c>
      <c r="ES25" s="74"/>
      <c r="ET25" s="252"/>
      <c r="EU25" s="74"/>
      <c r="EV25" s="74"/>
      <c r="EW25" s="252"/>
      <c r="EX25" s="74"/>
      <c r="EY25" s="74"/>
      <c r="EZ25" s="252"/>
      <c r="FA25" s="74"/>
      <c r="FB25" s="223" t="s">
        <v>1410</v>
      </c>
      <c r="FC25" s="79">
        <v>41983</v>
      </c>
      <c r="FD25" s="227" t="str">
        <f t="shared" si="50"/>
        <v>Wednesday</v>
      </c>
      <c r="FE25" s="223" t="s">
        <v>1411</v>
      </c>
      <c r="FF25" s="79">
        <v>41854</v>
      </c>
      <c r="FG25" s="243" t="str">
        <f t="shared" si="51"/>
        <v>Sunday</v>
      </c>
      <c r="FH25" s="74"/>
      <c r="FI25" s="252"/>
      <c r="FJ25" s="74"/>
      <c r="FK25" s="74"/>
      <c r="FL25" s="79"/>
      <c r="FM25" s="74"/>
      <c r="FN25" s="74"/>
      <c r="FO25" s="79"/>
      <c r="FP25" s="74"/>
    </row>
    <row r="26" spans="1:172" ht="15" x14ac:dyDescent="0.25">
      <c r="A26" s="74"/>
      <c r="B26" s="74"/>
      <c r="C26" s="74"/>
      <c r="D26" s="74"/>
      <c r="E26" s="234"/>
      <c r="F26" s="84"/>
      <c r="G26" s="74"/>
      <c r="H26" s="234"/>
      <c r="I26" s="84"/>
      <c r="J26" s="74"/>
      <c r="K26" s="223" t="s">
        <v>1412</v>
      </c>
      <c r="L26" s="84">
        <v>45611</v>
      </c>
      <c r="M26" s="218" t="str">
        <f t="shared" si="1"/>
        <v>Friday</v>
      </c>
      <c r="N26" s="234"/>
      <c r="O26" s="84"/>
      <c r="P26" s="74"/>
      <c r="Q26" s="256"/>
      <c r="R26" s="84"/>
      <c r="S26" s="74"/>
      <c r="T26" s="256"/>
      <c r="U26" s="84"/>
      <c r="V26" s="74"/>
      <c r="W26" s="256"/>
      <c r="X26" s="84"/>
      <c r="Y26" s="74"/>
      <c r="Z26" s="74"/>
      <c r="AA26" s="84"/>
      <c r="AB26" s="74"/>
      <c r="AC26" s="223" t="s">
        <v>1413</v>
      </c>
      <c r="AD26" s="84">
        <v>45190</v>
      </c>
      <c r="AE26" s="218" t="str">
        <f t="shared" si="7"/>
        <v>Thursday</v>
      </c>
      <c r="AF26" s="223" t="s">
        <v>1414</v>
      </c>
      <c r="AG26" s="84">
        <v>45086</v>
      </c>
      <c r="AH26" s="218" t="str">
        <f t="shared" si="8"/>
        <v>Friday</v>
      </c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235" t="s">
        <v>1415</v>
      </c>
      <c r="BT26" s="84">
        <v>44151</v>
      </c>
      <c r="BU26" s="218" t="str">
        <f t="shared" si="21"/>
        <v>Monday</v>
      </c>
      <c r="BV26" s="74"/>
      <c r="BW26" s="74"/>
      <c r="BX26" s="74"/>
      <c r="BY26" s="74"/>
      <c r="BZ26" s="74"/>
      <c r="CA26" s="74"/>
      <c r="CB26" s="235" t="s">
        <v>1416</v>
      </c>
      <c r="CC26" s="79">
        <v>43903</v>
      </c>
      <c r="CD26" s="226" t="str">
        <f t="shared" si="24"/>
        <v>Friday</v>
      </c>
      <c r="CE26" s="74"/>
      <c r="CF26" s="74"/>
      <c r="CG26" s="74"/>
      <c r="CH26" s="74"/>
      <c r="CI26" s="74"/>
      <c r="CJ26" s="74"/>
      <c r="CK26" s="220" t="s">
        <v>1417</v>
      </c>
      <c r="CL26" s="79">
        <v>43718</v>
      </c>
      <c r="CM26" s="221" t="str">
        <f t="shared" si="27"/>
        <v>Tuesday</v>
      </c>
      <c r="CN26" s="74"/>
      <c r="CO26" s="74"/>
      <c r="CP26" s="74"/>
      <c r="CQ26" s="220" t="s">
        <v>1418</v>
      </c>
      <c r="CR26" s="79">
        <v>43535</v>
      </c>
      <c r="CS26" s="218" t="str">
        <f t="shared" si="29"/>
        <v>Monday</v>
      </c>
      <c r="CT26" s="220" t="s">
        <v>1419</v>
      </c>
      <c r="CU26" s="79">
        <v>43461</v>
      </c>
      <c r="CV26" s="224" t="str">
        <f t="shared" si="30"/>
        <v>Thursday</v>
      </c>
      <c r="CW26" s="74"/>
      <c r="CX26" s="74"/>
      <c r="CY26" s="74"/>
      <c r="CZ26" s="74"/>
      <c r="DA26" s="74"/>
      <c r="DB26" s="74"/>
      <c r="DC26" s="220" t="s">
        <v>1420</v>
      </c>
      <c r="DD26" s="79">
        <v>43260</v>
      </c>
      <c r="DE26" s="228" t="str">
        <f t="shared" si="33"/>
        <v>Saturday</v>
      </c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220" t="s">
        <v>1421</v>
      </c>
      <c r="DY26" s="79">
        <v>42731</v>
      </c>
      <c r="DZ26" s="221" t="str">
        <f t="shared" si="40"/>
        <v>Tuesday</v>
      </c>
      <c r="EA26" s="74"/>
      <c r="EB26" s="74"/>
      <c r="EC26" s="74"/>
      <c r="ED26" s="74"/>
      <c r="EE26" s="74"/>
      <c r="EF26" s="74"/>
      <c r="EG26" s="220" t="s">
        <v>1422</v>
      </c>
      <c r="EH26" s="79">
        <v>42522</v>
      </c>
      <c r="EI26" s="227" t="str">
        <f t="shared" si="43"/>
        <v>Wednesday</v>
      </c>
      <c r="EJ26" s="223" t="s">
        <v>1423</v>
      </c>
      <c r="EK26" s="79">
        <v>42443</v>
      </c>
      <c r="EL26" s="218" t="str">
        <f t="shared" si="44"/>
        <v>Monday</v>
      </c>
      <c r="EM26" s="74"/>
      <c r="EN26" s="252"/>
      <c r="EO26" s="74"/>
      <c r="EP26" s="257" t="s">
        <v>1424</v>
      </c>
      <c r="EQ26" s="258">
        <v>42286</v>
      </c>
      <c r="ER26" s="238" t="str">
        <f t="shared" si="46"/>
        <v>Friday</v>
      </c>
      <c r="ES26" s="74"/>
      <c r="ET26" s="252"/>
      <c r="EU26" s="74"/>
      <c r="EV26" s="74"/>
      <c r="EW26" s="252"/>
      <c r="EX26" s="74"/>
      <c r="EY26" s="74"/>
      <c r="EZ26" s="252"/>
      <c r="FA26" s="74"/>
      <c r="FB26" s="223" t="s">
        <v>1425</v>
      </c>
      <c r="FC26" s="79">
        <v>41984</v>
      </c>
      <c r="FD26" s="224" t="str">
        <f t="shared" si="50"/>
        <v>Thursday</v>
      </c>
      <c r="FE26" s="223" t="s">
        <v>1426</v>
      </c>
      <c r="FF26" s="79">
        <v>41858</v>
      </c>
      <c r="FG26" s="224" t="str">
        <f t="shared" si="51"/>
        <v>Thursday</v>
      </c>
      <c r="FH26" s="74"/>
      <c r="FI26" s="252"/>
      <c r="FJ26" s="74"/>
      <c r="FK26" s="74"/>
      <c r="FL26" s="79"/>
      <c r="FM26" s="74"/>
      <c r="FN26" s="74"/>
      <c r="FO26" s="79"/>
      <c r="FP26" s="74"/>
    </row>
    <row r="27" spans="1:172" ht="15" x14ac:dyDescent="0.2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256"/>
      <c r="R27" s="74"/>
      <c r="S27" s="74"/>
      <c r="T27" s="256"/>
      <c r="U27" s="74"/>
      <c r="V27" s="74"/>
      <c r="W27" s="256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235" t="s">
        <v>1427</v>
      </c>
      <c r="CC27" s="79">
        <v>43909</v>
      </c>
      <c r="CD27" s="224" t="str">
        <f t="shared" si="24"/>
        <v>Thursday</v>
      </c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254"/>
      <c r="CR27" s="254"/>
      <c r="CS27" s="25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220" t="s">
        <v>1428</v>
      </c>
      <c r="DY27" s="79">
        <v>42732</v>
      </c>
      <c r="DZ27" s="227" t="str">
        <f t="shared" si="40"/>
        <v>Wednesday</v>
      </c>
      <c r="EA27" s="74"/>
      <c r="EB27" s="74"/>
      <c r="EC27" s="74"/>
      <c r="ED27" s="74"/>
      <c r="EE27" s="74"/>
      <c r="EF27" s="74"/>
      <c r="EG27" s="220" t="s">
        <v>1429</v>
      </c>
      <c r="EH27" s="79">
        <v>42523</v>
      </c>
      <c r="EI27" s="224" t="str">
        <f t="shared" si="43"/>
        <v>Thursday</v>
      </c>
      <c r="EJ27" s="74"/>
      <c r="EK27" s="252"/>
      <c r="EL27" s="74"/>
      <c r="EM27" s="74"/>
      <c r="EN27" s="252"/>
      <c r="EO27" s="74"/>
      <c r="EP27" s="223" t="s">
        <v>1430</v>
      </c>
      <c r="EQ27" s="79">
        <v>42291</v>
      </c>
      <c r="ER27" s="226" t="str">
        <f t="shared" si="46"/>
        <v>Wednesday</v>
      </c>
      <c r="ES27" s="74"/>
      <c r="ET27" s="252"/>
      <c r="EU27" s="74"/>
      <c r="EV27" s="74"/>
      <c r="EW27" s="252"/>
      <c r="EX27" s="74"/>
      <c r="EY27" s="74"/>
      <c r="EZ27" s="252"/>
      <c r="FA27" s="74"/>
      <c r="FB27" s="223" t="s">
        <v>1431</v>
      </c>
      <c r="FC27" s="79">
        <v>41984</v>
      </c>
      <c r="FD27" s="224" t="str">
        <f t="shared" si="50"/>
        <v>Thursday</v>
      </c>
      <c r="FE27" s="223" t="s">
        <v>1432</v>
      </c>
      <c r="FF27" s="79">
        <v>41858</v>
      </c>
      <c r="FG27" s="224" t="str">
        <f t="shared" si="51"/>
        <v>Thursday</v>
      </c>
      <c r="FH27" s="74"/>
      <c r="FI27" s="252"/>
      <c r="FJ27" s="74"/>
      <c r="FK27" s="74"/>
      <c r="FL27" s="79"/>
      <c r="FM27" s="74"/>
      <c r="FN27" s="74"/>
      <c r="FO27" s="79"/>
      <c r="FP27" s="74"/>
    </row>
    <row r="28" spans="1:172" ht="15" x14ac:dyDescent="0.2">
      <c r="A28" s="8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256"/>
      <c r="R28" s="74"/>
      <c r="S28" s="74"/>
      <c r="T28" s="256"/>
      <c r="U28" s="74"/>
      <c r="V28" s="74"/>
      <c r="W28" s="256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254"/>
      <c r="CR28" s="254"/>
      <c r="CS28" s="254"/>
      <c r="CT28" s="74"/>
      <c r="CU28" s="74"/>
      <c r="CV28" s="74"/>
      <c r="CW28" s="74"/>
      <c r="CX28" s="74"/>
      <c r="CY28" s="74"/>
      <c r="CZ28" s="74"/>
      <c r="DA28" s="74"/>
      <c r="DB28" s="74"/>
      <c r="DC28" s="254"/>
      <c r="DD28" s="254"/>
      <c r="DE28" s="25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220" t="s">
        <v>1433</v>
      </c>
      <c r="DY28" s="79">
        <v>42733</v>
      </c>
      <c r="DZ28" s="224" t="str">
        <f t="shared" si="40"/>
        <v>Thursday</v>
      </c>
      <c r="EA28" s="74"/>
      <c r="EB28" s="74"/>
      <c r="EC28" s="74"/>
      <c r="ED28" s="74"/>
      <c r="EE28" s="74"/>
      <c r="EF28" s="74"/>
      <c r="EG28" s="223" t="s">
        <v>1434</v>
      </c>
      <c r="EH28" s="79">
        <v>42527</v>
      </c>
      <c r="EI28" s="218" t="str">
        <f t="shared" si="43"/>
        <v>Monday</v>
      </c>
      <c r="EJ28" s="74"/>
      <c r="EK28" s="252"/>
      <c r="EL28" s="74"/>
      <c r="EM28" s="74"/>
      <c r="EN28" s="252"/>
      <c r="EO28" s="74"/>
      <c r="EP28" s="223" t="s">
        <v>1435</v>
      </c>
      <c r="EQ28" s="79">
        <v>42293</v>
      </c>
      <c r="ER28" s="226" t="str">
        <f t="shared" si="46"/>
        <v>Friday</v>
      </c>
      <c r="ES28" s="74"/>
      <c r="ET28" s="252"/>
      <c r="EU28" s="74"/>
      <c r="EV28" s="65"/>
      <c r="EW28" s="65"/>
      <c r="EX28" s="65"/>
      <c r="EY28" s="74"/>
      <c r="EZ28" s="252"/>
      <c r="FA28" s="74"/>
      <c r="FB28" s="223" t="s">
        <v>1436</v>
      </c>
      <c r="FC28" s="79">
        <v>41985</v>
      </c>
      <c r="FD28" s="226" t="str">
        <f t="shared" si="50"/>
        <v>Friday</v>
      </c>
      <c r="FE28" s="223" t="s">
        <v>1437</v>
      </c>
      <c r="FF28" s="79">
        <v>41859</v>
      </c>
      <c r="FG28" s="226" t="str">
        <f t="shared" si="51"/>
        <v>Friday</v>
      </c>
      <c r="FH28" s="74"/>
      <c r="FI28" s="252"/>
      <c r="FJ28" s="74"/>
      <c r="FK28" s="74"/>
      <c r="FL28" s="79"/>
      <c r="FM28" s="74"/>
      <c r="FN28" s="74"/>
      <c r="FO28" s="79"/>
      <c r="FP28" s="74"/>
    </row>
    <row r="29" spans="1:172" ht="15" x14ac:dyDescent="0.2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256"/>
      <c r="R29" s="74"/>
      <c r="S29" s="74"/>
      <c r="T29" s="256"/>
      <c r="U29" s="74"/>
      <c r="V29" s="74"/>
      <c r="W29" s="256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220" t="s">
        <v>1438</v>
      </c>
      <c r="DY29" s="79">
        <v>42747</v>
      </c>
      <c r="DZ29" s="224" t="str">
        <f t="shared" si="40"/>
        <v>Thursday</v>
      </c>
      <c r="EA29" s="74"/>
      <c r="EB29" s="74"/>
      <c r="EC29" s="74"/>
      <c r="ED29" s="74"/>
      <c r="EE29" s="74"/>
      <c r="EF29" s="74"/>
      <c r="EG29" s="220" t="s">
        <v>1439</v>
      </c>
      <c r="EH29" s="79">
        <v>42529</v>
      </c>
      <c r="EI29" s="227" t="str">
        <f t="shared" si="43"/>
        <v>Wednesday</v>
      </c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223" t="s">
        <v>1440</v>
      </c>
      <c r="FC29" s="79">
        <v>41985</v>
      </c>
      <c r="FD29" s="226" t="str">
        <f t="shared" si="50"/>
        <v>Friday</v>
      </c>
      <c r="FE29" s="223" t="s">
        <v>1441</v>
      </c>
      <c r="FF29" s="79">
        <v>41865</v>
      </c>
      <c r="FG29" s="224" t="str">
        <f t="shared" si="51"/>
        <v>Thursday</v>
      </c>
      <c r="FH29" s="74"/>
      <c r="FI29" s="74"/>
      <c r="FJ29" s="74"/>
      <c r="FK29" s="74"/>
      <c r="FL29" s="79"/>
      <c r="FM29" s="74"/>
      <c r="FN29" s="74"/>
      <c r="FO29" s="79"/>
      <c r="FP29" s="74"/>
    </row>
    <row r="30" spans="1:172" ht="15" x14ac:dyDescent="0.2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256"/>
      <c r="R30" s="74"/>
      <c r="S30" s="74"/>
      <c r="T30" s="256"/>
      <c r="U30" s="74"/>
      <c r="V30" s="74"/>
      <c r="W30" s="256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220" t="s">
        <v>1442</v>
      </c>
      <c r="EH30" s="79">
        <v>42541</v>
      </c>
      <c r="EI30" s="227" t="str">
        <f t="shared" si="43"/>
        <v>Monday</v>
      </c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223" t="s">
        <v>1443</v>
      </c>
      <c r="FC30" s="79">
        <v>41988</v>
      </c>
      <c r="FD30" s="218" t="str">
        <f t="shared" si="50"/>
        <v>Monday</v>
      </c>
      <c r="FE30" s="223" t="s">
        <v>1444</v>
      </c>
      <c r="FF30" s="79">
        <v>41865</v>
      </c>
      <c r="FG30" s="224" t="str">
        <f t="shared" si="51"/>
        <v>Thursday</v>
      </c>
      <c r="FH30" s="74"/>
      <c r="FI30" s="74"/>
      <c r="FJ30" s="74"/>
      <c r="FK30" s="74"/>
      <c r="FL30" s="74"/>
      <c r="FM30" s="74"/>
      <c r="FN30" s="74"/>
      <c r="FO30" s="79"/>
      <c r="FP30" s="74"/>
    </row>
    <row r="31" spans="1:172" ht="15" x14ac:dyDescent="0.2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256"/>
      <c r="R31" s="74"/>
      <c r="S31" s="74"/>
      <c r="T31" s="256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220" t="s">
        <v>1445</v>
      </c>
      <c r="FC31" s="79">
        <v>41988</v>
      </c>
      <c r="FD31" s="218" t="str">
        <f t="shared" si="50"/>
        <v>Monday</v>
      </c>
      <c r="FE31" s="223" t="s">
        <v>1446</v>
      </c>
      <c r="FF31" s="79">
        <v>41865</v>
      </c>
      <c r="FG31" s="224" t="str">
        <f t="shared" si="51"/>
        <v>Thursday</v>
      </c>
      <c r="FH31" s="74"/>
      <c r="FI31" s="74"/>
      <c r="FJ31" s="74"/>
      <c r="FK31" s="74"/>
      <c r="FL31" s="74"/>
      <c r="FM31" s="74"/>
      <c r="FN31" s="74"/>
      <c r="FO31" s="74"/>
      <c r="FP31" s="74"/>
    </row>
    <row r="32" spans="1:172" ht="15" x14ac:dyDescent="0.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256"/>
      <c r="R32" s="74"/>
      <c r="S32" s="74"/>
      <c r="T32" s="256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223" t="s">
        <v>1447</v>
      </c>
      <c r="FC32" s="79">
        <v>41993</v>
      </c>
      <c r="FD32" s="228" t="str">
        <f t="shared" si="50"/>
        <v>Saturday</v>
      </c>
      <c r="FE32" s="223" t="s">
        <v>1448</v>
      </c>
      <c r="FF32" s="79">
        <v>41866</v>
      </c>
      <c r="FG32" s="226" t="str">
        <f t="shared" si="51"/>
        <v>Friday</v>
      </c>
      <c r="FH32" s="74"/>
      <c r="FI32" s="74"/>
      <c r="FJ32" s="74"/>
      <c r="FK32" s="74"/>
      <c r="FL32" s="74"/>
      <c r="FM32" s="74"/>
      <c r="FN32" s="74"/>
      <c r="FO32" s="74"/>
      <c r="FP32" s="74"/>
    </row>
    <row r="33" spans="1:172" ht="15" x14ac:dyDescent="0.2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223" t="s">
        <v>1449</v>
      </c>
      <c r="FC33" s="79">
        <v>41997</v>
      </c>
      <c r="FD33" s="227" t="str">
        <f t="shared" si="50"/>
        <v>Wednesday</v>
      </c>
      <c r="FE33" s="223" t="s">
        <v>1450</v>
      </c>
      <c r="FF33" s="79">
        <v>41871</v>
      </c>
      <c r="FG33" s="227" t="str">
        <f t="shared" si="51"/>
        <v>Wednesday</v>
      </c>
      <c r="FH33" s="74"/>
      <c r="FI33" s="74"/>
      <c r="FJ33" s="74"/>
      <c r="FK33" s="74"/>
      <c r="FL33" s="74"/>
      <c r="FM33" s="74"/>
      <c r="FN33" s="74"/>
      <c r="FO33" s="74"/>
      <c r="FP33" s="74"/>
    </row>
    <row r="34" spans="1:172" ht="15" x14ac:dyDescent="0.2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223" t="s">
        <v>1451</v>
      </c>
      <c r="FC34" s="79">
        <v>41998</v>
      </c>
      <c r="FD34" s="224" t="str">
        <f t="shared" si="50"/>
        <v>Thursday</v>
      </c>
      <c r="FE34" s="223" t="s">
        <v>1452</v>
      </c>
      <c r="FF34" s="79">
        <v>41871</v>
      </c>
      <c r="FG34" s="227" t="str">
        <f t="shared" si="51"/>
        <v>Wednesday</v>
      </c>
      <c r="FH34" s="74"/>
      <c r="FI34" s="74"/>
      <c r="FJ34" s="74"/>
      <c r="FK34" s="74"/>
      <c r="FL34" s="74"/>
      <c r="FM34" s="74"/>
      <c r="FN34" s="74"/>
      <c r="FO34" s="74"/>
      <c r="FP34" s="74"/>
    </row>
    <row r="35" spans="1:172" ht="15" x14ac:dyDescent="0.2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220" t="s">
        <v>1453</v>
      </c>
      <c r="FC35" s="79">
        <v>42001</v>
      </c>
      <c r="FD35" s="243" t="str">
        <f t="shared" si="50"/>
        <v>Sunday</v>
      </c>
      <c r="FE35" s="223" t="s">
        <v>1454</v>
      </c>
      <c r="FF35" s="79">
        <v>41872</v>
      </c>
      <c r="FG35" s="224" t="str">
        <f t="shared" si="51"/>
        <v>Thursday</v>
      </c>
      <c r="FH35" s="74"/>
      <c r="FI35" s="74"/>
      <c r="FJ35" s="74"/>
      <c r="FK35" s="74"/>
      <c r="FL35" s="74"/>
      <c r="FM35" s="74"/>
      <c r="FN35" s="74"/>
      <c r="FO35" s="74"/>
      <c r="FP35" s="74"/>
    </row>
    <row r="36" spans="1:172" ht="15" x14ac:dyDescent="0.2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223" t="s">
        <v>1455</v>
      </c>
      <c r="FC36" s="79">
        <v>42002</v>
      </c>
      <c r="FD36" s="218" t="str">
        <f t="shared" si="50"/>
        <v>Monday</v>
      </c>
      <c r="FE36" s="223" t="s">
        <v>1456</v>
      </c>
      <c r="FF36" s="79">
        <v>41877</v>
      </c>
      <c r="FG36" s="221" t="str">
        <f t="shared" si="51"/>
        <v>Tuesday</v>
      </c>
      <c r="FH36" s="74"/>
      <c r="FI36" s="74"/>
      <c r="FJ36" s="74"/>
      <c r="FK36" s="74"/>
      <c r="FL36" s="74"/>
      <c r="FM36" s="74"/>
      <c r="FN36" s="74"/>
      <c r="FO36" s="74"/>
      <c r="FP36" s="74"/>
    </row>
    <row r="37" spans="1:172" ht="15" x14ac:dyDescent="0.2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223" t="s">
        <v>1457</v>
      </c>
      <c r="FC37" s="79">
        <v>42020</v>
      </c>
      <c r="FD37" s="226" t="str">
        <f t="shared" si="50"/>
        <v>Friday</v>
      </c>
      <c r="FE37" s="223" t="s">
        <v>1458</v>
      </c>
      <c r="FF37" s="79">
        <v>41878</v>
      </c>
      <c r="FG37" s="227" t="str">
        <f t="shared" si="51"/>
        <v>Wednesday</v>
      </c>
      <c r="FH37" s="74"/>
      <c r="FI37" s="74"/>
      <c r="FJ37" s="74"/>
      <c r="FK37" s="74"/>
      <c r="FL37" s="74"/>
      <c r="FM37" s="74"/>
      <c r="FN37" s="74"/>
      <c r="FO37" s="74"/>
      <c r="FP37" s="74"/>
    </row>
    <row r="38" spans="1:172" ht="15" x14ac:dyDescent="0.2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223" t="s">
        <v>1459</v>
      </c>
      <c r="FC38" s="79">
        <v>42028</v>
      </c>
      <c r="FD38" s="228" t="str">
        <f t="shared" si="50"/>
        <v>Saturday</v>
      </c>
      <c r="FE38" s="223" t="s">
        <v>1460</v>
      </c>
      <c r="FF38" s="79">
        <v>41879</v>
      </c>
      <c r="FG38" s="224" t="str">
        <f t="shared" si="51"/>
        <v>Thursday</v>
      </c>
      <c r="FH38" s="74"/>
      <c r="FI38" s="74"/>
      <c r="FJ38" s="74"/>
      <c r="FK38" s="74"/>
      <c r="FL38" s="74"/>
      <c r="FM38" s="74"/>
      <c r="FN38" s="74"/>
      <c r="FO38" s="74"/>
      <c r="FP38" s="74"/>
    </row>
    <row r="39" spans="1:172" ht="15" x14ac:dyDescent="0.2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223" t="s">
        <v>1461</v>
      </c>
      <c r="FC39" s="79">
        <v>42029</v>
      </c>
      <c r="FD39" s="243" t="str">
        <f t="shared" si="50"/>
        <v>Sunday</v>
      </c>
      <c r="FE39" s="223" t="s">
        <v>1462</v>
      </c>
      <c r="FF39" s="79">
        <v>41883</v>
      </c>
      <c r="FG39" s="218" t="str">
        <f t="shared" si="51"/>
        <v>Monday</v>
      </c>
      <c r="FH39" s="74"/>
      <c r="FI39" s="74"/>
      <c r="FJ39" s="74"/>
      <c r="FK39" s="74"/>
      <c r="FL39" s="74"/>
      <c r="FM39" s="74"/>
      <c r="FN39" s="74"/>
      <c r="FO39" s="74"/>
      <c r="FP39" s="74"/>
    </row>
    <row r="40" spans="1:172" ht="15" x14ac:dyDescent="0.2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  <c r="DG40" s="74"/>
      <c r="DH40" s="74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  <c r="FC40" s="74"/>
      <c r="FD40" s="74"/>
      <c r="FE40" s="223" t="s">
        <v>1463</v>
      </c>
      <c r="FF40" s="79">
        <v>41887</v>
      </c>
      <c r="FG40" s="226" t="str">
        <f t="shared" si="51"/>
        <v>Friday</v>
      </c>
      <c r="FH40" s="74"/>
      <c r="FI40" s="74"/>
      <c r="FJ40" s="74"/>
      <c r="FK40" s="74"/>
      <c r="FL40" s="74"/>
      <c r="FM40" s="74"/>
      <c r="FN40" s="74"/>
      <c r="FO40" s="74"/>
      <c r="FP40" s="74"/>
    </row>
    <row r="41" spans="1:172" ht="15" x14ac:dyDescent="0.2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  <c r="DG41" s="74"/>
      <c r="DH41" s="74"/>
      <c r="DI41" s="74"/>
      <c r="DJ41" s="74"/>
      <c r="DK41" s="74"/>
      <c r="DL41" s="74"/>
      <c r="DM41" s="74"/>
      <c r="DN41" s="74"/>
      <c r="DO41" s="7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  <c r="FC41" s="74"/>
      <c r="FD41" s="74"/>
      <c r="FE41" s="223" t="s">
        <v>1464</v>
      </c>
      <c r="FF41" s="79">
        <v>41890</v>
      </c>
      <c r="FG41" s="218" t="str">
        <f t="shared" si="51"/>
        <v>Monday</v>
      </c>
      <c r="FH41" s="74"/>
      <c r="FI41" s="74"/>
      <c r="FJ41" s="74"/>
      <c r="FK41" s="74"/>
      <c r="FL41" s="74"/>
      <c r="FM41" s="74"/>
      <c r="FN41" s="74"/>
      <c r="FO41" s="74"/>
      <c r="FP41" s="74"/>
    </row>
    <row r="42" spans="1:172" ht="15" x14ac:dyDescent="0.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4"/>
      <c r="DL42" s="74"/>
      <c r="DM42" s="74"/>
      <c r="DN42" s="74"/>
      <c r="DO42" s="7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74"/>
      <c r="EB42" s="74"/>
      <c r="EC42" s="74"/>
      <c r="ED42" s="74"/>
      <c r="EE42" s="74"/>
      <c r="EF42" s="74"/>
      <c r="EG42" s="74"/>
      <c r="EH42" s="74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  <c r="FC42" s="74"/>
      <c r="FD42" s="74"/>
      <c r="FE42" s="223" t="s">
        <v>1465</v>
      </c>
      <c r="FF42" s="79">
        <v>41891</v>
      </c>
      <c r="FG42" s="221" t="str">
        <f t="shared" si="51"/>
        <v>Tuesday</v>
      </c>
      <c r="FH42" s="74"/>
      <c r="FI42" s="74"/>
      <c r="FJ42" s="74"/>
      <c r="FK42" s="74"/>
      <c r="FL42" s="74"/>
      <c r="FM42" s="74"/>
      <c r="FN42" s="74"/>
      <c r="FO42" s="74"/>
      <c r="FP42" s="74"/>
    </row>
    <row r="43" spans="1:172" ht="15" x14ac:dyDescent="0.2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/>
      <c r="EA43" s="74"/>
      <c r="EB43" s="74"/>
      <c r="EC43" s="74"/>
      <c r="ED43" s="74"/>
      <c r="EE43" s="74"/>
      <c r="EF43" s="74"/>
      <c r="EG43" s="74"/>
      <c r="EH43" s="74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  <c r="FC43" s="74"/>
      <c r="FD43" s="74"/>
      <c r="FE43" s="223" t="s">
        <v>1466</v>
      </c>
      <c r="FF43" s="79">
        <v>41891</v>
      </c>
      <c r="FG43" s="221" t="str">
        <f t="shared" si="51"/>
        <v>Tuesday</v>
      </c>
      <c r="FH43" s="74"/>
      <c r="FI43" s="74"/>
      <c r="FJ43" s="74"/>
      <c r="FK43" s="74"/>
      <c r="FL43" s="74"/>
      <c r="FM43" s="74"/>
      <c r="FN43" s="74"/>
      <c r="FO43" s="74"/>
      <c r="FP43" s="74"/>
    </row>
    <row r="44" spans="1:172" ht="15" x14ac:dyDescent="0.2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  <c r="DG44" s="74"/>
      <c r="DH44" s="74"/>
      <c r="DI44" s="74"/>
      <c r="DJ44" s="74"/>
      <c r="DK44" s="74"/>
      <c r="DL44" s="74"/>
      <c r="DM44" s="74"/>
      <c r="DN44" s="74"/>
      <c r="DO44" s="74"/>
      <c r="DP44" s="74"/>
      <c r="DQ44" s="74"/>
      <c r="DR44" s="74"/>
      <c r="DS44" s="74"/>
      <c r="DT44" s="74"/>
      <c r="DU44" s="74"/>
      <c r="DV44" s="74"/>
      <c r="DW44" s="74"/>
      <c r="DX44" s="74"/>
      <c r="DY44" s="74"/>
      <c r="DZ44" s="74"/>
      <c r="EA44" s="74"/>
      <c r="EB44" s="74"/>
      <c r="EC44" s="74"/>
      <c r="ED44" s="74"/>
      <c r="EE44" s="74"/>
      <c r="EF44" s="74"/>
      <c r="EG44" s="74"/>
      <c r="EH44" s="74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  <c r="FC44" s="74"/>
      <c r="FD44" s="74"/>
      <c r="FE44" s="223" t="s">
        <v>974</v>
      </c>
      <c r="FF44" s="79">
        <v>41892</v>
      </c>
      <c r="FG44" s="227" t="str">
        <f t="shared" si="51"/>
        <v>Wednesday</v>
      </c>
      <c r="FH44" s="74"/>
      <c r="FI44" s="74"/>
      <c r="FJ44" s="74"/>
      <c r="FK44" s="74"/>
      <c r="FL44" s="74"/>
      <c r="FM44" s="74"/>
      <c r="FN44" s="74"/>
      <c r="FO44" s="74"/>
      <c r="FP44" s="74"/>
    </row>
    <row r="45" spans="1:172" ht="15" x14ac:dyDescent="0.2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223" t="s">
        <v>1467</v>
      </c>
      <c r="FF45" s="79">
        <v>41892</v>
      </c>
      <c r="FG45" s="227" t="str">
        <f t="shared" si="51"/>
        <v>Wednesday</v>
      </c>
      <c r="FH45" s="74"/>
      <c r="FI45" s="74"/>
      <c r="FJ45" s="74"/>
      <c r="FK45" s="74"/>
      <c r="FL45" s="74"/>
      <c r="FM45" s="74"/>
      <c r="FN45" s="74"/>
      <c r="FO45" s="74"/>
      <c r="FP45" s="74"/>
    </row>
    <row r="46" spans="1:172" ht="15" x14ac:dyDescent="0.2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DZ46" s="74"/>
      <c r="EA46" s="74"/>
      <c r="EB46" s="74"/>
      <c r="EC46" s="74"/>
      <c r="ED46" s="74"/>
      <c r="EE46" s="74"/>
      <c r="EF46" s="74"/>
      <c r="EG46" s="74"/>
      <c r="EH46" s="74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223" t="s">
        <v>1468</v>
      </c>
      <c r="FF46" s="79">
        <v>41893</v>
      </c>
      <c r="FG46" s="224" t="str">
        <f t="shared" si="51"/>
        <v>Thursday</v>
      </c>
      <c r="FH46" s="74"/>
      <c r="FI46" s="74"/>
      <c r="FJ46" s="74"/>
      <c r="FK46" s="74"/>
      <c r="FL46" s="74"/>
      <c r="FM46" s="74"/>
      <c r="FN46" s="74"/>
      <c r="FO46" s="74"/>
      <c r="FP46" s="74"/>
    </row>
    <row r="47" spans="1:172" ht="15" x14ac:dyDescent="0.2">
      <c r="A47" s="74"/>
      <c r="B47" s="74"/>
      <c r="C47" s="74"/>
      <c r="D47" s="7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223" t="s">
        <v>1469</v>
      </c>
      <c r="FF47" s="79">
        <v>41894</v>
      </c>
      <c r="FG47" s="226" t="str">
        <f t="shared" si="51"/>
        <v>Friday</v>
      </c>
      <c r="FH47" s="65"/>
      <c r="FI47" s="65"/>
      <c r="FJ47" s="65"/>
      <c r="FK47" s="65"/>
      <c r="FL47" s="65"/>
      <c r="FM47" s="65"/>
      <c r="FN47" s="65"/>
      <c r="FO47" s="65"/>
      <c r="FP47" s="74"/>
    </row>
    <row r="48" spans="1:172" ht="15" x14ac:dyDescent="0.2">
      <c r="A48" s="74"/>
      <c r="B48" s="74"/>
      <c r="C48" s="74"/>
      <c r="D48" s="74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223" t="s">
        <v>1470</v>
      </c>
      <c r="FF48" s="79">
        <v>41896</v>
      </c>
      <c r="FG48" s="243" t="str">
        <f t="shared" si="51"/>
        <v>Sunday</v>
      </c>
      <c r="FH48" s="65"/>
      <c r="FI48" s="65"/>
      <c r="FJ48" s="65"/>
      <c r="FK48" s="65"/>
      <c r="FL48" s="65"/>
      <c r="FM48" s="65"/>
      <c r="FN48" s="65"/>
      <c r="FO48" s="65"/>
      <c r="FP48" s="74"/>
    </row>
    <row r="49" spans="1:172" ht="15" x14ac:dyDescent="0.2">
      <c r="A49" s="74"/>
      <c r="B49" s="74"/>
      <c r="C49" s="74"/>
      <c r="D49" s="74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223" t="s">
        <v>1471</v>
      </c>
      <c r="FF49" s="79">
        <v>41898</v>
      </c>
      <c r="FG49" s="221" t="str">
        <f t="shared" si="51"/>
        <v>Tuesday</v>
      </c>
      <c r="FH49" s="65"/>
      <c r="FI49" s="65"/>
      <c r="FJ49" s="65"/>
      <c r="FK49" s="65"/>
      <c r="FL49" s="65"/>
      <c r="FM49" s="65"/>
      <c r="FN49" s="65"/>
      <c r="FO49" s="65"/>
      <c r="FP49" s="74"/>
    </row>
    <row r="50" spans="1:172" ht="15" x14ac:dyDescent="0.2">
      <c r="A50" s="74"/>
      <c r="B50" s="74"/>
      <c r="C50" s="74"/>
      <c r="D50" s="74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223" t="s">
        <v>1472</v>
      </c>
      <c r="FF50" s="79">
        <v>41910</v>
      </c>
      <c r="FG50" s="243" t="str">
        <f t="shared" si="51"/>
        <v>Sunday</v>
      </c>
      <c r="FH50" s="65"/>
      <c r="FI50" s="65"/>
      <c r="FJ50" s="65"/>
      <c r="FK50" s="65"/>
      <c r="FL50" s="65"/>
      <c r="FM50" s="65"/>
      <c r="FN50" s="65"/>
      <c r="FO50" s="65"/>
      <c r="FP50" s="74"/>
    </row>
    <row r="51" spans="1:172" ht="15" x14ac:dyDescent="0.2">
      <c r="A51" s="74"/>
      <c r="B51" s="74"/>
      <c r="C51" s="74"/>
      <c r="D51" s="74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74"/>
    </row>
    <row r="52" spans="1:172" ht="15" x14ac:dyDescent="0.2">
      <c r="A52" s="74"/>
      <c r="B52" s="74"/>
      <c r="C52" s="74"/>
      <c r="D52" s="74"/>
      <c r="E52" s="239" t="s">
        <v>1473</v>
      </c>
      <c r="F52" s="11">
        <f>COUNTIF(F56:F101,"1")</f>
        <v>1</v>
      </c>
      <c r="G52" s="74"/>
      <c r="H52" s="239" t="s">
        <v>1473</v>
      </c>
      <c r="I52" s="11">
        <f>COUNTIF(I56:I101,"1")</f>
        <v>4</v>
      </c>
      <c r="J52" s="74"/>
      <c r="K52" s="239" t="s">
        <v>1473</v>
      </c>
      <c r="L52" s="11">
        <f>COUNTIF(L56:L101,"1")</f>
        <v>11</v>
      </c>
      <c r="M52" s="74"/>
      <c r="N52" s="239" t="s">
        <v>1473</v>
      </c>
      <c r="O52" s="11">
        <f>COUNTIF(O56:O101,"1")</f>
        <v>7</v>
      </c>
      <c r="P52" s="74"/>
      <c r="Q52" s="239" t="s">
        <v>1473</v>
      </c>
      <c r="R52" s="11">
        <f>COUNTIF(R56:R101,"1")</f>
        <v>10</v>
      </c>
      <c r="S52" s="74"/>
      <c r="T52" s="239" t="s">
        <v>1473</v>
      </c>
      <c r="U52" s="11">
        <f>COUNTIF(U56:U101,"1")</f>
        <v>10</v>
      </c>
      <c r="V52" s="74"/>
      <c r="W52" s="239" t="s">
        <v>1473</v>
      </c>
      <c r="X52" s="11">
        <f>COUNTIF(X56:X101,"1")</f>
        <v>6</v>
      </c>
      <c r="Y52" s="74"/>
      <c r="Z52" s="239" t="s">
        <v>1473</v>
      </c>
      <c r="AA52" s="11">
        <f>COUNTIF(AA56:AA101,"1")</f>
        <v>6</v>
      </c>
      <c r="AB52" s="74"/>
      <c r="AC52" s="239" t="s">
        <v>1473</v>
      </c>
      <c r="AD52" s="11">
        <f>COUNTIF(AD56:AD101,"1")</f>
        <v>16</v>
      </c>
      <c r="AE52" s="74"/>
      <c r="AF52" s="239" t="s">
        <v>1473</v>
      </c>
      <c r="AG52" s="11">
        <f>COUNTIF(AG56:AG101,"1")</f>
        <v>21</v>
      </c>
      <c r="AH52" s="74"/>
      <c r="AI52" s="239" t="s">
        <v>1473</v>
      </c>
      <c r="AJ52" s="11">
        <f>COUNTIF(AJ56:AJ101,"1")</f>
        <v>8</v>
      </c>
      <c r="AK52" s="74"/>
      <c r="AL52" s="239" t="s">
        <v>1473</v>
      </c>
      <c r="AM52" s="11">
        <f>COUNTIF(AM56:AM101,"1")</f>
        <v>9</v>
      </c>
      <c r="AN52" s="74"/>
      <c r="AO52" s="239" t="s">
        <v>1473</v>
      </c>
      <c r="AP52" s="11">
        <f>COUNTIF(AP56:AP101,"1")</f>
        <v>6</v>
      </c>
      <c r="AQ52" s="74"/>
      <c r="AR52" s="239" t="s">
        <v>1473</v>
      </c>
      <c r="AS52" s="11">
        <f>COUNTIF(AS56:AS101,"1")</f>
        <v>14</v>
      </c>
      <c r="AT52" s="74"/>
      <c r="AU52" s="239" t="s">
        <v>1473</v>
      </c>
      <c r="AV52" s="11">
        <f>COUNTIF(AV56:AV101,"1")</f>
        <v>17</v>
      </c>
      <c r="AW52" s="74"/>
      <c r="AX52" s="239" t="s">
        <v>1473</v>
      </c>
      <c r="AY52" s="11">
        <f>COUNTIF(AY56:AY101,"1")</f>
        <v>8</v>
      </c>
      <c r="AZ52" s="74"/>
      <c r="BA52" s="239" t="s">
        <v>1473</v>
      </c>
      <c r="BB52" s="11">
        <f>COUNTIF(BB56:BB101,"1")</f>
        <v>5</v>
      </c>
      <c r="BC52" s="74"/>
      <c r="BD52" s="239" t="s">
        <v>1473</v>
      </c>
      <c r="BE52" s="11">
        <f>COUNTIF(BE56:BE101,"1")</f>
        <v>8</v>
      </c>
      <c r="BF52" s="74"/>
      <c r="BG52" s="239" t="s">
        <v>1473</v>
      </c>
      <c r="BH52" s="11">
        <f>COUNTIF(BH56:BH101,"1")</f>
        <v>10</v>
      </c>
      <c r="BI52" s="74"/>
      <c r="BJ52" s="239" t="s">
        <v>1473</v>
      </c>
      <c r="BK52" s="11">
        <f>COUNTIF(BK56:BK101,"1")</f>
        <v>7</v>
      </c>
      <c r="BL52" s="74"/>
      <c r="BM52" s="239" t="s">
        <v>1473</v>
      </c>
      <c r="BN52" s="11">
        <f>COUNTIF(BN56:BN101,"1")</f>
        <v>11</v>
      </c>
      <c r="BO52" s="74"/>
      <c r="BP52" s="239" t="s">
        <v>1473</v>
      </c>
      <c r="BQ52" s="11">
        <f>COUNTIF(BQ56:BQ101,"1")</f>
        <v>9</v>
      </c>
      <c r="BR52" s="74"/>
      <c r="BS52" s="239" t="s">
        <v>1473</v>
      </c>
      <c r="BT52" s="11">
        <f>COUNTIF(BT56:BT101,"1")</f>
        <v>14</v>
      </c>
      <c r="BU52" s="74"/>
      <c r="BV52" s="239" t="s">
        <v>1473</v>
      </c>
      <c r="BW52" s="11">
        <f>COUNTIF(BW56:BW101,"1")</f>
        <v>11</v>
      </c>
      <c r="BX52" s="74"/>
      <c r="BY52" s="239" t="s">
        <v>1473</v>
      </c>
      <c r="BZ52" s="11">
        <f>COUNTIF(BZ56:BZ101,"1")</f>
        <v>13</v>
      </c>
      <c r="CA52" s="74"/>
      <c r="CB52" s="239" t="s">
        <v>1473</v>
      </c>
      <c r="CC52" s="11">
        <f>COUNTIF(CC56:CC101,"1")</f>
        <v>10</v>
      </c>
      <c r="CD52" s="74"/>
      <c r="CE52" s="239" t="s">
        <v>1473</v>
      </c>
      <c r="CF52" s="11">
        <f>COUNTIF(CF56:CF101,"1")</f>
        <v>9</v>
      </c>
      <c r="CG52" s="74"/>
      <c r="CH52" s="239" t="s">
        <v>1473</v>
      </c>
      <c r="CI52" s="11">
        <f>COUNTIF(CI56:CI101,"1")</f>
        <v>11</v>
      </c>
      <c r="CJ52" s="74"/>
      <c r="CK52" s="239" t="s">
        <v>1473</v>
      </c>
      <c r="CL52" s="11">
        <f>COUNTIF(CL56:CL101,"1")</f>
        <v>9</v>
      </c>
      <c r="CM52" s="74"/>
      <c r="CN52" s="239" t="s">
        <v>1473</v>
      </c>
      <c r="CO52" s="11">
        <f>COUNTIF(CO56:CO101,"1")</f>
        <v>11</v>
      </c>
      <c r="CP52" s="74"/>
      <c r="CQ52" s="239" t="s">
        <v>1473</v>
      </c>
      <c r="CR52" s="11">
        <f>COUNTIF(CR56:CR101,"1")</f>
        <v>9</v>
      </c>
      <c r="CS52" s="74"/>
      <c r="CT52" s="239" t="s">
        <v>1473</v>
      </c>
      <c r="CU52" s="11">
        <f>COUNTIF(CU56:CU101,"1")</f>
        <v>11</v>
      </c>
      <c r="CV52" s="74"/>
      <c r="CW52" s="239" t="s">
        <v>1473</v>
      </c>
      <c r="CX52" s="11">
        <f>COUNTIF(CX56:CX101,"1")</f>
        <v>7</v>
      </c>
      <c r="CY52" s="74"/>
      <c r="CZ52" s="239" t="s">
        <v>1473</v>
      </c>
      <c r="DA52" s="11">
        <f>COUNTIF(DA56:DA101,"1")</f>
        <v>9</v>
      </c>
      <c r="DB52" s="74"/>
      <c r="DC52" s="239" t="s">
        <v>1473</v>
      </c>
      <c r="DD52" s="11">
        <f>COUNTIF(DD56:DD101,"1")</f>
        <v>14</v>
      </c>
      <c r="DE52" s="74"/>
      <c r="DF52" s="239" t="s">
        <v>1473</v>
      </c>
      <c r="DG52" s="11">
        <f>COUNTIF(DG56:DG101,"1")</f>
        <v>18</v>
      </c>
      <c r="DH52" s="74"/>
      <c r="DI52" s="239" t="s">
        <v>1473</v>
      </c>
      <c r="DJ52" s="11">
        <f>COUNTIF(DJ56:DJ101,"1")</f>
        <v>8</v>
      </c>
      <c r="DK52" s="74"/>
      <c r="DL52" s="239" t="s">
        <v>1473</v>
      </c>
      <c r="DM52" s="11">
        <f>COUNTIF(DM56:DM101,"1")</f>
        <v>13</v>
      </c>
      <c r="DN52" s="74"/>
      <c r="DO52" s="239" t="s">
        <v>1473</v>
      </c>
      <c r="DP52" s="11">
        <f>COUNTIF(DP56:DP101,"1")</f>
        <v>13</v>
      </c>
      <c r="DQ52" s="74"/>
      <c r="DR52" s="239" t="s">
        <v>1473</v>
      </c>
      <c r="DS52" s="11">
        <f>COUNTIF(DS56:DS101,"1")</f>
        <v>6</v>
      </c>
      <c r="DT52" s="74"/>
      <c r="DU52" s="239" t="s">
        <v>1473</v>
      </c>
      <c r="DV52" s="11">
        <f>COUNTIF(DV56:DV101,"1")</f>
        <v>11</v>
      </c>
      <c r="DW52" s="74"/>
      <c r="DX52" s="239" t="s">
        <v>1473</v>
      </c>
      <c r="DY52" s="11">
        <f>COUNTIF(DY56:DY101,"1")</f>
        <v>22</v>
      </c>
      <c r="DZ52" s="74"/>
      <c r="EA52" s="239" t="s">
        <v>1473</v>
      </c>
      <c r="EB52" s="11">
        <f>COUNTIF(EB56:EB101,"1")</f>
        <v>11</v>
      </c>
      <c r="EC52" s="74"/>
      <c r="ED52" s="239" t="s">
        <v>1473</v>
      </c>
      <c r="EE52" s="11">
        <f>COUNTIF(EE56:EE101,"1")</f>
        <v>4</v>
      </c>
      <c r="EF52" s="74"/>
      <c r="EG52" s="239" t="s">
        <v>1473</v>
      </c>
      <c r="EH52" s="11">
        <f>COUNTIF(EH56:EH101,"1")</f>
        <v>15</v>
      </c>
      <c r="EI52" s="74"/>
      <c r="EJ52" s="239" t="s">
        <v>1473</v>
      </c>
      <c r="EK52" s="11">
        <f>COUNTIF(EK56:EK101,"1")</f>
        <v>15</v>
      </c>
      <c r="EL52" s="74"/>
      <c r="EM52" s="239" t="s">
        <v>1473</v>
      </c>
      <c r="EN52" s="11">
        <f>COUNTIF(EN56:EN101,"1")</f>
        <v>6</v>
      </c>
      <c r="EO52" s="74"/>
      <c r="EP52" s="239" t="s">
        <v>1473</v>
      </c>
      <c r="EQ52" s="11">
        <f>COUNTIF(EQ56:EQ101,"1")</f>
        <v>27</v>
      </c>
      <c r="ER52" s="74"/>
      <c r="ES52" s="239" t="s">
        <v>1473</v>
      </c>
      <c r="ET52" s="11">
        <f>COUNTIF(ET56:ET101,"1")</f>
        <v>3</v>
      </c>
      <c r="EU52" s="74"/>
      <c r="EV52" s="239" t="s">
        <v>1473</v>
      </c>
      <c r="EW52" s="11">
        <f>COUNTIF(EW56:EW101,"1")</f>
        <v>4</v>
      </c>
      <c r="EX52" s="74"/>
      <c r="EY52" s="239" t="s">
        <v>1473</v>
      </c>
      <c r="EZ52" s="11">
        <f>COUNTIF(EZ56:EZ101,"1")</f>
        <v>14</v>
      </c>
      <c r="FA52" s="74"/>
      <c r="FB52" s="239" t="s">
        <v>1473</v>
      </c>
      <c r="FC52" s="11">
        <f>COUNTIF(FC56:FC101,"1")</f>
        <v>18</v>
      </c>
      <c r="FD52" s="74"/>
      <c r="FE52" s="239" t="s">
        <v>1473</v>
      </c>
      <c r="FF52" s="11">
        <f>COUNTIF(FF56:FF101,"1")</f>
        <v>29</v>
      </c>
      <c r="FG52" s="74"/>
      <c r="FH52" s="239" t="s">
        <v>1473</v>
      </c>
      <c r="FI52" s="11">
        <f>COUNTIF(FI56:FI101,"1")</f>
        <v>13</v>
      </c>
      <c r="FJ52" s="74"/>
      <c r="FK52" s="239" t="s">
        <v>1473</v>
      </c>
      <c r="FL52" s="11">
        <f>COUNTIF(FL56:FL101,"1")</f>
        <v>5</v>
      </c>
      <c r="FM52" s="74"/>
      <c r="FN52" s="239" t="s">
        <v>1473</v>
      </c>
      <c r="FO52" s="11">
        <f>COUNTIF(FO56:FO101,"1")</f>
        <v>9</v>
      </c>
      <c r="FP52" s="74"/>
    </row>
    <row r="53" spans="1:172" ht="15" x14ac:dyDescent="0.2">
      <c r="A53" s="74"/>
      <c r="B53" s="74"/>
      <c r="C53" s="74"/>
      <c r="D53" s="74"/>
      <c r="E53" s="239" t="s">
        <v>1474</v>
      </c>
      <c r="F53" s="11">
        <f>COUNTIF(F56:F101,"2")/2</f>
        <v>0</v>
      </c>
      <c r="G53" s="74"/>
      <c r="H53" s="239" t="s">
        <v>1474</v>
      </c>
      <c r="I53" s="11">
        <f>COUNTIF(I56:I101,"2")/2</f>
        <v>4</v>
      </c>
      <c r="J53" s="74"/>
      <c r="K53" s="239" t="s">
        <v>1474</v>
      </c>
      <c r="L53" s="11">
        <f>COUNTIF(L56:L101,"2")/2</f>
        <v>7</v>
      </c>
      <c r="M53" s="74"/>
      <c r="N53" s="239" t="s">
        <v>1474</v>
      </c>
      <c r="O53" s="11">
        <f>COUNTIF(O56:O101,"2")/2</f>
        <v>4</v>
      </c>
      <c r="P53" s="74"/>
      <c r="Q53" s="239" t="s">
        <v>1474</v>
      </c>
      <c r="R53" s="11">
        <f>COUNTIF(R56:R101,"2")/2</f>
        <v>4</v>
      </c>
      <c r="S53" s="74"/>
      <c r="T53" s="239" t="s">
        <v>1474</v>
      </c>
      <c r="U53" s="11">
        <f>COUNTIF(U56:U101,"2")/2</f>
        <v>3</v>
      </c>
      <c r="V53" s="74"/>
      <c r="W53" s="239" t="s">
        <v>1474</v>
      </c>
      <c r="X53" s="11">
        <f>COUNTIF(X56:X101,"2")/2</f>
        <v>5</v>
      </c>
      <c r="Y53" s="74"/>
      <c r="Z53" s="239" t="s">
        <v>1474</v>
      </c>
      <c r="AA53" s="11">
        <f>COUNTIF(AA56:AA101,"2")/2</f>
        <v>3</v>
      </c>
      <c r="AB53" s="74"/>
      <c r="AC53" s="239" t="s">
        <v>1474</v>
      </c>
      <c r="AD53" s="11">
        <f>COUNTIF(AD56:AD101,"2")/2</f>
        <v>3</v>
      </c>
      <c r="AE53" s="74"/>
      <c r="AF53" s="239" t="s">
        <v>1474</v>
      </c>
      <c r="AG53" s="11">
        <f>COUNTIF(AG56:AG101,"2")/2</f>
        <v>2</v>
      </c>
      <c r="AH53" s="74"/>
      <c r="AI53" s="239" t="s">
        <v>1474</v>
      </c>
      <c r="AJ53" s="11">
        <f>COUNTIF(AJ56:AJ101,"2")/2</f>
        <v>6</v>
      </c>
      <c r="AK53" s="74"/>
      <c r="AL53" s="239" t="s">
        <v>1474</v>
      </c>
      <c r="AM53" s="11">
        <f>COUNTIF(AM56:AM101,"2")/2</f>
        <v>4</v>
      </c>
      <c r="AN53" s="74"/>
      <c r="AO53" s="239" t="s">
        <v>1474</v>
      </c>
      <c r="AP53" s="11">
        <f>COUNTIF(AP56:AP101,"2")/2</f>
        <v>3</v>
      </c>
      <c r="AQ53" s="74"/>
      <c r="AR53" s="239" t="s">
        <v>1474</v>
      </c>
      <c r="AS53" s="11">
        <f>COUNTIF(AS56:AS101,"2")/2</f>
        <v>4</v>
      </c>
      <c r="AT53" s="74"/>
      <c r="AU53" s="239" t="s">
        <v>1474</v>
      </c>
      <c r="AV53" s="11">
        <f>COUNTIF(AV56:AV101,"2")/2</f>
        <v>1</v>
      </c>
      <c r="AW53" s="74"/>
      <c r="AX53" s="239" t="s">
        <v>1474</v>
      </c>
      <c r="AY53" s="11">
        <f>COUNTIF(AY56:AY101,"2")/2</f>
        <v>6</v>
      </c>
      <c r="AZ53" s="74"/>
      <c r="BA53" s="239" t="s">
        <v>1474</v>
      </c>
      <c r="BB53" s="11">
        <f>COUNTIF(BB56:BB101,"2")/2</f>
        <v>5</v>
      </c>
      <c r="BC53" s="74"/>
      <c r="BD53" s="239" t="s">
        <v>1474</v>
      </c>
      <c r="BE53" s="11">
        <f>COUNTIF(BE56:BE101,"2")/2</f>
        <v>2</v>
      </c>
      <c r="BF53" s="74"/>
      <c r="BG53" s="239" t="s">
        <v>1474</v>
      </c>
      <c r="BH53" s="11">
        <f>COUNTIF(BH56:BH101,"2")/2</f>
        <v>3</v>
      </c>
      <c r="BI53" s="74"/>
      <c r="BJ53" s="239" t="s">
        <v>1474</v>
      </c>
      <c r="BK53" s="11">
        <f>COUNTIF(BK56:BK101,"2")/2</f>
        <v>7</v>
      </c>
      <c r="BL53" s="74"/>
      <c r="BM53" s="239" t="s">
        <v>1474</v>
      </c>
      <c r="BN53" s="11">
        <f>COUNTIF(BN56:BN101,"2")/2</f>
        <v>4</v>
      </c>
      <c r="BO53" s="74"/>
      <c r="BP53" s="239" t="s">
        <v>1474</v>
      </c>
      <c r="BQ53" s="11">
        <f>COUNTIF(BQ56:BQ101,"2")/2</f>
        <v>1</v>
      </c>
      <c r="BR53" s="74"/>
      <c r="BS53" s="239" t="s">
        <v>1474</v>
      </c>
      <c r="BT53" s="11">
        <f>COUNTIF(BT56:BT101,"2")/2</f>
        <v>4</v>
      </c>
      <c r="BU53" s="74"/>
      <c r="BV53" s="239" t="s">
        <v>1474</v>
      </c>
      <c r="BW53" s="11">
        <f>COUNTIF(BW56:BW101,"2")/2</f>
        <v>1</v>
      </c>
      <c r="BX53" s="74"/>
      <c r="BY53" s="239" t="s">
        <v>1474</v>
      </c>
      <c r="BZ53" s="11">
        <f>COUNTIF(BZ56:BZ101,"2")/2</f>
        <v>3</v>
      </c>
      <c r="CA53" s="74"/>
      <c r="CB53" s="239" t="s">
        <v>1474</v>
      </c>
      <c r="CC53" s="11">
        <f>COUNTIF(CC56:CC101,"2")/2</f>
        <v>8</v>
      </c>
      <c r="CD53" s="74"/>
      <c r="CE53" s="239" t="s">
        <v>1474</v>
      </c>
      <c r="CF53" s="11">
        <f>COUNTIF(CF56:CF101,"2")/2</f>
        <v>4</v>
      </c>
      <c r="CG53" s="74"/>
      <c r="CH53" s="239" t="s">
        <v>1474</v>
      </c>
      <c r="CI53" s="11">
        <f>COUNTIF(CI56:CI101,"2")/2</f>
        <v>2</v>
      </c>
      <c r="CJ53" s="74"/>
      <c r="CK53" s="239" t="s">
        <v>1474</v>
      </c>
      <c r="CL53" s="11">
        <f>COUNTIF(CL56:CL101,"2")/2</f>
        <v>8</v>
      </c>
      <c r="CM53" s="74"/>
      <c r="CN53" s="239" t="s">
        <v>1474</v>
      </c>
      <c r="CO53" s="11">
        <f>COUNTIF(CO56:CO101,"2")/2</f>
        <v>5</v>
      </c>
      <c r="CP53" s="74"/>
      <c r="CQ53" s="239" t="s">
        <v>1474</v>
      </c>
      <c r="CR53" s="11">
        <f>COUNTIF(CR56:CR101,"2")/2</f>
        <v>8</v>
      </c>
      <c r="CS53" s="74"/>
      <c r="CT53" s="239" t="s">
        <v>1474</v>
      </c>
      <c r="CU53" s="11">
        <f>COUNTIF(CU56:CU101,"2")/2</f>
        <v>4</v>
      </c>
      <c r="CV53" s="74"/>
      <c r="CW53" s="239" t="s">
        <v>1474</v>
      </c>
      <c r="CX53" s="11">
        <f>COUNTIF(CX56:CX101,"2")/2</f>
        <v>3</v>
      </c>
      <c r="CY53" s="74"/>
      <c r="CZ53" s="239" t="s">
        <v>1474</v>
      </c>
      <c r="DA53" s="11">
        <f>COUNTIF(DA56:DA101,"2")/2</f>
        <v>6</v>
      </c>
      <c r="DB53" s="74"/>
      <c r="DC53" s="239" t="s">
        <v>1474</v>
      </c>
      <c r="DD53" s="11">
        <f>COUNTIF(DD56:DD101,"2")/2</f>
        <v>4</v>
      </c>
      <c r="DE53" s="74"/>
      <c r="DF53" s="239" t="s">
        <v>1474</v>
      </c>
      <c r="DG53" s="11">
        <f>COUNTIF(DG56:DG101,"2")/2</f>
        <v>3</v>
      </c>
      <c r="DH53" s="74"/>
      <c r="DI53" s="239" t="s">
        <v>1474</v>
      </c>
      <c r="DJ53" s="11">
        <f>COUNTIF(DJ56:DJ101,"2")/2</f>
        <v>3</v>
      </c>
      <c r="DK53" s="74"/>
      <c r="DL53" s="239" t="s">
        <v>1474</v>
      </c>
      <c r="DM53" s="11">
        <f>COUNTIF(DM56:DM101,"2")/2</f>
        <v>0</v>
      </c>
      <c r="DN53" s="74"/>
      <c r="DO53" s="239" t="s">
        <v>1474</v>
      </c>
      <c r="DP53" s="11">
        <f>COUNTIF(DP56:DP101,"2")/2</f>
        <v>5</v>
      </c>
      <c r="DQ53" s="74"/>
      <c r="DR53" s="239" t="s">
        <v>1474</v>
      </c>
      <c r="DS53" s="11">
        <f>COUNTIF(DS56:DS101,"2")/2</f>
        <v>5</v>
      </c>
      <c r="DT53" s="74"/>
      <c r="DU53" s="239" t="s">
        <v>1474</v>
      </c>
      <c r="DV53" s="11">
        <f>COUNTIF(DV56:DV101,"2")/2</f>
        <v>5</v>
      </c>
      <c r="DW53" s="74"/>
      <c r="DX53" s="239" t="s">
        <v>1474</v>
      </c>
      <c r="DY53" s="11">
        <f>COUNTIF(DY56:DY101,"2")/2</f>
        <v>3</v>
      </c>
      <c r="DZ53" s="74"/>
      <c r="EA53" s="239" t="s">
        <v>1474</v>
      </c>
      <c r="EB53" s="11">
        <f>COUNTIF(EB56:EB101,"2")/2</f>
        <v>3</v>
      </c>
      <c r="EC53" s="74"/>
      <c r="ED53" s="239" t="s">
        <v>1474</v>
      </c>
      <c r="EE53" s="11">
        <f>COUNTIF(EE56:EE101,"2")/2</f>
        <v>3</v>
      </c>
      <c r="EF53" s="74"/>
      <c r="EG53" s="239" t="s">
        <v>1474</v>
      </c>
      <c r="EH53" s="11">
        <f>COUNTIF(EH56:EH101,"2")/2</f>
        <v>7</v>
      </c>
      <c r="EI53" s="74"/>
      <c r="EJ53" s="239" t="s">
        <v>1474</v>
      </c>
      <c r="EK53" s="11">
        <f>COUNTIF(EK56:EK101,"2")/2</f>
        <v>2</v>
      </c>
      <c r="EL53" s="74"/>
      <c r="EM53" s="239" t="s">
        <v>1474</v>
      </c>
      <c r="EN53" s="11">
        <f>COUNTIF(EN56:EN101,"2")/2</f>
        <v>5</v>
      </c>
      <c r="EO53" s="74"/>
      <c r="EP53" s="239" t="s">
        <v>1474</v>
      </c>
      <c r="EQ53" s="11">
        <f>COUNTIF(EQ56:EQ101,"2")/2</f>
        <v>0</v>
      </c>
      <c r="ER53" s="74"/>
      <c r="ES53" s="239" t="s">
        <v>1474</v>
      </c>
      <c r="ET53" s="11">
        <f>COUNTIF(ET56:ET101,"2")/2</f>
        <v>4</v>
      </c>
      <c r="EU53" s="74"/>
      <c r="EV53" s="239" t="s">
        <v>1474</v>
      </c>
      <c r="EW53" s="11">
        <f>COUNTIF(EW56:EW101,"2")/2</f>
        <v>7</v>
      </c>
      <c r="EX53" s="74"/>
      <c r="EY53" s="239" t="s">
        <v>1474</v>
      </c>
      <c r="EZ53" s="11">
        <f>COUNTIF(EZ56:EZ101,"2")/2</f>
        <v>2</v>
      </c>
      <c r="FA53" s="74"/>
      <c r="FB53" s="239" t="s">
        <v>1474</v>
      </c>
      <c r="FC53" s="11">
        <f>COUNTIF(FC56:FC101,"2")/2</f>
        <v>7</v>
      </c>
      <c r="FD53" s="74"/>
      <c r="FE53" s="239" t="s">
        <v>1474</v>
      </c>
      <c r="FF53" s="11">
        <f>COUNTIF(FF56:FF101,"2")/2</f>
        <v>6</v>
      </c>
      <c r="FG53" s="74"/>
      <c r="FH53" s="239" t="s">
        <v>1474</v>
      </c>
      <c r="FI53" s="11">
        <f>COUNTIF(FI56:FI101,"2")/2</f>
        <v>1</v>
      </c>
      <c r="FJ53" s="74"/>
      <c r="FK53" s="239" t="s">
        <v>1474</v>
      </c>
      <c r="FL53" s="11">
        <f>COUNTIF(FL56:FL101,"2")/2</f>
        <v>0</v>
      </c>
      <c r="FM53" s="74"/>
      <c r="FN53" s="239" t="s">
        <v>1474</v>
      </c>
      <c r="FO53" s="11">
        <f>COUNTIF(FO56:FO101,"2")/2</f>
        <v>0</v>
      </c>
      <c r="FP53" s="74"/>
    </row>
    <row r="54" spans="1:172" ht="15" x14ac:dyDescent="0.2">
      <c r="A54" s="74"/>
      <c r="B54" s="74"/>
      <c r="C54" s="74"/>
      <c r="D54" s="74"/>
      <c r="E54" s="239" t="s">
        <v>1475</v>
      </c>
      <c r="F54" s="11">
        <f>COUNTIF(F56:F101,"3")/3</f>
        <v>0</v>
      </c>
      <c r="G54" s="74"/>
      <c r="H54" s="239" t="s">
        <v>1475</v>
      </c>
      <c r="I54" s="11">
        <f>COUNTIF(I56:I101,"3")/3</f>
        <v>0</v>
      </c>
      <c r="J54" s="74"/>
      <c r="K54" s="239" t="s">
        <v>1475</v>
      </c>
      <c r="L54" s="11">
        <f>COUNTIF(L56:L101,"3")/3</f>
        <v>0</v>
      </c>
      <c r="M54" s="74"/>
      <c r="N54" s="239" t="s">
        <v>1475</v>
      </c>
      <c r="O54" s="11">
        <f>COUNTIF(O56:O101,"3")/3</f>
        <v>1</v>
      </c>
      <c r="P54" s="74"/>
      <c r="Q54" s="239" t="s">
        <v>1475</v>
      </c>
      <c r="R54" s="11">
        <f>COUNTIF(R56:R101,"3")/3</f>
        <v>1</v>
      </c>
      <c r="S54" s="74"/>
      <c r="T54" s="239" t="s">
        <v>1475</v>
      </c>
      <c r="U54" s="11">
        <f>COUNTIF(U56:U101,"3")/3</f>
        <v>1</v>
      </c>
      <c r="V54" s="74"/>
      <c r="W54" s="239" t="s">
        <v>1475</v>
      </c>
      <c r="X54" s="11">
        <f>COUNTIF(X56:X101,"3")/3</f>
        <v>0</v>
      </c>
      <c r="Y54" s="74"/>
      <c r="Z54" s="239" t="s">
        <v>1475</v>
      </c>
      <c r="AA54" s="11">
        <f>COUNTIF(AA56:AA101,"3")/3</f>
        <v>0</v>
      </c>
      <c r="AB54" s="74"/>
      <c r="AC54" s="239" t="s">
        <v>1475</v>
      </c>
      <c r="AD54" s="11">
        <f>COUNTIF(AD56:AD101,"3")/3</f>
        <v>1</v>
      </c>
      <c r="AE54" s="74"/>
      <c r="AF54" s="239" t="s">
        <v>1475</v>
      </c>
      <c r="AG54" s="11">
        <f>COUNTIF(AG56:AG101,"3")/3</f>
        <v>0</v>
      </c>
      <c r="AH54" s="74"/>
      <c r="AI54" s="239" t="s">
        <v>1475</v>
      </c>
      <c r="AJ54" s="11">
        <f>COUNTIF(AJ56:AJ101,"3")/3</f>
        <v>0</v>
      </c>
      <c r="AK54" s="74"/>
      <c r="AL54" s="239" t="s">
        <v>1475</v>
      </c>
      <c r="AM54" s="11">
        <f>COUNTIF(AM56:AM101,"3")/3</f>
        <v>0</v>
      </c>
      <c r="AN54" s="74"/>
      <c r="AO54" s="239" t="s">
        <v>1475</v>
      </c>
      <c r="AP54" s="11">
        <f>COUNTIF(AP56:AP101,"3")/3</f>
        <v>0</v>
      </c>
      <c r="AQ54" s="74"/>
      <c r="AR54" s="239" t="s">
        <v>1475</v>
      </c>
      <c r="AS54" s="11">
        <f>COUNTIF(AS56:AS101,"3")/3</f>
        <v>0</v>
      </c>
      <c r="AT54" s="74"/>
      <c r="AU54" s="239" t="s">
        <v>1475</v>
      </c>
      <c r="AV54" s="11">
        <f>COUNTIF(AV56:AV101,"3")/3</f>
        <v>0</v>
      </c>
      <c r="AW54" s="74"/>
      <c r="AX54" s="239" t="s">
        <v>1475</v>
      </c>
      <c r="AY54" s="11">
        <f>COUNTIF(AY56:AY101,"3")/3</f>
        <v>0</v>
      </c>
      <c r="AZ54" s="74"/>
      <c r="BA54" s="239" t="s">
        <v>1475</v>
      </c>
      <c r="BB54" s="11">
        <f>COUNTIF(BB56:BB101,"3")/3</f>
        <v>0</v>
      </c>
      <c r="BC54" s="74"/>
      <c r="BD54" s="239" t="s">
        <v>1475</v>
      </c>
      <c r="BE54" s="11">
        <f>COUNTIF(BE56:BE101,"3")/3</f>
        <v>0</v>
      </c>
      <c r="BF54" s="74"/>
      <c r="BG54" s="239" t="s">
        <v>1475</v>
      </c>
      <c r="BH54" s="11">
        <f>COUNTIF(BH56:BH101,"3")/3</f>
        <v>0</v>
      </c>
      <c r="BI54" s="74"/>
      <c r="BJ54" s="239" t="s">
        <v>1475</v>
      </c>
      <c r="BK54" s="11">
        <f>COUNTIF(BK56:BK101,"3")/3</f>
        <v>0</v>
      </c>
      <c r="BL54" s="74"/>
      <c r="BM54" s="239" t="s">
        <v>1475</v>
      </c>
      <c r="BN54" s="11">
        <f>COUNTIF(BN56:BN101,"3")/3</f>
        <v>0</v>
      </c>
      <c r="BO54" s="74"/>
      <c r="BP54" s="239" t="s">
        <v>1475</v>
      </c>
      <c r="BQ54" s="11">
        <f>COUNTIF(BQ56:BQ101,"3")/3</f>
        <v>0</v>
      </c>
      <c r="BR54" s="252"/>
      <c r="BS54" s="239" t="s">
        <v>1475</v>
      </c>
      <c r="BT54" s="11">
        <f>COUNTIF(BT56:BT101,"3")/3</f>
        <v>1</v>
      </c>
      <c r="BU54" s="252"/>
      <c r="BV54" s="239" t="s">
        <v>1475</v>
      </c>
      <c r="BW54" s="11">
        <f>COUNTIF(BW56:BW101,"3")/3</f>
        <v>0</v>
      </c>
      <c r="BX54" s="74"/>
      <c r="BY54" s="239" t="s">
        <v>1475</v>
      </c>
      <c r="BZ54" s="11">
        <f>COUNTIF(BZ56:BZ101,"3")/3</f>
        <v>0</v>
      </c>
      <c r="CA54" s="74"/>
      <c r="CB54" s="239" t="s">
        <v>1475</v>
      </c>
      <c r="CC54" s="11">
        <f>COUNTIF(CC56:CC101,"3")/3</f>
        <v>0</v>
      </c>
      <c r="CD54" s="74"/>
      <c r="CE54" s="239" t="s">
        <v>1475</v>
      </c>
      <c r="CF54" s="11">
        <f>COUNTIF(CF56:CF101,"3")/3</f>
        <v>0</v>
      </c>
      <c r="CG54" s="74"/>
      <c r="CH54" s="239" t="s">
        <v>1475</v>
      </c>
      <c r="CI54" s="11">
        <f>COUNTIF(CI56:CI101,"3")/3</f>
        <v>0</v>
      </c>
      <c r="CJ54" s="74"/>
      <c r="CK54" s="239" t="s">
        <v>1475</v>
      </c>
      <c r="CL54" s="11">
        <f>COUNTIF(CL56:CL101,"3")/3</f>
        <v>0</v>
      </c>
      <c r="CM54" s="74"/>
      <c r="CN54" s="239" t="s">
        <v>1475</v>
      </c>
      <c r="CO54" s="11">
        <f>COUNTIF(CO56:CO101,"3")/3</f>
        <v>0</v>
      </c>
      <c r="CP54" s="74"/>
      <c r="CQ54" s="239" t="s">
        <v>1475</v>
      </c>
      <c r="CR54" s="11">
        <f>COUNTIF(CR56:CR101,"3")/3</f>
        <v>0</v>
      </c>
      <c r="CS54" s="74"/>
      <c r="CT54" s="239" t="s">
        <v>1475</v>
      </c>
      <c r="CU54" s="11">
        <f>COUNTIF(CU56:CU101,"3")/3</f>
        <v>2</v>
      </c>
      <c r="CV54" s="74"/>
      <c r="CW54" s="239" t="s">
        <v>1475</v>
      </c>
      <c r="CX54" s="11">
        <f>COUNTIF(CX56:CX101,"3")/3</f>
        <v>0</v>
      </c>
      <c r="CY54" s="74"/>
      <c r="CZ54" s="239" t="s">
        <v>1475</v>
      </c>
      <c r="DA54" s="11">
        <f>COUNTIF(DA56:DA101,"3")/3</f>
        <v>0</v>
      </c>
      <c r="DB54" s="74"/>
      <c r="DC54" s="239" t="s">
        <v>1475</v>
      </c>
      <c r="DD54" s="11">
        <f>COUNTIF(DD56:DD101,"3")/3</f>
        <v>1</v>
      </c>
      <c r="DE54" s="74"/>
      <c r="DF54" s="239" t="s">
        <v>1475</v>
      </c>
      <c r="DG54" s="11">
        <f>COUNTIF(DG56:DG101,"3")/3</f>
        <v>0</v>
      </c>
      <c r="DH54" s="74"/>
      <c r="DI54" s="239" t="s">
        <v>1475</v>
      </c>
      <c r="DJ54" s="11">
        <f>COUNTIF(DJ56:DJ101,"3")/3</f>
        <v>0</v>
      </c>
      <c r="DK54" s="74"/>
      <c r="DL54" s="239" t="s">
        <v>1475</v>
      </c>
      <c r="DM54" s="11">
        <f>COUNTIF(DM56:DM101,"3")/3</f>
        <v>0</v>
      </c>
      <c r="DN54" s="74"/>
      <c r="DO54" s="239" t="s">
        <v>1475</v>
      </c>
      <c r="DP54" s="11">
        <f>COUNTIF(DP56:DP101,"3")/3</f>
        <v>0</v>
      </c>
      <c r="DQ54" s="74"/>
      <c r="DR54" s="239" t="s">
        <v>1475</v>
      </c>
      <c r="DS54" s="11">
        <f>COUNTIF(DS56:DS101,"3")/3</f>
        <v>0</v>
      </c>
      <c r="DT54" s="74"/>
      <c r="DU54" s="239" t="s">
        <v>1475</v>
      </c>
      <c r="DV54" s="11">
        <f>COUNTIF(DV56:DV101,"3")/3</f>
        <v>0</v>
      </c>
      <c r="DW54" s="74"/>
      <c r="DX54" s="239" t="s">
        <v>1475</v>
      </c>
      <c r="DY54" s="11">
        <f>COUNTIF(DY56:DY101,"3")/3</f>
        <v>0</v>
      </c>
      <c r="DZ54" s="74"/>
      <c r="EA54" s="239" t="s">
        <v>1475</v>
      </c>
      <c r="EB54" s="11">
        <f>COUNTIF(EB56:EB101,"3")/3</f>
        <v>0</v>
      </c>
      <c r="EC54" s="74"/>
      <c r="ED54" s="239" t="s">
        <v>1475</v>
      </c>
      <c r="EE54" s="11">
        <f>COUNTIF(EE56:EE101,"3")/3</f>
        <v>0</v>
      </c>
      <c r="EF54" s="74"/>
      <c r="EG54" s="239" t="s">
        <v>1475</v>
      </c>
      <c r="EH54" s="11">
        <f>COUNTIF(EH56:EH101,"3")/3</f>
        <v>0</v>
      </c>
      <c r="EI54" s="74"/>
      <c r="EJ54" s="239" t="s">
        <v>1475</v>
      </c>
      <c r="EK54" s="11">
        <f>COUNTIF(EK56:EK101,"3")/3</f>
        <v>2</v>
      </c>
      <c r="EL54" s="74"/>
      <c r="EM54" s="239" t="s">
        <v>1475</v>
      </c>
      <c r="EN54" s="11">
        <f>COUNTIF(EN56:EN101,"3")/3</f>
        <v>0</v>
      </c>
      <c r="EO54" s="74"/>
      <c r="EP54" s="239" t="s">
        <v>1475</v>
      </c>
      <c r="EQ54" s="11">
        <f>COUNTIF(EQ56:EQ101,"3")/3</f>
        <v>0</v>
      </c>
      <c r="ER54" s="74"/>
      <c r="ES54" s="239" t="s">
        <v>1475</v>
      </c>
      <c r="ET54" s="11">
        <f>COUNTIF(ET56:ET101,"3")/3</f>
        <v>1</v>
      </c>
      <c r="EU54" s="74"/>
      <c r="EV54" s="239" t="s">
        <v>1475</v>
      </c>
      <c r="EW54" s="11">
        <f>COUNTIF(EW56:EW101,"3")/3</f>
        <v>0</v>
      </c>
      <c r="EX54" s="74"/>
      <c r="EY54" s="239" t="s">
        <v>1475</v>
      </c>
      <c r="EZ54" s="11">
        <f>COUNTIF(EZ56:EZ101,"3")/3</f>
        <v>0</v>
      </c>
      <c r="FA54" s="74"/>
      <c r="FB54" s="239" t="s">
        <v>1475</v>
      </c>
      <c r="FC54" s="11">
        <f>COUNTIF(FC56:FC101,"3")/3</f>
        <v>2</v>
      </c>
      <c r="FD54" s="74"/>
      <c r="FE54" s="239" t="s">
        <v>1475</v>
      </c>
      <c r="FF54" s="11">
        <f>COUNTIF(FF56:FF101,"3")/3</f>
        <v>1</v>
      </c>
      <c r="FG54" s="74"/>
      <c r="FH54" s="239" t="s">
        <v>1475</v>
      </c>
      <c r="FI54" s="11">
        <f>COUNTIF(FI56:FI101,"3")/3</f>
        <v>0</v>
      </c>
      <c r="FJ54" s="74"/>
      <c r="FK54" s="239" t="s">
        <v>1475</v>
      </c>
      <c r="FL54" s="11">
        <f>COUNTIF(FL56:FL101,"3")/3</f>
        <v>0</v>
      </c>
      <c r="FM54" s="74"/>
      <c r="FN54" s="239" t="s">
        <v>1475</v>
      </c>
      <c r="FO54" s="11">
        <f>COUNTIF(FO56:FO101,"3")/3</f>
        <v>1</v>
      </c>
      <c r="FP54" s="74"/>
    </row>
    <row r="55" spans="1:172" ht="15" hidden="1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74"/>
      <c r="EA55" s="74"/>
      <c r="EB55" s="74"/>
      <c r="EC55" s="74"/>
      <c r="ED55" s="74"/>
      <c r="EE55" s="74"/>
      <c r="EF55" s="74"/>
      <c r="EG55" s="74"/>
      <c r="EH55" s="74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  <c r="FJ55" s="74"/>
      <c r="FK55" s="74"/>
      <c r="FL55" s="74"/>
      <c r="FM55" s="74"/>
      <c r="FN55" s="74"/>
      <c r="FO55" s="74"/>
      <c r="FP55" s="74"/>
    </row>
    <row r="56" spans="1:172" ht="15" hidden="1" x14ac:dyDescent="0.2">
      <c r="A56" s="74"/>
      <c r="B56" s="74"/>
      <c r="C56" s="74"/>
      <c r="D56" s="74"/>
      <c r="E56" s="74"/>
      <c r="F56" s="74">
        <f>COUNTIF(F2:F45,F1)</f>
        <v>0</v>
      </c>
      <c r="G56" s="74"/>
      <c r="H56" s="74"/>
      <c r="I56" s="74">
        <f>COUNTIF(I2:I45,I1)</f>
        <v>0</v>
      </c>
      <c r="J56" s="74"/>
      <c r="K56" s="74"/>
      <c r="L56" s="74">
        <f>COUNTIF(L2:L45,L1)</f>
        <v>0</v>
      </c>
      <c r="M56" s="74"/>
      <c r="N56" s="74"/>
      <c r="O56" s="74">
        <f>COUNTIF(O2:O45,O1)</f>
        <v>0</v>
      </c>
      <c r="P56" s="74"/>
      <c r="Q56" s="74"/>
      <c r="R56" s="74">
        <f>COUNTIF(R2:R45,R1)</f>
        <v>0</v>
      </c>
      <c r="S56" s="74"/>
      <c r="T56" s="74"/>
      <c r="U56" s="74">
        <f>COUNTIF(U2:U45,U1)</f>
        <v>0</v>
      </c>
      <c r="V56" s="74"/>
      <c r="W56" s="74"/>
      <c r="X56" s="74">
        <f>COUNTIF(X2:X45,X1)</f>
        <v>0</v>
      </c>
      <c r="Y56" s="74"/>
      <c r="Z56" s="74"/>
      <c r="AA56" s="74">
        <f>COUNTIF(AA2:AA45,AA1)</f>
        <v>0</v>
      </c>
      <c r="AB56" s="74"/>
      <c r="AC56" s="74"/>
      <c r="AD56" s="74">
        <f>COUNTIF(AD2:AD45,AD1)</f>
        <v>0</v>
      </c>
      <c r="AE56" s="74"/>
      <c r="AF56" s="74"/>
      <c r="AG56" s="74">
        <f>COUNTIF(AG2:AG45,AG1)</f>
        <v>0</v>
      </c>
      <c r="AH56" s="74"/>
      <c r="AI56" s="74"/>
      <c r="AJ56" s="74">
        <f>COUNTIF(AJ2:AJ45,AJ1)</f>
        <v>0</v>
      </c>
      <c r="AK56" s="74"/>
      <c r="AL56" s="74"/>
      <c r="AM56" s="74">
        <f>COUNTIF(AM2:AM45,AM1)</f>
        <v>0</v>
      </c>
      <c r="AN56" s="74"/>
      <c r="AO56" s="74"/>
      <c r="AP56" s="74">
        <f>COUNTIF(AP2:AP45,AP1)</f>
        <v>0</v>
      </c>
      <c r="AQ56" s="74"/>
      <c r="AR56" s="74"/>
      <c r="AS56" s="74">
        <f>COUNTIF(AS2:AS45,AS1)</f>
        <v>0</v>
      </c>
      <c r="AT56" s="74"/>
      <c r="AU56" s="74"/>
      <c r="AV56" s="74">
        <f>COUNTIF(AV2:AV45,AV1)</f>
        <v>0</v>
      </c>
      <c r="AW56" s="74"/>
      <c r="AX56" s="74"/>
      <c r="AY56" s="74">
        <f t="shared" ref="AY56:AY101" si="58">COUNTIF($AY$2:$AY$45,AY1)</f>
        <v>0</v>
      </c>
      <c r="AZ56" s="74"/>
      <c r="BA56" s="74"/>
      <c r="BB56" s="74">
        <f t="shared" ref="BB56:BB101" si="59">COUNTIF($BB$2:$BB$45,BB1)</f>
        <v>0</v>
      </c>
      <c r="BC56" s="74"/>
      <c r="BD56" s="74"/>
      <c r="BE56" s="74">
        <f t="shared" ref="BE56:BE101" si="60">COUNTIF($BE$2:$BE$45,BE1)</f>
        <v>0</v>
      </c>
      <c r="BF56" s="74"/>
      <c r="BG56" s="74"/>
      <c r="BH56" s="74">
        <f t="shared" ref="BH56:BH101" si="61">COUNTIF($BH$2:$BH$45,BH1)</f>
        <v>0</v>
      </c>
      <c r="BI56" s="74"/>
      <c r="BJ56" s="74"/>
      <c r="BK56" s="74">
        <f t="shared" ref="BK56:BK101" si="62">COUNTIF($BK$2:$BK$45,BK1)</f>
        <v>0</v>
      </c>
      <c r="BL56" s="74"/>
      <c r="BM56" s="74"/>
      <c r="BN56" s="74">
        <f t="shared" ref="BN56:BN101" si="63">COUNTIF($BN$2:$BN$45,BN1)</f>
        <v>0</v>
      </c>
      <c r="BO56" s="74"/>
      <c r="BP56" s="74"/>
      <c r="BQ56" s="74">
        <f t="shared" ref="BQ56:BQ101" si="64">COUNTIF($BQ$2:$BQ$45,BQ1)</f>
        <v>0</v>
      </c>
      <c r="BR56" s="252"/>
      <c r="BS56" s="252"/>
      <c r="BT56" s="74">
        <f t="shared" ref="BT56:BT101" si="65">COUNTIF($BT$2:$BT$45,BT1)</f>
        <v>0</v>
      </c>
      <c r="BU56" s="74"/>
      <c r="BV56" s="74"/>
      <c r="BW56" s="74">
        <f t="shared" ref="BW56:BW101" si="66">COUNTIF($BW$2:$BW$45,BW1)</f>
        <v>0</v>
      </c>
      <c r="BX56" s="74"/>
      <c r="BY56" s="74"/>
      <c r="BZ56" s="74">
        <f t="shared" ref="BZ56:BZ101" si="67">COUNTIF($BZ$2:$BZ$45,BZ1)</f>
        <v>0</v>
      </c>
      <c r="CA56" s="74"/>
      <c r="CB56" s="74"/>
      <c r="CC56" s="74">
        <f t="shared" ref="CC56:CC101" si="68">COUNTIF($CC$2:$CC$45,CC1)</f>
        <v>0</v>
      </c>
      <c r="CD56" s="74"/>
      <c r="CE56" s="74"/>
      <c r="CF56" s="74">
        <f t="shared" ref="CF56:CF101" si="69">COUNTIF($CF$2:$CF$45,CF1)</f>
        <v>0</v>
      </c>
      <c r="CG56" s="74"/>
      <c r="CH56" s="74"/>
      <c r="CI56" s="74">
        <f t="shared" ref="CI56:CI101" si="70">COUNTIF($CI$2:$CI$45,CI1)</f>
        <v>0</v>
      </c>
      <c r="CJ56" s="74"/>
      <c r="CK56" s="74"/>
      <c r="CL56" s="74">
        <f t="shared" ref="CL56:CL101" si="71">COUNTIF($CL$2:$CL$45,CL1)</f>
        <v>0</v>
      </c>
      <c r="CM56" s="74"/>
      <c r="CN56" s="74"/>
      <c r="CO56" s="74">
        <f t="shared" ref="CO56:CO101" si="72">COUNTIF($CO$2:$CO$45,CO1)</f>
        <v>0</v>
      </c>
      <c r="CP56" s="74"/>
      <c r="CQ56" s="74"/>
      <c r="CR56" s="74">
        <f t="shared" ref="CR56:CR101" si="73">COUNTIF($CR$2:$CR$45,CR1)</f>
        <v>0</v>
      </c>
      <c r="CS56" s="74"/>
      <c r="CT56" s="74"/>
      <c r="CU56" s="74">
        <f t="shared" ref="CU56:CU101" si="74">COUNTIF($CU$2:$CU$45,CU1)</f>
        <v>0</v>
      </c>
      <c r="CV56" s="74"/>
      <c r="CW56" s="74"/>
      <c r="CX56" s="74">
        <f t="shared" ref="CX56:CX101" si="75">COUNTIF($CX$2:$CX$45,CX1)</f>
        <v>0</v>
      </c>
      <c r="CY56" s="74"/>
      <c r="CZ56" s="74"/>
      <c r="DA56" s="74">
        <f t="shared" ref="DA56:DA101" si="76">COUNTIF($DA$2:$DA$45,DA1)</f>
        <v>0</v>
      </c>
      <c r="DB56" s="74"/>
      <c r="DC56" s="74"/>
      <c r="DD56" s="74">
        <f t="shared" ref="DD56:DD101" si="77">COUNTIF($DD$2:$DD$45,DD1)</f>
        <v>0</v>
      </c>
      <c r="DE56" s="74"/>
      <c r="DF56" s="74"/>
      <c r="DG56" s="74">
        <f t="shared" ref="DG56:DG101" si="78">COUNTIF($DG$2:$DG$45,DG1)</f>
        <v>0</v>
      </c>
      <c r="DH56" s="74"/>
      <c r="DI56" s="74"/>
      <c r="DJ56" s="74">
        <f t="shared" ref="DJ56:DJ101" si="79">COUNTIF($DJ$2:$DJ$45,DJ1)</f>
        <v>0</v>
      </c>
      <c r="DK56" s="74"/>
      <c r="DL56" s="74"/>
      <c r="DM56" s="74">
        <f t="shared" ref="DM56:DM101" si="80">COUNTIF($DM$2:$DM$45,DM1)</f>
        <v>0</v>
      </c>
      <c r="DN56" s="74"/>
      <c r="DO56" s="74"/>
      <c r="DP56" s="74">
        <f t="shared" ref="DP56:DP101" si="81">COUNTIF($DP$2:$DP$45,DP1)</f>
        <v>0</v>
      </c>
      <c r="DQ56" s="74"/>
      <c r="DR56" s="74"/>
      <c r="DS56" s="74">
        <f t="shared" ref="DS56:DS101" si="82">COUNTIF($DS$2:$DS$45,DS1)</f>
        <v>0</v>
      </c>
      <c r="DT56" s="74"/>
      <c r="DU56" s="74"/>
      <c r="DV56" s="74">
        <f t="shared" ref="DV56:DV101" si="83">COUNTIF($DV$2:$DV$45,DV1)</f>
        <v>0</v>
      </c>
      <c r="DW56" s="74"/>
      <c r="DX56" s="74"/>
      <c r="DY56" s="74">
        <f t="shared" ref="DY56:DY101" si="84">COUNTIF($DY$2:$DY$45,DY1)</f>
        <v>0</v>
      </c>
      <c r="DZ56" s="74"/>
      <c r="EA56" s="74"/>
      <c r="EB56" s="74">
        <f t="shared" ref="EB56:EB101" si="85">COUNTIF($EB$2:$EB$45,EB1)</f>
        <v>0</v>
      </c>
      <c r="EC56" s="74"/>
      <c r="ED56" s="74"/>
      <c r="EE56" s="74">
        <f t="shared" ref="EE56:EE101" si="86">COUNTIF($EE$2:$EE$45,EE1)</f>
        <v>0</v>
      </c>
      <c r="EF56" s="74"/>
      <c r="EG56" s="74"/>
      <c r="EH56" s="74">
        <f t="shared" ref="EH56:EH101" si="87">COUNTIF($EH$2:$EH$45,EH1)</f>
        <v>0</v>
      </c>
      <c r="EI56" s="74"/>
      <c r="EJ56" s="74"/>
      <c r="EK56" s="74">
        <f t="shared" ref="EK56:EK101" si="88">COUNTIF($EK$2:$EK$45,EK1)</f>
        <v>0</v>
      </c>
      <c r="EL56" s="74"/>
      <c r="EM56" s="74"/>
      <c r="EN56" s="74">
        <f t="shared" ref="EN56:EN101" si="89">COUNTIF($EN$2:$EN$45,EN1)</f>
        <v>0</v>
      </c>
      <c r="EO56" s="74"/>
      <c r="EP56" s="74"/>
      <c r="EQ56" s="74">
        <f t="shared" ref="EQ56:EQ101" si="90">COUNTIF($EQ$2:$EQ$45,EQ1)</f>
        <v>0</v>
      </c>
      <c r="ER56" s="74"/>
      <c r="ES56" s="74"/>
      <c r="ET56" s="74">
        <f t="shared" ref="ET56:ET101" si="91">COUNTIF($ET$2:$ET$45,ET1)</f>
        <v>0</v>
      </c>
      <c r="EU56" s="74"/>
      <c r="EV56" s="74"/>
      <c r="EW56" s="74">
        <f t="shared" ref="EW56:EW82" si="92">COUNTIF($EW$2:$EW$45,EW1)</f>
        <v>0</v>
      </c>
      <c r="EX56" s="74"/>
      <c r="EY56" s="74"/>
      <c r="EZ56" s="74">
        <f>COUNTIF($EZ$2:$EZ$45,EZ1)</f>
        <v>0</v>
      </c>
      <c r="FA56" s="74"/>
      <c r="FB56" s="74"/>
      <c r="FC56" s="74">
        <f t="shared" ref="FC56:FC101" si="93">COUNTIF($FC$2:$FC$45,FC1)</f>
        <v>0</v>
      </c>
      <c r="FD56" s="74"/>
      <c r="FE56" s="74"/>
      <c r="FF56" s="74">
        <f t="shared" ref="FF56:FF57" si="94">COUNTIF($FF$2:$FF$49,FF1)</f>
        <v>0</v>
      </c>
      <c r="FG56" s="74"/>
      <c r="FH56" s="74"/>
      <c r="FI56" s="74">
        <f t="shared" ref="FI56:FI101" si="95">COUNTIF($FI$2:$FI$45,FI1)</f>
        <v>0</v>
      </c>
      <c r="FJ56" s="74"/>
      <c r="FK56" s="74"/>
      <c r="FL56" s="74">
        <f t="shared" ref="FL56:FL58" si="96">COUNTIF($FL$2:$FL$45,FL1)</f>
        <v>0</v>
      </c>
      <c r="FM56" s="74"/>
      <c r="FN56" s="74"/>
      <c r="FO56" s="74">
        <f t="shared" ref="FO56:FO101" si="97">COUNTIF($FO$2:$FO$45,FO1)</f>
        <v>0</v>
      </c>
      <c r="FP56" s="74"/>
    </row>
    <row r="57" spans="1:172" ht="15" hidden="1" x14ac:dyDescent="0.2">
      <c r="A57" s="74"/>
      <c r="B57" s="74"/>
      <c r="C57" s="74"/>
      <c r="D57" s="74"/>
      <c r="E57" s="74"/>
      <c r="F57" s="74">
        <f>COUNTIF(F2:F45,F2)</f>
        <v>1</v>
      </c>
      <c r="G57" s="74"/>
      <c r="H57" s="74"/>
      <c r="I57" s="74">
        <f>COUNTIF(I2:I45,I2)</f>
        <v>1</v>
      </c>
      <c r="J57" s="74"/>
      <c r="K57" s="74"/>
      <c r="L57" s="74">
        <f>COUNTIF(L2:L45,L2)</f>
        <v>1</v>
      </c>
      <c r="M57" s="74"/>
      <c r="N57" s="74"/>
      <c r="O57" s="74">
        <f>COUNTIF(O2:O45,O2)</f>
        <v>1</v>
      </c>
      <c r="P57" s="74"/>
      <c r="Q57" s="74"/>
      <c r="R57" s="74">
        <f>COUNTIF(R2:R45,R2)</f>
        <v>2</v>
      </c>
      <c r="S57" s="74"/>
      <c r="T57" s="74"/>
      <c r="U57" s="74">
        <f>COUNTIF(U2:U45,U2)</f>
        <v>1</v>
      </c>
      <c r="V57" s="74"/>
      <c r="W57" s="74"/>
      <c r="X57" s="74">
        <f>COUNTIF(X2:X45,X2)</f>
        <v>1</v>
      </c>
      <c r="Y57" s="74"/>
      <c r="Z57" s="74"/>
      <c r="AA57" s="74">
        <f>COUNTIF(AA2:AA45,AA2)</f>
        <v>1</v>
      </c>
      <c r="AB57" s="74"/>
      <c r="AC57" s="74"/>
      <c r="AD57" s="74">
        <f>COUNTIF(AD2:AD45,AD2)</f>
        <v>1</v>
      </c>
      <c r="AE57" s="74"/>
      <c r="AF57" s="74"/>
      <c r="AG57" s="74">
        <f>COUNTIF(AG2:AG45,AG2)</f>
        <v>1</v>
      </c>
      <c r="AH57" s="74"/>
      <c r="AI57" s="74"/>
      <c r="AJ57" s="74">
        <f>COUNTIF(AJ2:AJ45,AJ2)</f>
        <v>1</v>
      </c>
      <c r="AK57" s="74"/>
      <c r="AL57" s="74"/>
      <c r="AM57" s="74">
        <f>COUNTIF(AM2:AM45,AM2)</f>
        <v>1</v>
      </c>
      <c r="AN57" s="74"/>
      <c r="AO57" s="74"/>
      <c r="AP57" s="74">
        <f>COUNTIF(AP2:AP45,AP2)</f>
        <v>1</v>
      </c>
      <c r="AQ57" s="74"/>
      <c r="AR57" s="74"/>
      <c r="AS57" s="74">
        <f>COUNTIF(AS2:AS45,AS2)</f>
        <v>1</v>
      </c>
      <c r="AT57" s="74"/>
      <c r="AU57" s="74"/>
      <c r="AV57" s="74">
        <f>COUNTIF(AV2:AV45,AV2)</f>
        <v>1</v>
      </c>
      <c r="AW57" s="74"/>
      <c r="AX57" s="74"/>
      <c r="AY57" s="74">
        <f t="shared" si="58"/>
        <v>1</v>
      </c>
      <c r="AZ57" s="74"/>
      <c r="BA57" s="74"/>
      <c r="BB57" s="74">
        <f t="shared" si="59"/>
        <v>1</v>
      </c>
      <c r="BC57" s="74"/>
      <c r="BD57" s="74"/>
      <c r="BE57" s="74">
        <f t="shared" si="60"/>
        <v>1</v>
      </c>
      <c r="BF57" s="74"/>
      <c r="BG57" s="74"/>
      <c r="BH57" s="74">
        <f t="shared" si="61"/>
        <v>1</v>
      </c>
      <c r="BI57" s="74"/>
      <c r="BJ57" s="74"/>
      <c r="BK57" s="74">
        <f t="shared" si="62"/>
        <v>1</v>
      </c>
      <c r="BL57" s="74"/>
      <c r="BM57" s="74"/>
      <c r="BN57" s="74">
        <f t="shared" si="63"/>
        <v>1</v>
      </c>
      <c r="BO57" s="74"/>
      <c r="BP57" s="74"/>
      <c r="BQ57" s="74">
        <f t="shared" si="64"/>
        <v>1</v>
      </c>
      <c r="BR57" s="252"/>
      <c r="BS57" s="252"/>
      <c r="BT57" s="74">
        <f t="shared" si="65"/>
        <v>1</v>
      </c>
      <c r="BU57" s="74"/>
      <c r="BV57" s="74"/>
      <c r="BW57" s="74">
        <f t="shared" si="66"/>
        <v>1</v>
      </c>
      <c r="BX57" s="74"/>
      <c r="BY57" s="74"/>
      <c r="BZ57" s="74">
        <f t="shared" si="67"/>
        <v>1</v>
      </c>
      <c r="CA57" s="74"/>
      <c r="CB57" s="74"/>
      <c r="CC57" s="74">
        <f t="shared" si="68"/>
        <v>1</v>
      </c>
      <c r="CD57" s="74"/>
      <c r="CE57" s="74"/>
      <c r="CF57" s="74">
        <f t="shared" si="69"/>
        <v>1</v>
      </c>
      <c r="CG57" s="74"/>
      <c r="CH57" s="74"/>
      <c r="CI57" s="74">
        <f t="shared" si="70"/>
        <v>1</v>
      </c>
      <c r="CJ57" s="74"/>
      <c r="CK57" s="74"/>
      <c r="CL57" s="74">
        <f t="shared" si="71"/>
        <v>1</v>
      </c>
      <c r="CM57" s="74"/>
      <c r="CN57" s="74"/>
      <c r="CO57" s="74">
        <f t="shared" si="72"/>
        <v>1</v>
      </c>
      <c r="CP57" s="74"/>
      <c r="CQ57" s="74"/>
      <c r="CR57" s="74">
        <f t="shared" si="73"/>
        <v>1</v>
      </c>
      <c r="CS57" s="74"/>
      <c r="CT57" s="74"/>
      <c r="CU57" s="74">
        <f t="shared" si="74"/>
        <v>2</v>
      </c>
      <c r="CV57" s="74"/>
      <c r="CW57" s="74"/>
      <c r="CX57" s="74">
        <f t="shared" si="75"/>
        <v>1</v>
      </c>
      <c r="CY57" s="74"/>
      <c r="CZ57" s="74"/>
      <c r="DA57" s="74">
        <f t="shared" si="76"/>
        <v>2</v>
      </c>
      <c r="DB57" s="74"/>
      <c r="DC57" s="74"/>
      <c r="DD57" s="74">
        <f t="shared" si="77"/>
        <v>1</v>
      </c>
      <c r="DE57" s="74"/>
      <c r="DF57" s="74"/>
      <c r="DG57" s="74">
        <f t="shared" si="78"/>
        <v>1</v>
      </c>
      <c r="DH57" s="74"/>
      <c r="DI57" s="74"/>
      <c r="DJ57" s="74">
        <f t="shared" si="79"/>
        <v>2</v>
      </c>
      <c r="DK57" s="74"/>
      <c r="DL57" s="74"/>
      <c r="DM57" s="74">
        <f t="shared" si="80"/>
        <v>1</v>
      </c>
      <c r="DN57" s="74"/>
      <c r="DO57" s="74"/>
      <c r="DP57" s="74">
        <f t="shared" si="81"/>
        <v>1</v>
      </c>
      <c r="DQ57" s="74"/>
      <c r="DR57" s="74"/>
      <c r="DS57" s="74">
        <f t="shared" si="82"/>
        <v>1</v>
      </c>
      <c r="DT57" s="74"/>
      <c r="DU57" s="74"/>
      <c r="DV57" s="74">
        <f t="shared" si="83"/>
        <v>2</v>
      </c>
      <c r="DW57" s="74"/>
      <c r="DX57" s="74"/>
      <c r="DY57" s="74">
        <f t="shared" si="84"/>
        <v>1</v>
      </c>
      <c r="DZ57" s="74"/>
      <c r="EA57" s="74"/>
      <c r="EB57" s="74">
        <f t="shared" si="85"/>
        <v>1</v>
      </c>
      <c r="EC57" s="74"/>
      <c r="ED57" s="74"/>
      <c r="EE57" s="74">
        <f t="shared" si="86"/>
        <v>1</v>
      </c>
      <c r="EF57" s="74"/>
      <c r="EG57" s="74"/>
      <c r="EH57" s="74">
        <f t="shared" si="87"/>
        <v>1</v>
      </c>
      <c r="EI57" s="74"/>
      <c r="EJ57" s="74"/>
      <c r="EK57" s="74">
        <f t="shared" si="88"/>
        <v>1</v>
      </c>
      <c r="EL57" s="74"/>
      <c r="EM57" s="74"/>
      <c r="EN57" s="74">
        <f t="shared" si="89"/>
        <v>1</v>
      </c>
      <c r="EO57" s="74"/>
      <c r="EP57" s="74"/>
      <c r="EQ57" s="74">
        <f t="shared" si="90"/>
        <v>1</v>
      </c>
      <c r="ER57" s="74"/>
      <c r="ES57" s="74"/>
      <c r="ET57" s="74">
        <f t="shared" si="91"/>
        <v>1</v>
      </c>
      <c r="EU57" s="74"/>
      <c r="EV57" s="74"/>
      <c r="EW57" s="74">
        <f t="shared" si="92"/>
        <v>2</v>
      </c>
      <c r="EX57" s="74"/>
      <c r="EY57" s="74"/>
      <c r="EZ57" s="74">
        <f>COUNTIF($EZ$2:$EZ$45,EZ11)</f>
        <v>1</v>
      </c>
      <c r="FA57" s="74"/>
      <c r="FB57" s="74"/>
      <c r="FC57" s="74">
        <f t="shared" si="93"/>
        <v>2</v>
      </c>
      <c r="FD57" s="74"/>
      <c r="FE57" s="74"/>
      <c r="FF57" s="74">
        <f t="shared" si="94"/>
        <v>1</v>
      </c>
      <c r="FG57" s="74"/>
      <c r="FH57" s="74"/>
      <c r="FI57" s="74">
        <f t="shared" si="95"/>
        <v>1</v>
      </c>
      <c r="FJ57" s="74"/>
      <c r="FK57" s="74"/>
      <c r="FL57" s="74">
        <f t="shared" si="96"/>
        <v>1</v>
      </c>
      <c r="FM57" s="74"/>
      <c r="FN57" s="74"/>
      <c r="FO57" s="74">
        <f t="shared" si="97"/>
        <v>1</v>
      </c>
      <c r="FP57" s="74"/>
    </row>
    <row r="58" spans="1:172" ht="15" hidden="1" x14ac:dyDescent="0.2">
      <c r="A58" s="74"/>
      <c r="B58" s="74"/>
      <c r="C58" s="74"/>
      <c r="D58" s="74"/>
      <c r="E58" s="74"/>
      <c r="F58" s="74">
        <f>COUNTIF(F2:F45,F3)</f>
        <v>0</v>
      </c>
      <c r="G58" s="74"/>
      <c r="H58" s="74"/>
      <c r="I58" s="74">
        <f>COUNTIF(I2:I45,I3)</f>
        <v>1</v>
      </c>
      <c r="J58" s="74"/>
      <c r="K58" s="74"/>
      <c r="L58" s="74">
        <f>COUNTIF(L2:L45,L3)</f>
        <v>1</v>
      </c>
      <c r="M58" s="74"/>
      <c r="N58" s="74"/>
      <c r="O58" s="74">
        <f>COUNTIF(O2:O45,O3)</f>
        <v>1</v>
      </c>
      <c r="P58" s="74"/>
      <c r="Q58" s="74"/>
      <c r="R58" s="74">
        <f>COUNTIF(R2:R45,R3)</f>
        <v>2</v>
      </c>
      <c r="S58" s="74"/>
      <c r="T58" s="74"/>
      <c r="U58" s="74">
        <f>COUNTIF(U2:U45,U3)</f>
        <v>1</v>
      </c>
      <c r="V58" s="74"/>
      <c r="W58" s="74"/>
      <c r="X58" s="74">
        <f>COUNTIF(X2:X45,X3)</f>
        <v>2</v>
      </c>
      <c r="Y58" s="74"/>
      <c r="Z58" s="74"/>
      <c r="AA58" s="74">
        <f>COUNTIF(AA2:AA45,AA3)</f>
        <v>1</v>
      </c>
      <c r="AB58" s="74"/>
      <c r="AC58" s="74"/>
      <c r="AD58" s="74">
        <f>COUNTIF(AD2:AD45,AD3)</f>
        <v>1</v>
      </c>
      <c r="AE58" s="74"/>
      <c r="AF58" s="74"/>
      <c r="AG58" s="74">
        <f>COUNTIF(AG2:AG45,AG3)</f>
        <v>1</v>
      </c>
      <c r="AH58" s="74"/>
      <c r="AI58" s="74"/>
      <c r="AJ58" s="74">
        <f>COUNTIF(AJ2:AJ45,AJ3)</f>
        <v>2</v>
      </c>
      <c r="AK58" s="74"/>
      <c r="AL58" s="74"/>
      <c r="AM58" s="74">
        <f>COUNTIF(AM2:AM45,AM3)</f>
        <v>1</v>
      </c>
      <c r="AN58" s="74"/>
      <c r="AO58" s="74"/>
      <c r="AP58" s="74">
        <f>COUNTIF(AP2:AP45,AP3)</f>
        <v>1</v>
      </c>
      <c r="AQ58" s="74"/>
      <c r="AR58" s="74"/>
      <c r="AS58" s="74">
        <f>COUNTIF(AS2:AS45,AS3)</f>
        <v>1</v>
      </c>
      <c r="AT58" s="74"/>
      <c r="AU58" s="74"/>
      <c r="AV58" s="74">
        <f>COUNTIF(AV2:AV45,AV3)</f>
        <v>1</v>
      </c>
      <c r="AW58" s="74"/>
      <c r="AX58" s="74"/>
      <c r="AY58" s="74">
        <f t="shared" si="58"/>
        <v>1</v>
      </c>
      <c r="AZ58" s="74"/>
      <c r="BA58" s="74"/>
      <c r="BB58" s="74">
        <f t="shared" si="59"/>
        <v>2</v>
      </c>
      <c r="BC58" s="74"/>
      <c r="BD58" s="74"/>
      <c r="BE58" s="74">
        <f t="shared" si="60"/>
        <v>1</v>
      </c>
      <c r="BF58" s="74"/>
      <c r="BG58" s="74"/>
      <c r="BH58" s="74">
        <f t="shared" si="61"/>
        <v>1</v>
      </c>
      <c r="BI58" s="74"/>
      <c r="BJ58" s="74"/>
      <c r="BK58" s="74">
        <f t="shared" si="62"/>
        <v>1</v>
      </c>
      <c r="BL58" s="74"/>
      <c r="BM58" s="74"/>
      <c r="BN58" s="74">
        <f t="shared" si="63"/>
        <v>1</v>
      </c>
      <c r="BO58" s="74"/>
      <c r="BP58" s="74"/>
      <c r="BQ58" s="74">
        <f t="shared" si="64"/>
        <v>1</v>
      </c>
      <c r="BR58" s="252"/>
      <c r="BS58" s="252"/>
      <c r="BT58" s="74">
        <f t="shared" si="65"/>
        <v>1</v>
      </c>
      <c r="BU58" s="74"/>
      <c r="BV58" s="74"/>
      <c r="BW58" s="74">
        <f t="shared" si="66"/>
        <v>1</v>
      </c>
      <c r="BX58" s="74"/>
      <c r="BY58" s="74"/>
      <c r="BZ58" s="74">
        <f t="shared" si="67"/>
        <v>1</v>
      </c>
      <c r="CA58" s="74"/>
      <c r="CB58" s="74"/>
      <c r="CC58" s="74">
        <f t="shared" si="68"/>
        <v>1</v>
      </c>
      <c r="CD58" s="74"/>
      <c r="CE58" s="74"/>
      <c r="CF58" s="74">
        <f t="shared" si="69"/>
        <v>1</v>
      </c>
      <c r="CG58" s="74"/>
      <c r="CH58" s="74"/>
      <c r="CI58" s="74">
        <f t="shared" si="70"/>
        <v>1</v>
      </c>
      <c r="CJ58" s="74"/>
      <c r="CK58" s="74"/>
      <c r="CL58" s="74">
        <f t="shared" si="71"/>
        <v>1</v>
      </c>
      <c r="CM58" s="74"/>
      <c r="CN58" s="74"/>
      <c r="CO58" s="74">
        <f t="shared" si="72"/>
        <v>1</v>
      </c>
      <c r="CP58" s="74"/>
      <c r="CQ58" s="74"/>
      <c r="CR58" s="74">
        <f t="shared" si="73"/>
        <v>1</v>
      </c>
      <c r="CS58" s="74"/>
      <c r="CT58" s="74"/>
      <c r="CU58" s="74">
        <f t="shared" si="74"/>
        <v>2</v>
      </c>
      <c r="CV58" s="74"/>
      <c r="CW58" s="74"/>
      <c r="CX58" s="74">
        <f t="shared" si="75"/>
        <v>1</v>
      </c>
      <c r="CY58" s="74"/>
      <c r="CZ58" s="74"/>
      <c r="DA58" s="74">
        <f t="shared" si="76"/>
        <v>2</v>
      </c>
      <c r="DB58" s="74"/>
      <c r="DC58" s="74"/>
      <c r="DD58" s="74">
        <f t="shared" si="77"/>
        <v>1</v>
      </c>
      <c r="DE58" s="74"/>
      <c r="DF58" s="74"/>
      <c r="DG58" s="74">
        <f t="shared" si="78"/>
        <v>2</v>
      </c>
      <c r="DH58" s="74"/>
      <c r="DI58" s="74"/>
      <c r="DJ58" s="74">
        <f t="shared" si="79"/>
        <v>2</v>
      </c>
      <c r="DK58" s="74"/>
      <c r="DL58" s="74"/>
      <c r="DM58" s="74">
        <f t="shared" si="80"/>
        <v>1</v>
      </c>
      <c r="DN58" s="74"/>
      <c r="DO58" s="74"/>
      <c r="DP58" s="74">
        <f t="shared" si="81"/>
        <v>1</v>
      </c>
      <c r="DQ58" s="74"/>
      <c r="DR58" s="74"/>
      <c r="DS58" s="74">
        <f t="shared" si="82"/>
        <v>1</v>
      </c>
      <c r="DT58" s="74"/>
      <c r="DU58" s="74"/>
      <c r="DV58" s="74">
        <f t="shared" si="83"/>
        <v>2</v>
      </c>
      <c r="DW58" s="74"/>
      <c r="DX58" s="74"/>
      <c r="DY58" s="74">
        <f t="shared" si="84"/>
        <v>1</v>
      </c>
      <c r="DZ58" s="74"/>
      <c r="EA58" s="74"/>
      <c r="EB58" s="74">
        <f t="shared" si="85"/>
        <v>1</v>
      </c>
      <c r="EC58" s="74"/>
      <c r="ED58" s="74"/>
      <c r="EE58" s="74">
        <f t="shared" si="86"/>
        <v>1</v>
      </c>
      <c r="EF58" s="74"/>
      <c r="EG58" s="74"/>
      <c r="EH58" s="74">
        <f t="shared" si="87"/>
        <v>1</v>
      </c>
      <c r="EI58" s="74"/>
      <c r="EJ58" s="74"/>
      <c r="EK58" s="74">
        <f t="shared" si="88"/>
        <v>1</v>
      </c>
      <c r="EL58" s="74"/>
      <c r="EM58" s="74"/>
      <c r="EN58" s="74">
        <f t="shared" si="89"/>
        <v>1</v>
      </c>
      <c r="EO58" s="74"/>
      <c r="EP58" s="74"/>
      <c r="EQ58" s="74">
        <f t="shared" si="90"/>
        <v>1</v>
      </c>
      <c r="ER58" s="74"/>
      <c r="ES58" s="74"/>
      <c r="ET58" s="74">
        <f t="shared" si="91"/>
        <v>1</v>
      </c>
      <c r="EU58" s="74"/>
      <c r="EV58" s="74"/>
      <c r="EW58" s="74">
        <f t="shared" si="92"/>
        <v>2</v>
      </c>
      <c r="EX58" s="74"/>
      <c r="EY58" s="74"/>
      <c r="EZ58" s="74">
        <f t="shared" ref="EZ58:EZ66" si="98">COUNTIF($EZ$2:$EZ$45,EZ2)</f>
        <v>1</v>
      </c>
      <c r="FA58" s="74"/>
      <c r="FB58" s="74"/>
      <c r="FC58" s="74">
        <f t="shared" si="93"/>
        <v>2</v>
      </c>
      <c r="FD58" s="74"/>
      <c r="FE58" s="74"/>
      <c r="FF58" s="74">
        <f t="shared" ref="FF58:FF101" si="99">COUNTIF($FF$2:$FF$49,FF7)</f>
        <v>1</v>
      </c>
      <c r="FG58" s="74"/>
      <c r="FH58" s="74"/>
      <c r="FI58" s="74">
        <f t="shared" si="95"/>
        <v>1</v>
      </c>
      <c r="FJ58" s="74"/>
      <c r="FK58" s="74"/>
      <c r="FL58" s="74">
        <f t="shared" si="96"/>
        <v>1</v>
      </c>
      <c r="FM58" s="74"/>
      <c r="FN58" s="74"/>
      <c r="FO58" s="74">
        <f t="shared" si="97"/>
        <v>1</v>
      </c>
      <c r="FP58" s="74"/>
    </row>
    <row r="59" spans="1:172" ht="15" hidden="1" x14ac:dyDescent="0.2">
      <c r="A59" s="74"/>
      <c r="B59" s="74"/>
      <c r="C59" s="74"/>
      <c r="D59" s="74"/>
      <c r="E59" s="74"/>
      <c r="F59" s="74">
        <f>COUNTIF(F2:F45,F4)</f>
        <v>0</v>
      </c>
      <c r="G59" s="74"/>
      <c r="H59" s="74"/>
      <c r="I59" s="74">
        <f>COUNTIF(I2:I45,I4)</f>
        <v>2</v>
      </c>
      <c r="J59" s="74"/>
      <c r="K59" s="74"/>
      <c r="L59" s="74">
        <f>COUNTIF(L2:L45,L4)</f>
        <v>1</v>
      </c>
      <c r="M59" s="74"/>
      <c r="N59" s="74"/>
      <c r="O59" s="74">
        <f>COUNTIF(O2:O45,O4)</f>
        <v>1</v>
      </c>
      <c r="P59" s="74"/>
      <c r="Q59" s="74"/>
      <c r="R59" s="74">
        <f>COUNTIF(R2:R45,R4)</f>
        <v>1</v>
      </c>
      <c r="S59" s="74"/>
      <c r="T59" s="74"/>
      <c r="U59" s="74">
        <f>COUNTIF(U2:U45,U4)</f>
        <v>1</v>
      </c>
      <c r="V59" s="74"/>
      <c r="W59" s="74"/>
      <c r="X59" s="74">
        <f>COUNTIF(X2:X45,X4)</f>
        <v>2</v>
      </c>
      <c r="Y59" s="74"/>
      <c r="Z59" s="74"/>
      <c r="AA59" s="74">
        <f>COUNTIF(AA2:AA45,AA4)</f>
        <v>1</v>
      </c>
      <c r="AB59" s="74"/>
      <c r="AC59" s="74"/>
      <c r="AD59" s="74">
        <f>COUNTIF(AD2:AD45,AD4)</f>
        <v>1</v>
      </c>
      <c r="AE59" s="74"/>
      <c r="AF59" s="74"/>
      <c r="AG59" s="74">
        <f>COUNTIF(AG2:AG45,AG4)</f>
        <v>1</v>
      </c>
      <c r="AH59" s="74"/>
      <c r="AI59" s="74"/>
      <c r="AJ59" s="74">
        <f>COUNTIF(AJ2:AJ45,AJ4)</f>
        <v>2</v>
      </c>
      <c r="AK59" s="74"/>
      <c r="AL59" s="74"/>
      <c r="AM59" s="74">
        <f>COUNTIF(AM2:AM45,AM4)</f>
        <v>1</v>
      </c>
      <c r="AN59" s="74"/>
      <c r="AO59" s="74"/>
      <c r="AP59" s="74">
        <f>COUNTIF(AP2:AP45,AP4)</f>
        <v>2</v>
      </c>
      <c r="AQ59" s="74"/>
      <c r="AR59" s="74"/>
      <c r="AS59" s="74">
        <f>COUNTIF(AS2:AS45,AS4)</f>
        <v>1</v>
      </c>
      <c r="AT59" s="74"/>
      <c r="AU59" s="74"/>
      <c r="AV59" s="74">
        <f>COUNTIF(AV2:AV45,AV4)</f>
        <v>1</v>
      </c>
      <c r="AW59" s="74"/>
      <c r="AX59" s="74"/>
      <c r="AY59" s="74">
        <f t="shared" si="58"/>
        <v>1</v>
      </c>
      <c r="AZ59" s="74"/>
      <c r="BA59" s="74"/>
      <c r="BB59" s="74">
        <f t="shared" si="59"/>
        <v>2</v>
      </c>
      <c r="BC59" s="74"/>
      <c r="BD59" s="74"/>
      <c r="BE59" s="74">
        <f t="shared" si="60"/>
        <v>1</v>
      </c>
      <c r="BF59" s="74"/>
      <c r="BG59" s="74"/>
      <c r="BH59" s="74">
        <f t="shared" si="61"/>
        <v>1</v>
      </c>
      <c r="BI59" s="74"/>
      <c r="BJ59" s="74"/>
      <c r="BK59" s="74">
        <f t="shared" si="62"/>
        <v>1</v>
      </c>
      <c r="BL59" s="74"/>
      <c r="BM59" s="74"/>
      <c r="BN59" s="74">
        <f t="shared" si="63"/>
        <v>1</v>
      </c>
      <c r="BO59" s="74"/>
      <c r="BP59" s="74"/>
      <c r="BQ59" s="74">
        <f t="shared" si="64"/>
        <v>1</v>
      </c>
      <c r="BR59" s="252"/>
      <c r="BS59" s="252"/>
      <c r="BT59" s="74">
        <f t="shared" si="65"/>
        <v>1</v>
      </c>
      <c r="BU59" s="74"/>
      <c r="BV59" s="74"/>
      <c r="BW59" s="74">
        <f t="shared" si="66"/>
        <v>1</v>
      </c>
      <c r="BX59" s="74"/>
      <c r="BY59" s="74"/>
      <c r="BZ59" s="74">
        <f t="shared" si="67"/>
        <v>1</v>
      </c>
      <c r="CA59" s="74"/>
      <c r="CB59" s="74"/>
      <c r="CC59" s="74">
        <f t="shared" si="68"/>
        <v>1</v>
      </c>
      <c r="CD59" s="74"/>
      <c r="CE59" s="74"/>
      <c r="CF59" s="74">
        <f t="shared" si="69"/>
        <v>2</v>
      </c>
      <c r="CG59" s="74"/>
      <c r="CH59" s="74"/>
      <c r="CI59" s="74">
        <f t="shared" si="70"/>
        <v>1</v>
      </c>
      <c r="CJ59" s="74"/>
      <c r="CK59" s="74"/>
      <c r="CL59" s="74">
        <f t="shared" si="71"/>
        <v>1</v>
      </c>
      <c r="CM59" s="74"/>
      <c r="CN59" s="74"/>
      <c r="CO59" s="74">
        <f t="shared" si="72"/>
        <v>2</v>
      </c>
      <c r="CP59" s="74"/>
      <c r="CQ59" s="74"/>
      <c r="CR59" s="74">
        <f t="shared" si="73"/>
        <v>2</v>
      </c>
      <c r="CS59" s="74"/>
      <c r="CT59" s="74"/>
      <c r="CU59" s="74">
        <f t="shared" si="74"/>
        <v>1</v>
      </c>
      <c r="CV59" s="74"/>
      <c r="CW59" s="74"/>
      <c r="CX59" s="74">
        <f t="shared" si="75"/>
        <v>1</v>
      </c>
      <c r="CY59" s="74"/>
      <c r="CZ59" s="74"/>
      <c r="DA59" s="74">
        <f t="shared" si="76"/>
        <v>2</v>
      </c>
      <c r="DB59" s="74"/>
      <c r="DC59" s="74"/>
      <c r="DD59" s="74">
        <f t="shared" si="77"/>
        <v>1</v>
      </c>
      <c r="DE59" s="74"/>
      <c r="DF59" s="74"/>
      <c r="DG59" s="74">
        <f t="shared" si="78"/>
        <v>2</v>
      </c>
      <c r="DH59" s="74"/>
      <c r="DI59" s="74"/>
      <c r="DJ59" s="74">
        <f t="shared" si="79"/>
        <v>1</v>
      </c>
      <c r="DK59" s="74"/>
      <c r="DL59" s="74"/>
      <c r="DM59" s="74">
        <f t="shared" si="80"/>
        <v>1</v>
      </c>
      <c r="DN59" s="74"/>
      <c r="DO59" s="74"/>
      <c r="DP59" s="74">
        <f t="shared" si="81"/>
        <v>2</v>
      </c>
      <c r="DQ59" s="74"/>
      <c r="DR59" s="74"/>
      <c r="DS59" s="74">
        <f t="shared" si="82"/>
        <v>1</v>
      </c>
      <c r="DT59" s="74"/>
      <c r="DU59" s="74"/>
      <c r="DV59" s="74">
        <f t="shared" si="83"/>
        <v>1</v>
      </c>
      <c r="DW59" s="74"/>
      <c r="DX59" s="74"/>
      <c r="DY59" s="74">
        <f t="shared" si="84"/>
        <v>1</v>
      </c>
      <c r="DZ59" s="74"/>
      <c r="EA59" s="74"/>
      <c r="EB59" s="74">
        <f t="shared" si="85"/>
        <v>1</v>
      </c>
      <c r="EC59" s="74"/>
      <c r="ED59" s="74"/>
      <c r="EE59" s="74">
        <f t="shared" si="86"/>
        <v>1</v>
      </c>
      <c r="EF59" s="74"/>
      <c r="EG59" s="74"/>
      <c r="EH59" s="74">
        <f t="shared" si="87"/>
        <v>2</v>
      </c>
      <c r="EI59" s="74"/>
      <c r="EJ59" s="74"/>
      <c r="EK59" s="74">
        <f t="shared" si="88"/>
        <v>1</v>
      </c>
      <c r="EL59" s="74"/>
      <c r="EM59" s="74"/>
      <c r="EN59" s="74">
        <f t="shared" si="89"/>
        <v>1</v>
      </c>
      <c r="EO59" s="74"/>
      <c r="EP59" s="74"/>
      <c r="EQ59" s="74">
        <f t="shared" si="90"/>
        <v>1</v>
      </c>
      <c r="ER59" s="74"/>
      <c r="ES59" s="74"/>
      <c r="ET59" s="74">
        <f t="shared" si="91"/>
        <v>1</v>
      </c>
      <c r="EU59" s="74"/>
      <c r="EV59" s="74"/>
      <c r="EW59" s="74">
        <f t="shared" si="92"/>
        <v>1</v>
      </c>
      <c r="EX59" s="74"/>
      <c r="EY59" s="74"/>
      <c r="EZ59" s="74">
        <f t="shared" si="98"/>
        <v>1</v>
      </c>
      <c r="FA59" s="74"/>
      <c r="FB59" s="74"/>
      <c r="FC59" s="74">
        <f t="shared" si="93"/>
        <v>1</v>
      </c>
      <c r="FD59" s="74"/>
      <c r="FE59" s="74"/>
      <c r="FF59" s="74">
        <f t="shared" si="99"/>
        <v>2</v>
      </c>
      <c r="FG59" s="74"/>
      <c r="FH59" s="74"/>
      <c r="FI59" s="74">
        <f t="shared" si="95"/>
        <v>1</v>
      </c>
      <c r="FJ59" s="74"/>
      <c r="FK59" s="74"/>
      <c r="FL59" s="74">
        <f t="shared" ref="FL59:FL60" si="100">COUNTIF($FL$2:$FL$45,#REF!)</f>
        <v>0</v>
      </c>
      <c r="FM59" s="74"/>
      <c r="FN59" s="74"/>
      <c r="FO59" s="74">
        <f t="shared" si="97"/>
        <v>1</v>
      </c>
      <c r="FP59" s="74"/>
    </row>
    <row r="60" spans="1:172" ht="15" hidden="1" x14ac:dyDescent="0.2">
      <c r="A60" s="74"/>
      <c r="B60" s="74"/>
      <c r="C60" s="74"/>
      <c r="D60" s="74"/>
      <c r="E60" s="74"/>
      <c r="F60" s="74">
        <f>COUNTIF(F2:F45,F5)</f>
        <v>0</v>
      </c>
      <c r="G60" s="74"/>
      <c r="H60" s="74"/>
      <c r="I60" s="74">
        <f>COUNTIF(I2:I45,I5)</f>
        <v>2</v>
      </c>
      <c r="J60" s="74"/>
      <c r="K60" s="74"/>
      <c r="L60" s="74">
        <f>COUNTIF(L2:L45,L5)</f>
        <v>2</v>
      </c>
      <c r="M60" s="74"/>
      <c r="N60" s="74"/>
      <c r="O60" s="74">
        <f>COUNTIF(O2:O45,O5)</f>
        <v>1</v>
      </c>
      <c r="P60" s="74"/>
      <c r="Q60" s="74"/>
      <c r="R60" s="74">
        <f>COUNTIF(R2:R45,R5)</f>
        <v>2</v>
      </c>
      <c r="S60" s="74"/>
      <c r="T60" s="74"/>
      <c r="U60" s="74">
        <f>COUNTIF(U2:U45,U5)</f>
        <v>1</v>
      </c>
      <c r="V60" s="74"/>
      <c r="W60" s="74"/>
      <c r="X60" s="74">
        <f>COUNTIF(X2:X45,X5)</f>
        <v>1</v>
      </c>
      <c r="Y60" s="74"/>
      <c r="Z60" s="74"/>
      <c r="AA60" s="74">
        <f>COUNTIF(AA2:AA45,AA5)</f>
        <v>2</v>
      </c>
      <c r="AB60" s="74"/>
      <c r="AC60" s="74"/>
      <c r="AD60" s="74">
        <f>COUNTIF(AD2:AD45,AD5)</f>
        <v>1</v>
      </c>
      <c r="AE60" s="74"/>
      <c r="AF60" s="74"/>
      <c r="AG60" s="74">
        <f>COUNTIF(AG2:AG45,AG5)</f>
        <v>1</v>
      </c>
      <c r="AH60" s="74"/>
      <c r="AI60" s="74"/>
      <c r="AJ60" s="74">
        <f>COUNTIF(AJ2:AJ45,AJ5)</f>
        <v>2</v>
      </c>
      <c r="AK60" s="74"/>
      <c r="AL60" s="74"/>
      <c r="AM60" s="74">
        <f>COUNTIF(AM2:AM45,AM5)</f>
        <v>1</v>
      </c>
      <c r="AN60" s="74"/>
      <c r="AO60" s="74"/>
      <c r="AP60" s="74">
        <f>COUNTIF(AP2:AP45,AP5)</f>
        <v>2</v>
      </c>
      <c r="AQ60" s="74"/>
      <c r="AR60" s="74"/>
      <c r="AS60" s="74">
        <f>COUNTIF(AS2:AS45,AS5)</f>
        <v>1</v>
      </c>
      <c r="AT60" s="74"/>
      <c r="AU60" s="74"/>
      <c r="AV60" s="74">
        <f>COUNTIF(AV2:AV45,AV5)</f>
        <v>1</v>
      </c>
      <c r="AW60" s="74"/>
      <c r="AX60" s="74"/>
      <c r="AY60" s="74">
        <f t="shared" si="58"/>
        <v>1</v>
      </c>
      <c r="AZ60" s="74"/>
      <c r="BA60" s="74"/>
      <c r="BB60" s="74">
        <f t="shared" si="59"/>
        <v>2</v>
      </c>
      <c r="BC60" s="74"/>
      <c r="BD60" s="74"/>
      <c r="BE60" s="74">
        <f t="shared" si="60"/>
        <v>1</v>
      </c>
      <c r="BF60" s="74"/>
      <c r="BG60" s="74"/>
      <c r="BH60" s="74">
        <f t="shared" si="61"/>
        <v>1</v>
      </c>
      <c r="BI60" s="74"/>
      <c r="BJ60" s="74"/>
      <c r="BK60" s="74">
        <f t="shared" si="62"/>
        <v>1</v>
      </c>
      <c r="BL60" s="74"/>
      <c r="BM60" s="74"/>
      <c r="BN60" s="74">
        <f t="shared" si="63"/>
        <v>2</v>
      </c>
      <c r="BO60" s="74"/>
      <c r="BP60" s="74"/>
      <c r="BQ60" s="74">
        <f t="shared" si="64"/>
        <v>1</v>
      </c>
      <c r="BR60" s="252"/>
      <c r="BS60" s="252"/>
      <c r="BT60" s="74">
        <f t="shared" si="65"/>
        <v>2</v>
      </c>
      <c r="BU60" s="74"/>
      <c r="BV60" s="74"/>
      <c r="BW60" s="74">
        <f t="shared" si="66"/>
        <v>1</v>
      </c>
      <c r="BX60" s="74"/>
      <c r="BY60" s="74"/>
      <c r="BZ60" s="74">
        <f t="shared" si="67"/>
        <v>1</v>
      </c>
      <c r="CA60" s="74"/>
      <c r="CB60" s="74"/>
      <c r="CC60" s="74">
        <f t="shared" si="68"/>
        <v>2</v>
      </c>
      <c r="CD60" s="74"/>
      <c r="CE60" s="74"/>
      <c r="CF60" s="74">
        <f t="shared" si="69"/>
        <v>2</v>
      </c>
      <c r="CG60" s="74"/>
      <c r="CH60" s="74"/>
      <c r="CI60" s="74">
        <f t="shared" si="70"/>
        <v>1</v>
      </c>
      <c r="CJ60" s="74"/>
      <c r="CK60" s="74"/>
      <c r="CL60" s="74">
        <f t="shared" si="71"/>
        <v>1</v>
      </c>
      <c r="CM60" s="74"/>
      <c r="CN60" s="74"/>
      <c r="CO60" s="74">
        <f t="shared" si="72"/>
        <v>2</v>
      </c>
      <c r="CP60" s="74"/>
      <c r="CQ60" s="74"/>
      <c r="CR60" s="74">
        <f t="shared" si="73"/>
        <v>2</v>
      </c>
      <c r="CS60" s="74"/>
      <c r="CT60" s="74"/>
      <c r="CU60" s="74">
        <f t="shared" si="74"/>
        <v>1</v>
      </c>
      <c r="CV60" s="74"/>
      <c r="CW60" s="74"/>
      <c r="CX60" s="74">
        <f t="shared" si="75"/>
        <v>1</v>
      </c>
      <c r="CY60" s="74"/>
      <c r="CZ60" s="74"/>
      <c r="DA60" s="74">
        <f t="shared" si="76"/>
        <v>2</v>
      </c>
      <c r="DB60" s="74"/>
      <c r="DC60" s="74"/>
      <c r="DD60" s="74">
        <f t="shared" si="77"/>
        <v>1</v>
      </c>
      <c r="DE60" s="74"/>
      <c r="DF60" s="74"/>
      <c r="DG60" s="74">
        <f t="shared" si="78"/>
        <v>2</v>
      </c>
      <c r="DH60" s="74"/>
      <c r="DI60" s="74"/>
      <c r="DJ60" s="74">
        <f t="shared" si="79"/>
        <v>1</v>
      </c>
      <c r="DK60" s="74"/>
      <c r="DL60" s="74"/>
      <c r="DM60" s="74">
        <f t="shared" si="80"/>
        <v>1</v>
      </c>
      <c r="DN60" s="74"/>
      <c r="DO60" s="74"/>
      <c r="DP60" s="74">
        <f t="shared" si="81"/>
        <v>2</v>
      </c>
      <c r="DQ60" s="74"/>
      <c r="DR60" s="74"/>
      <c r="DS60" s="74">
        <f t="shared" si="82"/>
        <v>1</v>
      </c>
      <c r="DT60" s="74"/>
      <c r="DU60" s="74"/>
      <c r="DV60" s="74">
        <f t="shared" si="83"/>
        <v>1</v>
      </c>
      <c r="DW60" s="74"/>
      <c r="DX60" s="74"/>
      <c r="DY60" s="74">
        <f t="shared" si="84"/>
        <v>1</v>
      </c>
      <c r="DZ60" s="74"/>
      <c r="EA60" s="74"/>
      <c r="EB60" s="74">
        <f t="shared" si="85"/>
        <v>1</v>
      </c>
      <c r="EC60" s="74"/>
      <c r="ED60" s="74"/>
      <c r="EE60" s="74">
        <f t="shared" si="86"/>
        <v>1</v>
      </c>
      <c r="EF60" s="74"/>
      <c r="EG60" s="74"/>
      <c r="EH60" s="74">
        <f t="shared" si="87"/>
        <v>2</v>
      </c>
      <c r="EI60" s="74"/>
      <c r="EJ60" s="74"/>
      <c r="EK60" s="74">
        <f t="shared" si="88"/>
        <v>1</v>
      </c>
      <c r="EL60" s="74"/>
      <c r="EM60" s="74"/>
      <c r="EN60" s="74">
        <f t="shared" si="89"/>
        <v>2</v>
      </c>
      <c r="EO60" s="74"/>
      <c r="EP60" s="74"/>
      <c r="EQ60" s="74">
        <f t="shared" si="90"/>
        <v>1</v>
      </c>
      <c r="ER60" s="74"/>
      <c r="ES60" s="74"/>
      <c r="ET60" s="74">
        <f t="shared" si="91"/>
        <v>2</v>
      </c>
      <c r="EU60" s="74"/>
      <c r="EV60" s="74"/>
      <c r="EW60" s="74">
        <f t="shared" si="92"/>
        <v>2</v>
      </c>
      <c r="EX60" s="74"/>
      <c r="EY60" s="74"/>
      <c r="EZ60" s="74">
        <f t="shared" si="98"/>
        <v>1</v>
      </c>
      <c r="FA60" s="74"/>
      <c r="FB60" s="74"/>
      <c r="FC60" s="74">
        <f t="shared" si="93"/>
        <v>1</v>
      </c>
      <c r="FD60" s="74"/>
      <c r="FE60" s="74"/>
      <c r="FF60" s="74">
        <f t="shared" si="99"/>
        <v>2</v>
      </c>
      <c r="FG60" s="74"/>
      <c r="FH60" s="74"/>
      <c r="FI60" s="74">
        <f t="shared" si="95"/>
        <v>1</v>
      </c>
      <c r="FJ60" s="74"/>
      <c r="FK60" s="74"/>
      <c r="FL60" s="74">
        <f t="shared" si="100"/>
        <v>0</v>
      </c>
      <c r="FM60" s="74"/>
      <c r="FN60" s="74"/>
      <c r="FO60" s="74">
        <f t="shared" si="97"/>
        <v>3</v>
      </c>
      <c r="FP60" s="74"/>
    </row>
    <row r="61" spans="1:172" ht="15" hidden="1" x14ac:dyDescent="0.2">
      <c r="A61" s="74"/>
      <c r="B61" s="74"/>
      <c r="C61" s="74"/>
      <c r="D61" s="74"/>
      <c r="E61" s="74"/>
      <c r="F61" s="74">
        <f>COUNTIF(F2:F45,F6)</f>
        <v>0</v>
      </c>
      <c r="G61" s="74"/>
      <c r="H61" s="74"/>
      <c r="I61" s="74">
        <f>COUNTIF(I2:I45,I6)</f>
        <v>1</v>
      </c>
      <c r="J61" s="74"/>
      <c r="K61" s="74"/>
      <c r="L61" s="74">
        <f>COUNTIF(L2:L45,L6)</f>
        <v>2</v>
      </c>
      <c r="M61" s="74"/>
      <c r="N61" s="74"/>
      <c r="O61" s="74">
        <f>COUNTIF(O2:O45,O6)</f>
        <v>3</v>
      </c>
      <c r="P61" s="74"/>
      <c r="Q61" s="74"/>
      <c r="R61" s="74">
        <f>COUNTIF(R2:R45,R6)</f>
        <v>2</v>
      </c>
      <c r="S61" s="74"/>
      <c r="T61" s="74"/>
      <c r="U61" s="74">
        <f>COUNTIF(U2:U45,U6)</f>
        <v>1</v>
      </c>
      <c r="V61" s="74"/>
      <c r="W61" s="74"/>
      <c r="X61" s="74">
        <f>COUNTIF(X2:X45,X6)</f>
        <v>2</v>
      </c>
      <c r="Y61" s="74"/>
      <c r="Z61" s="74"/>
      <c r="AA61" s="74">
        <f>COUNTIF(AA2:AA45,AA6)</f>
        <v>2</v>
      </c>
      <c r="AB61" s="74"/>
      <c r="AC61" s="74"/>
      <c r="AD61" s="74">
        <f>COUNTIF(AD2:AD45,AD6)</f>
        <v>1</v>
      </c>
      <c r="AE61" s="74"/>
      <c r="AF61" s="74"/>
      <c r="AG61" s="74">
        <f>COUNTIF(AG2:AG45,AG6)</f>
        <v>1</v>
      </c>
      <c r="AH61" s="74"/>
      <c r="AI61" s="74"/>
      <c r="AJ61" s="74">
        <f>COUNTIF(AJ2:AJ45,AJ6)</f>
        <v>2</v>
      </c>
      <c r="AK61" s="74"/>
      <c r="AL61" s="74"/>
      <c r="AM61" s="74">
        <f>COUNTIF(AM2:AM45,AM6)</f>
        <v>1</v>
      </c>
      <c r="AN61" s="74"/>
      <c r="AO61" s="74"/>
      <c r="AP61" s="74">
        <f>COUNTIF(AP2:AP45,AP6)</f>
        <v>1</v>
      </c>
      <c r="AQ61" s="74"/>
      <c r="AR61" s="74"/>
      <c r="AS61" s="74">
        <f>COUNTIF(AS2:AS45,AS6)</f>
        <v>1</v>
      </c>
      <c r="AT61" s="74"/>
      <c r="AU61" s="74"/>
      <c r="AV61" s="74">
        <f>COUNTIF(AV2:AV45,AV6)</f>
        <v>1</v>
      </c>
      <c r="AW61" s="74"/>
      <c r="AX61" s="74"/>
      <c r="AY61" s="74">
        <f t="shared" si="58"/>
        <v>2</v>
      </c>
      <c r="AZ61" s="74"/>
      <c r="BA61" s="74"/>
      <c r="BB61" s="74">
        <f t="shared" si="59"/>
        <v>2</v>
      </c>
      <c r="BC61" s="74"/>
      <c r="BD61" s="74"/>
      <c r="BE61" s="74">
        <f t="shared" si="60"/>
        <v>1</v>
      </c>
      <c r="BF61" s="74"/>
      <c r="BG61" s="74"/>
      <c r="BH61" s="74">
        <f t="shared" si="61"/>
        <v>1</v>
      </c>
      <c r="BI61" s="74"/>
      <c r="BJ61" s="74"/>
      <c r="BK61" s="74">
        <f t="shared" si="62"/>
        <v>1</v>
      </c>
      <c r="BL61" s="74"/>
      <c r="BM61" s="74"/>
      <c r="BN61" s="74">
        <f t="shared" si="63"/>
        <v>2</v>
      </c>
      <c r="BO61" s="74"/>
      <c r="BP61" s="74"/>
      <c r="BQ61" s="74">
        <f t="shared" si="64"/>
        <v>1</v>
      </c>
      <c r="BR61" s="252"/>
      <c r="BS61" s="252"/>
      <c r="BT61" s="74">
        <f t="shared" si="65"/>
        <v>2</v>
      </c>
      <c r="BU61" s="74"/>
      <c r="BV61" s="74"/>
      <c r="BW61" s="74">
        <f t="shared" si="66"/>
        <v>1</v>
      </c>
      <c r="BX61" s="74"/>
      <c r="BY61" s="74"/>
      <c r="BZ61" s="74">
        <f t="shared" si="67"/>
        <v>1</v>
      </c>
      <c r="CA61" s="74"/>
      <c r="CB61" s="74"/>
      <c r="CC61" s="74">
        <f t="shared" si="68"/>
        <v>2</v>
      </c>
      <c r="CD61" s="74"/>
      <c r="CE61" s="74"/>
      <c r="CF61" s="74">
        <f t="shared" si="69"/>
        <v>1</v>
      </c>
      <c r="CG61" s="74"/>
      <c r="CH61" s="74"/>
      <c r="CI61" s="74">
        <f t="shared" si="70"/>
        <v>1</v>
      </c>
      <c r="CJ61" s="74"/>
      <c r="CK61" s="74"/>
      <c r="CL61" s="74">
        <f t="shared" si="71"/>
        <v>2</v>
      </c>
      <c r="CM61" s="74"/>
      <c r="CN61" s="74"/>
      <c r="CO61" s="74">
        <f t="shared" si="72"/>
        <v>1</v>
      </c>
      <c r="CP61" s="74"/>
      <c r="CQ61" s="74"/>
      <c r="CR61" s="74">
        <f t="shared" si="73"/>
        <v>1</v>
      </c>
      <c r="CS61" s="74"/>
      <c r="CT61" s="74"/>
      <c r="CU61" s="74">
        <f t="shared" si="74"/>
        <v>1</v>
      </c>
      <c r="CV61" s="74"/>
      <c r="CW61" s="74"/>
      <c r="CX61" s="74">
        <f t="shared" si="75"/>
        <v>1</v>
      </c>
      <c r="CY61" s="74"/>
      <c r="CZ61" s="74"/>
      <c r="DA61" s="74">
        <f t="shared" si="76"/>
        <v>1</v>
      </c>
      <c r="DB61" s="74"/>
      <c r="DC61" s="74"/>
      <c r="DD61" s="74">
        <f t="shared" si="77"/>
        <v>1</v>
      </c>
      <c r="DE61" s="74"/>
      <c r="DF61" s="74"/>
      <c r="DG61" s="74">
        <f t="shared" si="78"/>
        <v>2</v>
      </c>
      <c r="DH61" s="74"/>
      <c r="DI61" s="74"/>
      <c r="DJ61" s="74">
        <f t="shared" si="79"/>
        <v>1</v>
      </c>
      <c r="DK61" s="74"/>
      <c r="DL61" s="74"/>
      <c r="DM61" s="74">
        <f t="shared" si="80"/>
        <v>1</v>
      </c>
      <c r="DN61" s="74"/>
      <c r="DO61" s="74"/>
      <c r="DP61" s="74">
        <f t="shared" si="81"/>
        <v>2</v>
      </c>
      <c r="DQ61" s="74"/>
      <c r="DR61" s="74"/>
      <c r="DS61" s="74">
        <f t="shared" si="82"/>
        <v>2</v>
      </c>
      <c r="DT61" s="74"/>
      <c r="DU61" s="74"/>
      <c r="DV61" s="74">
        <f t="shared" si="83"/>
        <v>1</v>
      </c>
      <c r="DW61" s="74"/>
      <c r="DX61" s="74"/>
      <c r="DY61" s="74">
        <f t="shared" si="84"/>
        <v>1</v>
      </c>
      <c r="DZ61" s="74"/>
      <c r="EA61" s="74"/>
      <c r="EB61" s="74">
        <f t="shared" si="85"/>
        <v>1</v>
      </c>
      <c r="EC61" s="74"/>
      <c r="ED61" s="74"/>
      <c r="EE61" s="74">
        <f t="shared" si="86"/>
        <v>2</v>
      </c>
      <c r="EF61" s="74"/>
      <c r="EG61" s="74"/>
      <c r="EH61" s="74">
        <f t="shared" si="87"/>
        <v>1</v>
      </c>
      <c r="EI61" s="74"/>
      <c r="EJ61" s="74"/>
      <c r="EK61" s="74">
        <f t="shared" si="88"/>
        <v>1</v>
      </c>
      <c r="EL61" s="74"/>
      <c r="EM61" s="74"/>
      <c r="EN61" s="74">
        <f t="shared" si="89"/>
        <v>2</v>
      </c>
      <c r="EO61" s="74"/>
      <c r="EP61" s="74"/>
      <c r="EQ61" s="74">
        <f t="shared" si="90"/>
        <v>1</v>
      </c>
      <c r="ER61" s="74"/>
      <c r="ES61" s="74"/>
      <c r="ET61" s="74">
        <f t="shared" si="91"/>
        <v>2</v>
      </c>
      <c r="EU61" s="74"/>
      <c r="EV61" s="74"/>
      <c r="EW61" s="74">
        <f t="shared" si="92"/>
        <v>2</v>
      </c>
      <c r="EX61" s="74"/>
      <c r="EY61" s="74"/>
      <c r="EZ61" s="74">
        <f t="shared" si="98"/>
        <v>1</v>
      </c>
      <c r="FA61" s="74"/>
      <c r="FB61" s="74"/>
      <c r="FC61" s="74">
        <f t="shared" si="93"/>
        <v>1</v>
      </c>
      <c r="FD61" s="74"/>
      <c r="FE61" s="74"/>
      <c r="FF61" s="74">
        <f t="shared" si="99"/>
        <v>1</v>
      </c>
      <c r="FG61" s="74"/>
      <c r="FH61" s="74"/>
      <c r="FI61" s="74">
        <f t="shared" si="95"/>
        <v>1</v>
      </c>
      <c r="FJ61" s="74"/>
      <c r="FK61" s="74"/>
      <c r="FL61" s="74">
        <f>COUNTIF($FL$2:$FL$45,FL4)</f>
        <v>1</v>
      </c>
      <c r="FM61" s="74"/>
      <c r="FN61" s="74"/>
      <c r="FO61" s="74">
        <f t="shared" si="97"/>
        <v>3</v>
      </c>
      <c r="FP61" s="74"/>
    </row>
    <row r="62" spans="1:172" ht="15" hidden="1" x14ac:dyDescent="0.2">
      <c r="A62" s="74"/>
      <c r="B62" s="74"/>
      <c r="C62" s="74"/>
      <c r="D62" s="74"/>
      <c r="E62" s="74"/>
      <c r="F62" s="74">
        <f>COUNTIF(F2:F45,F7)</f>
        <v>0</v>
      </c>
      <c r="G62" s="74"/>
      <c r="H62" s="74"/>
      <c r="I62" s="74">
        <f>COUNTIF(I2:I45,I7)</f>
        <v>2</v>
      </c>
      <c r="J62" s="74"/>
      <c r="K62" s="74"/>
      <c r="L62" s="74">
        <f>COUNTIF(L2:L45,L7)</f>
        <v>1</v>
      </c>
      <c r="M62" s="74"/>
      <c r="N62" s="74"/>
      <c r="O62" s="74">
        <f>COUNTIF(O2:O45,O7)</f>
        <v>3</v>
      </c>
      <c r="P62" s="74"/>
      <c r="Q62" s="74"/>
      <c r="R62" s="74">
        <f>COUNTIF(R2:R45,R7)</f>
        <v>1</v>
      </c>
      <c r="S62" s="74"/>
      <c r="T62" s="74"/>
      <c r="U62" s="74">
        <f>COUNTIF(U2:U45,U7)</f>
        <v>2</v>
      </c>
      <c r="V62" s="74"/>
      <c r="W62" s="74"/>
      <c r="X62" s="74">
        <f>COUNTIF(X2:X45,X7)</f>
        <v>2</v>
      </c>
      <c r="Y62" s="74"/>
      <c r="Z62" s="74"/>
      <c r="AA62" s="74">
        <f>COUNTIF(AA2:AA45,AA7)</f>
        <v>1</v>
      </c>
      <c r="AB62" s="74"/>
      <c r="AC62" s="74"/>
      <c r="AD62" s="74">
        <f>COUNTIF(AD2:AD45,AD7)</f>
        <v>1</v>
      </c>
      <c r="AE62" s="74"/>
      <c r="AF62" s="74"/>
      <c r="AG62" s="74">
        <f>COUNTIF(AG2:AG45,AG7)</f>
        <v>1</v>
      </c>
      <c r="AH62" s="74"/>
      <c r="AI62" s="74"/>
      <c r="AJ62" s="74">
        <f>COUNTIF(AJ2:AJ45,AJ7)</f>
        <v>1</v>
      </c>
      <c r="AK62" s="74"/>
      <c r="AL62" s="74"/>
      <c r="AM62" s="74">
        <f>COUNTIF(AM2:AM45,AM7)</f>
        <v>1</v>
      </c>
      <c r="AN62" s="74"/>
      <c r="AO62" s="74"/>
      <c r="AP62" s="74">
        <f>COUNTIF(AP2:AP45,AP7)</f>
        <v>1</v>
      </c>
      <c r="AQ62" s="74"/>
      <c r="AR62" s="74"/>
      <c r="AS62" s="74">
        <f>COUNTIF(AS2:AS45,AS7)</f>
        <v>2</v>
      </c>
      <c r="AT62" s="74"/>
      <c r="AU62" s="74"/>
      <c r="AV62" s="74">
        <f>COUNTIF(AV2:AV45,AV7)</f>
        <v>1</v>
      </c>
      <c r="AW62" s="74"/>
      <c r="AX62" s="74"/>
      <c r="AY62" s="74">
        <f t="shared" si="58"/>
        <v>2</v>
      </c>
      <c r="AZ62" s="74"/>
      <c r="BA62" s="74"/>
      <c r="BB62" s="74">
        <f t="shared" si="59"/>
        <v>2</v>
      </c>
      <c r="BC62" s="74"/>
      <c r="BD62" s="74"/>
      <c r="BE62" s="74">
        <f t="shared" si="60"/>
        <v>2</v>
      </c>
      <c r="BF62" s="74"/>
      <c r="BG62" s="74"/>
      <c r="BH62" s="74">
        <f t="shared" si="61"/>
        <v>1</v>
      </c>
      <c r="BI62" s="74"/>
      <c r="BJ62" s="74"/>
      <c r="BK62" s="74">
        <f t="shared" si="62"/>
        <v>1</v>
      </c>
      <c r="BL62" s="74"/>
      <c r="BM62" s="74"/>
      <c r="BN62" s="74">
        <f t="shared" si="63"/>
        <v>1</v>
      </c>
      <c r="BO62" s="74"/>
      <c r="BP62" s="74"/>
      <c r="BQ62" s="74">
        <f t="shared" si="64"/>
        <v>1</v>
      </c>
      <c r="BR62" s="252"/>
      <c r="BS62" s="252"/>
      <c r="BT62" s="74">
        <f t="shared" si="65"/>
        <v>3</v>
      </c>
      <c r="BU62" s="74"/>
      <c r="BV62" s="74"/>
      <c r="BW62" s="74">
        <f t="shared" si="66"/>
        <v>1</v>
      </c>
      <c r="BX62" s="74"/>
      <c r="BY62" s="74"/>
      <c r="BZ62" s="74">
        <f t="shared" si="67"/>
        <v>1</v>
      </c>
      <c r="CA62" s="74"/>
      <c r="CB62" s="74"/>
      <c r="CC62" s="74">
        <f t="shared" si="68"/>
        <v>1</v>
      </c>
      <c r="CD62" s="74"/>
      <c r="CE62" s="74"/>
      <c r="CF62" s="74">
        <f t="shared" si="69"/>
        <v>2</v>
      </c>
      <c r="CG62" s="74"/>
      <c r="CH62" s="74"/>
      <c r="CI62" s="74">
        <f t="shared" si="70"/>
        <v>1</v>
      </c>
      <c r="CJ62" s="74"/>
      <c r="CK62" s="74"/>
      <c r="CL62" s="74">
        <f t="shared" si="71"/>
        <v>2</v>
      </c>
      <c r="CM62" s="74"/>
      <c r="CN62" s="74"/>
      <c r="CO62" s="74">
        <f t="shared" si="72"/>
        <v>1</v>
      </c>
      <c r="CP62" s="74"/>
      <c r="CQ62" s="74"/>
      <c r="CR62" s="74">
        <f t="shared" si="73"/>
        <v>2</v>
      </c>
      <c r="CS62" s="74"/>
      <c r="CT62" s="74"/>
      <c r="CU62" s="74">
        <f t="shared" si="74"/>
        <v>1</v>
      </c>
      <c r="CV62" s="74"/>
      <c r="CW62" s="74"/>
      <c r="CX62" s="74">
        <f t="shared" si="75"/>
        <v>1</v>
      </c>
      <c r="CY62" s="74"/>
      <c r="CZ62" s="74"/>
      <c r="DA62" s="74">
        <f t="shared" si="76"/>
        <v>2</v>
      </c>
      <c r="DB62" s="74"/>
      <c r="DC62" s="74"/>
      <c r="DD62" s="74">
        <f t="shared" si="77"/>
        <v>1</v>
      </c>
      <c r="DE62" s="74"/>
      <c r="DF62" s="74"/>
      <c r="DG62" s="74">
        <f t="shared" si="78"/>
        <v>1</v>
      </c>
      <c r="DH62" s="74"/>
      <c r="DI62" s="74"/>
      <c r="DJ62" s="74">
        <f t="shared" si="79"/>
        <v>1</v>
      </c>
      <c r="DK62" s="74"/>
      <c r="DL62" s="74"/>
      <c r="DM62" s="74">
        <f t="shared" si="80"/>
        <v>1</v>
      </c>
      <c r="DN62" s="74"/>
      <c r="DO62" s="74"/>
      <c r="DP62" s="74">
        <f t="shared" si="81"/>
        <v>2</v>
      </c>
      <c r="DQ62" s="74"/>
      <c r="DR62" s="74"/>
      <c r="DS62" s="74">
        <f t="shared" si="82"/>
        <v>2</v>
      </c>
      <c r="DT62" s="74"/>
      <c r="DU62" s="74"/>
      <c r="DV62" s="74">
        <f t="shared" si="83"/>
        <v>1</v>
      </c>
      <c r="DW62" s="74"/>
      <c r="DX62" s="74"/>
      <c r="DY62" s="74">
        <f t="shared" si="84"/>
        <v>1</v>
      </c>
      <c r="DZ62" s="74"/>
      <c r="EA62" s="74"/>
      <c r="EB62" s="74">
        <f t="shared" si="85"/>
        <v>1</v>
      </c>
      <c r="EC62" s="74"/>
      <c r="ED62" s="74"/>
      <c r="EE62" s="74">
        <f t="shared" si="86"/>
        <v>2</v>
      </c>
      <c r="EF62" s="74"/>
      <c r="EG62" s="74"/>
      <c r="EH62" s="74">
        <f t="shared" si="87"/>
        <v>1</v>
      </c>
      <c r="EI62" s="74"/>
      <c r="EJ62" s="74"/>
      <c r="EK62" s="74">
        <f t="shared" si="88"/>
        <v>1</v>
      </c>
      <c r="EL62" s="74"/>
      <c r="EM62" s="74"/>
      <c r="EN62" s="74">
        <f t="shared" si="89"/>
        <v>2</v>
      </c>
      <c r="EO62" s="74"/>
      <c r="EP62" s="74"/>
      <c r="EQ62" s="74">
        <f t="shared" si="90"/>
        <v>1</v>
      </c>
      <c r="ER62" s="74"/>
      <c r="ES62" s="74"/>
      <c r="ET62" s="74">
        <f t="shared" si="91"/>
        <v>2</v>
      </c>
      <c r="EU62" s="74"/>
      <c r="EV62" s="74"/>
      <c r="EW62" s="74">
        <f t="shared" si="92"/>
        <v>2</v>
      </c>
      <c r="EX62" s="74"/>
      <c r="EY62" s="74"/>
      <c r="EZ62" s="74">
        <f t="shared" si="98"/>
        <v>1</v>
      </c>
      <c r="FA62" s="74"/>
      <c r="FB62" s="74"/>
      <c r="FC62" s="74">
        <f t="shared" si="93"/>
        <v>1</v>
      </c>
      <c r="FD62" s="74"/>
      <c r="FE62" s="74"/>
      <c r="FF62" s="74">
        <f t="shared" si="99"/>
        <v>1</v>
      </c>
      <c r="FG62" s="74"/>
      <c r="FH62" s="74"/>
      <c r="FI62" s="74">
        <f t="shared" si="95"/>
        <v>1</v>
      </c>
      <c r="FJ62" s="74"/>
      <c r="FK62" s="74"/>
      <c r="FL62" s="74">
        <f t="shared" ref="FL62:FL63" si="101">COUNTIF($FL$2:$FL$45,#REF!)</f>
        <v>0</v>
      </c>
      <c r="FM62" s="74"/>
      <c r="FN62" s="74"/>
      <c r="FO62" s="74">
        <f t="shared" si="97"/>
        <v>3</v>
      </c>
      <c r="FP62" s="74"/>
    </row>
    <row r="63" spans="1:172" ht="15" hidden="1" x14ac:dyDescent="0.2">
      <c r="A63" s="74"/>
      <c r="B63" s="74"/>
      <c r="C63" s="74"/>
      <c r="D63" s="74"/>
      <c r="E63" s="74"/>
      <c r="F63" s="74">
        <f>COUNTIF(F2:F45,F8)</f>
        <v>0</v>
      </c>
      <c r="G63" s="74"/>
      <c r="H63" s="74"/>
      <c r="I63" s="74">
        <f>COUNTIF(I2:I45,I8)</f>
        <v>2</v>
      </c>
      <c r="J63" s="74"/>
      <c r="K63" s="74"/>
      <c r="L63" s="74">
        <f>COUNTIF(L2:L45,L8)</f>
        <v>2</v>
      </c>
      <c r="M63" s="74"/>
      <c r="N63" s="74"/>
      <c r="O63" s="74">
        <f>COUNTIF(O2:O45,O8)</f>
        <v>3</v>
      </c>
      <c r="P63" s="74"/>
      <c r="Q63" s="74"/>
      <c r="R63" s="74">
        <f>COUNTIF(R2:R45,R8)</f>
        <v>1</v>
      </c>
      <c r="S63" s="74"/>
      <c r="T63" s="74"/>
      <c r="U63" s="74">
        <f>COUNTIF(U2:U45,U8)</f>
        <v>2</v>
      </c>
      <c r="V63" s="74"/>
      <c r="W63" s="74"/>
      <c r="X63" s="74">
        <f>COUNTIF(X2:X45,X8)</f>
        <v>2</v>
      </c>
      <c r="Y63" s="74"/>
      <c r="Z63" s="74"/>
      <c r="AA63" s="74">
        <f>COUNTIF(AA2:AA45,AA8)</f>
        <v>2</v>
      </c>
      <c r="AB63" s="74"/>
      <c r="AC63" s="74"/>
      <c r="AD63" s="74">
        <f>COUNTIF(AD2:AD45,AD8)</f>
        <v>1</v>
      </c>
      <c r="AE63" s="74"/>
      <c r="AF63" s="74"/>
      <c r="AG63" s="74">
        <f>COUNTIF(AG2:AG45,AG8)</f>
        <v>1</v>
      </c>
      <c r="AH63" s="74"/>
      <c r="AI63" s="74"/>
      <c r="AJ63" s="74">
        <f>COUNTIF(AJ2:AJ45,AJ8)</f>
        <v>1</v>
      </c>
      <c r="AK63" s="74"/>
      <c r="AL63" s="74"/>
      <c r="AM63" s="74">
        <f>COUNTIF(AM2:AM45,AM8)</f>
        <v>2</v>
      </c>
      <c r="AN63" s="74"/>
      <c r="AO63" s="74"/>
      <c r="AP63" s="74">
        <f>COUNTIF(AP2:AP45,AP8)</f>
        <v>2</v>
      </c>
      <c r="AQ63" s="74"/>
      <c r="AR63" s="74"/>
      <c r="AS63" s="74">
        <f>COUNTIF(AS2:AS45,AS8)</f>
        <v>2</v>
      </c>
      <c r="AT63" s="74"/>
      <c r="AU63" s="74"/>
      <c r="AV63" s="74">
        <f>COUNTIF(AV2:AV45,AV8)</f>
        <v>2</v>
      </c>
      <c r="AW63" s="74"/>
      <c r="AX63" s="74"/>
      <c r="AY63" s="74">
        <f t="shared" si="58"/>
        <v>2</v>
      </c>
      <c r="AZ63" s="74"/>
      <c r="BA63" s="74"/>
      <c r="BB63" s="74">
        <f t="shared" si="59"/>
        <v>2</v>
      </c>
      <c r="BC63" s="74"/>
      <c r="BD63" s="74"/>
      <c r="BE63" s="74">
        <f t="shared" si="60"/>
        <v>2</v>
      </c>
      <c r="BF63" s="74"/>
      <c r="BG63" s="74"/>
      <c r="BH63" s="74">
        <f t="shared" si="61"/>
        <v>2</v>
      </c>
      <c r="BI63" s="74"/>
      <c r="BJ63" s="74"/>
      <c r="BK63" s="74">
        <f t="shared" si="62"/>
        <v>2</v>
      </c>
      <c r="BL63" s="74"/>
      <c r="BM63" s="74"/>
      <c r="BN63" s="74">
        <f t="shared" si="63"/>
        <v>1</v>
      </c>
      <c r="BO63" s="74"/>
      <c r="BP63" s="74"/>
      <c r="BQ63" s="74">
        <f t="shared" si="64"/>
        <v>1</v>
      </c>
      <c r="BR63" s="252"/>
      <c r="BS63" s="252"/>
      <c r="BT63" s="74">
        <f t="shared" si="65"/>
        <v>3</v>
      </c>
      <c r="BU63" s="74"/>
      <c r="BV63" s="74"/>
      <c r="BW63" s="74">
        <f t="shared" si="66"/>
        <v>1</v>
      </c>
      <c r="BX63" s="74"/>
      <c r="BY63" s="74"/>
      <c r="BZ63" s="74">
        <f t="shared" si="67"/>
        <v>1</v>
      </c>
      <c r="CA63" s="74"/>
      <c r="CB63" s="74"/>
      <c r="CC63" s="74">
        <f t="shared" si="68"/>
        <v>2</v>
      </c>
      <c r="CD63" s="74"/>
      <c r="CE63" s="74"/>
      <c r="CF63" s="74">
        <f t="shared" si="69"/>
        <v>2</v>
      </c>
      <c r="CG63" s="74"/>
      <c r="CH63" s="74"/>
      <c r="CI63" s="74">
        <f t="shared" si="70"/>
        <v>1</v>
      </c>
      <c r="CJ63" s="74"/>
      <c r="CK63" s="74"/>
      <c r="CL63" s="74">
        <f t="shared" si="71"/>
        <v>2</v>
      </c>
      <c r="CM63" s="74"/>
      <c r="CN63" s="74"/>
      <c r="CO63" s="74">
        <f t="shared" si="72"/>
        <v>1</v>
      </c>
      <c r="CP63" s="74"/>
      <c r="CQ63" s="74"/>
      <c r="CR63" s="74">
        <f t="shared" si="73"/>
        <v>2</v>
      </c>
      <c r="CS63" s="74"/>
      <c r="CT63" s="74"/>
      <c r="CU63" s="74">
        <f t="shared" si="74"/>
        <v>1</v>
      </c>
      <c r="CV63" s="74"/>
      <c r="CW63" s="74"/>
      <c r="CX63" s="74">
        <f t="shared" si="75"/>
        <v>2</v>
      </c>
      <c r="CY63" s="74"/>
      <c r="CZ63" s="74"/>
      <c r="DA63" s="74">
        <f t="shared" si="76"/>
        <v>2</v>
      </c>
      <c r="DB63" s="74"/>
      <c r="DC63" s="74"/>
      <c r="DD63" s="74">
        <f t="shared" si="77"/>
        <v>1</v>
      </c>
      <c r="DE63" s="74"/>
      <c r="DF63" s="74"/>
      <c r="DG63" s="74">
        <f t="shared" si="78"/>
        <v>2</v>
      </c>
      <c r="DH63" s="74"/>
      <c r="DI63" s="74"/>
      <c r="DJ63" s="74">
        <f t="shared" si="79"/>
        <v>1</v>
      </c>
      <c r="DK63" s="74"/>
      <c r="DL63" s="74"/>
      <c r="DM63" s="74">
        <f t="shared" si="80"/>
        <v>1</v>
      </c>
      <c r="DN63" s="74"/>
      <c r="DO63" s="74"/>
      <c r="DP63" s="74">
        <f t="shared" si="81"/>
        <v>1</v>
      </c>
      <c r="DQ63" s="74"/>
      <c r="DR63" s="74"/>
      <c r="DS63" s="74">
        <f t="shared" si="82"/>
        <v>1</v>
      </c>
      <c r="DT63" s="74"/>
      <c r="DU63" s="74"/>
      <c r="DV63" s="74">
        <f t="shared" si="83"/>
        <v>1</v>
      </c>
      <c r="DW63" s="74"/>
      <c r="DX63" s="74"/>
      <c r="DY63" s="74">
        <f t="shared" si="84"/>
        <v>1</v>
      </c>
      <c r="DZ63" s="74"/>
      <c r="EA63" s="74"/>
      <c r="EB63" s="74">
        <f t="shared" si="85"/>
        <v>2</v>
      </c>
      <c r="EC63" s="74"/>
      <c r="ED63" s="74"/>
      <c r="EE63" s="74">
        <f t="shared" si="86"/>
        <v>2</v>
      </c>
      <c r="EF63" s="74"/>
      <c r="EG63" s="74"/>
      <c r="EH63" s="74">
        <f t="shared" si="87"/>
        <v>1</v>
      </c>
      <c r="EI63" s="74"/>
      <c r="EJ63" s="74"/>
      <c r="EK63" s="74">
        <f t="shared" si="88"/>
        <v>1</v>
      </c>
      <c r="EL63" s="74"/>
      <c r="EM63" s="74"/>
      <c r="EN63" s="74">
        <f t="shared" si="89"/>
        <v>2</v>
      </c>
      <c r="EO63" s="74"/>
      <c r="EP63" s="74"/>
      <c r="EQ63" s="74">
        <f t="shared" si="90"/>
        <v>1</v>
      </c>
      <c r="ER63" s="74"/>
      <c r="ES63" s="74"/>
      <c r="ET63" s="74">
        <f t="shared" si="91"/>
        <v>2</v>
      </c>
      <c r="EU63" s="74"/>
      <c r="EV63" s="74"/>
      <c r="EW63" s="74">
        <f t="shared" si="92"/>
        <v>2</v>
      </c>
      <c r="EX63" s="74"/>
      <c r="EY63" s="74"/>
      <c r="EZ63" s="74">
        <f t="shared" si="98"/>
        <v>1</v>
      </c>
      <c r="FA63" s="74"/>
      <c r="FB63" s="74"/>
      <c r="FC63" s="74">
        <f t="shared" si="93"/>
        <v>1</v>
      </c>
      <c r="FD63" s="74"/>
      <c r="FE63" s="74"/>
      <c r="FF63" s="74">
        <f t="shared" si="99"/>
        <v>1</v>
      </c>
      <c r="FG63" s="74"/>
      <c r="FH63" s="74"/>
      <c r="FI63" s="74">
        <f t="shared" si="95"/>
        <v>1</v>
      </c>
      <c r="FJ63" s="74"/>
      <c r="FK63" s="74"/>
      <c r="FL63" s="74">
        <f t="shared" si="101"/>
        <v>0</v>
      </c>
      <c r="FM63" s="74"/>
      <c r="FN63" s="74"/>
      <c r="FO63" s="74">
        <f t="shared" si="97"/>
        <v>1</v>
      </c>
      <c r="FP63" s="74"/>
    </row>
    <row r="64" spans="1:172" ht="15" hidden="1" x14ac:dyDescent="0.2">
      <c r="A64" s="74"/>
      <c r="B64" s="74"/>
      <c r="C64" s="74"/>
      <c r="D64" s="74"/>
      <c r="E64" s="74"/>
      <c r="F64" s="74">
        <f>COUNTIF(F2:F45,F9)</f>
        <v>0</v>
      </c>
      <c r="G64" s="74"/>
      <c r="H64" s="74"/>
      <c r="I64" s="74">
        <f>COUNTIF(I2:I45,I9)</f>
        <v>2</v>
      </c>
      <c r="J64" s="74"/>
      <c r="K64" s="74"/>
      <c r="L64" s="74">
        <f>COUNTIF(L2:L45,L9)</f>
        <v>2</v>
      </c>
      <c r="M64" s="74"/>
      <c r="N64" s="74"/>
      <c r="O64" s="74">
        <f>COUNTIF(O2:O45,O9)</f>
        <v>2</v>
      </c>
      <c r="P64" s="74"/>
      <c r="Q64" s="74"/>
      <c r="R64" s="74">
        <f>COUNTIF(R2:R45,R9)</f>
        <v>3</v>
      </c>
      <c r="S64" s="74"/>
      <c r="T64" s="74"/>
      <c r="U64" s="74">
        <f>COUNTIF(U2:U45,U9)</f>
        <v>1</v>
      </c>
      <c r="V64" s="74"/>
      <c r="W64" s="74"/>
      <c r="X64" s="74">
        <f>COUNTIF(X2:X45,X9)</f>
        <v>2</v>
      </c>
      <c r="Y64" s="74"/>
      <c r="Z64" s="74"/>
      <c r="AA64" s="74">
        <f>COUNTIF(AA2:AA45,AA9)</f>
        <v>2</v>
      </c>
      <c r="AB64" s="74"/>
      <c r="AC64" s="74"/>
      <c r="AD64" s="74">
        <f>COUNTIF(AD2:AD45,AD9)</f>
        <v>1</v>
      </c>
      <c r="AE64" s="74"/>
      <c r="AF64" s="74"/>
      <c r="AG64" s="74">
        <f>COUNTIF(AG2:AG45,AG9)</f>
        <v>1</v>
      </c>
      <c r="AH64" s="74"/>
      <c r="AI64" s="74"/>
      <c r="AJ64" s="74">
        <f>COUNTIF(AJ2:AJ45,AJ9)</f>
        <v>1</v>
      </c>
      <c r="AK64" s="74"/>
      <c r="AL64" s="74"/>
      <c r="AM64" s="74">
        <f>COUNTIF(AM2:AM45,AM9)</f>
        <v>2</v>
      </c>
      <c r="AN64" s="74"/>
      <c r="AO64" s="74"/>
      <c r="AP64" s="74">
        <f>COUNTIF(AP2:AP45,AP9)</f>
        <v>2</v>
      </c>
      <c r="AQ64" s="74"/>
      <c r="AR64" s="74"/>
      <c r="AS64" s="74">
        <f>COUNTIF(AS2:AS45,AS9)</f>
        <v>1</v>
      </c>
      <c r="AT64" s="74"/>
      <c r="AU64" s="74"/>
      <c r="AV64" s="74">
        <f>COUNTIF(AV2:AV45,AV9)</f>
        <v>2</v>
      </c>
      <c r="AW64" s="74"/>
      <c r="AX64" s="74"/>
      <c r="AY64" s="74">
        <f t="shared" si="58"/>
        <v>2</v>
      </c>
      <c r="AZ64" s="74"/>
      <c r="BA64" s="74"/>
      <c r="BB64" s="74">
        <f t="shared" si="59"/>
        <v>2</v>
      </c>
      <c r="BC64" s="74"/>
      <c r="BD64" s="74"/>
      <c r="BE64" s="74">
        <f t="shared" si="60"/>
        <v>2</v>
      </c>
      <c r="BF64" s="74"/>
      <c r="BG64" s="74"/>
      <c r="BH64" s="74">
        <f t="shared" si="61"/>
        <v>2</v>
      </c>
      <c r="BI64" s="74"/>
      <c r="BJ64" s="74"/>
      <c r="BK64" s="74">
        <f t="shared" si="62"/>
        <v>2</v>
      </c>
      <c r="BL64" s="74"/>
      <c r="BM64" s="74"/>
      <c r="BN64" s="74">
        <f t="shared" si="63"/>
        <v>1</v>
      </c>
      <c r="BO64" s="74"/>
      <c r="BP64" s="74"/>
      <c r="BQ64" s="74">
        <f t="shared" si="64"/>
        <v>1</v>
      </c>
      <c r="BR64" s="252"/>
      <c r="BS64" s="252"/>
      <c r="BT64" s="74">
        <f t="shared" si="65"/>
        <v>3</v>
      </c>
      <c r="BU64" s="74"/>
      <c r="BV64" s="74"/>
      <c r="BW64" s="74">
        <f t="shared" si="66"/>
        <v>2</v>
      </c>
      <c r="BX64" s="74"/>
      <c r="BY64" s="74"/>
      <c r="BZ64" s="74">
        <f t="shared" si="67"/>
        <v>1</v>
      </c>
      <c r="CA64" s="74"/>
      <c r="CB64" s="74"/>
      <c r="CC64" s="74">
        <f t="shared" si="68"/>
        <v>2</v>
      </c>
      <c r="CD64" s="74"/>
      <c r="CE64" s="74"/>
      <c r="CF64" s="74">
        <f t="shared" si="69"/>
        <v>1</v>
      </c>
      <c r="CG64" s="74"/>
      <c r="CH64" s="74"/>
      <c r="CI64" s="74">
        <f t="shared" si="70"/>
        <v>1</v>
      </c>
      <c r="CJ64" s="74"/>
      <c r="CK64" s="74"/>
      <c r="CL64" s="74">
        <f t="shared" si="71"/>
        <v>2</v>
      </c>
      <c r="CM64" s="74"/>
      <c r="CN64" s="74"/>
      <c r="CO64" s="74">
        <f t="shared" si="72"/>
        <v>1</v>
      </c>
      <c r="CP64" s="74"/>
      <c r="CQ64" s="74"/>
      <c r="CR64" s="74">
        <f t="shared" si="73"/>
        <v>2</v>
      </c>
      <c r="CS64" s="74"/>
      <c r="CT64" s="74"/>
      <c r="CU64" s="74">
        <f t="shared" si="74"/>
        <v>1</v>
      </c>
      <c r="CV64" s="74"/>
      <c r="CW64" s="74"/>
      <c r="CX64" s="74">
        <f t="shared" si="75"/>
        <v>2</v>
      </c>
      <c r="CY64" s="74"/>
      <c r="CZ64" s="74"/>
      <c r="DA64" s="74">
        <f t="shared" si="76"/>
        <v>2</v>
      </c>
      <c r="DB64" s="74"/>
      <c r="DC64" s="74"/>
      <c r="DD64" s="74">
        <f t="shared" si="77"/>
        <v>1</v>
      </c>
      <c r="DE64" s="74"/>
      <c r="DF64" s="74"/>
      <c r="DG64" s="74">
        <f t="shared" si="78"/>
        <v>2</v>
      </c>
      <c r="DH64" s="74"/>
      <c r="DI64" s="74"/>
      <c r="DJ64" s="74">
        <f t="shared" si="79"/>
        <v>1</v>
      </c>
      <c r="DK64" s="74"/>
      <c r="DL64" s="74"/>
      <c r="DM64" s="74">
        <f t="shared" si="80"/>
        <v>1</v>
      </c>
      <c r="DN64" s="74"/>
      <c r="DO64" s="74"/>
      <c r="DP64" s="74">
        <f t="shared" si="81"/>
        <v>1</v>
      </c>
      <c r="DQ64" s="74"/>
      <c r="DR64" s="74"/>
      <c r="DS64" s="74">
        <f t="shared" si="82"/>
        <v>2</v>
      </c>
      <c r="DT64" s="74"/>
      <c r="DU64" s="74"/>
      <c r="DV64" s="74">
        <f t="shared" si="83"/>
        <v>1</v>
      </c>
      <c r="DW64" s="74"/>
      <c r="DX64" s="74"/>
      <c r="DY64" s="74">
        <f t="shared" si="84"/>
        <v>1</v>
      </c>
      <c r="DZ64" s="74"/>
      <c r="EA64" s="74"/>
      <c r="EB64" s="74">
        <f t="shared" si="85"/>
        <v>2</v>
      </c>
      <c r="EC64" s="74"/>
      <c r="ED64" s="74"/>
      <c r="EE64" s="74">
        <f t="shared" si="86"/>
        <v>2</v>
      </c>
      <c r="EF64" s="74"/>
      <c r="EG64" s="74"/>
      <c r="EH64" s="74">
        <f t="shared" si="87"/>
        <v>1</v>
      </c>
      <c r="EI64" s="74"/>
      <c r="EJ64" s="74"/>
      <c r="EK64" s="74">
        <f t="shared" si="88"/>
        <v>1</v>
      </c>
      <c r="EL64" s="74"/>
      <c r="EM64" s="74"/>
      <c r="EN64" s="74">
        <f t="shared" si="89"/>
        <v>1</v>
      </c>
      <c r="EO64" s="74"/>
      <c r="EP64" s="74"/>
      <c r="EQ64" s="74">
        <f t="shared" si="90"/>
        <v>1</v>
      </c>
      <c r="ER64" s="74"/>
      <c r="ES64" s="74"/>
      <c r="ET64" s="74">
        <f t="shared" si="91"/>
        <v>3</v>
      </c>
      <c r="EU64" s="74"/>
      <c r="EV64" s="74"/>
      <c r="EW64" s="74">
        <f t="shared" si="92"/>
        <v>2</v>
      </c>
      <c r="EX64" s="74"/>
      <c r="EY64" s="74"/>
      <c r="EZ64" s="74">
        <f t="shared" si="98"/>
        <v>1</v>
      </c>
      <c r="FA64" s="74"/>
      <c r="FB64" s="74"/>
      <c r="FC64" s="74">
        <f t="shared" si="93"/>
        <v>1</v>
      </c>
      <c r="FD64" s="74"/>
      <c r="FE64" s="74"/>
      <c r="FF64" s="74">
        <f t="shared" si="99"/>
        <v>1</v>
      </c>
      <c r="FG64" s="74"/>
      <c r="FH64" s="74"/>
      <c r="FI64" s="74">
        <f t="shared" si="95"/>
        <v>2</v>
      </c>
      <c r="FJ64" s="74"/>
      <c r="FK64" s="74"/>
      <c r="FL64" s="74">
        <f t="shared" ref="FL64:FL65" si="102">COUNTIF($FL$2:$FL$45,FL5)</f>
        <v>1</v>
      </c>
      <c r="FM64" s="74"/>
      <c r="FN64" s="74"/>
      <c r="FO64" s="74">
        <f t="shared" si="97"/>
        <v>1</v>
      </c>
      <c r="FP64" s="74"/>
    </row>
    <row r="65" spans="1:172" ht="15" hidden="1" x14ac:dyDescent="0.2">
      <c r="A65" s="74"/>
      <c r="B65" s="74"/>
      <c r="C65" s="74"/>
      <c r="D65" s="74"/>
      <c r="E65" s="74"/>
      <c r="F65" s="74">
        <f>COUNTIF(F2:F45,F10)</f>
        <v>0</v>
      </c>
      <c r="G65" s="74"/>
      <c r="H65" s="74"/>
      <c r="I65" s="74">
        <f>COUNTIF(I2:I45,I10)</f>
        <v>2</v>
      </c>
      <c r="J65" s="74"/>
      <c r="K65" s="74"/>
      <c r="L65" s="74">
        <f>COUNTIF(L2:L45,L10)</f>
        <v>2</v>
      </c>
      <c r="M65" s="74"/>
      <c r="N65" s="74"/>
      <c r="O65" s="74">
        <f>COUNTIF(O2:O45,O10)</f>
        <v>2</v>
      </c>
      <c r="P65" s="74"/>
      <c r="Q65" s="74"/>
      <c r="R65" s="74">
        <f>COUNTIF(R2:R45,R10)</f>
        <v>3</v>
      </c>
      <c r="S65" s="74"/>
      <c r="T65" s="74"/>
      <c r="U65" s="74">
        <f>COUNTIF(U2:U45,U10)</f>
        <v>3</v>
      </c>
      <c r="V65" s="74"/>
      <c r="W65" s="74"/>
      <c r="X65" s="74">
        <f>COUNTIF(X2:X45,X10)</f>
        <v>2</v>
      </c>
      <c r="Y65" s="74"/>
      <c r="Z65" s="74"/>
      <c r="AA65" s="74">
        <f>COUNTIF(AA2:AA45,AA10)</f>
        <v>2</v>
      </c>
      <c r="AB65" s="74"/>
      <c r="AC65" s="74"/>
      <c r="AD65" s="74">
        <f>COUNTIF(AD2:AD45,AD10)</f>
        <v>1</v>
      </c>
      <c r="AE65" s="74"/>
      <c r="AF65" s="74"/>
      <c r="AG65" s="74">
        <f>COUNTIF(AG2:AG45,AG10)</f>
        <v>2</v>
      </c>
      <c r="AH65" s="74"/>
      <c r="AI65" s="74"/>
      <c r="AJ65" s="74">
        <f>COUNTIF(AJ2:AJ45,AJ10)</f>
        <v>1</v>
      </c>
      <c r="AK65" s="74"/>
      <c r="AL65" s="74"/>
      <c r="AM65" s="74">
        <f>COUNTIF(AM2:AM45,AM10)</f>
        <v>1</v>
      </c>
      <c r="AN65" s="74"/>
      <c r="AO65" s="74"/>
      <c r="AP65" s="74">
        <f>COUNTIF(AP2:AP45,AP10)</f>
        <v>1</v>
      </c>
      <c r="AQ65" s="74"/>
      <c r="AR65" s="74"/>
      <c r="AS65" s="74">
        <f>COUNTIF(AS2:AS45,AS10)</f>
        <v>1</v>
      </c>
      <c r="AT65" s="74"/>
      <c r="AU65" s="74"/>
      <c r="AV65" s="74">
        <f>COUNTIF(AV2:AV45,AV10)</f>
        <v>1</v>
      </c>
      <c r="AW65" s="74"/>
      <c r="AX65" s="74"/>
      <c r="AY65" s="74">
        <f t="shared" si="58"/>
        <v>1</v>
      </c>
      <c r="AZ65" s="74"/>
      <c r="BA65" s="74"/>
      <c r="BB65" s="74">
        <f t="shared" si="59"/>
        <v>2</v>
      </c>
      <c r="BC65" s="74"/>
      <c r="BD65" s="74"/>
      <c r="BE65" s="74">
        <f t="shared" si="60"/>
        <v>2</v>
      </c>
      <c r="BF65" s="74"/>
      <c r="BG65" s="74"/>
      <c r="BH65" s="74">
        <f t="shared" si="61"/>
        <v>1</v>
      </c>
      <c r="BI65" s="74"/>
      <c r="BJ65" s="74"/>
      <c r="BK65" s="74">
        <f t="shared" si="62"/>
        <v>2</v>
      </c>
      <c r="BL65" s="74"/>
      <c r="BM65" s="74"/>
      <c r="BN65" s="74">
        <f t="shared" si="63"/>
        <v>1</v>
      </c>
      <c r="BO65" s="74"/>
      <c r="BP65" s="74"/>
      <c r="BQ65" s="74">
        <f t="shared" si="64"/>
        <v>2</v>
      </c>
      <c r="BR65" s="252"/>
      <c r="BS65" s="252"/>
      <c r="BT65" s="74">
        <f t="shared" si="65"/>
        <v>2</v>
      </c>
      <c r="BU65" s="74"/>
      <c r="BV65" s="74"/>
      <c r="BW65" s="74">
        <f t="shared" si="66"/>
        <v>2</v>
      </c>
      <c r="BX65" s="74"/>
      <c r="BY65" s="74"/>
      <c r="BZ65" s="74">
        <f t="shared" si="67"/>
        <v>2</v>
      </c>
      <c r="CA65" s="74"/>
      <c r="CB65" s="74"/>
      <c r="CC65" s="74">
        <f t="shared" si="68"/>
        <v>2</v>
      </c>
      <c r="CD65" s="74"/>
      <c r="CE65" s="74"/>
      <c r="CF65" s="74">
        <f t="shared" si="69"/>
        <v>2</v>
      </c>
      <c r="CG65" s="74"/>
      <c r="CH65" s="74"/>
      <c r="CI65" s="74">
        <f t="shared" si="70"/>
        <v>2</v>
      </c>
      <c r="CJ65" s="74"/>
      <c r="CK65" s="74"/>
      <c r="CL65" s="74">
        <f t="shared" si="71"/>
        <v>2</v>
      </c>
      <c r="CM65" s="74"/>
      <c r="CN65" s="74"/>
      <c r="CO65" s="74">
        <f t="shared" si="72"/>
        <v>1</v>
      </c>
      <c r="CP65" s="74"/>
      <c r="CQ65" s="74"/>
      <c r="CR65" s="74">
        <f t="shared" si="73"/>
        <v>2</v>
      </c>
      <c r="CS65" s="74"/>
      <c r="CT65" s="74"/>
      <c r="CU65" s="74">
        <f t="shared" si="74"/>
        <v>1</v>
      </c>
      <c r="CV65" s="74"/>
      <c r="CW65" s="74"/>
      <c r="CX65" s="74">
        <f t="shared" si="75"/>
        <v>2</v>
      </c>
      <c r="CY65" s="74"/>
      <c r="CZ65" s="74"/>
      <c r="DA65" s="74">
        <f t="shared" si="76"/>
        <v>2</v>
      </c>
      <c r="DB65" s="74"/>
      <c r="DC65" s="74"/>
      <c r="DD65" s="74">
        <f t="shared" si="77"/>
        <v>2</v>
      </c>
      <c r="DE65" s="74"/>
      <c r="DF65" s="74"/>
      <c r="DG65" s="74">
        <f t="shared" si="78"/>
        <v>1</v>
      </c>
      <c r="DH65" s="74"/>
      <c r="DI65" s="74"/>
      <c r="DJ65" s="74">
        <f t="shared" si="79"/>
        <v>1</v>
      </c>
      <c r="DK65" s="74"/>
      <c r="DL65" s="74"/>
      <c r="DM65" s="74">
        <f t="shared" si="80"/>
        <v>1</v>
      </c>
      <c r="DN65" s="74"/>
      <c r="DO65" s="74"/>
      <c r="DP65" s="74">
        <f t="shared" si="81"/>
        <v>2</v>
      </c>
      <c r="DQ65" s="74"/>
      <c r="DR65" s="74"/>
      <c r="DS65" s="74">
        <f t="shared" si="82"/>
        <v>2</v>
      </c>
      <c r="DT65" s="74"/>
      <c r="DU65" s="74"/>
      <c r="DV65" s="74">
        <f t="shared" si="83"/>
        <v>2</v>
      </c>
      <c r="DW65" s="74"/>
      <c r="DX65" s="74"/>
      <c r="DY65" s="74">
        <f t="shared" si="84"/>
        <v>1</v>
      </c>
      <c r="DZ65" s="74"/>
      <c r="EA65" s="74"/>
      <c r="EB65" s="74">
        <f t="shared" si="85"/>
        <v>2</v>
      </c>
      <c r="EC65" s="74"/>
      <c r="ED65" s="74"/>
      <c r="EE65" s="74">
        <f t="shared" si="86"/>
        <v>2</v>
      </c>
      <c r="EF65" s="74"/>
      <c r="EG65" s="74"/>
      <c r="EH65" s="74">
        <f t="shared" si="87"/>
        <v>1</v>
      </c>
      <c r="EI65" s="74"/>
      <c r="EJ65" s="74"/>
      <c r="EK65" s="74">
        <f t="shared" si="88"/>
        <v>2</v>
      </c>
      <c r="EL65" s="74"/>
      <c r="EM65" s="74"/>
      <c r="EN65" s="74">
        <f t="shared" si="89"/>
        <v>2</v>
      </c>
      <c r="EO65" s="74"/>
      <c r="EP65" s="74"/>
      <c r="EQ65" s="74">
        <f t="shared" si="90"/>
        <v>1</v>
      </c>
      <c r="ER65" s="74"/>
      <c r="ES65" s="74"/>
      <c r="ET65" s="74">
        <f t="shared" si="91"/>
        <v>3</v>
      </c>
      <c r="EU65" s="74"/>
      <c r="EV65" s="74"/>
      <c r="EW65" s="74">
        <f t="shared" si="92"/>
        <v>2</v>
      </c>
      <c r="EX65" s="74"/>
      <c r="EY65" s="74"/>
      <c r="EZ65" s="74">
        <f t="shared" si="98"/>
        <v>1</v>
      </c>
      <c r="FA65" s="74"/>
      <c r="FB65" s="74"/>
      <c r="FC65" s="74">
        <f t="shared" si="93"/>
        <v>1</v>
      </c>
      <c r="FD65" s="74"/>
      <c r="FE65" s="74"/>
      <c r="FF65" s="74">
        <f t="shared" si="99"/>
        <v>1</v>
      </c>
      <c r="FG65" s="74"/>
      <c r="FH65" s="74"/>
      <c r="FI65" s="74">
        <f t="shared" si="95"/>
        <v>2</v>
      </c>
      <c r="FJ65" s="74"/>
      <c r="FK65" s="74"/>
      <c r="FL65" s="74">
        <f t="shared" si="102"/>
        <v>1</v>
      </c>
      <c r="FM65" s="74"/>
      <c r="FN65" s="74"/>
      <c r="FO65" s="74">
        <f t="shared" si="97"/>
        <v>1</v>
      </c>
      <c r="FP65" s="74"/>
    </row>
    <row r="66" spans="1:172" ht="15" hidden="1" x14ac:dyDescent="0.2">
      <c r="A66" s="74"/>
      <c r="B66" s="74"/>
      <c r="C66" s="74"/>
      <c r="D66" s="74"/>
      <c r="E66" s="74"/>
      <c r="F66" s="74">
        <f>COUNTIF(F2:F45,F11)</f>
        <v>0</v>
      </c>
      <c r="G66" s="74"/>
      <c r="H66" s="74"/>
      <c r="I66" s="74">
        <f>COUNTIF(I2:I45,I11)</f>
        <v>2</v>
      </c>
      <c r="J66" s="74"/>
      <c r="K66" s="74"/>
      <c r="L66" s="74">
        <f>COUNTIF(L2:L45,L11)</f>
        <v>2</v>
      </c>
      <c r="M66" s="74"/>
      <c r="N66" s="74"/>
      <c r="O66" s="74">
        <f>COUNTIF(O2:O45,O11)</f>
        <v>2</v>
      </c>
      <c r="P66" s="74"/>
      <c r="Q66" s="74"/>
      <c r="R66" s="74">
        <f>COUNTIF(R2:R45,R11)</f>
        <v>3</v>
      </c>
      <c r="S66" s="74"/>
      <c r="T66" s="74"/>
      <c r="U66" s="74">
        <f>COUNTIF(U2:U45,U11)</f>
        <v>3</v>
      </c>
      <c r="V66" s="74"/>
      <c r="W66" s="74"/>
      <c r="X66" s="74">
        <f>COUNTIF(X2:X45,X11)</f>
        <v>2</v>
      </c>
      <c r="Y66" s="74"/>
      <c r="Z66" s="74"/>
      <c r="AA66" s="74">
        <f>COUNTIF(AA2:AA45,AA11)</f>
        <v>2</v>
      </c>
      <c r="AB66" s="74"/>
      <c r="AC66" s="74"/>
      <c r="AD66" s="74">
        <f>COUNTIF(AD2:AD45,AD11)</f>
        <v>3</v>
      </c>
      <c r="AE66" s="74"/>
      <c r="AF66" s="74"/>
      <c r="AG66" s="74">
        <f>COUNTIF(AG2:AG45,AG11)</f>
        <v>2</v>
      </c>
      <c r="AH66" s="74"/>
      <c r="AI66" s="74"/>
      <c r="AJ66" s="74">
        <f>COUNTIF(AJ2:AJ45,AJ11)</f>
        <v>2</v>
      </c>
      <c r="AK66" s="74"/>
      <c r="AL66" s="74"/>
      <c r="AM66" s="74">
        <f>COUNTIF(AM2:AM45,AM11)</f>
        <v>2</v>
      </c>
      <c r="AN66" s="74"/>
      <c r="AO66" s="74"/>
      <c r="AP66" s="74">
        <f>COUNTIF(AP2:AP45,AP11)</f>
        <v>2</v>
      </c>
      <c r="AQ66" s="74"/>
      <c r="AR66" s="74"/>
      <c r="AS66" s="74">
        <f>COUNTIF(AS2:AS45,AS11)</f>
        <v>1</v>
      </c>
      <c r="AT66" s="74"/>
      <c r="AU66" s="74"/>
      <c r="AV66" s="74">
        <f>COUNTIF(AV2:AV45,AV11)</f>
        <v>1</v>
      </c>
      <c r="AW66" s="74"/>
      <c r="AX66" s="74"/>
      <c r="AY66" s="74">
        <f t="shared" si="58"/>
        <v>2</v>
      </c>
      <c r="AZ66" s="74"/>
      <c r="BA66" s="74"/>
      <c r="BB66" s="74">
        <f t="shared" si="59"/>
        <v>1</v>
      </c>
      <c r="BC66" s="74"/>
      <c r="BD66" s="74"/>
      <c r="BE66" s="74">
        <f t="shared" si="60"/>
        <v>1</v>
      </c>
      <c r="BF66" s="74"/>
      <c r="BG66" s="74"/>
      <c r="BH66" s="74">
        <f t="shared" si="61"/>
        <v>2</v>
      </c>
      <c r="BI66" s="74"/>
      <c r="BJ66" s="74"/>
      <c r="BK66" s="74">
        <f t="shared" si="62"/>
        <v>2</v>
      </c>
      <c r="BL66" s="74"/>
      <c r="BM66" s="74"/>
      <c r="BN66" s="74">
        <f t="shared" si="63"/>
        <v>1</v>
      </c>
      <c r="BO66" s="74"/>
      <c r="BP66" s="74"/>
      <c r="BQ66" s="74">
        <f t="shared" si="64"/>
        <v>2</v>
      </c>
      <c r="BR66" s="252"/>
      <c r="BS66" s="252"/>
      <c r="BT66" s="74">
        <f t="shared" si="65"/>
        <v>2</v>
      </c>
      <c r="BU66" s="74"/>
      <c r="BV66" s="74"/>
      <c r="BW66" s="74">
        <f t="shared" si="66"/>
        <v>1</v>
      </c>
      <c r="BX66" s="74"/>
      <c r="BY66" s="74"/>
      <c r="BZ66" s="74">
        <f t="shared" si="67"/>
        <v>2</v>
      </c>
      <c r="CA66" s="74"/>
      <c r="CB66" s="74"/>
      <c r="CC66" s="74">
        <f t="shared" si="68"/>
        <v>2</v>
      </c>
      <c r="CD66" s="74"/>
      <c r="CE66" s="74"/>
      <c r="CF66" s="74">
        <f t="shared" si="69"/>
        <v>2</v>
      </c>
      <c r="CG66" s="74"/>
      <c r="CH66" s="74"/>
      <c r="CI66" s="74">
        <f t="shared" si="70"/>
        <v>2</v>
      </c>
      <c r="CJ66" s="74"/>
      <c r="CK66" s="74"/>
      <c r="CL66" s="74">
        <f t="shared" si="71"/>
        <v>2</v>
      </c>
      <c r="CM66" s="74"/>
      <c r="CN66" s="74"/>
      <c r="CO66" s="74">
        <f t="shared" si="72"/>
        <v>1</v>
      </c>
      <c r="CP66" s="74"/>
      <c r="CQ66" s="74"/>
      <c r="CR66" s="74">
        <f t="shared" si="73"/>
        <v>1</v>
      </c>
      <c r="CS66" s="74"/>
      <c r="CT66" s="74"/>
      <c r="CU66" s="74">
        <f t="shared" si="74"/>
        <v>1</v>
      </c>
      <c r="CV66" s="74"/>
      <c r="CW66" s="74"/>
      <c r="CX66" s="74">
        <f t="shared" si="75"/>
        <v>2</v>
      </c>
      <c r="CY66" s="74"/>
      <c r="CZ66" s="74"/>
      <c r="DA66" s="74">
        <f t="shared" si="76"/>
        <v>1</v>
      </c>
      <c r="DB66" s="74"/>
      <c r="DC66" s="74"/>
      <c r="DD66" s="74">
        <f t="shared" si="77"/>
        <v>2</v>
      </c>
      <c r="DE66" s="74"/>
      <c r="DF66" s="74"/>
      <c r="DG66" s="74">
        <f t="shared" si="78"/>
        <v>1</v>
      </c>
      <c r="DH66" s="74"/>
      <c r="DI66" s="74"/>
      <c r="DJ66" s="74">
        <f t="shared" si="79"/>
        <v>2</v>
      </c>
      <c r="DK66" s="74"/>
      <c r="DL66" s="74"/>
      <c r="DM66" s="74">
        <f t="shared" si="80"/>
        <v>1</v>
      </c>
      <c r="DN66" s="74"/>
      <c r="DO66" s="74"/>
      <c r="DP66" s="74">
        <f t="shared" si="81"/>
        <v>2</v>
      </c>
      <c r="DQ66" s="74"/>
      <c r="DR66" s="74"/>
      <c r="DS66" s="74">
        <f t="shared" si="82"/>
        <v>2</v>
      </c>
      <c r="DT66" s="74"/>
      <c r="DU66" s="74"/>
      <c r="DV66" s="74">
        <f t="shared" si="83"/>
        <v>2</v>
      </c>
      <c r="DW66" s="74"/>
      <c r="DX66" s="74"/>
      <c r="DY66" s="74">
        <f t="shared" si="84"/>
        <v>1</v>
      </c>
      <c r="DZ66" s="74"/>
      <c r="EA66" s="74"/>
      <c r="EB66" s="74">
        <f t="shared" si="85"/>
        <v>2</v>
      </c>
      <c r="EC66" s="74"/>
      <c r="ED66" s="74"/>
      <c r="EE66" s="74">
        <f t="shared" si="86"/>
        <v>2</v>
      </c>
      <c r="EF66" s="74"/>
      <c r="EG66" s="74"/>
      <c r="EH66" s="74">
        <f t="shared" si="87"/>
        <v>1</v>
      </c>
      <c r="EI66" s="74"/>
      <c r="EJ66" s="74"/>
      <c r="EK66" s="74">
        <f t="shared" si="88"/>
        <v>2</v>
      </c>
      <c r="EL66" s="74"/>
      <c r="EM66" s="74"/>
      <c r="EN66" s="74">
        <f t="shared" si="89"/>
        <v>2</v>
      </c>
      <c r="EO66" s="74"/>
      <c r="EP66" s="74"/>
      <c r="EQ66" s="74">
        <f t="shared" si="90"/>
        <v>1</v>
      </c>
      <c r="ER66" s="74"/>
      <c r="ES66" s="74"/>
      <c r="ET66" s="74">
        <f t="shared" si="91"/>
        <v>3</v>
      </c>
      <c r="EU66" s="74"/>
      <c r="EV66" s="74"/>
      <c r="EW66" s="74">
        <f t="shared" si="92"/>
        <v>2</v>
      </c>
      <c r="EX66" s="74"/>
      <c r="EY66" s="74"/>
      <c r="EZ66" s="74">
        <f t="shared" si="98"/>
        <v>1</v>
      </c>
      <c r="FA66" s="74"/>
      <c r="FB66" s="74"/>
      <c r="FC66" s="74">
        <f t="shared" si="93"/>
        <v>1</v>
      </c>
      <c r="FD66" s="74"/>
      <c r="FE66" s="74"/>
      <c r="FF66" s="74">
        <f t="shared" si="99"/>
        <v>1</v>
      </c>
      <c r="FG66" s="74"/>
      <c r="FH66" s="74"/>
      <c r="FI66" s="74">
        <f t="shared" si="95"/>
        <v>1</v>
      </c>
      <c r="FJ66" s="74"/>
      <c r="FK66" s="74"/>
      <c r="FL66" s="74">
        <f t="shared" ref="FL66:FL101" si="103">COUNTIF($FL$2:$FL$45,FL11)</f>
        <v>0</v>
      </c>
      <c r="FM66" s="74"/>
      <c r="FN66" s="74"/>
      <c r="FO66" s="74">
        <f t="shared" si="97"/>
        <v>1</v>
      </c>
      <c r="FP66" s="74"/>
    </row>
    <row r="67" spans="1:172" ht="15" hidden="1" x14ac:dyDescent="0.2">
      <c r="A67" s="74"/>
      <c r="B67" s="74"/>
      <c r="C67" s="74"/>
      <c r="D67" s="74"/>
      <c r="E67" s="74"/>
      <c r="F67" s="74">
        <f>COUNTIF(F2:F45,F12)</f>
        <v>0</v>
      </c>
      <c r="G67" s="74"/>
      <c r="H67" s="74"/>
      <c r="I67" s="74">
        <f>COUNTIF(I2:I45,I12)</f>
        <v>2</v>
      </c>
      <c r="J67" s="74"/>
      <c r="K67" s="74"/>
      <c r="L67" s="74">
        <f>COUNTIF(L2:L45,L12)</f>
        <v>1</v>
      </c>
      <c r="M67" s="74"/>
      <c r="N67" s="74"/>
      <c r="O67" s="74">
        <f>COUNTIF(O2:O45,O12)</f>
        <v>2</v>
      </c>
      <c r="P67" s="74"/>
      <c r="Q67" s="74"/>
      <c r="R67" s="74">
        <f>COUNTIF(R2:R45,R12)</f>
        <v>1</v>
      </c>
      <c r="S67" s="74"/>
      <c r="T67" s="74"/>
      <c r="U67" s="74">
        <f>COUNTIF(U2:U45,U12)</f>
        <v>3</v>
      </c>
      <c r="V67" s="74"/>
      <c r="W67" s="74"/>
      <c r="X67" s="74">
        <f>COUNTIF(X2:X45,X12)</f>
        <v>2</v>
      </c>
      <c r="Y67" s="74"/>
      <c r="Z67" s="74"/>
      <c r="AA67" s="74">
        <f>COUNTIF(AA2:AA45,AA12)</f>
        <v>1</v>
      </c>
      <c r="AB67" s="74"/>
      <c r="AC67" s="74"/>
      <c r="AD67" s="74">
        <f>COUNTIF(AD2:AD45,AD12)</f>
        <v>3</v>
      </c>
      <c r="AE67" s="74"/>
      <c r="AF67" s="74"/>
      <c r="AG67" s="74">
        <f>COUNTIF(AG2:AG45,AG12)</f>
        <v>1</v>
      </c>
      <c r="AH67" s="74"/>
      <c r="AI67" s="74"/>
      <c r="AJ67" s="74">
        <f>COUNTIF(AJ2:AJ45,AJ12)</f>
        <v>2</v>
      </c>
      <c r="AK67" s="74"/>
      <c r="AL67" s="74"/>
      <c r="AM67" s="74">
        <f>COUNTIF(AM2:AM45,AM12)</f>
        <v>2</v>
      </c>
      <c r="AN67" s="74"/>
      <c r="AO67" s="74"/>
      <c r="AP67" s="74">
        <f>COUNTIF(AP2:AP45,AP12)</f>
        <v>2</v>
      </c>
      <c r="AQ67" s="74"/>
      <c r="AR67" s="74"/>
      <c r="AS67" s="74">
        <f>COUNTIF(AS2:AS45,AS12)</f>
        <v>2</v>
      </c>
      <c r="AT67" s="74"/>
      <c r="AU67" s="74"/>
      <c r="AV67" s="74">
        <f>COUNTIF(AV2:AV45,AV12)</f>
        <v>1</v>
      </c>
      <c r="AW67" s="74"/>
      <c r="AX67" s="74"/>
      <c r="AY67" s="74">
        <f t="shared" si="58"/>
        <v>2</v>
      </c>
      <c r="AZ67" s="74"/>
      <c r="BA67" s="74"/>
      <c r="BB67" s="74">
        <f t="shared" si="59"/>
        <v>2</v>
      </c>
      <c r="BC67" s="74"/>
      <c r="BD67" s="74"/>
      <c r="BE67" s="74">
        <f t="shared" si="60"/>
        <v>1</v>
      </c>
      <c r="BF67" s="74"/>
      <c r="BG67" s="74"/>
      <c r="BH67" s="74">
        <f t="shared" si="61"/>
        <v>2</v>
      </c>
      <c r="BI67" s="74"/>
      <c r="BJ67" s="74"/>
      <c r="BK67" s="74">
        <f t="shared" si="62"/>
        <v>2</v>
      </c>
      <c r="BL67" s="74"/>
      <c r="BM67" s="74"/>
      <c r="BN67" s="74">
        <f t="shared" si="63"/>
        <v>2</v>
      </c>
      <c r="BO67" s="74"/>
      <c r="BP67" s="74"/>
      <c r="BQ67" s="74">
        <f t="shared" si="64"/>
        <v>1</v>
      </c>
      <c r="BR67" s="252"/>
      <c r="BS67" s="252"/>
      <c r="BT67" s="74">
        <f t="shared" si="65"/>
        <v>1</v>
      </c>
      <c r="BU67" s="74"/>
      <c r="BV67" s="74"/>
      <c r="BW67" s="74">
        <f t="shared" si="66"/>
        <v>1</v>
      </c>
      <c r="BX67" s="74"/>
      <c r="BY67" s="74"/>
      <c r="BZ67" s="74">
        <f t="shared" si="67"/>
        <v>1</v>
      </c>
      <c r="CA67" s="74"/>
      <c r="CB67" s="74"/>
      <c r="CC67" s="74">
        <f t="shared" si="68"/>
        <v>2</v>
      </c>
      <c r="CD67" s="74"/>
      <c r="CE67" s="74"/>
      <c r="CF67" s="74">
        <f t="shared" si="69"/>
        <v>1</v>
      </c>
      <c r="CG67" s="74"/>
      <c r="CH67" s="74"/>
      <c r="CI67" s="74">
        <f t="shared" si="70"/>
        <v>2</v>
      </c>
      <c r="CJ67" s="74"/>
      <c r="CK67" s="74"/>
      <c r="CL67" s="74">
        <f t="shared" si="71"/>
        <v>2</v>
      </c>
      <c r="CM67" s="74"/>
      <c r="CN67" s="74"/>
      <c r="CO67" s="74">
        <f t="shared" si="72"/>
        <v>2</v>
      </c>
      <c r="CP67" s="74"/>
      <c r="CQ67" s="74"/>
      <c r="CR67" s="74">
        <f t="shared" si="73"/>
        <v>2</v>
      </c>
      <c r="CS67" s="74"/>
      <c r="CT67" s="74"/>
      <c r="CU67" s="74">
        <f t="shared" si="74"/>
        <v>1</v>
      </c>
      <c r="CV67" s="74"/>
      <c r="CW67" s="74"/>
      <c r="CX67" s="74">
        <f t="shared" si="75"/>
        <v>2</v>
      </c>
      <c r="CY67" s="74"/>
      <c r="CZ67" s="74"/>
      <c r="DA67" s="74">
        <f t="shared" si="76"/>
        <v>1</v>
      </c>
      <c r="DB67" s="74"/>
      <c r="DC67" s="74"/>
      <c r="DD67" s="74">
        <f t="shared" si="77"/>
        <v>2</v>
      </c>
      <c r="DE67" s="74"/>
      <c r="DF67" s="74"/>
      <c r="DG67" s="74">
        <f t="shared" si="78"/>
        <v>1</v>
      </c>
      <c r="DH67" s="74"/>
      <c r="DI67" s="74"/>
      <c r="DJ67" s="74">
        <f t="shared" si="79"/>
        <v>2</v>
      </c>
      <c r="DK67" s="74"/>
      <c r="DL67" s="74"/>
      <c r="DM67" s="74">
        <f t="shared" si="80"/>
        <v>1</v>
      </c>
      <c r="DN67" s="74"/>
      <c r="DO67" s="74"/>
      <c r="DP67" s="74">
        <f t="shared" si="81"/>
        <v>2</v>
      </c>
      <c r="DQ67" s="74"/>
      <c r="DR67" s="74"/>
      <c r="DS67" s="74">
        <f t="shared" si="82"/>
        <v>2</v>
      </c>
      <c r="DT67" s="74"/>
      <c r="DU67" s="74"/>
      <c r="DV67" s="74">
        <f t="shared" si="83"/>
        <v>2</v>
      </c>
      <c r="DW67" s="74"/>
      <c r="DX67" s="74"/>
      <c r="DY67" s="74">
        <f t="shared" si="84"/>
        <v>1</v>
      </c>
      <c r="DZ67" s="74"/>
      <c r="EA67" s="74"/>
      <c r="EB67" s="74">
        <f t="shared" si="85"/>
        <v>1</v>
      </c>
      <c r="EC67" s="74"/>
      <c r="ED67" s="74"/>
      <c r="EE67" s="74">
        <f t="shared" si="86"/>
        <v>0</v>
      </c>
      <c r="EF67" s="74"/>
      <c r="EG67" s="74"/>
      <c r="EH67" s="74">
        <f t="shared" si="87"/>
        <v>2</v>
      </c>
      <c r="EI67" s="74"/>
      <c r="EJ67" s="74"/>
      <c r="EK67" s="74">
        <f t="shared" si="88"/>
        <v>3</v>
      </c>
      <c r="EL67" s="74"/>
      <c r="EM67" s="74"/>
      <c r="EN67" s="74">
        <f t="shared" si="89"/>
        <v>1</v>
      </c>
      <c r="EO67" s="74"/>
      <c r="EP67" s="74"/>
      <c r="EQ67" s="74">
        <f t="shared" si="90"/>
        <v>1</v>
      </c>
      <c r="ER67" s="74"/>
      <c r="ES67" s="74"/>
      <c r="ET67" s="74">
        <f t="shared" si="91"/>
        <v>2</v>
      </c>
      <c r="EU67" s="74"/>
      <c r="EV67" s="74"/>
      <c r="EW67" s="74">
        <f t="shared" si="92"/>
        <v>2</v>
      </c>
      <c r="EX67" s="74"/>
      <c r="EY67" s="74"/>
      <c r="EZ67" s="74">
        <f t="shared" ref="EZ67:EZ77" si="104">COUNTIF($EZ$2:$EZ$45,EZ12)</f>
        <v>1</v>
      </c>
      <c r="FA67" s="74"/>
      <c r="FB67" s="74"/>
      <c r="FC67" s="74">
        <f t="shared" si="93"/>
        <v>2</v>
      </c>
      <c r="FD67" s="74"/>
      <c r="FE67" s="74"/>
      <c r="FF67" s="74">
        <f t="shared" si="99"/>
        <v>1</v>
      </c>
      <c r="FG67" s="74"/>
      <c r="FH67" s="74"/>
      <c r="FI67" s="74">
        <f t="shared" si="95"/>
        <v>1</v>
      </c>
      <c r="FJ67" s="74"/>
      <c r="FK67" s="74"/>
      <c r="FL67" s="74">
        <f t="shared" si="103"/>
        <v>0</v>
      </c>
      <c r="FM67" s="74"/>
      <c r="FN67" s="74"/>
      <c r="FO67" s="74">
        <f t="shared" si="97"/>
        <v>1</v>
      </c>
      <c r="FP67" s="74"/>
    </row>
    <row r="68" spans="1:172" ht="15" hidden="1" x14ac:dyDescent="0.2">
      <c r="A68" s="74"/>
      <c r="B68" s="74"/>
      <c r="C68" s="74"/>
      <c r="D68" s="74"/>
      <c r="E68" s="74"/>
      <c r="F68" s="74">
        <f>COUNTIF(F2:F45,F13)</f>
        <v>0</v>
      </c>
      <c r="G68" s="74"/>
      <c r="H68" s="74"/>
      <c r="I68" s="74">
        <f>COUNTIF(I2:I45,I13)</f>
        <v>1</v>
      </c>
      <c r="J68" s="74"/>
      <c r="K68" s="74"/>
      <c r="L68" s="74">
        <f>COUNTIF(L2:L45,L13)</f>
        <v>1</v>
      </c>
      <c r="M68" s="74"/>
      <c r="N68" s="74"/>
      <c r="O68" s="74">
        <f>COUNTIF(O2:O45,O13)</f>
        <v>2</v>
      </c>
      <c r="P68" s="74"/>
      <c r="Q68" s="74"/>
      <c r="R68" s="74">
        <f>COUNTIF(R2:R45,R13)</f>
        <v>2</v>
      </c>
      <c r="S68" s="74"/>
      <c r="T68" s="74"/>
      <c r="U68" s="74">
        <f>COUNTIF(U2:U45,U13)</f>
        <v>2</v>
      </c>
      <c r="V68" s="74"/>
      <c r="W68" s="74"/>
      <c r="X68" s="74">
        <f>COUNTIF(X2:X45,X13)</f>
        <v>2</v>
      </c>
      <c r="Y68" s="74"/>
      <c r="Z68" s="74"/>
      <c r="AA68" s="74">
        <f>COUNTIF(AA2:AA45,AA13)</f>
        <v>1</v>
      </c>
      <c r="AB68" s="74"/>
      <c r="AC68" s="74"/>
      <c r="AD68" s="74">
        <f>COUNTIF(AD2:AD45,AD13)</f>
        <v>3</v>
      </c>
      <c r="AE68" s="74"/>
      <c r="AF68" s="74"/>
      <c r="AG68" s="74">
        <f>COUNTIF(AG2:AG45,AG13)</f>
        <v>1</v>
      </c>
      <c r="AH68" s="74"/>
      <c r="AI68" s="74"/>
      <c r="AJ68" s="74">
        <f>COUNTIF(AJ2:AJ45,AJ13)</f>
        <v>1</v>
      </c>
      <c r="AK68" s="74"/>
      <c r="AL68" s="74"/>
      <c r="AM68" s="74">
        <f>COUNTIF(AM2:AM45,AM13)</f>
        <v>1</v>
      </c>
      <c r="AN68" s="74"/>
      <c r="AO68" s="74"/>
      <c r="AP68" s="74">
        <f>COUNTIF(AP2:AP45,AP13)</f>
        <v>1</v>
      </c>
      <c r="AQ68" s="74"/>
      <c r="AR68" s="74"/>
      <c r="AS68" s="74">
        <f>COUNTIF(AS2:AS45,AS13)</f>
        <v>2</v>
      </c>
      <c r="AT68" s="74"/>
      <c r="AU68" s="74"/>
      <c r="AV68" s="74">
        <f>COUNTIF(AV2:AV45,AV13)</f>
        <v>1</v>
      </c>
      <c r="AW68" s="74"/>
      <c r="AX68" s="74"/>
      <c r="AY68" s="74">
        <f t="shared" si="58"/>
        <v>2</v>
      </c>
      <c r="AZ68" s="74"/>
      <c r="BA68" s="74"/>
      <c r="BB68" s="74">
        <f t="shared" si="59"/>
        <v>2</v>
      </c>
      <c r="BC68" s="74"/>
      <c r="BD68" s="74"/>
      <c r="BE68" s="74">
        <f t="shared" si="60"/>
        <v>1</v>
      </c>
      <c r="BF68" s="74"/>
      <c r="BG68" s="74"/>
      <c r="BH68" s="74">
        <f t="shared" si="61"/>
        <v>1</v>
      </c>
      <c r="BI68" s="74"/>
      <c r="BJ68" s="74"/>
      <c r="BK68" s="74">
        <f t="shared" si="62"/>
        <v>2</v>
      </c>
      <c r="BL68" s="74"/>
      <c r="BM68" s="74"/>
      <c r="BN68" s="74">
        <f t="shared" si="63"/>
        <v>2</v>
      </c>
      <c r="BO68" s="74"/>
      <c r="BP68" s="74"/>
      <c r="BQ68" s="74">
        <f t="shared" si="64"/>
        <v>0</v>
      </c>
      <c r="BR68" s="252"/>
      <c r="BS68" s="252"/>
      <c r="BT68" s="74">
        <f t="shared" si="65"/>
        <v>1</v>
      </c>
      <c r="BU68" s="74"/>
      <c r="BV68" s="74"/>
      <c r="BW68" s="74">
        <f t="shared" si="66"/>
        <v>1</v>
      </c>
      <c r="BX68" s="74"/>
      <c r="BY68" s="74"/>
      <c r="BZ68" s="74">
        <f t="shared" si="67"/>
        <v>1</v>
      </c>
      <c r="CA68" s="74"/>
      <c r="CB68" s="74"/>
      <c r="CC68" s="74">
        <f t="shared" si="68"/>
        <v>2</v>
      </c>
      <c r="CD68" s="74"/>
      <c r="CE68" s="74"/>
      <c r="CF68" s="74">
        <f t="shared" si="69"/>
        <v>1</v>
      </c>
      <c r="CG68" s="74"/>
      <c r="CH68" s="74"/>
      <c r="CI68" s="74">
        <f t="shared" si="70"/>
        <v>2</v>
      </c>
      <c r="CJ68" s="74"/>
      <c r="CK68" s="74"/>
      <c r="CL68" s="74">
        <f t="shared" si="71"/>
        <v>2</v>
      </c>
      <c r="CM68" s="74"/>
      <c r="CN68" s="74"/>
      <c r="CO68" s="74">
        <f t="shared" si="72"/>
        <v>2</v>
      </c>
      <c r="CP68" s="74"/>
      <c r="CQ68" s="74"/>
      <c r="CR68" s="74">
        <f t="shared" si="73"/>
        <v>2</v>
      </c>
      <c r="CS68" s="74"/>
      <c r="CT68" s="74"/>
      <c r="CU68" s="74">
        <f t="shared" si="74"/>
        <v>2</v>
      </c>
      <c r="CV68" s="74"/>
      <c r="CW68" s="74"/>
      <c r="CX68" s="74">
        <f t="shared" si="75"/>
        <v>2</v>
      </c>
      <c r="CY68" s="74"/>
      <c r="CZ68" s="74"/>
      <c r="DA68" s="74">
        <f t="shared" si="76"/>
        <v>2</v>
      </c>
      <c r="DB68" s="74"/>
      <c r="DC68" s="74"/>
      <c r="DD68" s="74">
        <f t="shared" si="77"/>
        <v>2</v>
      </c>
      <c r="DE68" s="74"/>
      <c r="DF68" s="74"/>
      <c r="DG68" s="74">
        <f t="shared" si="78"/>
        <v>1</v>
      </c>
      <c r="DH68" s="74"/>
      <c r="DI68" s="74"/>
      <c r="DJ68" s="74">
        <f t="shared" si="79"/>
        <v>1</v>
      </c>
      <c r="DK68" s="74"/>
      <c r="DL68" s="74"/>
      <c r="DM68" s="74">
        <f t="shared" si="80"/>
        <v>1</v>
      </c>
      <c r="DN68" s="74"/>
      <c r="DO68" s="74"/>
      <c r="DP68" s="74">
        <f t="shared" si="81"/>
        <v>2</v>
      </c>
      <c r="DQ68" s="74"/>
      <c r="DR68" s="74"/>
      <c r="DS68" s="74">
        <f t="shared" si="82"/>
        <v>2</v>
      </c>
      <c r="DT68" s="74"/>
      <c r="DU68" s="74"/>
      <c r="DV68" s="74">
        <f t="shared" si="83"/>
        <v>2</v>
      </c>
      <c r="DW68" s="74"/>
      <c r="DX68" s="74"/>
      <c r="DY68" s="74">
        <f t="shared" si="84"/>
        <v>2</v>
      </c>
      <c r="DZ68" s="74"/>
      <c r="EA68" s="74"/>
      <c r="EB68" s="74">
        <f t="shared" si="85"/>
        <v>2</v>
      </c>
      <c r="EC68" s="74"/>
      <c r="ED68" s="74"/>
      <c r="EE68" s="74">
        <f t="shared" si="86"/>
        <v>0</v>
      </c>
      <c r="EF68" s="74"/>
      <c r="EG68" s="74"/>
      <c r="EH68" s="74">
        <f t="shared" si="87"/>
        <v>2</v>
      </c>
      <c r="EI68" s="74"/>
      <c r="EJ68" s="74"/>
      <c r="EK68" s="74">
        <f t="shared" si="88"/>
        <v>3</v>
      </c>
      <c r="EL68" s="74"/>
      <c r="EM68" s="74"/>
      <c r="EN68" s="74">
        <f t="shared" si="89"/>
        <v>2</v>
      </c>
      <c r="EO68" s="74"/>
      <c r="EP68" s="74"/>
      <c r="EQ68" s="74">
        <f t="shared" si="90"/>
        <v>1</v>
      </c>
      <c r="ER68" s="74"/>
      <c r="ES68" s="74"/>
      <c r="ET68" s="74">
        <f t="shared" si="91"/>
        <v>2</v>
      </c>
      <c r="EU68" s="74"/>
      <c r="EV68" s="74"/>
      <c r="EW68" s="74">
        <f t="shared" si="92"/>
        <v>2</v>
      </c>
      <c r="EX68" s="74"/>
      <c r="EY68" s="74"/>
      <c r="EZ68" s="74">
        <f t="shared" si="104"/>
        <v>2</v>
      </c>
      <c r="FA68" s="74"/>
      <c r="FB68" s="74"/>
      <c r="FC68" s="74">
        <f t="shared" si="93"/>
        <v>2</v>
      </c>
      <c r="FD68" s="74"/>
      <c r="FE68" s="74"/>
      <c r="FF68" s="74">
        <f t="shared" si="99"/>
        <v>2</v>
      </c>
      <c r="FG68" s="74"/>
      <c r="FH68" s="74"/>
      <c r="FI68" s="74">
        <f t="shared" si="95"/>
        <v>1</v>
      </c>
      <c r="FJ68" s="74"/>
      <c r="FK68" s="74"/>
      <c r="FL68" s="74">
        <f t="shared" si="103"/>
        <v>0</v>
      </c>
      <c r="FM68" s="74"/>
      <c r="FN68" s="74"/>
      <c r="FO68" s="74">
        <f t="shared" si="97"/>
        <v>1</v>
      </c>
      <c r="FP68" s="74"/>
    </row>
    <row r="69" spans="1:172" ht="15" hidden="1" x14ac:dyDescent="0.2">
      <c r="A69" s="74"/>
      <c r="B69" s="74"/>
      <c r="C69" s="74"/>
      <c r="D69" s="74"/>
      <c r="E69" s="74"/>
      <c r="F69" s="74">
        <f>COUNTIF(F2:F45,F14)</f>
        <v>0</v>
      </c>
      <c r="G69" s="74"/>
      <c r="H69" s="74"/>
      <c r="I69" s="74">
        <f>COUNTIF(I2:I45,I14)</f>
        <v>0</v>
      </c>
      <c r="J69" s="74"/>
      <c r="K69" s="74"/>
      <c r="L69" s="74">
        <f>COUNTIF(L2:L45,L14)</f>
        <v>1</v>
      </c>
      <c r="M69" s="74"/>
      <c r="N69" s="74"/>
      <c r="O69" s="74">
        <f>COUNTIF(O2:O45,O14)</f>
        <v>2</v>
      </c>
      <c r="P69" s="74"/>
      <c r="Q69" s="74"/>
      <c r="R69" s="74">
        <f>COUNTIF(R2:R45,R14)</f>
        <v>2</v>
      </c>
      <c r="S69" s="74"/>
      <c r="T69" s="74"/>
      <c r="U69" s="74">
        <f>COUNTIF(U2:U45,U14)</f>
        <v>2</v>
      </c>
      <c r="V69" s="74"/>
      <c r="W69" s="74"/>
      <c r="X69" s="74">
        <f>COUNTIF(X2:X45,X14)</f>
        <v>1</v>
      </c>
      <c r="Y69" s="74"/>
      <c r="Z69" s="74"/>
      <c r="AA69" s="74">
        <f>COUNTIF(AA2:AA45,AA14)</f>
        <v>0</v>
      </c>
      <c r="AB69" s="74"/>
      <c r="AC69" s="74"/>
      <c r="AD69" s="74">
        <f>COUNTIF(AD2:AD45,AD14)</f>
        <v>2</v>
      </c>
      <c r="AE69" s="74"/>
      <c r="AF69" s="74"/>
      <c r="AG69" s="74">
        <f>COUNTIF(AG2:AG45,AG14)</f>
        <v>1</v>
      </c>
      <c r="AH69" s="74"/>
      <c r="AI69" s="74"/>
      <c r="AJ69" s="74">
        <f>COUNTIF(AJ2:AJ45,AJ14)</f>
        <v>1</v>
      </c>
      <c r="AK69" s="74"/>
      <c r="AL69" s="74"/>
      <c r="AM69" s="74">
        <f>COUNTIF(AM2:AM45,AM14)</f>
        <v>2</v>
      </c>
      <c r="AN69" s="74"/>
      <c r="AO69" s="74"/>
      <c r="AP69" s="74">
        <f>COUNTIF(AP2:AP45,AP14)</f>
        <v>0</v>
      </c>
      <c r="AQ69" s="74"/>
      <c r="AR69" s="74"/>
      <c r="AS69" s="74">
        <f>COUNTIF(AS2:AS45,AS14)</f>
        <v>2</v>
      </c>
      <c r="AT69" s="74"/>
      <c r="AU69" s="74"/>
      <c r="AV69" s="74">
        <f>COUNTIF(AV2:AV45,AV14)</f>
        <v>1</v>
      </c>
      <c r="AW69" s="74"/>
      <c r="AX69" s="74"/>
      <c r="AY69" s="74">
        <f t="shared" si="58"/>
        <v>2</v>
      </c>
      <c r="AZ69" s="74"/>
      <c r="BA69" s="74"/>
      <c r="BB69" s="74">
        <f t="shared" si="59"/>
        <v>1</v>
      </c>
      <c r="BC69" s="74"/>
      <c r="BD69" s="74"/>
      <c r="BE69" s="74">
        <f t="shared" si="60"/>
        <v>0</v>
      </c>
      <c r="BF69" s="74"/>
      <c r="BG69" s="74"/>
      <c r="BH69" s="74">
        <f t="shared" si="61"/>
        <v>1</v>
      </c>
      <c r="BI69" s="74"/>
      <c r="BJ69" s="74"/>
      <c r="BK69" s="74">
        <f t="shared" si="62"/>
        <v>2</v>
      </c>
      <c r="BL69" s="74"/>
      <c r="BM69" s="74"/>
      <c r="BN69" s="74">
        <f t="shared" si="63"/>
        <v>2</v>
      </c>
      <c r="BO69" s="74"/>
      <c r="BP69" s="74"/>
      <c r="BQ69" s="74">
        <f t="shared" si="64"/>
        <v>0</v>
      </c>
      <c r="BR69" s="252"/>
      <c r="BS69" s="252"/>
      <c r="BT69" s="74">
        <f t="shared" si="65"/>
        <v>1</v>
      </c>
      <c r="BU69" s="74"/>
      <c r="BV69" s="74"/>
      <c r="BW69" s="74">
        <f t="shared" si="66"/>
        <v>1</v>
      </c>
      <c r="BX69" s="74"/>
      <c r="BY69" s="74"/>
      <c r="BZ69" s="74">
        <f t="shared" si="67"/>
        <v>2</v>
      </c>
      <c r="CA69" s="74"/>
      <c r="CB69" s="74"/>
      <c r="CC69" s="74">
        <f t="shared" si="68"/>
        <v>1</v>
      </c>
      <c r="CD69" s="74"/>
      <c r="CE69" s="74"/>
      <c r="CF69" s="74">
        <f t="shared" si="69"/>
        <v>1</v>
      </c>
      <c r="CG69" s="74"/>
      <c r="CH69" s="74"/>
      <c r="CI69" s="74">
        <f t="shared" si="70"/>
        <v>1</v>
      </c>
      <c r="CJ69" s="74"/>
      <c r="CK69" s="74"/>
      <c r="CL69" s="74">
        <f t="shared" si="71"/>
        <v>1</v>
      </c>
      <c r="CM69" s="74"/>
      <c r="CN69" s="74"/>
      <c r="CO69" s="74">
        <f t="shared" si="72"/>
        <v>1</v>
      </c>
      <c r="CP69" s="74"/>
      <c r="CQ69" s="74"/>
      <c r="CR69" s="74">
        <f t="shared" si="73"/>
        <v>2</v>
      </c>
      <c r="CS69" s="74"/>
      <c r="CT69" s="74"/>
      <c r="CU69" s="74">
        <f t="shared" si="74"/>
        <v>2</v>
      </c>
      <c r="CV69" s="74"/>
      <c r="CW69" s="74"/>
      <c r="CX69" s="74">
        <f t="shared" si="75"/>
        <v>1</v>
      </c>
      <c r="CY69" s="74"/>
      <c r="CZ69" s="74"/>
      <c r="DA69" s="74">
        <f t="shared" si="76"/>
        <v>2</v>
      </c>
      <c r="DB69" s="74"/>
      <c r="DC69" s="74"/>
      <c r="DD69" s="74">
        <f t="shared" si="77"/>
        <v>1</v>
      </c>
      <c r="DE69" s="74"/>
      <c r="DF69" s="74"/>
      <c r="DG69" s="74">
        <f t="shared" si="78"/>
        <v>1</v>
      </c>
      <c r="DH69" s="74"/>
      <c r="DI69" s="74"/>
      <c r="DJ69" s="74">
        <f t="shared" si="79"/>
        <v>2</v>
      </c>
      <c r="DK69" s="74"/>
      <c r="DL69" s="74"/>
      <c r="DM69" s="74">
        <f t="shared" si="80"/>
        <v>1</v>
      </c>
      <c r="DN69" s="74"/>
      <c r="DO69" s="74"/>
      <c r="DP69" s="74">
        <f t="shared" si="81"/>
        <v>1</v>
      </c>
      <c r="DQ69" s="74"/>
      <c r="DR69" s="74"/>
      <c r="DS69" s="74">
        <f t="shared" si="82"/>
        <v>2</v>
      </c>
      <c r="DT69" s="74"/>
      <c r="DU69" s="74"/>
      <c r="DV69" s="74">
        <f t="shared" si="83"/>
        <v>1</v>
      </c>
      <c r="DW69" s="74"/>
      <c r="DX69" s="74"/>
      <c r="DY69" s="74">
        <f t="shared" si="84"/>
        <v>2</v>
      </c>
      <c r="DZ69" s="74"/>
      <c r="EA69" s="74"/>
      <c r="EB69" s="74">
        <f t="shared" si="85"/>
        <v>2</v>
      </c>
      <c r="EC69" s="74"/>
      <c r="ED69" s="74"/>
      <c r="EE69" s="74">
        <f t="shared" si="86"/>
        <v>0</v>
      </c>
      <c r="EF69" s="74"/>
      <c r="EG69" s="74"/>
      <c r="EH69" s="74">
        <f t="shared" si="87"/>
        <v>2</v>
      </c>
      <c r="EI69" s="74"/>
      <c r="EJ69" s="74"/>
      <c r="EK69" s="74">
        <f t="shared" si="88"/>
        <v>3</v>
      </c>
      <c r="EL69" s="74"/>
      <c r="EM69" s="74"/>
      <c r="EN69" s="74">
        <f t="shared" si="89"/>
        <v>2</v>
      </c>
      <c r="EO69" s="74"/>
      <c r="EP69" s="74"/>
      <c r="EQ69" s="74">
        <f t="shared" si="90"/>
        <v>1</v>
      </c>
      <c r="ER69" s="74"/>
      <c r="ES69" s="74"/>
      <c r="ET69" s="74">
        <f t="shared" si="91"/>
        <v>2</v>
      </c>
      <c r="EU69" s="74"/>
      <c r="EV69" s="74"/>
      <c r="EW69" s="74">
        <f t="shared" si="92"/>
        <v>2</v>
      </c>
      <c r="EX69" s="74"/>
      <c r="EY69" s="74"/>
      <c r="EZ69" s="74">
        <f t="shared" si="104"/>
        <v>2</v>
      </c>
      <c r="FA69" s="74"/>
      <c r="FB69" s="74"/>
      <c r="FC69" s="74">
        <f t="shared" si="93"/>
        <v>2</v>
      </c>
      <c r="FD69" s="74"/>
      <c r="FE69" s="74"/>
      <c r="FF69" s="74">
        <f t="shared" si="99"/>
        <v>2</v>
      </c>
      <c r="FG69" s="74"/>
      <c r="FH69" s="74"/>
      <c r="FI69" s="74">
        <f t="shared" si="95"/>
        <v>1</v>
      </c>
      <c r="FJ69" s="74"/>
      <c r="FK69" s="74"/>
      <c r="FL69" s="74">
        <f t="shared" si="103"/>
        <v>0</v>
      </c>
      <c r="FM69" s="74"/>
      <c r="FN69" s="74"/>
      <c r="FO69" s="74">
        <f t="shared" si="97"/>
        <v>0</v>
      </c>
      <c r="FP69" s="74"/>
    </row>
    <row r="70" spans="1:172" ht="15" hidden="1" x14ac:dyDescent="0.2">
      <c r="A70" s="74"/>
      <c r="B70" s="74"/>
      <c r="C70" s="74"/>
      <c r="D70" s="74"/>
      <c r="E70" s="74"/>
      <c r="F70" s="74">
        <f>COUNTIF(F2:F45,F15)</f>
        <v>0</v>
      </c>
      <c r="G70" s="74"/>
      <c r="H70" s="74"/>
      <c r="I70" s="74">
        <f>COUNTIF(I2:I45,I15)</f>
        <v>0</v>
      </c>
      <c r="J70" s="74"/>
      <c r="K70" s="74"/>
      <c r="L70" s="74">
        <f>COUNTIF(L2:L45,L15)</f>
        <v>1</v>
      </c>
      <c r="M70" s="74"/>
      <c r="N70" s="74"/>
      <c r="O70" s="74">
        <f>COUNTIF(O2:O45,O15)</f>
        <v>1</v>
      </c>
      <c r="P70" s="74"/>
      <c r="Q70" s="74"/>
      <c r="R70" s="74">
        <f>COUNTIF(R2:R45,R15)</f>
        <v>1</v>
      </c>
      <c r="S70" s="74"/>
      <c r="T70" s="74"/>
      <c r="U70" s="74">
        <f>COUNTIF(U2:U45,U15)</f>
        <v>2</v>
      </c>
      <c r="V70" s="74"/>
      <c r="W70" s="74"/>
      <c r="X70" s="74">
        <f>COUNTIF(X2:X45,X15)</f>
        <v>1</v>
      </c>
      <c r="Y70" s="74"/>
      <c r="Z70" s="74"/>
      <c r="AA70" s="74">
        <f>COUNTIF(AA2:AA45,AA15)</f>
        <v>0</v>
      </c>
      <c r="AB70" s="74"/>
      <c r="AC70" s="74"/>
      <c r="AD70" s="74">
        <f>COUNTIF(AD2:AD45,AD15)</f>
        <v>2</v>
      </c>
      <c r="AE70" s="74"/>
      <c r="AF70" s="74"/>
      <c r="AG70" s="74">
        <f>COUNTIF(AG2:AG45,AG15)</f>
        <v>1</v>
      </c>
      <c r="AH70" s="74"/>
      <c r="AI70" s="74"/>
      <c r="AJ70" s="74">
        <f>COUNTIF(AJ2:AJ45,AJ15)</f>
        <v>2</v>
      </c>
      <c r="AK70" s="74"/>
      <c r="AL70" s="74"/>
      <c r="AM70" s="74">
        <f>COUNTIF(AM2:AM45,AM15)</f>
        <v>2</v>
      </c>
      <c r="AN70" s="74"/>
      <c r="AO70" s="74"/>
      <c r="AP70" s="74">
        <f>COUNTIF(AP2:AP45,AP15)</f>
        <v>0</v>
      </c>
      <c r="AQ70" s="74"/>
      <c r="AR70" s="74"/>
      <c r="AS70" s="74">
        <f>COUNTIF(AS2:AS45,AS15)</f>
        <v>2</v>
      </c>
      <c r="AT70" s="74"/>
      <c r="AU70" s="74"/>
      <c r="AV70" s="74">
        <f>COUNTIF(AV2:AV45,AV15)</f>
        <v>1</v>
      </c>
      <c r="AW70" s="74"/>
      <c r="AX70" s="74"/>
      <c r="AY70" s="74">
        <f t="shared" si="58"/>
        <v>1</v>
      </c>
      <c r="AZ70" s="74"/>
      <c r="BA70" s="74"/>
      <c r="BB70" s="74">
        <f t="shared" si="59"/>
        <v>1</v>
      </c>
      <c r="BC70" s="74"/>
      <c r="BD70" s="74"/>
      <c r="BE70" s="74">
        <f t="shared" si="60"/>
        <v>0</v>
      </c>
      <c r="BF70" s="74"/>
      <c r="BG70" s="74"/>
      <c r="BH70" s="74">
        <f t="shared" si="61"/>
        <v>1</v>
      </c>
      <c r="BI70" s="74"/>
      <c r="BJ70" s="74"/>
      <c r="BK70" s="74">
        <f t="shared" si="62"/>
        <v>2</v>
      </c>
      <c r="BL70" s="74"/>
      <c r="BM70" s="74"/>
      <c r="BN70" s="74">
        <f t="shared" si="63"/>
        <v>2</v>
      </c>
      <c r="BO70" s="74"/>
      <c r="BP70" s="74"/>
      <c r="BQ70" s="74">
        <f t="shared" si="64"/>
        <v>0</v>
      </c>
      <c r="BR70" s="252"/>
      <c r="BS70" s="252"/>
      <c r="BT70" s="74">
        <f t="shared" si="65"/>
        <v>1</v>
      </c>
      <c r="BU70" s="74"/>
      <c r="BV70" s="74"/>
      <c r="BW70" s="74">
        <f t="shared" si="66"/>
        <v>0</v>
      </c>
      <c r="BX70" s="74"/>
      <c r="BY70" s="74"/>
      <c r="BZ70" s="74">
        <f t="shared" si="67"/>
        <v>2</v>
      </c>
      <c r="CA70" s="74"/>
      <c r="CB70" s="74"/>
      <c r="CC70" s="74">
        <f t="shared" si="68"/>
        <v>1</v>
      </c>
      <c r="CD70" s="74"/>
      <c r="CE70" s="74"/>
      <c r="CF70" s="74">
        <f t="shared" si="69"/>
        <v>1</v>
      </c>
      <c r="CG70" s="74"/>
      <c r="CH70" s="74"/>
      <c r="CI70" s="74">
        <f t="shared" si="70"/>
        <v>1</v>
      </c>
      <c r="CJ70" s="74"/>
      <c r="CK70" s="74"/>
      <c r="CL70" s="74">
        <f t="shared" si="71"/>
        <v>2</v>
      </c>
      <c r="CM70" s="74"/>
      <c r="CN70" s="74"/>
      <c r="CO70" s="74">
        <f t="shared" si="72"/>
        <v>1</v>
      </c>
      <c r="CP70" s="74"/>
      <c r="CQ70" s="74"/>
      <c r="CR70" s="74">
        <f t="shared" si="73"/>
        <v>2</v>
      </c>
      <c r="CS70" s="74"/>
      <c r="CT70" s="74"/>
      <c r="CU70" s="74">
        <f t="shared" si="74"/>
        <v>3</v>
      </c>
      <c r="CV70" s="74"/>
      <c r="CW70" s="74"/>
      <c r="CX70" s="74">
        <f t="shared" si="75"/>
        <v>0</v>
      </c>
      <c r="CY70" s="74"/>
      <c r="CZ70" s="74"/>
      <c r="DA70" s="74">
        <f t="shared" si="76"/>
        <v>1</v>
      </c>
      <c r="DB70" s="74"/>
      <c r="DC70" s="74"/>
      <c r="DD70" s="74">
        <f t="shared" si="77"/>
        <v>1</v>
      </c>
      <c r="DE70" s="74"/>
      <c r="DF70" s="74"/>
      <c r="DG70" s="74">
        <f t="shared" si="78"/>
        <v>1</v>
      </c>
      <c r="DH70" s="74"/>
      <c r="DI70" s="74"/>
      <c r="DJ70" s="74">
        <f t="shared" si="79"/>
        <v>2</v>
      </c>
      <c r="DK70" s="74"/>
      <c r="DL70" s="74"/>
      <c r="DM70" s="74">
        <f t="shared" si="80"/>
        <v>0</v>
      </c>
      <c r="DN70" s="74"/>
      <c r="DO70" s="74"/>
      <c r="DP70" s="74">
        <f t="shared" si="81"/>
        <v>2</v>
      </c>
      <c r="DQ70" s="74"/>
      <c r="DR70" s="74"/>
      <c r="DS70" s="74">
        <f t="shared" si="82"/>
        <v>1</v>
      </c>
      <c r="DT70" s="74"/>
      <c r="DU70" s="74"/>
      <c r="DV70" s="74">
        <f t="shared" si="83"/>
        <v>1</v>
      </c>
      <c r="DW70" s="74"/>
      <c r="DX70" s="74"/>
      <c r="DY70" s="74">
        <f t="shared" si="84"/>
        <v>1</v>
      </c>
      <c r="DZ70" s="74"/>
      <c r="EA70" s="74"/>
      <c r="EB70" s="74">
        <f t="shared" si="85"/>
        <v>1</v>
      </c>
      <c r="EC70" s="74"/>
      <c r="ED70" s="74"/>
      <c r="EE70" s="74">
        <f t="shared" si="86"/>
        <v>0</v>
      </c>
      <c r="EF70" s="74"/>
      <c r="EG70" s="74"/>
      <c r="EH70" s="74">
        <f t="shared" si="87"/>
        <v>2</v>
      </c>
      <c r="EI70" s="74"/>
      <c r="EJ70" s="74"/>
      <c r="EK70" s="74">
        <f t="shared" si="88"/>
        <v>2</v>
      </c>
      <c r="EL70" s="74"/>
      <c r="EM70" s="74"/>
      <c r="EN70" s="74">
        <f t="shared" si="89"/>
        <v>2</v>
      </c>
      <c r="EO70" s="74"/>
      <c r="EP70" s="74"/>
      <c r="EQ70" s="74">
        <f t="shared" si="90"/>
        <v>1</v>
      </c>
      <c r="ER70" s="74"/>
      <c r="ES70" s="74"/>
      <c r="ET70" s="74">
        <f t="shared" si="91"/>
        <v>2</v>
      </c>
      <c r="EU70" s="74"/>
      <c r="EV70" s="74"/>
      <c r="EW70" s="74">
        <f t="shared" si="92"/>
        <v>2</v>
      </c>
      <c r="EX70" s="74"/>
      <c r="EY70" s="74"/>
      <c r="EZ70" s="74">
        <f t="shared" si="104"/>
        <v>1</v>
      </c>
      <c r="FA70" s="74"/>
      <c r="FB70" s="74"/>
      <c r="FC70" s="74">
        <f t="shared" si="93"/>
        <v>2</v>
      </c>
      <c r="FD70" s="74"/>
      <c r="FE70" s="74"/>
      <c r="FF70" s="74">
        <f t="shared" si="99"/>
        <v>1</v>
      </c>
      <c r="FG70" s="74"/>
      <c r="FH70" s="74"/>
      <c r="FI70" s="74">
        <f t="shared" si="95"/>
        <v>1</v>
      </c>
      <c r="FJ70" s="74"/>
      <c r="FK70" s="74"/>
      <c r="FL70" s="74">
        <f t="shared" si="103"/>
        <v>0</v>
      </c>
      <c r="FM70" s="74"/>
      <c r="FN70" s="74"/>
      <c r="FO70" s="74">
        <f t="shared" si="97"/>
        <v>0</v>
      </c>
      <c r="FP70" s="74"/>
    </row>
    <row r="71" spans="1:172" ht="15" hidden="1" x14ac:dyDescent="0.2">
      <c r="A71" s="74"/>
      <c r="B71" s="74"/>
      <c r="C71" s="74"/>
      <c r="D71" s="74"/>
      <c r="E71" s="74"/>
      <c r="F71" s="74">
        <f>COUNTIF(F2:F45,F16)</f>
        <v>0</v>
      </c>
      <c r="G71" s="74"/>
      <c r="H71" s="74"/>
      <c r="I71" s="74">
        <f>COUNTIF(I2:I45,I16)</f>
        <v>0</v>
      </c>
      <c r="J71" s="74"/>
      <c r="K71" s="74"/>
      <c r="L71" s="74">
        <f>COUNTIF(L2:L45,L16)</f>
        <v>2</v>
      </c>
      <c r="M71" s="74"/>
      <c r="N71" s="74"/>
      <c r="O71" s="74">
        <f>COUNTIF(O2:O45,O16)</f>
        <v>2</v>
      </c>
      <c r="P71" s="74"/>
      <c r="Q71" s="74"/>
      <c r="R71" s="74">
        <f>COUNTIF(R2:R45,R16)</f>
        <v>1</v>
      </c>
      <c r="S71" s="74"/>
      <c r="T71" s="74"/>
      <c r="U71" s="74">
        <f>COUNTIF(U2:U45,U16)</f>
        <v>2</v>
      </c>
      <c r="V71" s="74"/>
      <c r="W71" s="74"/>
      <c r="X71" s="74">
        <f>COUNTIF(X2:X45,X16)</f>
        <v>1</v>
      </c>
      <c r="Y71" s="74"/>
      <c r="Z71" s="74"/>
      <c r="AA71" s="74">
        <f>COUNTIF(AA2:AA45,AA16)</f>
        <v>0</v>
      </c>
      <c r="AB71" s="74"/>
      <c r="AC71" s="74"/>
      <c r="AD71" s="74">
        <f>COUNTIF(AD2:AD45,AD16)</f>
        <v>2</v>
      </c>
      <c r="AE71" s="74"/>
      <c r="AF71" s="74"/>
      <c r="AG71" s="74">
        <f>COUNTIF(AG2:AG45,AG16)</f>
        <v>1</v>
      </c>
      <c r="AH71" s="74"/>
      <c r="AI71" s="74"/>
      <c r="AJ71" s="74">
        <f>COUNTIF(AJ2:AJ45,AJ16)</f>
        <v>2</v>
      </c>
      <c r="AK71" s="74"/>
      <c r="AL71" s="74"/>
      <c r="AM71" s="74">
        <f>COUNTIF(AM2:AM45,AM16)</f>
        <v>2</v>
      </c>
      <c r="AN71" s="74"/>
      <c r="AO71" s="74"/>
      <c r="AP71" s="74">
        <f>COUNTIF(AP2:AP45,AP16)</f>
        <v>0</v>
      </c>
      <c r="AQ71" s="74"/>
      <c r="AR71" s="74"/>
      <c r="AS71" s="74">
        <f>COUNTIF(AS2:AS45,AS16)</f>
        <v>1</v>
      </c>
      <c r="AT71" s="74"/>
      <c r="AU71" s="74"/>
      <c r="AV71" s="74">
        <f>COUNTIF(AV2:AV45,AV16)</f>
        <v>1</v>
      </c>
      <c r="AW71" s="74"/>
      <c r="AX71" s="74"/>
      <c r="AY71" s="74">
        <f t="shared" si="58"/>
        <v>2</v>
      </c>
      <c r="AZ71" s="74"/>
      <c r="BA71" s="74"/>
      <c r="BB71" s="74">
        <f t="shared" si="59"/>
        <v>1</v>
      </c>
      <c r="BC71" s="74"/>
      <c r="BD71" s="74"/>
      <c r="BE71" s="74">
        <f t="shared" si="60"/>
        <v>0</v>
      </c>
      <c r="BF71" s="74"/>
      <c r="BG71" s="74"/>
      <c r="BH71" s="74">
        <f t="shared" si="61"/>
        <v>2</v>
      </c>
      <c r="BI71" s="74"/>
      <c r="BJ71" s="74"/>
      <c r="BK71" s="74">
        <f t="shared" si="62"/>
        <v>2</v>
      </c>
      <c r="BL71" s="74"/>
      <c r="BM71" s="74"/>
      <c r="BN71" s="74">
        <f t="shared" si="63"/>
        <v>1</v>
      </c>
      <c r="BO71" s="74"/>
      <c r="BP71" s="74"/>
      <c r="BQ71" s="74">
        <f t="shared" si="64"/>
        <v>0</v>
      </c>
      <c r="BR71" s="252"/>
      <c r="BS71" s="252"/>
      <c r="BT71" s="74">
        <f t="shared" si="65"/>
        <v>1</v>
      </c>
      <c r="BU71" s="74"/>
      <c r="BV71" s="74"/>
      <c r="BW71" s="74">
        <f t="shared" si="66"/>
        <v>0</v>
      </c>
      <c r="BX71" s="74"/>
      <c r="BY71" s="74"/>
      <c r="BZ71" s="74">
        <f t="shared" si="67"/>
        <v>2</v>
      </c>
      <c r="CA71" s="74"/>
      <c r="CB71" s="74"/>
      <c r="CC71" s="74">
        <f t="shared" si="68"/>
        <v>2</v>
      </c>
      <c r="CD71" s="74"/>
      <c r="CE71" s="74"/>
      <c r="CF71" s="74">
        <f t="shared" si="69"/>
        <v>1</v>
      </c>
      <c r="CG71" s="74"/>
      <c r="CH71" s="74"/>
      <c r="CI71" s="74">
        <f t="shared" si="70"/>
        <v>1</v>
      </c>
      <c r="CJ71" s="74"/>
      <c r="CK71" s="74"/>
      <c r="CL71" s="74">
        <f t="shared" si="71"/>
        <v>2</v>
      </c>
      <c r="CM71" s="74"/>
      <c r="CN71" s="74"/>
      <c r="CO71" s="74">
        <f t="shared" si="72"/>
        <v>2</v>
      </c>
      <c r="CP71" s="74"/>
      <c r="CQ71" s="74"/>
      <c r="CR71" s="74">
        <f t="shared" si="73"/>
        <v>2</v>
      </c>
      <c r="CS71" s="74"/>
      <c r="CT71" s="74"/>
      <c r="CU71" s="74">
        <f t="shared" si="74"/>
        <v>3</v>
      </c>
      <c r="CV71" s="74"/>
      <c r="CW71" s="74"/>
      <c r="CX71" s="74">
        <f t="shared" si="75"/>
        <v>0</v>
      </c>
      <c r="CY71" s="74"/>
      <c r="CZ71" s="74"/>
      <c r="DA71" s="74">
        <f t="shared" si="76"/>
        <v>2</v>
      </c>
      <c r="DB71" s="74"/>
      <c r="DC71" s="74"/>
      <c r="DD71" s="74">
        <f t="shared" si="77"/>
        <v>1</v>
      </c>
      <c r="DE71" s="74"/>
      <c r="DF71" s="74"/>
      <c r="DG71" s="74">
        <f t="shared" si="78"/>
        <v>1</v>
      </c>
      <c r="DH71" s="74"/>
      <c r="DI71" s="74"/>
      <c r="DJ71" s="74">
        <f t="shared" si="79"/>
        <v>0</v>
      </c>
      <c r="DK71" s="74"/>
      <c r="DL71" s="74"/>
      <c r="DM71" s="74">
        <f t="shared" si="80"/>
        <v>0</v>
      </c>
      <c r="DN71" s="74"/>
      <c r="DO71" s="74"/>
      <c r="DP71" s="74">
        <f t="shared" si="81"/>
        <v>2</v>
      </c>
      <c r="DQ71" s="74"/>
      <c r="DR71" s="74"/>
      <c r="DS71" s="74">
        <f t="shared" si="82"/>
        <v>2</v>
      </c>
      <c r="DT71" s="74"/>
      <c r="DU71" s="74"/>
      <c r="DV71" s="74">
        <f t="shared" si="83"/>
        <v>1</v>
      </c>
      <c r="DW71" s="74"/>
      <c r="DX71" s="74"/>
      <c r="DY71" s="74">
        <f t="shared" si="84"/>
        <v>1</v>
      </c>
      <c r="DZ71" s="74"/>
      <c r="EA71" s="74"/>
      <c r="EB71" s="74">
        <f t="shared" si="85"/>
        <v>1</v>
      </c>
      <c r="EC71" s="74"/>
      <c r="ED71" s="74"/>
      <c r="EE71" s="74">
        <f t="shared" si="86"/>
        <v>0</v>
      </c>
      <c r="EF71" s="74"/>
      <c r="EG71" s="74"/>
      <c r="EH71" s="74">
        <f t="shared" si="87"/>
        <v>1</v>
      </c>
      <c r="EI71" s="74"/>
      <c r="EJ71" s="74"/>
      <c r="EK71" s="74">
        <f t="shared" si="88"/>
        <v>2</v>
      </c>
      <c r="EL71" s="74"/>
      <c r="EM71" s="74"/>
      <c r="EN71" s="74">
        <f t="shared" si="89"/>
        <v>2</v>
      </c>
      <c r="EO71" s="74"/>
      <c r="EP71" s="74"/>
      <c r="EQ71" s="74">
        <f t="shared" si="90"/>
        <v>1</v>
      </c>
      <c r="ER71" s="74"/>
      <c r="ES71" s="74"/>
      <c r="ET71" s="74">
        <f t="shared" si="91"/>
        <v>0</v>
      </c>
      <c r="EU71" s="74"/>
      <c r="EV71" s="74"/>
      <c r="EW71" s="74">
        <f t="shared" si="92"/>
        <v>2</v>
      </c>
      <c r="EX71" s="74"/>
      <c r="EY71" s="74"/>
      <c r="EZ71" s="74">
        <f t="shared" si="104"/>
        <v>1</v>
      </c>
      <c r="FA71" s="74"/>
      <c r="FB71" s="74"/>
      <c r="FC71" s="74">
        <f t="shared" si="93"/>
        <v>3</v>
      </c>
      <c r="FD71" s="74"/>
      <c r="FE71" s="74"/>
      <c r="FF71" s="74">
        <f t="shared" si="99"/>
        <v>1</v>
      </c>
      <c r="FG71" s="74"/>
      <c r="FH71" s="74"/>
      <c r="FI71" s="74">
        <f t="shared" si="95"/>
        <v>1</v>
      </c>
      <c r="FJ71" s="74"/>
      <c r="FK71" s="74"/>
      <c r="FL71" s="74">
        <f t="shared" si="103"/>
        <v>0</v>
      </c>
      <c r="FM71" s="74"/>
      <c r="FN71" s="74"/>
      <c r="FO71" s="74">
        <f t="shared" si="97"/>
        <v>0</v>
      </c>
      <c r="FP71" s="74"/>
    </row>
    <row r="72" spans="1:172" ht="15" hidden="1" x14ac:dyDescent="0.2">
      <c r="A72" s="74"/>
      <c r="B72" s="74"/>
      <c r="C72" s="74"/>
      <c r="D72" s="74"/>
      <c r="E72" s="74"/>
      <c r="F72" s="74">
        <f>COUNTIF(F2:F45,F17)</f>
        <v>0</v>
      </c>
      <c r="G72" s="74"/>
      <c r="H72" s="74"/>
      <c r="I72" s="74">
        <f>COUNTIF(I2:I45,I17)</f>
        <v>0</v>
      </c>
      <c r="J72" s="74"/>
      <c r="K72" s="74"/>
      <c r="L72" s="74">
        <f>COUNTIF(L2:L45,L17)</f>
        <v>2</v>
      </c>
      <c r="M72" s="74"/>
      <c r="N72" s="74"/>
      <c r="O72" s="74">
        <f>COUNTIF(O2:O45,O17)</f>
        <v>2</v>
      </c>
      <c r="P72" s="74"/>
      <c r="Q72" s="74"/>
      <c r="R72" s="74">
        <f>COUNTIF(R2:R45,R17)</f>
        <v>1</v>
      </c>
      <c r="S72" s="74"/>
      <c r="T72" s="74"/>
      <c r="U72" s="74">
        <f>COUNTIF(U2:U45,U17)</f>
        <v>1</v>
      </c>
      <c r="V72" s="74"/>
      <c r="W72" s="74"/>
      <c r="X72" s="74">
        <f>COUNTIF(X2:X45,X17)</f>
        <v>1</v>
      </c>
      <c r="Y72" s="74"/>
      <c r="Z72" s="74"/>
      <c r="AA72" s="74">
        <f>COUNTIF(AA2:AA45,AA17)</f>
        <v>0</v>
      </c>
      <c r="AB72" s="74"/>
      <c r="AC72" s="74"/>
      <c r="AD72" s="74">
        <f>COUNTIF(AD2:AD45,AD17)</f>
        <v>2</v>
      </c>
      <c r="AE72" s="74"/>
      <c r="AF72" s="74"/>
      <c r="AG72" s="74">
        <f>COUNTIF(AG2:AG45,AG17)</f>
        <v>1</v>
      </c>
      <c r="AH72" s="74"/>
      <c r="AI72" s="74"/>
      <c r="AJ72" s="74">
        <f>COUNTIF(AJ2:AJ45,AJ17)</f>
        <v>2</v>
      </c>
      <c r="AK72" s="74"/>
      <c r="AL72" s="74"/>
      <c r="AM72" s="74">
        <f>COUNTIF(AM2:AM45,AM17)</f>
        <v>2</v>
      </c>
      <c r="AN72" s="74"/>
      <c r="AO72" s="74"/>
      <c r="AP72" s="74">
        <f>COUNTIF(AP2:AP45,AP17)</f>
        <v>0</v>
      </c>
      <c r="AQ72" s="74"/>
      <c r="AR72" s="74"/>
      <c r="AS72" s="74">
        <f>COUNTIF(AS2:AS45,AS17)</f>
        <v>1</v>
      </c>
      <c r="AT72" s="74"/>
      <c r="AU72" s="74"/>
      <c r="AV72" s="74">
        <f>COUNTIF(AV2:AV45,AV17)</f>
        <v>1</v>
      </c>
      <c r="AW72" s="74"/>
      <c r="AX72" s="74"/>
      <c r="AY72" s="74">
        <f t="shared" si="58"/>
        <v>2</v>
      </c>
      <c r="AZ72" s="74"/>
      <c r="BA72" s="74"/>
      <c r="BB72" s="74">
        <f t="shared" si="59"/>
        <v>0</v>
      </c>
      <c r="BC72" s="74"/>
      <c r="BD72" s="74"/>
      <c r="BE72" s="74">
        <f t="shared" si="60"/>
        <v>0</v>
      </c>
      <c r="BF72" s="74"/>
      <c r="BG72" s="74"/>
      <c r="BH72" s="74">
        <f t="shared" si="61"/>
        <v>2</v>
      </c>
      <c r="BI72" s="74"/>
      <c r="BJ72" s="74"/>
      <c r="BK72" s="74">
        <f t="shared" si="62"/>
        <v>2</v>
      </c>
      <c r="BL72" s="74"/>
      <c r="BM72" s="74"/>
      <c r="BN72" s="74">
        <f t="shared" si="63"/>
        <v>1</v>
      </c>
      <c r="BO72" s="74"/>
      <c r="BP72" s="74"/>
      <c r="BQ72" s="74">
        <f t="shared" si="64"/>
        <v>0</v>
      </c>
      <c r="BR72" s="252"/>
      <c r="BS72" s="252"/>
      <c r="BT72" s="74">
        <f t="shared" si="65"/>
        <v>1</v>
      </c>
      <c r="BU72" s="74"/>
      <c r="BV72" s="74"/>
      <c r="BW72" s="74">
        <f t="shared" si="66"/>
        <v>0</v>
      </c>
      <c r="BX72" s="74"/>
      <c r="BY72" s="74"/>
      <c r="BZ72" s="74">
        <f t="shared" si="67"/>
        <v>2</v>
      </c>
      <c r="CA72" s="74"/>
      <c r="CB72" s="74"/>
      <c r="CC72" s="74">
        <f t="shared" si="68"/>
        <v>2</v>
      </c>
      <c r="CD72" s="74"/>
      <c r="CE72" s="74"/>
      <c r="CF72" s="74">
        <f t="shared" si="69"/>
        <v>2</v>
      </c>
      <c r="CG72" s="74"/>
      <c r="CH72" s="74"/>
      <c r="CI72" s="74">
        <f t="shared" si="70"/>
        <v>0</v>
      </c>
      <c r="CJ72" s="74"/>
      <c r="CK72" s="74"/>
      <c r="CL72" s="74">
        <f t="shared" si="71"/>
        <v>1</v>
      </c>
      <c r="CM72" s="74"/>
      <c r="CN72" s="74"/>
      <c r="CO72" s="74">
        <f t="shared" si="72"/>
        <v>2</v>
      </c>
      <c r="CP72" s="74"/>
      <c r="CQ72" s="74"/>
      <c r="CR72" s="74">
        <f t="shared" si="73"/>
        <v>2</v>
      </c>
      <c r="CS72" s="74"/>
      <c r="CT72" s="74"/>
      <c r="CU72" s="74">
        <f t="shared" si="74"/>
        <v>3</v>
      </c>
      <c r="CV72" s="74"/>
      <c r="CW72" s="74"/>
      <c r="CX72" s="74">
        <f t="shared" si="75"/>
        <v>0</v>
      </c>
      <c r="CY72" s="74"/>
      <c r="CZ72" s="74"/>
      <c r="DA72" s="74">
        <f t="shared" si="76"/>
        <v>2</v>
      </c>
      <c r="DB72" s="74"/>
      <c r="DC72" s="74"/>
      <c r="DD72" s="74">
        <f t="shared" si="77"/>
        <v>1</v>
      </c>
      <c r="DE72" s="74"/>
      <c r="DF72" s="74"/>
      <c r="DG72" s="74">
        <f t="shared" si="78"/>
        <v>1</v>
      </c>
      <c r="DH72" s="74"/>
      <c r="DI72" s="74"/>
      <c r="DJ72" s="74">
        <f t="shared" si="79"/>
        <v>0</v>
      </c>
      <c r="DK72" s="74"/>
      <c r="DL72" s="74"/>
      <c r="DM72" s="74">
        <f t="shared" si="80"/>
        <v>0</v>
      </c>
      <c r="DN72" s="74"/>
      <c r="DO72" s="74"/>
      <c r="DP72" s="74">
        <f t="shared" si="81"/>
        <v>1</v>
      </c>
      <c r="DQ72" s="74"/>
      <c r="DR72" s="74"/>
      <c r="DS72" s="74">
        <f t="shared" si="82"/>
        <v>2</v>
      </c>
      <c r="DT72" s="74"/>
      <c r="DU72" s="74"/>
      <c r="DV72" s="74">
        <f t="shared" si="83"/>
        <v>1</v>
      </c>
      <c r="DW72" s="74"/>
      <c r="DX72" s="74"/>
      <c r="DY72" s="74">
        <f t="shared" si="84"/>
        <v>2</v>
      </c>
      <c r="DZ72" s="74"/>
      <c r="EA72" s="74"/>
      <c r="EB72" s="74">
        <f t="shared" si="85"/>
        <v>1</v>
      </c>
      <c r="EC72" s="74"/>
      <c r="ED72" s="74"/>
      <c r="EE72" s="74">
        <f t="shared" si="86"/>
        <v>0</v>
      </c>
      <c r="EF72" s="74"/>
      <c r="EG72" s="74"/>
      <c r="EH72" s="74">
        <f t="shared" si="87"/>
        <v>1</v>
      </c>
      <c r="EI72" s="74"/>
      <c r="EJ72" s="74"/>
      <c r="EK72" s="74">
        <f t="shared" si="88"/>
        <v>1</v>
      </c>
      <c r="EL72" s="74"/>
      <c r="EM72" s="74"/>
      <c r="EN72" s="74">
        <f t="shared" si="89"/>
        <v>1</v>
      </c>
      <c r="EO72" s="74"/>
      <c r="EP72" s="74"/>
      <c r="EQ72" s="74">
        <f t="shared" si="90"/>
        <v>1</v>
      </c>
      <c r="ER72" s="74"/>
      <c r="ES72" s="74"/>
      <c r="ET72" s="74">
        <f t="shared" si="91"/>
        <v>0</v>
      </c>
      <c r="EU72" s="74"/>
      <c r="EV72" s="74"/>
      <c r="EW72" s="74">
        <f t="shared" si="92"/>
        <v>1</v>
      </c>
      <c r="EX72" s="74"/>
      <c r="EY72" s="74"/>
      <c r="EZ72" s="74">
        <f t="shared" si="104"/>
        <v>1</v>
      </c>
      <c r="FA72" s="74"/>
      <c r="FB72" s="74"/>
      <c r="FC72" s="74">
        <f t="shared" si="93"/>
        <v>3</v>
      </c>
      <c r="FD72" s="74"/>
      <c r="FE72" s="74"/>
      <c r="FF72" s="74">
        <f t="shared" si="99"/>
        <v>1</v>
      </c>
      <c r="FG72" s="74"/>
      <c r="FH72" s="74"/>
      <c r="FI72" s="74">
        <f t="shared" si="95"/>
        <v>0</v>
      </c>
      <c r="FJ72" s="74"/>
      <c r="FK72" s="74"/>
      <c r="FL72" s="74">
        <f t="shared" si="103"/>
        <v>0</v>
      </c>
      <c r="FM72" s="74"/>
      <c r="FN72" s="74"/>
      <c r="FO72" s="74">
        <f t="shared" si="97"/>
        <v>0</v>
      </c>
      <c r="FP72" s="74"/>
    </row>
    <row r="73" spans="1:172" ht="15" hidden="1" x14ac:dyDescent="0.2">
      <c r="A73" s="74"/>
      <c r="B73" s="74"/>
      <c r="C73" s="74"/>
      <c r="D73" s="74"/>
      <c r="E73" s="74"/>
      <c r="F73" s="74">
        <f>COUNTIF(F2:F45,F18)</f>
        <v>0</v>
      </c>
      <c r="G73" s="74"/>
      <c r="H73" s="74"/>
      <c r="I73" s="74">
        <f>COUNTIF(I2:I45,I18)</f>
        <v>0</v>
      </c>
      <c r="J73" s="74"/>
      <c r="K73" s="74"/>
      <c r="L73" s="74">
        <f>COUNTIF(L2:L45,L18)</f>
        <v>2</v>
      </c>
      <c r="M73" s="74"/>
      <c r="N73" s="74"/>
      <c r="O73" s="74">
        <f>COUNTIF(O2:O45,O18)</f>
        <v>1</v>
      </c>
      <c r="P73" s="74"/>
      <c r="Q73" s="74"/>
      <c r="R73" s="74">
        <f>COUNTIF(R2:R45,R18)</f>
        <v>1</v>
      </c>
      <c r="S73" s="74"/>
      <c r="T73" s="74"/>
      <c r="U73" s="74">
        <f>COUNTIF(U2:U45,U18)</f>
        <v>1</v>
      </c>
      <c r="V73" s="74"/>
      <c r="W73" s="74"/>
      <c r="X73" s="74">
        <f>COUNTIF(X2:X45,X18)</f>
        <v>0</v>
      </c>
      <c r="Y73" s="74"/>
      <c r="Z73" s="74"/>
      <c r="AA73" s="74">
        <f>COUNTIF(AA2:AA45,AA18)</f>
        <v>0</v>
      </c>
      <c r="AB73" s="74"/>
      <c r="AC73" s="74"/>
      <c r="AD73" s="74">
        <f>COUNTIF(AD2:AD45,AD18)</f>
        <v>2</v>
      </c>
      <c r="AE73" s="74"/>
      <c r="AF73" s="74"/>
      <c r="AG73" s="74">
        <f>COUNTIF(AG2:AG45,AG18)</f>
        <v>1</v>
      </c>
      <c r="AH73" s="74"/>
      <c r="AI73" s="74"/>
      <c r="AJ73" s="74">
        <f>COUNTIF(AJ2:AJ45,AJ18)</f>
        <v>2</v>
      </c>
      <c r="AK73" s="74"/>
      <c r="AL73" s="74"/>
      <c r="AM73" s="74">
        <f>COUNTIF(AM2:AM45,AM18)</f>
        <v>1</v>
      </c>
      <c r="AN73" s="74"/>
      <c r="AO73" s="74"/>
      <c r="AP73" s="74">
        <f>COUNTIF(AP2:AP45,AP18)</f>
        <v>0</v>
      </c>
      <c r="AQ73" s="74"/>
      <c r="AR73" s="74"/>
      <c r="AS73" s="74">
        <f>COUNTIF(AS2:AS45,AS18)</f>
        <v>1</v>
      </c>
      <c r="AT73" s="74"/>
      <c r="AU73" s="74"/>
      <c r="AV73" s="74">
        <f>COUNTIF(AV2:AV45,AV18)</f>
        <v>1</v>
      </c>
      <c r="AW73" s="74"/>
      <c r="AX73" s="74"/>
      <c r="AY73" s="74">
        <f t="shared" si="58"/>
        <v>1</v>
      </c>
      <c r="AZ73" s="74"/>
      <c r="BA73" s="74"/>
      <c r="BB73" s="74">
        <f t="shared" si="59"/>
        <v>0</v>
      </c>
      <c r="BC73" s="74"/>
      <c r="BD73" s="74"/>
      <c r="BE73" s="74">
        <f t="shared" si="60"/>
        <v>0</v>
      </c>
      <c r="BF73" s="74"/>
      <c r="BG73" s="74"/>
      <c r="BH73" s="74">
        <f t="shared" si="61"/>
        <v>0</v>
      </c>
      <c r="BI73" s="74"/>
      <c r="BJ73" s="74"/>
      <c r="BK73" s="74">
        <f t="shared" si="62"/>
        <v>2</v>
      </c>
      <c r="BL73" s="74"/>
      <c r="BM73" s="74"/>
      <c r="BN73" s="74">
        <f t="shared" si="63"/>
        <v>2</v>
      </c>
      <c r="BO73" s="74"/>
      <c r="BP73" s="74"/>
      <c r="BQ73" s="74">
        <f t="shared" si="64"/>
        <v>0</v>
      </c>
      <c r="BR73" s="252"/>
      <c r="BS73" s="252"/>
      <c r="BT73" s="74">
        <f t="shared" si="65"/>
        <v>2</v>
      </c>
      <c r="BU73" s="74"/>
      <c r="BV73" s="74"/>
      <c r="BW73" s="74">
        <f t="shared" si="66"/>
        <v>0</v>
      </c>
      <c r="BX73" s="74"/>
      <c r="BY73" s="74"/>
      <c r="BZ73" s="74">
        <f t="shared" si="67"/>
        <v>1</v>
      </c>
      <c r="CA73" s="74"/>
      <c r="CB73" s="74"/>
      <c r="CC73" s="74">
        <f t="shared" si="68"/>
        <v>2</v>
      </c>
      <c r="CD73" s="74"/>
      <c r="CE73" s="74"/>
      <c r="CF73" s="74">
        <f t="shared" si="69"/>
        <v>2</v>
      </c>
      <c r="CG73" s="74"/>
      <c r="CH73" s="74"/>
      <c r="CI73" s="74">
        <f t="shared" si="70"/>
        <v>0</v>
      </c>
      <c r="CJ73" s="74"/>
      <c r="CK73" s="74"/>
      <c r="CL73" s="74">
        <f t="shared" si="71"/>
        <v>2</v>
      </c>
      <c r="CM73" s="74"/>
      <c r="CN73" s="74"/>
      <c r="CO73" s="74">
        <f t="shared" si="72"/>
        <v>2</v>
      </c>
      <c r="CP73" s="74"/>
      <c r="CQ73" s="74"/>
      <c r="CR73" s="74">
        <f t="shared" si="73"/>
        <v>1</v>
      </c>
      <c r="CS73" s="74"/>
      <c r="CT73" s="74"/>
      <c r="CU73" s="74">
        <f t="shared" si="74"/>
        <v>2</v>
      </c>
      <c r="CV73" s="74"/>
      <c r="CW73" s="74"/>
      <c r="CX73" s="74">
        <f t="shared" si="75"/>
        <v>0</v>
      </c>
      <c r="CY73" s="74"/>
      <c r="CZ73" s="74"/>
      <c r="DA73" s="74">
        <f t="shared" si="76"/>
        <v>1</v>
      </c>
      <c r="DB73" s="74"/>
      <c r="DC73" s="74"/>
      <c r="DD73" s="74">
        <f t="shared" si="77"/>
        <v>2</v>
      </c>
      <c r="DE73" s="74"/>
      <c r="DF73" s="74"/>
      <c r="DG73" s="74">
        <f t="shared" si="78"/>
        <v>1</v>
      </c>
      <c r="DH73" s="74"/>
      <c r="DI73" s="74"/>
      <c r="DJ73" s="74">
        <f t="shared" si="79"/>
        <v>0</v>
      </c>
      <c r="DK73" s="74"/>
      <c r="DL73" s="74"/>
      <c r="DM73" s="74">
        <f t="shared" si="80"/>
        <v>0</v>
      </c>
      <c r="DN73" s="74"/>
      <c r="DO73" s="74"/>
      <c r="DP73" s="74">
        <f t="shared" si="81"/>
        <v>1</v>
      </c>
      <c r="DQ73" s="74"/>
      <c r="DR73" s="74"/>
      <c r="DS73" s="74">
        <f t="shared" si="82"/>
        <v>0</v>
      </c>
      <c r="DT73" s="74"/>
      <c r="DU73" s="74"/>
      <c r="DV73" s="74">
        <f t="shared" si="83"/>
        <v>2</v>
      </c>
      <c r="DW73" s="74"/>
      <c r="DX73" s="74"/>
      <c r="DY73" s="74">
        <f t="shared" si="84"/>
        <v>2</v>
      </c>
      <c r="DZ73" s="74"/>
      <c r="EA73" s="74"/>
      <c r="EB73" s="74">
        <f t="shared" si="85"/>
        <v>1</v>
      </c>
      <c r="EC73" s="74"/>
      <c r="ED73" s="74"/>
      <c r="EE73" s="74">
        <f t="shared" si="86"/>
        <v>0</v>
      </c>
      <c r="EF73" s="74"/>
      <c r="EG73" s="74"/>
      <c r="EH73" s="74">
        <f t="shared" si="87"/>
        <v>2</v>
      </c>
      <c r="EI73" s="74"/>
      <c r="EJ73" s="74"/>
      <c r="EK73" s="74">
        <f t="shared" si="88"/>
        <v>1</v>
      </c>
      <c r="EL73" s="74"/>
      <c r="EM73" s="74"/>
      <c r="EN73" s="74">
        <f t="shared" si="89"/>
        <v>0</v>
      </c>
      <c r="EO73" s="74"/>
      <c r="EP73" s="74"/>
      <c r="EQ73" s="74">
        <f t="shared" si="90"/>
        <v>1</v>
      </c>
      <c r="ER73" s="74"/>
      <c r="ES73" s="74"/>
      <c r="ET73" s="74">
        <f t="shared" si="91"/>
        <v>0</v>
      </c>
      <c r="EU73" s="74"/>
      <c r="EV73" s="74"/>
      <c r="EW73" s="74">
        <f t="shared" si="92"/>
        <v>1</v>
      </c>
      <c r="EX73" s="74"/>
      <c r="EY73" s="74"/>
      <c r="EZ73" s="74">
        <f t="shared" si="104"/>
        <v>2</v>
      </c>
      <c r="FA73" s="74"/>
      <c r="FB73" s="74"/>
      <c r="FC73" s="74">
        <f t="shared" si="93"/>
        <v>3</v>
      </c>
      <c r="FD73" s="74"/>
      <c r="FE73" s="74"/>
      <c r="FF73" s="74">
        <f t="shared" si="99"/>
        <v>1</v>
      </c>
      <c r="FG73" s="74"/>
      <c r="FH73" s="74"/>
      <c r="FI73" s="74">
        <f t="shared" si="95"/>
        <v>0</v>
      </c>
      <c r="FJ73" s="74"/>
      <c r="FK73" s="74"/>
      <c r="FL73" s="74">
        <f t="shared" si="103"/>
        <v>0</v>
      </c>
      <c r="FM73" s="74"/>
      <c r="FN73" s="74"/>
      <c r="FO73" s="74">
        <f t="shared" si="97"/>
        <v>0</v>
      </c>
      <c r="FP73" s="74"/>
    </row>
    <row r="74" spans="1:172" ht="15" hidden="1" x14ac:dyDescent="0.2">
      <c r="A74" s="74"/>
      <c r="B74" s="74"/>
      <c r="C74" s="74"/>
      <c r="D74" s="74"/>
      <c r="E74" s="74"/>
      <c r="F74" s="74">
        <f>COUNTIF(F2:F45,F19)</f>
        <v>0</v>
      </c>
      <c r="G74" s="74"/>
      <c r="H74" s="74"/>
      <c r="I74" s="74">
        <f>COUNTIF(I2:I45,I19)</f>
        <v>0</v>
      </c>
      <c r="J74" s="74"/>
      <c r="K74" s="74"/>
      <c r="L74" s="74">
        <f>COUNTIF(L2:L45,L19)</f>
        <v>2</v>
      </c>
      <c r="M74" s="74"/>
      <c r="N74" s="74"/>
      <c r="O74" s="74">
        <f>COUNTIF(O2:O45,O19)</f>
        <v>1</v>
      </c>
      <c r="P74" s="74"/>
      <c r="Q74" s="74"/>
      <c r="R74" s="74">
        <f>COUNTIF(R2:R45,R19)</f>
        <v>2</v>
      </c>
      <c r="S74" s="74"/>
      <c r="T74" s="74"/>
      <c r="U74" s="74">
        <f>COUNTIF(U2:U45,U19)</f>
        <v>1</v>
      </c>
      <c r="V74" s="74"/>
      <c r="W74" s="74"/>
      <c r="X74" s="74">
        <f>COUNTIF(X2:X45,X19)</f>
        <v>0</v>
      </c>
      <c r="Y74" s="74"/>
      <c r="Z74" s="74"/>
      <c r="AA74" s="74">
        <f>COUNTIF(AA2:AA45,AA19)</f>
        <v>0</v>
      </c>
      <c r="AB74" s="74"/>
      <c r="AC74" s="74"/>
      <c r="AD74" s="74">
        <f>COUNTIF(AD2:AD45,AD19)</f>
        <v>2</v>
      </c>
      <c r="AE74" s="74"/>
      <c r="AF74" s="74"/>
      <c r="AG74" s="74">
        <f>COUNTIF(AG2:AG45,AG19)</f>
        <v>1</v>
      </c>
      <c r="AH74" s="74"/>
      <c r="AI74" s="74"/>
      <c r="AJ74" s="74">
        <f>COUNTIF(AJ2:AJ45,AJ19)</f>
        <v>2</v>
      </c>
      <c r="AK74" s="74"/>
      <c r="AL74" s="74"/>
      <c r="AM74" s="74">
        <f>COUNTIF(AM2:AM45,AM19)</f>
        <v>0</v>
      </c>
      <c r="AN74" s="74"/>
      <c r="AO74" s="74"/>
      <c r="AP74" s="74">
        <f>COUNTIF(AP2:AP45,AP19)</f>
        <v>0</v>
      </c>
      <c r="AQ74" s="74"/>
      <c r="AR74" s="74"/>
      <c r="AS74" s="74">
        <f>COUNTIF(AS2:AS45,AS19)</f>
        <v>2</v>
      </c>
      <c r="AT74" s="74"/>
      <c r="AU74" s="74"/>
      <c r="AV74" s="74">
        <f>COUNTIF(AV2:AV45,AV19)</f>
        <v>1</v>
      </c>
      <c r="AW74" s="74"/>
      <c r="AX74" s="74"/>
      <c r="AY74" s="74">
        <f t="shared" si="58"/>
        <v>1</v>
      </c>
      <c r="AZ74" s="74"/>
      <c r="BA74" s="74"/>
      <c r="BB74" s="74">
        <f t="shared" si="59"/>
        <v>0</v>
      </c>
      <c r="BC74" s="74"/>
      <c r="BD74" s="74"/>
      <c r="BE74" s="74">
        <f t="shared" si="60"/>
        <v>0</v>
      </c>
      <c r="BF74" s="74"/>
      <c r="BG74" s="74"/>
      <c r="BH74" s="74">
        <f t="shared" si="61"/>
        <v>0</v>
      </c>
      <c r="BI74" s="74"/>
      <c r="BJ74" s="74"/>
      <c r="BK74" s="74">
        <f t="shared" si="62"/>
        <v>2</v>
      </c>
      <c r="BL74" s="74"/>
      <c r="BM74" s="74"/>
      <c r="BN74" s="74">
        <f t="shared" si="63"/>
        <v>2</v>
      </c>
      <c r="BO74" s="74"/>
      <c r="BP74" s="74"/>
      <c r="BQ74" s="74">
        <f t="shared" si="64"/>
        <v>0</v>
      </c>
      <c r="BR74" s="252"/>
      <c r="BS74" s="252"/>
      <c r="BT74" s="74">
        <f t="shared" si="65"/>
        <v>2</v>
      </c>
      <c r="BU74" s="74"/>
      <c r="BV74" s="74"/>
      <c r="BW74" s="74">
        <f t="shared" si="66"/>
        <v>0</v>
      </c>
      <c r="BX74" s="74"/>
      <c r="BY74" s="74"/>
      <c r="BZ74" s="74">
        <f t="shared" si="67"/>
        <v>1</v>
      </c>
      <c r="CA74" s="74"/>
      <c r="CB74" s="74"/>
      <c r="CC74" s="74">
        <f t="shared" si="68"/>
        <v>2</v>
      </c>
      <c r="CD74" s="74"/>
      <c r="CE74" s="74"/>
      <c r="CF74" s="74">
        <f t="shared" si="69"/>
        <v>0</v>
      </c>
      <c r="CG74" s="74"/>
      <c r="CH74" s="74"/>
      <c r="CI74" s="74">
        <f t="shared" si="70"/>
        <v>0</v>
      </c>
      <c r="CJ74" s="74"/>
      <c r="CK74" s="74"/>
      <c r="CL74" s="74">
        <f t="shared" si="71"/>
        <v>2</v>
      </c>
      <c r="CM74" s="74"/>
      <c r="CN74" s="74"/>
      <c r="CO74" s="74">
        <f t="shared" si="72"/>
        <v>2</v>
      </c>
      <c r="CP74" s="74"/>
      <c r="CQ74" s="74"/>
      <c r="CR74" s="74">
        <f t="shared" si="73"/>
        <v>1</v>
      </c>
      <c r="CS74" s="74"/>
      <c r="CT74" s="74"/>
      <c r="CU74" s="74">
        <f t="shared" si="74"/>
        <v>2</v>
      </c>
      <c r="CV74" s="74"/>
      <c r="CW74" s="74"/>
      <c r="CX74" s="74">
        <f t="shared" si="75"/>
        <v>0</v>
      </c>
      <c r="CY74" s="74"/>
      <c r="CZ74" s="74"/>
      <c r="DA74" s="74">
        <f t="shared" si="76"/>
        <v>1</v>
      </c>
      <c r="DB74" s="74"/>
      <c r="DC74" s="74"/>
      <c r="DD74" s="74">
        <f t="shared" si="77"/>
        <v>2</v>
      </c>
      <c r="DE74" s="74"/>
      <c r="DF74" s="74"/>
      <c r="DG74" s="74">
        <f t="shared" si="78"/>
        <v>1</v>
      </c>
      <c r="DH74" s="74"/>
      <c r="DI74" s="74"/>
      <c r="DJ74" s="74">
        <f t="shared" si="79"/>
        <v>0</v>
      </c>
      <c r="DK74" s="74"/>
      <c r="DL74" s="74"/>
      <c r="DM74" s="74">
        <f t="shared" si="80"/>
        <v>0</v>
      </c>
      <c r="DN74" s="74"/>
      <c r="DO74" s="74"/>
      <c r="DP74" s="74">
        <f t="shared" si="81"/>
        <v>1</v>
      </c>
      <c r="DQ74" s="74"/>
      <c r="DR74" s="74"/>
      <c r="DS74" s="74">
        <f t="shared" si="82"/>
        <v>0</v>
      </c>
      <c r="DT74" s="74"/>
      <c r="DU74" s="74"/>
      <c r="DV74" s="74">
        <f t="shared" si="83"/>
        <v>2</v>
      </c>
      <c r="DW74" s="74"/>
      <c r="DX74" s="74"/>
      <c r="DY74" s="74">
        <f t="shared" si="84"/>
        <v>1</v>
      </c>
      <c r="DZ74" s="74"/>
      <c r="EA74" s="74"/>
      <c r="EB74" s="74">
        <f t="shared" si="85"/>
        <v>0</v>
      </c>
      <c r="EC74" s="74"/>
      <c r="ED74" s="74"/>
      <c r="EE74" s="74">
        <f t="shared" si="86"/>
        <v>0</v>
      </c>
      <c r="EF74" s="74"/>
      <c r="EG74" s="74"/>
      <c r="EH74" s="74">
        <f t="shared" si="87"/>
        <v>2</v>
      </c>
      <c r="EI74" s="74"/>
      <c r="EJ74" s="74"/>
      <c r="EK74" s="74">
        <f t="shared" si="88"/>
        <v>1</v>
      </c>
      <c r="EL74" s="74"/>
      <c r="EM74" s="74"/>
      <c r="EN74" s="74">
        <f t="shared" si="89"/>
        <v>0</v>
      </c>
      <c r="EO74" s="74"/>
      <c r="EP74" s="74"/>
      <c r="EQ74" s="74">
        <f t="shared" si="90"/>
        <v>1</v>
      </c>
      <c r="ER74" s="74"/>
      <c r="ES74" s="74"/>
      <c r="ET74" s="74">
        <f t="shared" si="91"/>
        <v>0</v>
      </c>
      <c r="EU74" s="74"/>
      <c r="EV74" s="74"/>
      <c r="EW74" s="74">
        <f t="shared" si="92"/>
        <v>1</v>
      </c>
      <c r="EX74" s="74"/>
      <c r="EY74" s="74"/>
      <c r="EZ74" s="74">
        <f t="shared" si="104"/>
        <v>2</v>
      </c>
      <c r="FA74" s="74"/>
      <c r="FB74" s="74"/>
      <c r="FC74" s="74">
        <f t="shared" si="93"/>
        <v>3</v>
      </c>
      <c r="FD74" s="74"/>
      <c r="FE74" s="74"/>
      <c r="FF74" s="74">
        <f t="shared" si="99"/>
        <v>1</v>
      </c>
      <c r="FG74" s="74"/>
      <c r="FH74" s="74"/>
      <c r="FI74" s="74">
        <f t="shared" si="95"/>
        <v>0</v>
      </c>
      <c r="FJ74" s="74"/>
      <c r="FK74" s="74"/>
      <c r="FL74" s="74">
        <f t="shared" si="103"/>
        <v>0</v>
      </c>
      <c r="FM74" s="74"/>
      <c r="FN74" s="74"/>
      <c r="FO74" s="74">
        <f t="shared" si="97"/>
        <v>0</v>
      </c>
      <c r="FP74" s="74"/>
    </row>
    <row r="75" spans="1:172" ht="15" hidden="1" x14ac:dyDescent="0.2">
      <c r="A75" s="74"/>
      <c r="B75" s="74"/>
      <c r="C75" s="74"/>
      <c r="D75" s="74"/>
      <c r="E75" s="74"/>
      <c r="F75" s="74">
        <f>COUNTIF(F2:F45,F20)</f>
        <v>0</v>
      </c>
      <c r="G75" s="74"/>
      <c r="H75" s="74"/>
      <c r="I75" s="74">
        <f>COUNTIF(I2:I45,I20)</f>
        <v>0</v>
      </c>
      <c r="J75" s="74"/>
      <c r="K75" s="74"/>
      <c r="L75" s="74">
        <f>COUNTIF(L2:L45,L20)</f>
        <v>2</v>
      </c>
      <c r="M75" s="74"/>
      <c r="N75" s="74"/>
      <c r="O75" s="74">
        <f>COUNTIF(O2:O45,O20)</f>
        <v>0</v>
      </c>
      <c r="P75" s="74"/>
      <c r="Q75" s="74"/>
      <c r="R75" s="74">
        <f>COUNTIF(R2:R45,R20)</f>
        <v>2</v>
      </c>
      <c r="S75" s="74"/>
      <c r="T75" s="74"/>
      <c r="U75" s="74">
        <f>COUNTIF(U2:U45,U20)</f>
        <v>1</v>
      </c>
      <c r="V75" s="74"/>
      <c r="W75" s="74"/>
      <c r="X75" s="74">
        <f>COUNTIF(X2:X45,X20)</f>
        <v>0</v>
      </c>
      <c r="Y75" s="74"/>
      <c r="Z75" s="74"/>
      <c r="AA75" s="74">
        <f>COUNTIF(AA2:AA45,AA20)</f>
        <v>0</v>
      </c>
      <c r="AB75" s="74"/>
      <c r="AC75" s="74"/>
      <c r="AD75" s="74">
        <f>COUNTIF(AD2:AD45,AD20)</f>
        <v>1</v>
      </c>
      <c r="AE75" s="74"/>
      <c r="AF75" s="74"/>
      <c r="AG75" s="74">
        <f>COUNTIF(AG2:AG45,AG20)</f>
        <v>2</v>
      </c>
      <c r="AH75" s="74"/>
      <c r="AI75" s="74"/>
      <c r="AJ75" s="74">
        <f>COUNTIF(AJ2:AJ45,AJ20)</f>
        <v>2</v>
      </c>
      <c r="AK75" s="74"/>
      <c r="AL75" s="74"/>
      <c r="AM75" s="74">
        <f>COUNTIF(AM2:AM45,AM20)</f>
        <v>0</v>
      </c>
      <c r="AN75" s="74"/>
      <c r="AO75" s="74"/>
      <c r="AP75" s="74">
        <f>COUNTIF(AP2:AP45,AP20)</f>
        <v>0</v>
      </c>
      <c r="AQ75" s="74"/>
      <c r="AR75" s="74"/>
      <c r="AS75" s="74">
        <f>COUNTIF(AS2:AS45,AS20)</f>
        <v>2</v>
      </c>
      <c r="AT75" s="74"/>
      <c r="AU75" s="74"/>
      <c r="AV75" s="74">
        <f>COUNTIF(AV2:AV45,AV20)</f>
        <v>1</v>
      </c>
      <c r="AW75" s="74"/>
      <c r="AX75" s="74"/>
      <c r="AY75" s="74">
        <f t="shared" si="58"/>
        <v>2</v>
      </c>
      <c r="AZ75" s="74"/>
      <c r="BA75" s="74"/>
      <c r="BB75" s="74">
        <f t="shared" si="59"/>
        <v>0</v>
      </c>
      <c r="BC75" s="74"/>
      <c r="BD75" s="74"/>
      <c r="BE75" s="74">
        <f t="shared" si="60"/>
        <v>0</v>
      </c>
      <c r="BF75" s="74"/>
      <c r="BG75" s="74"/>
      <c r="BH75" s="74">
        <f t="shared" si="61"/>
        <v>0</v>
      </c>
      <c r="BI75" s="74"/>
      <c r="BJ75" s="74"/>
      <c r="BK75" s="74">
        <f t="shared" si="62"/>
        <v>2</v>
      </c>
      <c r="BL75" s="74"/>
      <c r="BM75" s="74"/>
      <c r="BN75" s="74">
        <f t="shared" si="63"/>
        <v>1</v>
      </c>
      <c r="BO75" s="74"/>
      <c r="BP75" s="74"/>
      <c r="BQ75" s="74">
        <f t="shared" si="64"/>
        <v>0</v>
      </c>
      <c r="BR75" s="252"/>
      <c r="BS75" s="252"/>
      <c r="BT75" s="74">
        <f t="shared" si="65"/>
        <v>1</v>
      </c>
      <c r="BU75" s="74"/>
      <c r="BV75" s="74"/>
      <c r="BW75" s="74">
        <f t="shared" si="66"/>
        <v>0</v>
      </c>
      <c r="BX75" s="74"/>
      <c r="BY75" s="74"/>
      <c r="BZ75" s="74">
        <f t="shared" si="67"/>
        <v>1</v>
      </c>
      <c r="CA75" s="74"/>
      <c r="CB75" s="74"/>
      <c r="CC75" s="74">
        <f t="shared" si="68"/>
        <v>1</v>
      </c>
      <c r="CD75" s="74"/>
      <c r="CE75" s="74"/>
      <c r="CF75" s="74">
        <f t="shared" si="69"/>
        <v>0</v>
      </c>
      <c r="CG75" s="74"/>
      <c r="CH75" s="74"/>
      <c r="CI75" s="74">
        <f t="shared" si="70"/>
        <v>0</v>
      </c>
      <c r="CJ75" s="74"/>
      <c r="CK75" s="74"/>
      <c r="CL75" s="74">
        <f t="shared" si="71"/>
        <v>2</v>
      </c>
      <c r="CM75" s="74"/>
      <c r="CN75" s="74"/>
      <c r="CO75" s="74">
        <f t="shared" si="72"/>
        <v>1</v>
      </c>
      <c r="CP75" s="74"/>
      <c r="CQ75" s="74"/>
      <c r="CR75" s="74">
        <f t="shared" si="73"/>
        <v>1</v>
      </c>
      <c r="CS75" s="74"/>
      <c r="CT75" s="74"/>
      <c r="CU75" s="74">
        <f t="shared" si="74"/>
        <v>3</v>
      </c>
      <c r="CV75" s="74"/>
      <c r="CW75" s="74"/>
      <c r="CX75" s="74">
        <f t="shared" si="75"/>
        <v>0</v>
      </c>
      <c r="CY75" s="74"/>
      <c r="CZ75" s="74"/>
      <c r="DA75" s="74">
        <f t="shared" si="76"/>
        <v>1</v>
      </c>
      <c r="DB75" s="74"/>
      <c r="DC75" s="74"/>
      <c r="DD75" s="74">
        <f t="shared" si="77"/>
        <v>2</v>
      </c>
      <c r="DE75" s="74"/>
      <c r="DF75" s="74"/>
      <c r="DG75" s="74">
        <f t="shared" si="78"/>
        <v>1</v>
      </c>
      <c r="DH75" s="74"/>
      <c r="DI75" s="74"/>
      <c r="DJ75" s="74">
        <f t="shared" si="79"/>
        <v>0</v>
      </c>
      <c r="DK75" s="74"/>
      <c r="DL75" s="74"/>
      <c r="DM75" s="74">
        <f t="shared" si="80"/>
        <v>0</v>
      </c>
      <c r="DN75" s="74"/>
      <c r="DO75" s="74"/>
      <c r="DP75" s="74">
        <f t="shared" si="81"/>
        <v>1</v>
      </c>
      <c r="DQ75" s="74"/>
      <c r="DR75" s="74"/>
      <c r="DS75" s="74">
        <f t="shared" si="82"/>
        <v>0</v>
      </c>
      <c r="DT75" s="74"/>
      <c r="DU75" s="74"/>
      <c r="DV75" s="74">
        <f t="shared" si="83"/>
        <v>2</v>
      </c>
      <c r="DW75" s="74"/>
      <c r="DX75" s="74"/>
      <c r="DY75" s="74">
        <f t="shared" si="84"/>
        <v>1</v>
      </c>
      <c r="DZ75" s="74"/>
      <c r="EA75" s="74"/>
      <c r="EB75" s="74">
        <f t="shared" si="85"/>
        <v>0</v>
      </c>
      <c r="EC75" s="74"/>
      <c r="ED75" s="74"/>
      <c r="EE75" s="74">
        <f t="shared" si="86"/>
        <v>0</v>
      </c>
      <c r="EF75" s="74"/>
      <c r="EG75" s="74"/>
      <c r="EH75" s="74">
        <f t="shared" si="87"/>
        <v>2</v>
      </c>
      <c r="EI75" s="74"/>
      <c r="EJ75" s="74"/>
      <c r="EK75" s="74">
        <f t="shared" si="88"/>
        <v>1</v>
      </c>
      <c r="EL75" s="74"/>
      <c r="EM75" s="74"/>
      <c r="EN75" s="74">
        <f t="shared" si="89"/>
        <v>0</v>
      </c>
      <c r="EO75" s="74"/>
      <c r="EP75" s="74"/>
      <c r="EQ75" s="74">
        <f t="shared" si="90"/>
        <v>1</v>
      </c>
      <c r="ER75" s="74"/>
      <c r="ES75" s="74"/>
      <c r="ET75" s="74">
        <f t="shared" si="91"/>
        <v>0</v>
      </c>
      <c r="EU75" s="74"/>
      <c r="EV75" s="74"/>
      <c r="EW75" s="74">
        <f t="shared" si="92"/>
        <v>0</v>
      </c>
      <c r="EX75" s="74"/>
      <c r="EY75" s="74"/>
      <c r="EZ75" s="74">
        <f t="shared" si="104"/>
        <v>0</v>
      </c>
      <c r="FA75" s="74"/>
      <c r="FB75" s="74"/>
      <c r="FC75" s="74">
        <f t="shared" si="93"/>
        <v>3</v>
      </c>
      <c r="FD75" s="74"/>
      <c r="FE75" s="74"/>
      <c r="FF75" s="74">
        <f t="shared" si="99"/>
        <v>1</v>
      </c>
      <c r="FG75" s="74"/>
      <c r="FH75" s="74"/>
      <c r="FI75" s="74">
        <f t="shared" si="95"/>
        <v>0</v>
      </c>
      <c r="FJ75" s="74"/>
      <c r="FK75" s="74"/>
      <c r="FL75" s="74">
        <f t="shared" si="103"/>
        <v>0</v>
      </c>
      <c r="FM75" s="74"/>
      <c r="FN75" s="74"/>
      <c r="FO75" s="74">
        <f t="shared" si="97"/>
        <v>0</v>
      </c>
      <c r="FP75" s="74"/>
    </row>
    <row r="76" spans="1:172" ht="15" hidden="1" x14ac:dyDescent="0.2">
      <c r="A76" s="74"/>
      <c r="B76" s="74"/>
      <c r="C76" s="74"/>
      <c r="D76" s="74"/>
      <c r="E76" s="74"/>
      <c r="F76" s="74">
        <f>COUNTIF(F2:F45,F21)</f>
        <v>0</v>
      </c>
      <c r="G76" s="74"/>
      <c r="H76" s="74"/>
      <c r="I76" s="74">
        <f>COUNTIF(I2:I45,I21)</f>
        <v>0</v>
      </c>
      <c r="J76" s="74"/>
      <c r="K76" s="74"/>
      <c r="L76" s="74">
        <f>COUNTIF(L2:L45,L21)</f>
        <v>2</v>
      </c>
      <c r="M76" s="74"/>
      <c r="N76" s="74"/>
      <c r="O76" s="74">
        <f>COUNTIF(O2:O45,O21)</f>
        <v>0</v>
      </c>
      <c r="P76" s="74"/>
      <c r="Q76" s="74"/>
      <c r="R76" s="74">
        <f>COUNTIF(R2:R45,R21)</f>
        <v>1</v>
      </c>
      <c r="S76" s="74"/>
      <c r="T76" s="74"/>
      <c r="U76" s="74">
        <f>COUNTIF(U2:U45,U21)</f>
        <v>0</v>
      </c>
      <c r="V76" s="74"/>
      <c r="W76" s="74"/>
      <c r="X76" s="74">
        <f>COUNTIF(X2:X45,X21)</f>
        <v>0</v>
      </c>
      <c r="Y76" s="74"/>
      <c r="Z76" s="74"/>
      <c r="AA76" s="74">
        <f>COUNTIF(AA2:AA45,AA21)</f>
        <v>0</v>
      </c>
      <c r="AB76" s="74"/>
      <c r="AC76" s="74"/>
      <c r="AD76" s="74">
        <f>COUNTIF(AD2:AD45,AD21)</f>
        <v>1</v>
      </c>
      <c r="AE76" s="74"/>
      <c r="AF76" s="74"/>
      <c r="AG76" s="74">
        <f>COUNTIF(AG2:AG45,AG21)</f>
        <v>2</v>
      </c>
      <c r="AH76" s="74"/>
      <c r="AI76" s="74"/>
      <c r="AJ76" s="74">
        <f>COUNTIF(AJ2:AJ45,AJ21)</f>
        <v>1</v>
      </c>
      <c r="AK76" s="74"/>
      <c r="AL76" s="74"/>
      <c r="AM76" s="74">
        <f>COUNTIF(AM2:AM45,AM21)</f>
        <v>0</v>
      </c>
      <c r="AN76" s="74"/>
      <c r="AO76" s="74"/>
      <c r="AP76" s="74">
        <f>COUNTIF(AP2:AP45,AP21)</f>
        <v>0</v>
      </c>
      <c r="AQ76" s="74"/>
      <c r="AR76" s="74"/>
      <c r="AS76" s="74">
        <f>COUNTIF(AS2:AS45,AS21)</f>
        <v>1</v>
      </c>
      <c r="AT76" s="74"/>
      <c r="AU76" s="74"/>
      <c r="AV76" s="74">
        <f>COUNTIF(AV2:AV45,AV21)</f>
        <v>0</v>
      </c>
      <c r="AW76" s="74"/>
      <c r="AX76" s="74"/>
      <c r="AY76" s="74">
        <f t="shared" si="58"/>
        <v>2</v>
      </c>
      <c r="AZ76" s="74"/>
      <c r="BA76" s="74"/>
      <c r="BB76" s="74">
        <f t="shared" si="59"/>
        <v>0</v>
      </c>
      <c r="BC76" s="74"/>
      <c r="BD76" s="74"/>
      <c r="BE76" s="74">
        <f t="shared" si="60"/>
        <v>0</v>
      </c>
      <c r="BF76" s="74"/>
      <c r="BG76" s="74"/>
      <c r="BH76" s="74">
        <f t="shared" si="61"/>
        <v>0</v>
      </c>
      <c r="BI76" s="74"/>
      <c r="BJ76" s="74"/>
      <c r="BK76" s="74">
        <f t="shared" si="62"/>
        <v>2</v>
      </c>
      <c r="BL76" s="74"/>
      <c r="BM76" s="74"/>
      <c r="BN76" s="74">
        <f t="shared" si="63"/>
        <v>0</v>
      </c>
      <c r="BO76" s="74"/>
      <c r="BP76" s="74"/>
      <c r="BQ76" s="74">
        <f t="shared" si="64"/>
        <v>0</v>
      </c>
      <c r="BR76" s="252"/>
      <c r="BS76" s="252"/>
      <c r="BT76" s="74">
        <f t="shared" si="65"/>
        <v>1</v>
      </c>
      <c r="BU76" s="74"/>
      <c r="BV76" s="74"/>
      <c r="BW76" s="74">
        <f t="shared" si="66"/>
        <v>0</v>
      </c>
      <c r="BX76" s="74"/>
      <c r="BY76" s="74"/>
      <c r="BZ76" s="74">
        <f t="shared" si="67"/>
        <v>0</v>
      </c>
      <c r="CA76" s="74"/>
      <c r="CB76" s="74"/>
      <c r="CC76" s="74">
        <f t="shared" si="68"/>
        <v>1</v>
      </c>
      <c r="CD76" s="74"/>
      <c r="CE76" s="74"/>
      <c r="CF76" s="74">
        <f t="shared" si="69"/>
        <v>0</v>
      </c>
      <c r="CG76" s="74"/>
      <c r="CH76" s="74"/>
      <c r="CI76" s="74">
        <f t="shared" si="70"/>
        <v>0</v>
      </c>
      <c r="CJ76" s="74"/>
      <c r="CK76" s="74"/>
      <c r="CL76" s="74">
        <f t="shared" si="71"/>
        <v>2</v>
      </c>
      <c r="CM76" s="74"/>
      <c r="CN76" s="74"/>
      <c r="CO76" s="74">
        <f t="shared" si="72"/>
        <v>2</v>
      </c>
      <c r="CP76" s="74"/>
      <c r="CQ76" s="74"/>
      <c r="CR76" s="74">
        <f t="shared" si="73"/>
        <v>2</v>
      </c>
      <c r="CS76" s="74"/>
      <c r="CT76" s="74"/>
      <c r="CU76" s="74">
        <f t="shared" si="74"/>
        <v>3</v>
      </c>
      <c r="CV76" s="74"/>
      <c r="CW76" s="74"/>
      <c r="CX76" s="74">
        <f t="shared" si="75"/>
        <v>0</v>
      </c>
      <c r="CY76" s="74"/>
      <c r="CZ76" s="74"/>
      <c r="DA76" s="74">
        <f t="shared" si="76"/>
        <v>1</v>
      </c>
      <c r="DB76" s="74"/>
      <c r="DC76" s="74"/>
      <c r="DD76" s="74">
        <f t="shared" si="77"/>
        <v>2</v>
      </c>
      <c r="DE76" s="74"/>
      <c r="DF76" s="74"/>
      <c r="DG76" s="74">
        <f t="shared" si="78"/>
        <v>1</v>
      </c>
      <c r="DH76" s="74"/>
      <c r="DI76" s="74"/>
      <c r="DJ76" s="74">
        <f t="shared" si="79"/>
        <v>0</v>
      </c>
      <c r="DK76" s="74"/>
      <c r="DL76" s="74"/>
      <c r="DM76" s="74">
        <f t="shared" si="80"/>
        <v>0</v>
      </c>
      <c r="DN76" s="74"/>
      <c r="DO76" s="74"/>
      <c r="DP76" s="74">
        <f t="shared" si="81"/>
        <v>1</v>
      </c>
      <c r="DQ76" s="74"/>
      <c r="DR76" s="74"/>
      <c r="DS76" s="74">
        <f t="shared" si="82"/>
        <v>0</v>
      </c>
      <c r="DT76" s="74"/>
      <c r="DU76" s="74"/>
      <c r="DV76" s="74">
        <f t="shared" si="83"/>
        <v>2</v>
      </c>
      <c r="DW76" s="74"/>
      <c r="DX76" s="74"/>
      <c r="DY76" s="74">
        <f t="shared" si="84"/>
        <v>1</v>
      </c>
      <c r="DZ76" s="74"/>
      <c r="EA76" s="74"/>
      <c r="EB76" s="74">
        <f t="shared" si="85"/>
        <v>0</v>
      </c>
      <c r="EC76" s="74"/>
      <c r="ED76" s="74"/>
      <c r="EE76" s="74">
        <f t="shared" si="86"/>
        <v>0</v>
      </c>
      <c r="EF76" s="74"/>
      <c r="EG76" s="74"/>
      <c r="EH76" s="74">
        <f t="shared" si="87"/>
        <v>2</v>
      </c>
      <c r="EI76" s="74"/>
      <c r="EJ76" s="74"/>
      <c r="EK76" s="74">
        <f t="shared" si="88"/>
        <v>1</v>
      </c>
      <c r="EL76" s="74"/>
      <c r="EM76" s="74"/>
      <c r="EN76" s="74">
        <f t="shared" si="89"/>
        <v>0</v>
      </c>
      <c r="EO76" s="74"/>
      <c r="EP76" s="74"/>
      <c r="EQ76" s="74">
        <f t="shared" si="90"/>
        <v>1</v>
      </c>
      <c r="ER76" s="74"/>
      <c r="ES76" s="74"/>
      <c r="ET76" s="74">
        <f t="shared" si="91"/>
        <v>0</v>
      </c>
      <c r="EU76" s="74"/>
      <c r="EV76" s="74"/>
      <c r="EW76" s="74">
        <f t="shared" si="92"/>
        <v>0</v>
      </c>
      <c r="EX76" s="74"/>
      <c r="EY76" s="74"/>
      <c r="EZ76" s="74">
        <f t="shared" si="104"/>
        <v>0</v>
      </c>
      <c r="FA76" s="74"/>
      <c r="FB76" s="74"/>
      <c r="FC76" s="74">
        <f t="shared" si="93"/>
        <v>3</v>
      </c>
      <c r="FD76" s="74"/>
      <c r="FE76" s="74"/>
      <c r="FF76" s="74">
        <f t="shared" si="99"/>
        <v>1</v>
      </c>
      <c r="FG76" s="74"/>
      <c r="FH76" s="74"/>
      <c r="FI76" s="74">
        <f t="shared" si="95"/>
        <v>0</v>
      </c>
      <c r="FJ76" s="74"/>
      <c r="FK76" s="74"/>
      <c r="FL76" s="74">
        <f t="shared" si="103"/>
        <v>0</v>
      </c>
      <c r="FM76" s="74"/>
      <c r="FN76" s="74"/>
      <c r="FO76" s="74">
        <f t="shared" si="97"/>
        <v>0</v>
      </c>
      <c r="FP76" s="74"/>
    </row>
    <row r="77" spans="1:172" ht="15" hidden="1" x14ac:dyDescent="0.2">
      <c r="A77" s="74"/>
      <c r="B77" s="74"/>
      <c r="C77" s="74"/>
      <c r="D77" s="74"/>
      <c r="E77" s="74"/>
      <c r="F77" s="74">
        <f>COUNTIF(F2:F45,F22)</f>
        <v>0</v>
      </c>
      <c r="G77" s="74"/>
      <c r="H77" s="74"/>
      <c r="I77" s="74">
        <f>COUNTIF(I2:I45,I22)</f>
        <v>0</v>
      </c>
      <c r="J77" s="74"/>
      <c r="K77" s="74"/>
      <c r="L77" s="74">
        <f>COUNTIF(L2:L45,L22)</f>
        <v>2</v>
      </c>
      <c r="M77" s="74"/>
      <c r="N77" s="74"/>
      <c r="O77" s="74">
        <f>COUNTIF(O2:O45,O22)</f>
        <v>0</v>
      </c>
      <c r="P77" s="74"/>
      <c r="Q77" s="74"/>
      <c r="R77" s="74">
        <f>COUNTIF(R2:R45,R22)</f>
        <v>1</v>
      </c>
      <c r="S77" s="74"/>
      <c r="T77" s="74"/>
      <c r="U77" s="74">
        <f>COUNTIF(U2:U45,U22)</f>
        <v>0</v>
      </c>
      <c r="V77" s="74"/>
      <c r="W77" s="74"/>
      <c r="X77" s="74">
        <f>COUNTIF(X2:X45,X22)</f>
        <v>0</v>
      </c>
      <c r="Y77" s="74"/>
      <c r="Z77" s="74"/>
      <c r="AA77" s="74">
        <f>COUNTIF(AA2:AA45,AA22)</f>
        <v>0</v>
      </c>
      <c r="AB77" s="74"/>
      <c r="AC77" s="74"/>
      <c r="AD77" s="74">
        <f>COUNTIF(AD2:AD45,AD22)</f>
        <v>1</v>
      </c>
      <c r="AE77" s="74"/>
      <c r="AF77" s="74"/>
      <c r="AG77" s="74">
        <f>COUNTIF(AG2:AG45,AG22)</f>
        <v>1</v>
      </c>
      <c r="AH77" s="74"/>
      <c r="AI77" s="74"/>
      <c r="AJ77" s="74">
        <f>COUNTIF(AJ2:AJ45,AJ22)</f>
        <v>0</v>
      </c>
      <c r="AK77" s="74"/>
      <c r="AL77" s="74"/>
      <c r="AM77" s="74">
        <f>COUNTIF(AM2:AM45,AM22)</f>
        <v>0</v>
      </c>
      <c r="AN77" s="74"/>
      <c r="AO77" s="74"/>
      <c r="AP77" s="74">
        <f>COUNTIF(AP2:AP45,AP22)</f>
        <v>0</v>
      </c>
      <c r="AQ77" s="74"/>
      <c r="AR77" s="74"/>
      <c r="AS77" s="74">
        <f>COUNTIF(AS2:AS45,AS22)</f>
        <v>1</v>
      </c>
      <c r="AT77" s="74"/>
      <c r="AU77" s="74"/>
      <c r="AV77" s="74">
        <f>COUNTIF(AV2:AV45,AV22)</f>
        <v>0</v>
      </c>
      <c r="AW77" s="74"/>
      <c r="AX77" s="74"/>
      <c r="AY77" s="74">
        <f t="shared" si="58"/>
        <v>0</v>
      </c>
      <c r="AZ77" s="74"/>
      <c r="BA77" s="74"/>
      <c r="BB77" s="74">
        <f t="shared" si="59"/>
        <v>0</v>
      </c>
      <c r="BC77" s="74"/>
      <c r="BD77" s="74"/>
      <c r="BE77" s="74">
        <f t="shared" si="60"/>
        <v>0</v>
      </c>
      <c r="BF77" s="74"/>
      <c r="BG77" s="74"/>
      <c r="BH77" s="74">
        <f t="shared" si="61"/>
        <v>0</v>
      </c>
      <c r="BI77" s="74"/>
      <c r="BJ77" s="74"/>
      <c r="BK77" s="74">
        <f t="shared" si="62"/>
        <v>1</v>
      </c>
      <c r="BL77" s="74"/>
      <c r="BM77" s="74"/>
      <c r="BN77" s="74">
        <f t="shared" si="63"/>
        <v>0</v>
      </c>
      <c r="BO77" s="74"/>
      <c r="BP77" s="74"/>
      <c r="BQ77" s="74">
        <f t="shared" si="64"/>
        <v>0</v>
      </c>
      <c r="BR77" s="252"/>
      <c r="BS77" s="252"/>
      <c r="BT77" s="74">
        <f t="shared" si="65"/>
        <v>1</v>
      </c>
      <c r="BU77" s="74"/>
      <c r="BV77" s="74"/>
      <c r="BW77" s="74">
        <f t="shared" si="66"/>
        <v>0</v>
      </c>
      <c r="BX77" s="74"/>
      <c r="BY77" s="74"/>
      <c r="BZ77" s="74">
        <f t="shared" si="67"/>
        <v>0</v>
      </c>
      <c r="CA77" s="74"/>
      <c r="CB77" s="74"/>
      <c r="CC77" s="74">
        <f t="shared" si="68"/>
        <v>1</v>
      </c>
      <c r="CD77" s="74"/>
      <c r="CE77" s="74"/>
      <c r="CF77" s="74">
        <f t="shared" si="69"/>
        <v>0</v>
      </c>
      <c r="CG77" s="74"/>
      <c r="CH77" s="74"/>
      <c r="CI77" s="74">
        <f t="shared" si="70"/>
        <v>0</v>
      </c>
      <c r="CJ77" s="74"/>
      <c r="CK77" s="74"/>
      <c r="CL77" s="74">
        <f t="shared" si="71"/>
        <v>1</v>
      </c>
      <c r="CM77" s="74"/>
      <c r="CN77" s="74"/>
      <c r="CO77" s="74">
        <f t="shared" si="72"/>
        <v>2</v>
      </c>
      <c r="CP77" s="74"/>
      <c r="CQ77" s="74"/>
      <c r="CR77" s="74">
        <f t="shared" si="73"/>
        <v>2</v>
      </c>
      <c r="CS77" s="74"/>
      <c r="CT77" s="74"/>
      <c r="CU77" s="74">
        <f t="shared" si="74"/>
        <v>3</v>
      </c>
      <c r="CV77" s="74"/>
      <c r="CW77" s="74"/>
      <c r="CX77" s="74">
        <f t="shared" si="75"/>
        <v>0</v>
      </c>
      <c r="CY77" s="74"/>
      <c r="CZ77" s="74"/>
      <c r="DA77" s="74">
        <f t="shared" si="76"/>
        <v>1</v>
      </c>
      <c r="DB77" s="74"/>
      <c r="DC77" s="74"/>
      <c r="DD77" s="74">
        <f t="shared" si="77"/>
        <v>3</v>
      </c>
      <c r="DE77" s="74"/>
      <c r="DF77" s="74"/>
      <c r="DG77" s="74">
        <f t="shared" si="78"/>
        <v>1</v>
      </c>
      <c r="DH77" s="74"/>
      <c r="DI77" s="74"/>
      <c r="DJ77" s="74">
        <f t="shared" si="79"/>
        <v>0</v>
      </c>
      <c r="DK77" s="74"/>
      <c r="DL77" s="74"/>
      <c r="DM77" s="74">
        <f t="shared" si="80"/>
        <v>0</v>
      </c>
      <c r="DN77" s="74"/>
      <c r="DO77" s="74"/>
      <c r="DP77" s="74">
        <f t="shared" si="81"/>
        <v>1</v>
      </c>
      <c r="DQ77" s="74"/>
      <c r="DR77" s="74"/>
      <c r="DS77" s="74">
        <f t="shared" si="82"/>
        <v>0</v>
      </c>
      <c r="DT77" s="74"/>
      <c r="DU77" s="74"/>
      <c r="DV77" s="74">
        <f t="shared" si="83"/>
        <v>1</v>
      </c>
      <c r="DW77" s="74"/>
      <c r="DX77" s="74"/>
      <c r="DY77" s="74">
        <f t="shared" si="84"/>
        <v>1</v>
      </c>
      <c r="DZ77" s="74"/>
      <c r="EA77" s="74"/>
      <c r="EB77" s="74">
        <f t="shared" si="85"/>
        <v>0</v>
      </c>
      <c r="EC77" s="74"/>
      <c r="ED77" s="74"/>
      <c r="EE77" s="74">
        <f t="shared" si="86"/>
        <v>0</v>
      </c>
      <c r="EF77" s="74"/>
      <c r="EG77" s="74"/>
      <c r="EH77" s="74">
        <f t="shared" si="87"/>
        <v>2</v>
      </c>
      <c r="EI77" s="74"/>
      <c r="EJ77" s="74"/>
      <c r="EK77" s="74">
        <f t="shared" si="88"/>
        <v>1</v>
      </c>
      <c r="EL77" s="74"/>
      <c r="EM77" s="74"/>
      <c r="EN77" s="74">
        <f t="shared" si="89"/>
        <v>0</v>
      </c>
      <c r="EO77" s="74"/>
      <c r="EP77" s="74"/>
      <c r="EQ77" s="74">
        <f t="shared" si="90"/>
        <v>1</v>
      </c>
      <c r="ER77" s="74"/>
      <c r="ES77" s="74"/>
      <c r="ET77" s="74">
        <f t="shared" si="91"/>
        <v>0</v>
      </c>
      <c r="EU77" s="74"/>
      <c r="EV77" s="74"/>
      <c r="EW77" s="74">
        <f t="shared" si="92"/>
        <v>0</v>
      </c>
      <c r="EX77" s="74"/>
      <c r="EY77" s="74"/>
      <c r="EZ77" s="74">
        <f t="shared" si="104"/>
        <v>0</v>
      </c>
      <c r="FA77" s="74"/>
      <c r="FB77" s="74"/>
      <c r="FC77" s="74">
        <f t="shared" si="93"/>
        <v>1</v>
      </c>
      <c r="FD77" s="74"/>
      <c r="FE77" s="74"/>
      <c r="FF77" s="74">
        <f t="shared" si="99"/>
        <v>2</v>
      </c>
      <c r="FG77" s="74"/>
      <c r="FH77" s="74"/>
      <c r="FI77" s="74">
        <f t="shared" si="95"/>
        <v>0</v>
      </c>
      <c r="FJ77" s="74"/>
      <c r="FK77" s="74"/>
      <c r="FL77" s="74">
        <f t="shared" si="103"/>
        <v>0</v>
      </c>
      <c r="FM77" s="74"/>
      <c r="FN77" s="74"/>
      <c r="FO77" s="74">
        <f t="shared" si="97"/>
        <v>0</v>
      </c>
      <c r="FP77" s="74"/>
    </row>
    <row r="78" spans="1:172" ht="15" hidden="1" x14ac:dyDescent="0.2">
      <c r="A78" s="74"/>
      <c r="B78" s="74"/>
      <c r="C78" s="74"/>
      <c r="D78" s="74"/>
      <c r="E78" s="74"/>
      <c r="F78" s="74">
        <f>COUNTIF(F2:F45,F23)</f>
        <v>0</v>
      </c>
      <c r="G78" s="74"/>
      <c r="H78" s="74"/>
      <c r="I78" s="74">
        <f>COUNTIF(I2:I45,I23)</f>
        <v>0</v>
      </c>
      <c r="J78" s="74"/>
      <c r="K78" s="74"/>
      <c r="L78" s="74">
        <f>COUNTIF(L2:L45,L23)</f>
        <v>2</v>
      </c>
      <c r="M78" s="74"/>
      <c r="N78" s="74"/>
      <c r="O78" s="74">
        <f>COUNTIF(O2:O45,O23)</f>
        <v>0</v>
      </c>
      <c r="P78" s="74"/>
      <c r="Q78" s="74"/>
      <c r="R78" s="74">
        <f>COUNTIF(R2:R45,R23)</f>
        <v>0</v>
      </c>
      <c r="S78" s="74"/>
      <c r="T78" s="74"/>
      <c r="U78" s="74">
        <f>COUNTIF(U2:U45,U23)</f>
        <v>0</v>
      </c>
      <c r="V78" s="74"/>
      <c r="W78" s="74"/>
      <c r="X78" s="74">
        <f>COUNTIF(X2:X45,X23)</f>
        <v>0</v>
      </c>
      <c r="Y78" s="74"/>
      <c r="Z78" s="74"/>
      <c r="AA78" s="74">
        <f>COUNTIF(AA2:AA45,AA23)</f>
        <v>0</v>
      </c>
      <c r="AB78" s="74"/>
      <c r="AC78" s="74"/>
      <c r="AD78" s="74">
        <f>COUNTIF(AD2:AD45,AD23)</f>
        <v>1</v>
      </c>
      <c r="AE78" s="74"/>
      <c r="AF78" s="74"/>
      <c r="AG78" s="74">
        <f>COUNTIF(AG2:AG45,AG23)</f>
        <v>1</v>
      </c>
      <c r="AH78" s="74"/>
      <c r="AI78" s="74"/>
      <c r="AJ78" s="74">
        <f>COUNTIF(AJ2:AJ45,AJ23)</f>
        <v>0</v>
      </c>
      <c r="AK78" s="74"/>
      <c r="AL78" s="74"/>
      <c r="AM78" s="74">
        <f>COUNTIF(AM2:AM45,AM23)</f>
        <v>0</v>
      </c>
      <c r="AN78" s="74"/>
      <c r="AO78" s="74"/>
      <c r="AP78" s="74">
        <f>COUNTIF(AP2:AP45,AP23)</f>
        <v>0</v>
      </c>
      <c r="AQ78" s="74"/>
      <c r="AR78" s="74"/>
      <c r="AS78" s="74">
        <f>COUNTIF(AS2:AS45,AS23)</f>
        <v>1</v>
      </c>
      <c r="AT78" s="74"/>
      <c r="AU78" s="74"/>
      <c r="AV78" s="74">
        <f>COUNTIF(AV2:AV45,AV23)</f>
        <v>0</v>
      </c>
      <c r="AW78" s="74"/>
      <c r="AX78" s="74"/>
      <c r="AY78" s="74">
        <f t="shared" si="58"/>
        <v>0</v>
      </c>
      <c r="AZ78" s="74"/>
      <c r="BA78" s="74"/>
      <c r="BB78" s="74">
        <f t="shared" si="59"/>
        <v>0</v>
      </c>
      <c r="BC78" s="74"/>
      <c r="BD78" s="74"/>
      <c r="BE78" s="74">
        <f t="shared" si="60"/>
        <v>0</v>
      </c>
      <c r="BF78" s="74"/>
      <c r="BG78" s="74"/>
      <c r="BH78" s="74">
        <f t="shared" si="61"/>
        <v>0</v>
      </c>
      <c r="BI78" s="74"/>
      <c r="BJ78" s="74"/>
      <c r="BK78" s="74">
        <f t="shared" si="62"/>
        <v>0</v>
      </c>
      <c r="BL78" s="74"/>
      <c r="BM78" s="74"/>
      <c r="BN78" s="74">
        <f t="shared" si="63"/>
        <v>0</v>
      </c>
      <c r="BO78" s="74"/>
      <c r="BP78" s="74"/>
      <c r="BQ78" s="74">
        <f t="shared" si="64"/>
        <v>0</v>
      </c>
      <c r="BR78" s="252"/>
      <c r="BS78" s="252"/>
      <c r="BT78" s="74">
        <f t="shared" si="65"/>
        <v>1</v>
      </c>
      <c r="BU78" s="74"/>
      <c r="BV78" s="74"/>
      <c r="BW78" s="74">
        <f t="shared" si="66"/>
        <v>0</v>
      </c>
      <c r="BX78" s="74"/>
      <c r="BY78" s="74"/>
      <c r="BZ78" s="74">
        <f t="shared" si="67"/>
        <v>0</v>
      </c>
      <c r="CA78" s="74"/>
      <c r="CB78" s="74"/>
      <c r="CC78" s="74">
        <f t="shared" si="68"/>
        <v>2</v>
      </c>
      <c r="CD78" s="74"/>
      <c r="CE78" s="74"/>
      <c r="CF78" s="74">
        <f t="shared" si="69"/>
        <v>0</v>
      </c>
      <c r="CG78" s="74"/>
      <c r="CH78" s="74"/>
      <c r="CI78" s="74">
        <f t="shared" si="70"/>
        <v>0</v>
      </c>
      <c r="CJ78" s="74"/>
      <c r="CK78" s="74"/>
      <c r="CL78" s="74">
        <f t="shared" si="71"/>
        <v>1</v>
      </c>
      <c r="CM78" s="74"/>
      <c r="CN78" s="74"/>
      <c r="CO78" s="74">
        <f t="shared" si="72"/>
        <v>0</v>
      </c>
      <c r="CP78" s="74"/>
      <c r="CQ78" s="74"/>
      <c r="CR78" s="74">
        <f t="shared" si="73"/>
        <v>1</v>
      </c>
      <c r="CS78" s="74"/>
      <c r="CT78" s="74"/>
      <c r="CU78" s="74">
        <f t="shared" si="74"/>
        <v>1</v>
      </c>
      <c r="CV78" s="74"/>
      <c r="CW78" s="74"/>
      <c r="CX78" s="74">
        <f t="shared" si="75"/>
        <v>0</v>
      </c>
      <c r="CY78" s="74"/>
      <c r="CZ78" s="74"/>
      <c r="DA78" s="74">
        <f t="shared" si="76"/>
        <v>0</v>
      </c>
      <c r="DB78" s="74"/>
      <c r="DC78" s="74"/>
      <c r="DD78" s="74">
        <f t="shared" si="77"/>
        <v>3</v>
      </c>
      <c r="DE78" s="74"/>
      <c r="DF78" s="74"/>
      <c r="DG78" s="74">
        <f t="shared" si="78"/>
        <v>1</v>
      </c>
      <c r="DH78" s="74"/>
      <c r="DI78" s="74"/>
      <c r="DJ78" s="74">
        <f t="shared" si="79"/>
        <v>0</v>
      </c>
      <c r="DK78" s="74"/>
      <c r="DL78" s="74"/>
      <c r="DM78" s="74">
        <f t="shared" si="80"/>
        <v>0</v>
      </c>
      <c r="DN78" s="74"/>
      <c r="DO78" s="74"/>
      <c r="DP78" s="74">
        <f t="shared" si="81"/>
        <v>1</v>
      </c>
      <c r="DQ78" s="74"/>
      <c r="DR78" s="74"/>
      <c r="DS78" s="74">
        <f t="shared" si="82"/>
        <v>0</v>
      </c>
      <c r="DT78" s="74"/>
      <c r="DU78" s="74"/>
      <c r="DV78" s="74">
        <f t="shared" si="83"/>
        <v>0</v>
      </c>
      <c r="DW78" s="74"/>
      <c r="DX78" s="74"/>
      <c r="DY78" s="74">
        <f t="shared" si="84"/>
        <v>1</v>
      </c>
      <c r="DZ78" s="74"/>
      <c r="EA78" s="74"/>
      <c r="EB78" s="74">
        <f t="shared" si="85"/>
        <v>0</v>
      </c>
      <c r="EC78" s="74"/>
      <c r="ED78" s="74"/>
      <c r="EE78" s="74">
        <f t="shared" si="86"/>
        <v>0</v>
      </c>
      <c r="EF78" s="74"/>
      <c r="EG78" s="74"/>
      <c r="EH78" s="74">
        <f t="shared" si="87"/>
        <v>2</v>
      </c>
      <c r="EI78" s="74"/>
      <c r="EJ78" s="74"/>
      <c r="EK78" s="74">
        <f t="shared" si="88"/>
        <v>1</v>
      </c>
      <c r="EL78" s="74"/>
      <c r="EM78" s="74"/>
      <c r="EN78" s="74">
        <f t="shared" si="89"/>
        <v>0</v>
      </c>
      <c r="EO78" s="74"/>
      <c r="EP78" s="74"/>
      <c r="EQ78" s="74">
        <f t="shared" si="90"/>
        <v>1</v>
      </c>
      <c r="ER78" s="74"/>
      <c r="ES78" s="74"/>
      <c r="ET78" s="74">
        <f t="shared" si="91"/>
        <v>0</v>
      </c>
      <c r="EU78" s="74"/>
      <c r="EV78" s="74"/>
      <c r="EW78" s="74">
        <f t="shared" si="92"/>
        <v>0</v>
      </c>
      <c r="EX78" s="74"/>
      <c r="EY78" s="74"/>
      <c r="EZ78" s="74">
        <f>COUNTIF($EZ$2:$EZ$45,#REF!)</f>
        <v>0</v>
      </c>
      <c r="FA78" s="74"/>
      <c r="FB78" s="74"/>
      <c r="FC78" s="74">
        <f t="shared" si="93"/>
        <v>1</v>
      </c>
      <c r="FD78" s="74"/>
      <c r="FE78" s="74"/>
      <c r="FF78" s="74">
        <f t="shared" si="99"/>
        <v>2</v>
      </c>
      <c r="FG78" s="74"/>
      <c r="FH78" s="74"/>
      <c r="FI78" s="74">
        <f t="shared" si="95"/>
        <v>0</v>
      </c>
      <c r="FJ78" s="74"/>
      <c r="FK78" s="74"/>
      <c r="FL78" s="74">
        <f t="shared" si="103"/>
        <v>0</v>
      </c>
      <c r="FM78" s="74"/>
      <c r="FN78" s="74"/>
      <c r="FO78" s="74">
        <f t="shared" si="97"/>
        <v>0</v>
      </c>
      <c r="FP78" s="74"/>
    </row>
    <row r="79" spans="1:172" ht="15" hidden="1" x14ac:dyDescent="0.2">
      <c r="A79" s="74"/>
      <c r="B79" s="74"/>
      <c r="C79" s="74"/>
      <c r="D79" s="74"/>
      <c r="E79" s="74"/>
      <c r="F79" s="74">
        <f>COUNTIF(F2:F45,F24)</f>
        <v>0</v>
      </c>
      <c r="G79" s="74"/>
      <c r="H79" s="74"/>
      <c r="I79" s="74">
        <f>COUNTIF(I2:I45,I24)</f>
        <v>0</v>
      </c>
      <c r="J79" s="74"/>
      <c r="K79" s="74"/>
      <c r="L79" s="74">
        <f>COUNTIF(L2:L45,L24)</f>
        <v>1</v>
      </c>
      <c r="M79" s="74"/>
      <c r="N79" s="74"/>
      <c r="O79" s="74">
        <f>COUNTIF(O2:O45,O24)</f>
        <v>0</v>
      </c>
      <c r="P79" s="74"/>
      <c r="Q79" s="74"/>
      <c r="R79" s="74">
        <f>COUNTIF(R2:R45,R24)</f>
        <v>0</v>
      </c>
      <c r="S79" s="74"/>
      <c r="T79" s="74"/>
      <c r="U79" s="74">
        <f>COUNTIF(U2:U45,U24)</f>
        <v>0</v>
      </c>
      <c r="V79" s="74"/>
      <c r="W79" s="74"/>
      <c r="X79" s="74">
        <f>COUNTIF(X2:X45,X24)</f>
        <v>0</v>
      </c>
      <c r="Y79" s="74"/>
      <c r="Z79" s="74"/>
      <c r="AA79" s="74">
        <f>COUNTIF(AA2:AA45,AA24)</f>
        <v>0</v>
      </c>
      <c r="AB79" s="74"/>
      <c r="AC79" s="74"/>
      <c r="AD79" s="74">
        <f>COUNTIF(AD2:AD45,AD24)</f>
        <v>1</v>
      </c>
      <c r="AE79" s="74"/>
      <c r="AF79" s="74"/>
      <c r="AG79" s="74">
        <f>COUNTIF(AG2:AG45,AG24)</f>
        <v>1</v>
      </c>
      <c r="AH79" s="74"/>
      <c r="AI79" s="74"/>
      <c r="AJ79" s="74">
        <f>COUNTIF(AJ2:AJ45,AJ24)</f>
        <v>0</v>
      </c>
      <c r="AK79" s="74"/>
      <c r="AL79" s="74"/>
      <c r="AM79" s="74">
        <f>COUNTIF(AM2:AM45,AM24)</f>
        <v>0</v>
      </c>
      <c r="AN79" s="74"/>
      <c r="AO79" s="74"/>
      <c r="AP79" s="74">
        <f>COUNTIF(AP2:AP45,AP24)</f>
        <v>0</v>
      </c>
      <c r="AQ79" s="74"/>
      <c r="AR79" s="74"/>
      <c r="AS79" s="74">
        <f>COUNTIF(AS2:AS45,AS24)</f>
        <v>0</v>
      </c>
      <c r="AT79" s="74"/>
      <c r="AU79" s="74"/>
      <c r="AV79" s="74">
        <f>COUNTIF(AV2:AV45,AV24)</f>
        <v>0</v>
      </c>
      <c r="AW79" s="74"/>
      <c r="AX79" s="74"/>
      <c r="AY79" s="74">
        <f t="shared" si="58"/>
        <v>0</v>
      </c>
      <c r="AZ79" s="74"/>
      <c r="BA79" s="74"/>
      <c r="BB79" s="74">
        <f t="shared" si="59"/>
        <v>0</v>
      </c>
      <c r="BC79" s="74"/>
      <c r="BD79" s="74"/>
      <c r="BE79" s="74">
        <f t="shared" si="60"/>
        <v>0</v>
      </c>
      <c r="BF79" s="74"/>
      <c r="BG79" s="74"/>
      <c r="BH79" s="74">
        <f t="shared" si="61"/>
        <v>0</v>
      </c>
      <c r="BI79" s="74"/>
      <c r="BJ79" s="74"/>
      <c r="BK79" s="74">
        <f t="shared" si="62"/>
        <v>0</v>
      </c>
      <c r="BL79" s="74"/>
      <c r="BM79" s="74"/>
      <c r="BN79" s="74">
        <f t="shared" si="63"/>
        <v>0</v>
      </c>
      <c r="BO79" s="74"/>
      <c r="BP79" s="74"/>
      <c r="BQ79" s="74">
        <f t="shared" si="64"/>
        <v>0</v>
      </c>
      <c r="BR79" s="252"/>
      <c r="BS79" s="252"/>
      <c r="BT79" s="74">
        <f t="shared" si="65"/>
        <v>1</v>
      </c>
      <c r="BU79" s="74"/>
      <c r="BV79" s="74"/>
      <c r="BW79" s="74">
        <f t="shared" si="66"/>
        <v>0</v>
      </c>
      <c r="BX79" s="74"/>
      <c r="BY79" s="74"/>
      <c r="BZ79" s="74">
        <f t="shared" si="67"/>
        <v>0</v>
      </c>
      <c r="CA79" s="74"/>
      <c r="CB79" s="74"/>
      <c r="CC79" s="74">
        <f t="shared" si="68"/>
        <v>2</v>
      </c>
      <c r="CD79" s="74"/>
      <c r="CE79" s="74"/>
      <c r="CF79" s="74">
        <f t="shared" si="69"/>
        <v>0</v>
      </c>
      <c r="CG79" s="74"/>
      <c r="CH79" s="74"/>
      <c r="CI79" s="74">
        <f t="shared" si="70"/>
        <v>0</v>
      </c>
      <c r="CJ79" s="74"/>
      <c r="CK79" s="74"/>
      <c r="CL79" s="74">
        <f t="shared" si="71"/>
        <v>2</v>
      </c>
      <c r="CM79" s="74"/>
      <c r="CN79" s="74"/>
      <c r="CO79" s="74">
        <f t="shared" si="72"/>
        <v>0</v>
      </c>
      <c r="CP79" s="74"/>
      <c r="CQ79" s="74"/>
      <c r="CR79" s="74">
        <f t="shared" si="73"/>
        <v>2</v>
      </c>
      <c r="CS79" s="74"/>
      <c r="CT79" s="74"/>
      <c r="CU79" s="74">
        <f t="shared" si="74"/>
        <v>2</v>
      </c>
      <c r="CV79" s="74"/>
      <c r="CW79" s="74"/>
      <c r="CX79" s="74">
        <f t="shared" si="75"/>
        <v>0</v>
      </c>
      <c r="CY79" s="74"/>
      <c r="CZ79" s="74"/>
      <c r="DA79" s="74">
        <f t="shared" si="76"/>
        <v>0</v>
      </c>
      <c r="DB79" s="74"/>
      <c r="DC79" s="74"/>
      <c r="DD79" s="74">
        <f t="shared" si="77"/>
        <v>3</v>
      </c>
      <c r="DE79" s="74"/>
      <c r="DF79" s="74"/>
      <c r="DG79" s="74">
        <f t="shared" si="78"/>
        <v>1</v>
      </c>
      <c r="DH79" s="74"/>
      <c r="DI79" s="74"/>
      <c r="DJ79" s="74">
        <f t="shared" si="79"/>
        <v>0</v>
      </c>
      <c r="DK79" s="74"/>
      <c r="DL79" s="74"/>
      <c r="DM79" s="74">
        <f t="shared" si="80"/>
        <v>0</v>
      </c>
      <c r="DN79" s="74"/>
      <c r="DO79" s="74"/>
      <c r="DP79" s="74">
        <f t="shared" si="81"/>
        <v>1</v>
      </c>
      <c r="DQ79" s="74"/>
      <c r="DR79" s="74"/>
      <c r="DS79" s="74">
        <f t="shared" si="82"/>
        <v>0</v>
      </c>
      <c r="DT79" s="74"/>
      <c r="DU79" s="74"/>
      <c r="DV79" s="74">
        <f t="shared" si="83"/>
        <v>0</v>
      </c>
      <c r="DW79" s="74"/>
      <c r="DX79" s="74"/>
      <c r="DY79" s="74">
        <f t="shared" si="84"/>
        <v>2</v>
      </c>
      <c r="DZ79" s="74"/>
      <c r="EA79" s="74"/>
      <c r="EB79" s="74">
        <f t="shared" si="85"/>
        <v>0</v>
      </c>
      <c r="EC79" s="74"/>
      <c r="ED79" s="74"/>
      <c r="EE79" s="74">
        <f t="shared" si="86"/>
        <v>0</v>
      </c>
      <c r="EF79" s="74"/>
      <c r="EG79" s="74"/>
      <c r="EH79" s="74">
        <f t="shared" si="87"/>
        <v>2</v>
      </c>
      <c r="EI79" s="74"/>
      <c r="EJ79" s="74"/>
      <c r="EK79" s="74">
        <f t="shared" si="88"/>
        <v>3</v>
      </c>
      <c r="EL79" s="74"/>
      <c r="EM79" s="74"/>
      <c r="EN79" s="74">
        <f t="shared" si="89"/>
        <v>0</v>
      </c>
      <c r="EO79" s="74"/>
      <c r="EP79" s="74"/>
      <c r="EQ79" s="74">
        <f t="shared" si="90"/>
        <v>1</v>
      </c>
      <c r="ER79" s="74"/>
      <c r="ES79" s="74"/>
      <c r="ET79" s="74">
        <f t="shared" si="91"/>
        <v>0</v>
      </c>
      <c r="EU79" s="74"/>
      <c r="EV79" s="74"/>
      <c r="EW79" s="74">
        <f t="shared" si="92"/>
        <v>0</v>
      </c>
      <c r="EX79" s="74"/>
      <c r="EY79" s="74"/>
      <c r="EZ79" s="74">
        <f t="shared" ref="EZ79:EZ101" si="105">COUNTIF($EZ$2:$EZ$45,EZ24)</f>
        <v>0</v>
      </c>
      <c r="FA79" s="74"/>
      <c r="FB79" s="74"/>
      <c r="FC79" s="74">
        <f t="shared" si="93"/>
        <v>2</v>
      </c>
      <c r="FD79" s="74"/>
      <c r="FE79" s="74"/>
      <c r="FF79" s="74">
        <f t="shared" si="99"/>
        <v>1</v>
      </c>
      <c r="FG79" s="74"/>
      <c r="FH79" s="74"/>
      <c r="FI79" s="74">
        <f t="shared" si="95"/>
        <v>0</v>
      </c>
      <c r="FJ79" s="74"/>
      <c r="FK79" s="74"/>
      <c r="FL79" s="74">
        <f t="shared" si="103"/>
        <v>0</v>
      </c>
      <c r="FM79" s="74"/>
      <c r="FN79" s="74"/>
      <c r="FO79" s="74">
        <f t="shared" si="97"/>
        <v>0</v>
      </c>
      <c r="FP79" s="74"/>
    </row>
    <row r="80" spans="1:172" ht="15" hidden="1" x14ac:dyDescent="0.2">
      <c r="A80" s="74"/>
      <c r="B80" s="74"/>
      <c r="C80" s="74"/>
      <c r="D80" s="74"/>
      <c r="E80" s="74"/>
      <c r="F80" s="74">
        <f>COUNTIF(F2:F45,F25)</f>
        <v>0</v>
      </c>
      <c r="G80" s="74"/>
      <c r="H80" s="74"/>
      <c r="I80" s="74">
        <f>COUNTIF(I2:I45,I25)</f>
        <v>0</v>
      </c>
      <c r="J80" s="74"/>
      <c r="K80" s="74"/>
      <c r="L80" s="74">
        <f>COUNTIF(L2:L45,L25)</f>
        <v>1</v>
      </c>
      <c r="M80" s="74"/>
      <c r="N80" s="74"/>
      <c r="O80" s="74">
        <f>COUNTIF(O2:O45,O25)</f>
        <v>0</v>
      </c>
      <c r="P80" s="74"/>
      <c r="Q80" s="74"/>
      <c r="R80" s="74">
        <f>COUNTIF(R2:R45,R25)</f>
        <v>0</v>
      </c>
      <c r="S80" s="74"/>
      <c r="T80" s="74"/>
      <c r="U80" s="74">
        <f>COUNTIF(U2:U45,U25)</f>
        <v>0</v>
      </c>
      <c r="V80" s="74"/>
      <c r="W80" s="74"/>
      <c r="X80" s="74">
        <f>COUNTIF(X2:X45,X25)</f>
        <v>0</v>
      </c>
      <c r="Y80" s="74"/>
      <c r="Z80" s="74"/>
      <c r="AA80" s="74">
        <f>COUNTIF(AA2:AA45,AA25)</f>
        <v>0</v>
      </c>
      <c r="AB80" s="74"/>
      <c r="AC80" s="74"/>
      <c r="AD80" s="74">
        <f>COUNTIF(AD2:AD45,AD25)</f>
        <v>1</v>
      </c>
      <c r="AE80" s="74"/>
      <c r="AF80" s="74"/>
      <c r="AG80" s="74">
        <f>COUNTIF(AG2:AG45,AG25)</f>
        <v>1</v>
      </c>
      <c r="AH80" s="74"/>
      <c r="AI80" s="74"/>
      <c r="AJ80" s="74">
        <f>COUNTIF(AJ2:AJ45,AJ25)</f>
        <v>0</v>
      </c>
      <c r="AK80" s="74"/>
      <c r="AL80" s="74"/>
      <c r="AM80" s="74">
        <f>COUNTIF(AM2:AM45,AM25)</f>
        <v>0</v>
      </c>
      <c r="AN80" s="74"/>
      <c r="AO80" s="74"/>
      <c r="AP80" s="74">
        <f>COUNTIF(AP2:AP45,AP25)</f>
        <v>0</v>
      </c>
      <c r="AQ80" s="74"/>
      <c r="AR80" s="74"/>
      <c r="AS80" s="74">
        <f>COUNTIF(AS2:AS45,AS25)</f>
        <v>0</v>
      </c>
      <c r="AT80" s="74"/>
      <c r="AU80" s="74"/>
      <c r="AV80" s="74">
        <f>COUNTIF(AV2:AV45,AV25)</f>
        <v>0</v>
      </c>
      <c r="AW80" s="74"/>
      <c r="AX80" s="74"/>
      <c r="AY80" s="74">
        <f t="shared" si="58"/>
        <v>0</v>
      </c>
      <c r="AZ80" s="74"/>
      <c r="BA80" s="74"/>
      <c r="BB80" s="74">
        <f t="shared" si="59"/>
        <v>0</v>
      </c>
      <c r="BC80" s="74"/>
      <c r="BD80" s="74"/>
      <c r="BE80" s="74">
        <f t="shared" si="60"/>
        <v>0</v>
      </c>
      <c r="BF80" s="74"/>
      <c r="BG80" s="74"/>
      <c r="BH80" s="74">
        <f t="shared" si="61"/>
        <v>0</v>
      </c>
      <c r="BI80" s="74"/>
      <c r="BJ80" s="74"/>
      <c r="BK80" s="74">
        <f t="shared" si="62"/>
        <v>0</v>
      </c>
      <c r="BL80" s="74"/>
      <c r="BM80" s="74"/>
      <c r="BN80" s="74">
        <f t="shared" si="63"/>
        <v>0</v>
      </c>
      <c r="BO80" s="74"/>
      <c r="BP80" s="74"/>
      <c r="BQ80" s="74">
        <f t="shared" si="64"/>
        <v>0</v>
      </c>
      <c r="BR80" s="252"/>
      <c r="BS80" s="252"/>
      <c r="BT80" s="74">
        <f t="shared" si="65"/>
        <v>2</v>
      </c>
      <c r="BU80" s="74"/>
      <c r="BV80" s="74"/>
      <c r="BW80" s="74">
        <f t="shared" si="66"/>
        <v>0</v>
      </c>
      <c r="BX80" s="74"/>
      <c r="BY80" s="74"/>
      <c r="BZ80" s="74">
        <f t="shared" si="67"/>
        <v>0</v>
      </c>
      <c r="CA80" s="74"/>
      <c r="CB80" s="74"/>
      <c r="CC80" s="74">
        <f t="shared" si="68"/>
        <v>2</v>
      </c>
      <c r="CD80" s="74"/>
      <c r="CE80" s="74"/>
      <c r="CF80" s="74">
        <f t="shared" si="69"/>
        <v>0</v>
      </c>
      <c r="CG80" s="74"/>
      <c r="CH80" s="74"/>
      <c r="CI80" s="74">
        <f t="shared" si="70"/>
        <v>0</v>
      </c>
      <c r="CJ80" s="74"/>
      <c r="CK80" s="74"/>
      <c r="CL80" s="74">
        <f t="shared" si="71"/>
        <v>2</v>
      </c>
      <c r="CM80" s="74"/>
      <c r="CN80" s="74"/>
      <c r="CO80" s="74">
        <f t="shared" si="72"/>
        <v>0</v>
      </c>
      <c r="CP80" s="74"/>
      <c r="CQ80" s="74"/>
      <c r="CR80" s="74">
        <f t="shared" si="73"/>
        <v>2</v>
      </c>
      <c r="CS80" s="74"/>
      <c r="CT80" s="74"/>
      <c r="CU80" s="74">
        <f t="shared" si="74"/>
        <v>2</v>
      </c>
      <c r="CV80" s="74"/>
      <c r="CW80" s="74"/>
      <c r="CX80" s="74">
        <f t="shared" si="75"/>
        <v>0</v>
      </c>
      <c r="CY80" s="74"/>
      <c r="CZ80" s="74"/>
      <c r="DA80" s="74">
        <f t="shared" si="76"/>
        <v>0</v>
      </c>
      <c r="DB80" s="74"/>
      <c r="DC80" s="74"/>
      <c r="DD80" s="74">
        <f t="shared" si="77"/>
        <v>1</v>
      </c>
      <c r="DE80" s="74"/>
      <c r="DF80" s="74"/>
      <c r="DG80" s="74">
        <f t="shared" si="78"/>
        <v>1</v>
      </c>
      <c r="DH80" s="74"/>
      <c r="DI80" s="74"/>
      <c r="DJ80" s="74">
        <f t="shared" si="79"/>
        <v>0</v>
      </c>
      <c r="DK80" s="74"/>
      <c r="DL80" s="74"/>
      <c r="DM80" s="74">
        <f t="shared" si="80"/>
        <v>0</v>
      </c>
      <c r="DN80" s="74"/>
      <c r="DO80" s="74"/>
      <c r="DP80" s="74">
        <f t="shared" si="81"/>
        <v>0</v>
      </c>
      <c r="DQ80" s="74"/>
      <c r="DR80" s="74"/>
      <c r="DS80" s="74">
        <f t="shared" si="82"/>
        <v>0</v>
      </c>
      <c r="DT80" s="74"/>
      <c r="DU80" s="74"/>
      <c r="DV80" s="74">
        <f t="shared" si="83"/>
        <v>0</v>
      </c>
      <c r="DW80" s="74"/>
      <c r="DX80" s="74"/>
      <c r="DY80" s="74">
        <f t="shared" si="84"/>
        <v>2</v>
      </c>
      <c r="DZ80" s="74"/>
      <c r="EA80" s="74"/>
      <c r="EB80" s="74">
        <f t="shared" si="85"/>
        <v>0</v>
      </c>
      <c r="EC80" s="74"/>
      <c r="ED80" s="74"/>
      <c r="EE80" s="74">
        <f t="shared" si="86"/>
        <v>0</v>
      </c>
      <c r="EF80" s="74"/>
      <c r="EG80" s="74"/>
      <c r="EH80" s="74">
        <f t="shared" si="87"/>
        <v>2</v>
      </c>
      <c r="EI80" s="74"/>
      <c r="EJ80" s="74"/>
      <c r="EK80" s="74">
        <f t="shared" si="88"/>
        <v>3</v>
      </c>
      <c r="EL80" s="74"/>
      <c r="EM80" s="74"/>
      <c r="EN80" s="74">
        <f t="shared" si="89"/>
        <v>0</v>
      </c>
      <c r="EO80" s="74"/>
      <c r="EP80" s="74"/>
      <c r="EQ80" s="74">
        <f t="shared" si="90"/>
        <v>1</v>
      </c>
      <c r="ER80" s="74"/>
      <c r="ES80" s="74"/>
      <c r="ET80" s="74">
        <f t="shared" si="91"/>
        <v>0</v>
      </c>
      <c r="EU80" s="74"/>
      <c r="EV80" s="74"/>
      <c r="EW80" s="74">
        <f t="shared" si="92"/>
        <v>0</v>
      </c>
      <c r="EX80" s="74"/>
      <c r="EY80" s="74"/>
      <c r="EZ80" s="74">
        <f t="shared" si="105"/>
        <v>0</v>
      </c>
      <c r="FA80" s="74"/>
      <c r="FB80" s="74"/>
      <c r="FC80" s="74">
        <f t="shared" si="93"/>
        <v>2</v>
      </c>
      <c r="FD80" s="74"/>
      <c r="FE80" s="74"/>
      <c r="FF80" s="74">
        <f t="shared" si="99"/>
        <v>3</v>
      </c>
      <c r="FG80" s="74"/>
      <c r="FH80" s="74"/>
      <c r="FI80" s="74">
        <f t="shared" si="95"/>
        <v>0</v>
      </c>
      <c r="FJ80" s="74"/>
      <c r="FK80" s="74"/>
      <c r="FL80" s="74">
        <f t="shared" si="103"/>
        <v>0</v>
      </c>
      <c r="FM80" s="74"/>
      <c r="FN80" s="74"/>
      <c r="FO80" s="74">
        <f t="shared" si="97"/>
        <v>0</v>
      </c>
      <c r="FP80" s="74"/>
    </row>
    <row r="81" spans="1:172" ht="15" hidden="1" x14ac:dyDescent="0.2">
      <c r="A81" s="74"/>
      <c r="B81" s="74"/>
      <c r="C81" s="74"/>
      <c r="D81" s="74"/>
      <c r="E81" s="74"/>
      <c r="F81" s="74">
        <f>COUNTIF(F2:F45,F26)</f>
        <v>0</v>
      </c>
      <c r="G81" s="74"/>
      <c r="H81" s="74"/>
      <c r="I81" s="74">
        <f>COUNTIF(I2:I45,I26)</f>
        <v>0</v>
      </c>
      <c r="J81" s="74"/>
      <c r="K81" s="74"/>
      <c r="L81" s="74">
        <f>COUNTIF(L2:L45,L26)</f>
        <v>1</v>
      </c>
      <c r="M81" s="74"/>
      <c r="N81" s="74"/>
      <c r="O81" s="74">
        <f>COUNTIF(O2:O45,O26)</f>
        <v>0</v>
      </c>
      <c r="P81" s="74"/>
      <c r="Q81" s="74"/>
      <c r="R81" s="74">
        <f>COUNTIF(R2:R45,R26)</f>
        <v>0</v>
      </c>
      <c r="S81" s="74"/>
      <c r="T81" s="74"/>
      <c r="U81" s="74">
        <f>COUNTIF(U2:U45,U26)</f>
        <v>0</v>
      </c>
      <c r="V81" s="74"/>
      <c r="W81" s="74"/>
      <c r="X81" s="74">
        <f>COUNTIF(X2:X45,X26)</f>
        <v>0</v>
      </c>
      <c r="Y81" s="74"/>
      <c r="Z81" s="74"/>
      <c r="AA81" s="74">
        <f>COUNTIF(AA2:AA45,AA26)</f>
        <v>0</v>
      </c>
      <c r="AB81" s="74"/>
      <c r="AC81" s="74"/>
      <c r="AD81" s="74">
        <f>COUNTIF(AD2:AD45,AD26)</f>
        <v>1</v>
      </c>
      <c r="AE81" s="74"/>
      <c r="AF81" s="74"/>
      <c r="AG81" s="74">
        <f>COUNTIF(AG2:AG45,AG26)</f>
        <v>1</v>
      </c>
      <c r="AH81" s="74"/>
      <c r="AI81" s="74"/>
      <c r="AJ81" s="74">
        <f>COUNTIF(AJ2:AJ45,AJ26)</f>
        <v>0</v>
      </c>
      <c r="AK81" s="74"/>
      <c r="AL81" s="74"/>
      <c r="AM81" s="74">
        <f>COUNTIF(AM2:AM45,AM26)</f>
        <v>0</v>
      </c>
      <c r="AN81" s="74"/>
      <c r="AO81" s="74"/>
      <c r="AP81" s="74">
        <f>COUNTIF(AP2:AP45,AP26)</f>
        <v>0</v>
      </c>
      <c r="AQ81" s="74"/>
      <c r="AR81" s="74"/>
      <c r="AS81" s="74">
        <f>COUNTIF(AS2:AS45,AS26)</f>
        <v>0</v>
      </c>
      <c r="AT81" s="74"/>
      <c r="AU81" s="74"/>
      <c r="AV81" s="74">
        <f>COUNTIF(AV2:AV45,AV26)</f>
        <v>0</v>
      </c>
      <c r="AW81" s="74"/>
      <c r="AX81" s="74"/>
      <c r="AY81" s="74">
        <f t="shared" si="58"/>
        <v>0</v>
      </c>
      <c r="AZ81" s="74"/>
      <c r="BA81" s="74"/>
      <c r="BB81" s="74">
        <f t="shared" si="59"/>
        <v>0</v>
      </c>
      <c r="BC81" s="74"/>
      <c r="BD81" s="74"/>
      <c r="BE81" s="74">
        <f t="shared" si="60"/>
        <v>0</v>
      </c>
      <c r="BF81" s="74"/>
      <c r="BG81" s="74"/>
      <c r="BH81" s="74">
        <f t="shared" si="61"/>
        <v>0</v>
      </c>
      <c r="BI81" s="74"/>
      <c r="BJ81" s="74"/>
      <c r="BK81" s="74">
        <f t="shared" si="62"/>
        <v>0</v>
      </c>
      <c r="BL81" s="74"/>
      <c r="BM81" s="74"/>
      <c r="BN81" s="74">
        <f t="shared" si="63"/>
        <v>0</v>
      </c>
      <c r="BO81" s="74"/>
      <c r="BP81" s="74"/>
      <c r="BQ81" s="74">
        <f t="shared" si="64"/>
        <v>0</v>
      </c>
      <c r="BR81" s="252"/>
      <c r="BS81" s="252"/>
      <c r="BT81" s="74">
        <f t="shared" si="65"/>
        <v>2</v>
      </c>
      <c r="BU81" s="74"/>
      <c r="BV81" s="74"/>
      <c r="BW81" s="74">
        <f t="shared" si="66"/>
        <v>0</v>
      </c>
      <c r="BX81" s="74"/>
      <c r="BY81" s="74"/>
      <c r="BZ81" s="74">
        <f t="shared" si="67"/>
        <v>0</v>
      </c>
      <c r="CA81" s="74"/>
      <c r="CB81" s="74"/>
      <c r="CC81" s="74">
        <f t="shared" si="68"/>
        <v>2</v>
      </c>
      <c r="CD81" s="74"/>
      <c r="CE81" s="74"/>
      <c r="CF81" s="74">
        <f t="shared" si="69"/>
        <v>0</v>
      </c>
      <c r="CG81" s="74"/>
      <c r="CH81" s="74"/>
      <c r="CI81" s="74">
        <f t="shared" si="70"/>
        <v>0</v>
      </c>
      <c r="CJ81" s="74"/>
      <c r="CK81" s="74"/>
      <c r="CL81" s="74">
        <f t="shared" si="71"/>
        <v>1</v>
      </c>
      <c r="CM81" s="74"/>
      <c r="CN81" s="74"/>
      <c r="CO81" s="74">
        <f t="shared" si="72"/>
        <v>0</v>
      </c>
      <c r="CP81" s="74"/>
      <c r="CQ81" s="74"/>
      <c r="CR81" s="74">
        <f t="shared" si="73"/>
        <v>1</v>
      </c>
      <c r="CS81" s="74"/>
      <c r="CT81" s="74"/>
      <c r="CU81" s="74">
        <f t="shared" si="74"/>
        <v>1</v>
      </c>
      <c r="CV81" s="74"/>
      <c r="CW81" s="74"/>
      <c r="CX81" s="74">
        <f t="shared" si="75"/>
        <v>0</v>
      </c>
      <c r="CY81" s="74"/>
      <c r="CZ81" s="74"/>
      <c r="DA81" s="74">
        <f t="shared" si="76"/>
        <v>0</v>
      </c>
      <c r="DB81" s="74"/>
      <c r="DC81" s="74"/>
      <c r="DD81" s="74">
        <f t="shared" si="77"/>
        <v>1</v>
      </c>
      <c r="DE81" s="74"/>
      <c r="DF81" s="74"/>
      <c r="DG81" s="74">
        <f t="shared" si="78"/>
        <v>0</v>
      </c>
      <c r="DH81" s="74"/>
      <c r="DI81" s="74"/>
      <c r="DJ81" s="74">
        <f t="shared" si="79"/>
        <v>0</v>
      </c>
      <c r="DK81" s="74"/>
      <c r="DL81" s="74"/>
      <c r="DM81" s="74">
        <f t="shared" si="80"/>
        <v>0</v>
      </c>
      <c r="DN81" s="74"/>
      <c r="DO81" s="74"/>
      <c r="DP81" s="74">
        <f t="shared" si="81"/>
        <v>0</v>
      </c>
      <c r="DQ81" s="74"/>
      <c r="DR81" s="74"/>
      <c r="DS81" s="74">
        <f t="shared" si="82"/>
        <v>0</v>
      </c>
      <c r="DT81" s="74"/>
      <c r="DU81" s="74"/>
      <c r="DV81" s="74">
        <f t="shared" si="83"/>
        <v>0</v>
      </c>
      <c r="DW81" s="74"/>
      <c r="DX81" s="74"/>
      <c r="DY81" s="74">
        <f t="shared" si="84"/>
        <v>1</v>
      </c>
      <c r="DZ81" s="74"/>
      <c r="EA81" s="74"/>
      <c r="EB81" s="74">
        <f t="shared" si="85"/>
        <v>0</v>
      </c>
      <c r="EC81" s="74"/>
      <c r="ED81" s="74"/>
      <c r="EE81" s="74">
        <f t="shared" si="86"/>
        <v>0</v>
      </c>
      <c r="EF81" s="74"/>
      <c r="EG81" s="74"/>
      <c r="EH81" s="74">
        <f t="shared" si="87"/>
        <v>1</v>
      </c>
      <c r="EI81" s="74"/>
      <c r="EJ81" s="74"/>
      <c r="EK81" s="74">
        <f t="shared" si="88"/>
        <v>3</v>
      </c>
      <c r="EL81" s="74"/>
      <c r="EM81" s="74"/>
      <c r="EN81" s="74">
        <f t="shared" si="89"/>
        <v>0</v>
      </c>
      <c r="EO81" s="74"/>
      <c r="EP81" s="74"/>
      <c r="EQ81" s="74">
        <f t="shared" si="90"/>
        <v>1</v>
      </c>
      <c r="ER81" s="74"/>
      <c r="ES81" s="74"/>
      <c r="ET81" s="74">
        <f t="shared" si="91"/>
        <v>0</v>
      </c>
      <c r="EU81" s="74"/>
      <c r="EV81" s="74"/>
      <c r="EW81" s="74">
        <f t="shared" si="92"/>
        <v>0</v>
      </c>
      <c r="EX81" s="74"/>
      <c r="EY81" s="74"/>
      <c r="EZ81" s="74">
        <f t="shared" si="105"/>
        <v>0</v>
      </c>
      <c r="FA81" s="74"/>
      <c r="FB81" s="74"/>
      <c r="FC81" s="74">
        <f t="shared" si="93"/>
        <v>2</v>
      </c>
      <c r="FD81" s="74"/>
      <c r="FE81" s="74"/>
      <c r="FF81" s="74">
        <f t="shared" si="99"/>
        <v>3</v>
      </c>
      <c r="FG81" s="74"/>
      <c r="FH81" s="74"/>
      <c r="FI81" s="74">
        <f t="shared" si="95"/>
        <v>0</v>
      </c>
      <c r="FJ81" s="74"/>
      <c r="FK81" s="74"/>
      <c r="FL81" s="74">
        <f t="shared" si="103"/>
        <v>0</v>
      </c>
      <c r="FM81" s="74"/>
      <c r="FN81" s="74"/>
      <c r="FO81" s="74">
        <f t="shared" si="97"/>
        <v>0</v>
      </c>
      <c r="FP81" s="74"/>
    </row>
    <row r="82" spans="1:172" ht="15" hidden="1" x14ac:dyDescent="0.2">
      <c r="A82" s="74"/>
      <c r="B82" s="74"/>
      <c r="C82" s="74"/>
      <c r="D82" s="74"/>
      <c r="E82" s="74"/>
      <c r="F82" s="74">
        <f>COUNTIF(F2:F45,F27)</f>
        <v>0</v>
      </c>
      <c r="G82" s="74"/>
      <c r="H82" s="74"/>
      <c r="I82" s="74">
        <f>COUNTIF(I2:I45,I27)</f>
        <v>0</v>
      </c>
      <c r="J82" s="74"/>
      <c r="K82" s="74"/>
      <c r="L82" s="74">
        <f>COUNTIF(L2:L45,L27)</f>
        <v>0</v>
      </c>
      <c r="M82" s="74"/>
      <c r="N82" s="74"/>
      <c r="O82" s="74">
        <f>COUNTIF(O2:O45,O27)</f>
        <v>0</v>
      </c>
      <c r="P82" s="74"/>
      <c r="Q82" s="74"/>
      <c r="R82" s="74">
        <f>COUNTIF(R2:R45,R27)</f>
        <v>0</v>
      </c>
      <c r="S82" s="74"/>
      <c r="T82" s="74"/>
      <c r="U82" s="74">
        <f>COUNTIF(U2:U45,U27)</f>
        <v>0</v>
      </c>
      <c r="V82" s="74"/>
      <c r="W82" s="74"/>
      <c r="X82" s="74">
        <f>COUNTIF(X2:X45,X27)</f>
        <v>0</v>
      </c>
      <c r="Y82" s="74"/>
      <c r="Z82" s="74"/>
      <c r="AA82" s="74">
        <f>COUNTIF(AA2:AA45,AA27)</f>
        <v>0</v>
      </c>
      <c r="AB82" s="74"/>
      <c r="AC82" s="74"/>
      <c r="AD82" s="74">
        <f>COUNTIF(AD2:AD45,AD27)</f>
        <v>0</v>
      </c>
      <c r="AE82" s="74"/>
      <c r="AF82" s="74"/>
      <c r="AG82" s="74">
        <f>COUNTIF(AG2:AG45,AG27)</f>
        <v>0</v>
      </c>
      <c r="AH82" s="74"/>
      <c r="AI82" s="74"/>
      <c r="AJ82" s="74">
        <f>COUNTIF(AJ2:AJ45,AJ27)</f>
        <v>0</v>
      </c>
      <c r="AK82" s="74"/>
      <c r="AL82" s="74"/>
      <c r="AM82" s="74">
        <f>COUNTIF(AM2:AM45,AM27)</f>
        <v>0</v>
      </c>
      <c r="AN82" s="74"/>
      <c r="AO82" s="74"/>
      <c r="AP82" s="74">
        <f>COUNTIF(AP2:AP45,AP27)</f>
        <v>0</v>
      </c>
      <c r="AQ82" s="74"/>
      <c r="AR82" s="74"/>
      <c r="AS82" s="74">
        <f>COUNTIF(AS2:AS45,AS27)</f>
        <v>0</v>
      </c>
      <c r="AT82" s="74"/>
      <c r="AU82" s="74"/>
      <c r="AV82" s="74">
        <f>COUNTIF(AV2:AV45,AV27)</f>
        <v>0</v>
      </c>
      <c r="AW82" s="74"/>
      <c r="AX82" s="74"/>
      <c r="AY82" s="74">
        <f t="shared" si="58"/>
        <v>0</v>
      </c>
      <c r="AZ82" s="74"/>
      <c r="BA82" s="74"/>
      <c r="BB82" s="74">
        <f t="shared" si="59"/>
        <v>0</v>
      </c>
      <c r="BC82" s="74"/>
      <c r="BD82" s="74"/>
      <c r="BE82" s="74">
        <f t="shared" si="60"/>
        <v>0</v>
      </c>
      <c r="BF82" s="74"/>
      <c r="BG82" s="74"/>
      <c r="BH82" s="74">
        <f t="shared" si="61"/>
        <v>0</v>
      </c>
      <c r="BI82" s="74"/>
      <c r="BJ82" s="74"/>
      <c r="BK82" s="74">
        <f t="shared" si="62"/>
        <v>0</v>
      </c>
      <c r="BL82" s="74"/>
      <c r="BM82" s="74"/>
      <c r="BN82" s="74">
        <f t="shared" si="63"/>
        <v>0</v>
      </c>
      <c r="BO82" s="74"/>
      <c r="BP82" s="74"/>
      <c r="BQ82" s="74">
        <f t="shared" si="64"/>
        <v>0</v>
      </c>
      <c r="BR82" s="252"/>
      <c r="BS82" s="252"/>
      <c r="BT82" s="74">
        <f t="shared" si="65"/>
        <v>0</v>
      </c>
      <c r="BU82" s="74"/>
      <c r="BV82" s="74"/>
      <c r="BW82" s="74">
        <f t="shared" si="66"/>
        <v>0</v>
      </c>
      <c r="BX82" s="74"/>
      <c r="BY82" s="74"/>
      <c r="BZ82" s="74">
        <f t="shared" si="67"/>
        <v>0</v>
      </c>
      <c r="CA82" s="74"/>
      <c r="CB82" s="74"/>
      <c r="CC82" s="74">
        <f t="shared" si="68"/>
        <v>1</v>
      </c>
      <c r="CD82" s="74"/>
      <c r="CE82" s="74"/>
      <c r="CF82" s="74">
        <f t="shared" si="69"/>
        <v>0</v>
      </c>
      <c r="CG82" s="74"/>
      <c r="CH82" s="74"/>
      <c r="CI82" s="74">
        <f t="shared" si="70"/>
        <v>0</v>
      </c>
      <c r="CJ82" s="74"/>
      <c r="CK82" s="74"/>
      <c r="CL82" s="74">
        <f t="shared" si="71"/>
        <v>0</v>
      </c>
      <c r="CM82" s="74"/>
      <c r="CN82" s="74"/>
      <c r="CO82" s="74">
        <f t="shared" si="72"/>
        <v>0</v>
      </c>
      <c r="CP82" s="74"/>
      <c r="CQ82" s="74"/>
      <c r="CR82" s="74">
        <f t="shared" si="73"/>
        <v>0</v>
      </c>
      <c r="CS82" s="74"/>
      <c r="CT82" s="74"/>
      <c r="CU82" s="74">
        <f t="shared" si="74"/>
        <v>0</v>
      </c>
      <c r="CV82" s="74"/>
      <c r="CW82" s="74"/>
      <c r="CX82" s="74">
        <f t="shared" si="75"/>
        <v>0</v>
      </c>
      <c r="CY82" s="74"/>
      <c r="CZ82" s="74"/>
      <c r="DA82" s="74">
        <f t="shared" si="76"/>
        <v>0</v>
      </c>
      <c r="DB82" s="74"/>
      <c r="DC82" s="74"/>
      <c r="DD82" s="74">
        <f t="shared" si="77"/>
        <v>0</v>
      </c>
      <c r="DE82" s="74"/>
      <c r="DF82" s="74"/>
      <c r="DG82" s="74">
        <f t="shared" si="78"/>
        <v>0</v>
      </c>
      <c r="DH82" s="74"/>
      <c r="DI82" s="74"/>
      <c r="DJ82" s="74">
        <f t="shared" si="79"/>
        <v>0</v>
      </c>
      <c r="DK82" s="74"/>
      <c r="DL82" s="74"/>
      <c r="DM82" s="74">
        <f t="shared" si="80"/>
        <v>0</v>
      </c>
      <c r="DN82" s="74"/>
      <c r="DO82" s="74"/>
      <c r="DP82" s="74">
        <f t="shared" si="81"/>
        <v>0</v>
      </c>
      <c r="DQ82" s="74"/>
      <c r="DR82" s="74"/>
      <c r="DS82" s="74">
        <f t="shared" si="82"/>
        <v>0</v>
      </c>
      <c r="DT82" s="74"/>
      <c r="DU82" s="74"/>
      <c r="DV82" s="74">
        <f t="shared" si="83"/>
        <v>0</v>
      </c>
      <c r="DW82" s="74"/>
      <c r="DX82" s="74"/>
      <c r="DY82" s="74">
        <f t="shared" si="84"/>
        <v>1</v>
      </c>
      <c r="DZ82" s="74"/>
      <c r="EA82" s="74"/>
      <c r="EB82" s="74">
        <f t="shared" si="85"/>
        <v>0</v>
      </c>
      <c r="EC82" s="74"/>
      <c r="ED82" s="74"/>
      <c r="EE82" s="74">
        <f t="shared" si="86"/>
        <v>0</v>
      </c>
      <c r="EF82" s="74"/>
      <c r="EG82" s="74"/>
      <c r="EH82" s="74">
        <f t="shared" si="87"/>
        <v>1</v>
      </c>
      <c r="EI82" s="74"/>
      <c r="EJ82" s="74"/>
      <c r="EK82" s="74">
        <f t="shared" si="88"/>
        <v>0</v>
      </c>
      <c r="EL82" s="74"/>
      <c r="EM82" s="74"/>
      <c r="EN82" s="74">
        <f t="shared" si="89"/>
        <v>0</v>
      </c>
      <c r="EO82" s="74"/>
      <c r="EP82" s="74"/>
      <c r="EQ82" s="74">
        <f t="shared" si="90"/>
        <v>1</v>
      </c>
      <c r="ER82" s="74"/>
      <c r="ES82" s="74"/>
      <c r="ET82" s="74">
        <f t="shared" si="91"/>
        <v>0</v>
      </c>
      <c r="EU82" s="74"/>
      <c r="EV82" s="74"/>
      <c r="EW82" s="74">
        <f t="shared" si="92"/>
        <v>0</v>
      </c>
      <c r="EX82" s="74"/>
      <c r="EY82" s="74"/>
      <c r="EZ82" s="74">
        <f t="shared" si="105"/>
        <v>0</v>
      </c>
      <c r="FA82" s="74"/>
      <c r="FB82" s="74"/>
      <c r="FC82" s="74">
        <f t="shared" si="93"/>
        <v>2</v>
      </c>
      <c r="FD82" s="74"/>
      <c r="FE82" s="74"/>
      <c r="FF82" s="74">
        <f t="shared" si="99"/>
        <v>3</v>
      </c>
      <c r="FG82" s="74"/>
      <c r="FH82" s="74"/>
      <c r="FI82" s="74">
        <f t="shared" si="95"/>
        <v>0</v>
      </c>
      <c r="FJ82" s="74"/>
      <c r="FK82" s="74"/>
      <c r="FL82" s="74">
        <f t="shared" si="103"/>
        <v>0</v>
      </c>
      <c r="FM82" s="74"/>
      <c r="FN82" s="74"/>
      <c r="FO82" s="74">
        <f t="shared" si="97"/>
        <v>0</v>
      </c>
      <c r="FP82" s="74"/>
    </row>
    <row r="83" spans="1:172" ht="15" hidden="1" x14ac:dyDescent="0.2">
      <c r="A83" s="74"/>
      <c r="B83" s="74"/>
      <c r="C83" s="74"/>
      <c r="D83" s="74"/>
      <c r="E83" s="74"/>
      <c r="F83" s="74">
        <f>COUNTIF(F2:F45,F28)</f>
        <v>0</v>
      </c>
      <c r="G83" s="74"/>
      <c r="H83" s="74"/>
      <c r="I83" s="74">
        <f>COUNTIF(I2:I45,I28)</f>
        <v>0</v>
      </c>
      <c r="J83" s="74"/>
      <c r="K83" s="74"/>
      <c r="L83" s="74">
        <f>COUNTIF(L2:L45,L28)</f>
        <v>0</v>
      </c>
      <c r="M83" s="74"/>
      <c r="N83" s="74"/>
      <c r="O83" s="74">
        <f>COUNTIF(O2:O45,O28)</f>
        <v>0</v>
      </c>
      <c r="P83" s="74"/>
      <c r="Q83" s="74"/>
      <c r="R83" s="74">
        <f>COUNTIF(R2:R45,R28)</f>
        <v>0</v>
      </c>
      <c r="S83" s="74"/>
      <c r="T83" s="74"/>
      <c r="U83" s="74">
        <f>COUNTIF(U2:U45,U28)</f>
        <v>0</v>
      </c>
      <c r="V83" s="74"/>
      <c r="W83" s="74"/>
      <c r="X83" s="74">
        <f>COUNTIF(X2:X45,X28)</f>
        <v>0</v>
      </c>
      <c r="Y83" s="74"/>
      <c r="Z83" s="74"/>
      <c r="AA83" s="74">
        <f>COUNTIF(AA2:AA45,AA28)</f>
        <v>0</v>
      </c>
      <c r="AB83" s="74"/>
      <c r="AC83" s="74"/>
      <c r="AD83" s="74">
        <f>COUNTIF(AD2:AD45,AD28)</f>
        <v>0</v>
      </c>
      <c r="AE83" s="74"/>
      <c r="AF83" s="74"/>
      <c r="AG83" s="74">
        <f>COUNTIF(AG2:AG45,AG28)</f>
        <v>0</v>
      </c>
      <c r="AH83" s="74"/>
      <c r="AI83" s="74"/>
      <c r="AJ83" s="74">
        <f>COUNTIF(AJ2:AJ45,AJ28)</f>
        <v>0</v>
      </c>
      <c r="AK83" s="74"/>
      <c r="AL83" s="74"/>
      <c r="AM83" s="74">
        <f>COUNTIF(AM2:AM45,AM28)</f>
        <v>0</v>
      </c>
      <c r="AN83" s="74"/>
      <c r="AO83" s="74"/>
      <c r="AP83" s="74">
        <f>COUNTIF(AP2:AP45,AP28)</f>
        <v>0</v>
      </c>
      <c r="AQ83" s="74"/>
      <c r="AR83" s="74"/>
      <c r="AS83" s="74">
        <f>COUNTIF(AS2:AS45,AS28)</f>
        <v>0</v>
      </c>
      <c r="AT83" s="74"/>
      <c r="AU83" s="74"/>
      <c r="AV83" s="74">
        <f>COUNTIF(AV2:AV45,AV28)</f>
        <v>0</v>
      </c>
      <c r="AW83" s="74"/>
      <c r="AX83" s="74"/>
      <c r="AY83" s="74">
        <f t="shared" si="58"/>
        <v>0</v>
      </c>
      <c r="AZ83" s="74"/>
      <c r="BA83" s="74"/>
      <c r="BB83" s="74">
        <f t="shared" si="59"/>
        <v>0</v>
      </c>
      <c r="BC83" s="74"/>
      <c r="BD83" s="74"/>
      <c r="BE83" s="74">
        <f t="shared" si="60"/>
        <v>0</v>
      </c>
      <c r="BF83" s="74"/>
      <c r="BG83" s="74"/>
      <c r="BH83" s="74">
        <f t="shared" si="61"/>
        <v>0</v>
      </c>
      <c r="BI83" s="74"/>
      <c r="BJ83" s="74"/>
      <c r="BK83" s="74">
        <f t="shared" si="62"/>
        <v>0</v>
      </c>
      <c r="BL83" s="74"/>
      <c r="BM83" s="74"/>
      <c r="BN83" s="74">
        <f t="shared" si="63"/>
        <v>0</v>
      </c>
      <c r="BO83" s="74"/>
      <c r="BP83" s="74"/>
      <c r="BQ83" s="74">
        <f t="shared" si="64"/>
        <v>0</v>
      </c>
      <c r="BR83" s="252"/>
      <c r="BS83" s="252"/>
      <c r="BT83" s="74">
        <f t="shared" si="65"/>
        <v>0</v>
      </c>
      <c r="BU83" s="74"/>
      <c r="BV83" s="74"/>
      <c r="BW83" s="74">
        <f t="shared" si="66"/>
        <v>0</v>
      </c>
      <c r="BX83" s="74"/>
      <c r="BY83" s="74"/>
      <c r="BZ83" s="74">
        <f t="shared" si="67"/>
        <v>0</v>
      </c>
      <c r="CA83" s="74"/>
      <c r="CB83" s="74"/>
      <c r="CC83" s="74">
        <f t="shared" si="68"/>
        <v>0</v>
      </c>
      <c r="CD83" s="74"/>
      <c r="CE83" s="74"/>
      <c r="CF83" s="74">
        <f t="shared" si="69"/>
        <v>0</v>
      </c>
      <c r="CG83" s="74"/>
      <c r="CH83" s="74"/>
      <c r="CI83" s="74">
        <f t="shared" si="70"/>
        <v>0</v>
      </c>
      <c r="CJ83" s="74"/>
      <c r="CK83" s="74"/>
      <c r="CL83" s="74">
        <f t="shared" si="71"/>
        <v>0</v>
      </c>
      <c r="CM83" s="74"/>
      <c r="CN83" s="74"/>
      <c r="CO83" s="74">
        <f t="shared" si="72"/>
        <v>0</v>
      </c>
      <c r="CP83" s="74"/>
      <c r="CQ83" s="74"/>
      <c r="CR83" s="74">
        <f t="shared" si="73"/>
        <v>0</v>
      </c>
      <c r="CS83" s="74"/>
      <c r="CT83" s="74"/>
      <c r="CU83" s="74">
        <f t="shared" si="74"/>
        <v>0</v>
      </c>
      <c r="CV83" s="74"/>
      <c r="CW83" s="74"/>
      <c r="CX83" s="74">
        <f t="shared" si="75"/>
        <v>0</v>
      </c>
      <c r="CY83" s="74"/>
      <c r="CZ83" s="74"/>
      <c r="DA83" s="74">
        <f t="shared" si="76"/>
        <v>0</v>
      </c>
      <c r="DB83" s="74"/>
      <c r="DC83" s="74"/>
      <c r="DD83" s="74">
        <f t="shared" si="77"/>
        <v>0</v>
      </c>
      <c r="DE83" s="74"/>
      <c r="DF83" s="74"/>
      <c r="DG83" s="74">
        <f t="shared" si="78"/>
        <v>0</v>
      </c>
      <c r="DH83" s="74"/>
      <c r="DI83" s="74"/>
      <c r="DJ83" s="74">
        <f t="shared" si="79"/>
        <v>0</v>
      </c>
      <c r="DK83" s="74"/>
      <c r="DL83" s="74"/>
      <c r="DM83" s="74">
        <f t="shared" si="80"/>
        <v>0</v>
      </c>
      <c r="DN83" s="74"/>
      <c r="DO83" s="74"/>
      <c r="DP83" s="74">
        <f t="shared" si="81"/>
        <v>0</v>
      </c>
      <c r="DQ83" s="74"/>
      <c r="DR83" s="74"/>
      <c r="DS83" s="74">
        <f t="shared" si="82"/>
        <v>0</v>
      </c>
      <c r="DT83" s="74"/>
      <c r="DU83" s="74"/>
      <c r="DV83" s="74">
        <f t="shared" si="83"/>
        <v>0</v>
      </c>
      <c r="DW83" s="74"/>
      <c r="DX83" s="74"/>
      <c r="DY83" s="74">
        <f t="shared" si="84"/>
        <v>1</v>
      </c>
      <c r="DZ83" s="74"/>
      <c r="EA83" s="74"/>
      <c r="EB83" s="74">
        <f t="shared" si="85"/>
        <v>0</v>
      </c>
      <c r="EC83" s="74"/>
      <c r="ED83" s="74"/>
      <c r="EE83" s="74">
        <f t="shared" si="86"/>
        <v>0</v>
      </c>
      <c r="EF83" s="74"/>
      <c r="EG83" s="74"/>
      <c r="EH83" s="74">
        <f t="shared" si="87"/>
        <v>1</v>
      </c>
      <c r="EI83" s="74"/>
      <c r="EJ83" s="74"/>
      <c r="EK83" s="74">
        <f t="shared" si="88"/>
        <v>0</v>
      </c>
      <c r="EL83" s="74"/>
      <c r="EM83" s="74"/>
      <c r="EN83" s="74">
        <f t="shared" si="89"/>
        <v>0</v>
      </c>
      <c r="EO83" s="74"/>
      <c r="EP83" s="74"/>
      <c r="EQ83" s="74">
        <f t="shared" si="90"/>
        <v>1</v>
      </c>
      <c r="ER83" s="74"/>
      <c r="ES83" s="74"/>
      <c r="ET83" s="74">
        <f t="shared" si="91"/>
        <v>0</v>
      </c>
      <c r="EU83" s="74"/>
      <c r="EV83" s="74"/>
      <c r="EW83" s="74">
        <f>COUNTIF($EW$2:$EW$45,FC18)</f>
        <v>0</v>
      </c>
      <c r="EX83" s="74"/>
      <c r="EY83" s="74"/>
      <c r="EZ83" s="74">
        <f t="shared" si="105"/>
        <v>0</v>
      </c>
      <c r="FA83" s="74"/>
      <c r="FB83" s="74"/>
      <c r="FC83" s="74">
        <f t="shared" si="93"/>
        <v>2</v>
      </c>
      <c r="FD83" s="74"/>
      <c r="FE83" s="74"/>
      <c r="FF83" s="74">
        <f t="shared" si="99"/>
        <v>1</v>
      </c>
      <c r="FG83" s="74"/>
      <c r="FH83" s="74"/>
      <c r="FI83" s="74">
        <f t="shared" si="95"/>
        <v>0</v>
      </c>
      <c r="FJ83" s="74"/>
      <c r="FK83" s="74"/>
      <c r="FL83" s="74">
        <f t="shared" si="103"/>
        <v>0</v>
      </c>
      <c r="FM83" s="74"/>
      <c r="FN83" s="74"/>
      <c r="FO83" s="74">
        <f t="shared" si="97"/>
        <v>0</v>
      </c>
      <c r="FP83" s="74"/>
    </row>
    <row r="84" spans="1:172" ht="15" hidden="1" x14ac:dyDescent="0.2">
      <c r="A84" s="74"/>
      <c r="B84" s="74"/>
      <c r="C84" s="74"/>
      <c r="D84" s="74"/>
      <c r="E84" s="74"/>
      <c r="F84" s="74">
        <f>COUNTIF(F2:F45,F29)</f>
        <v>0</v>
      </c>
      <c r="G84" s="74"/>
      <c r="H84" s="74"/>
      <c r="I84" s="74">
        <f>COUNTIF(I2:I45,I29)</f>
        <v>0</v>
      </c>
      <c r="J84" s="74"/>
      <c r="K84" s="74"/>
      <c r="L84" s="74">
        <f>COUNTIF(L2:L45,L29)</f>
        <v>0</v>
      </c>
      <c r="M84" s="74"/>
      <c r="N84" s="74"/>
      <c r="O84" s="74">
        <f>COUNTIF(O2:O45,O29)</f>
        <v>0</v>
      </c>
      <c r="P84" s="74"/>
      <c r="Q84" s="74"/>
      <c r="R84" s="74">
        <f>COUNTIF(R2:R45,R29)</f>
        <v>0</v>
      </c>
      <c r="S84" s="74"/>
      <c r="T84" s="74"/>
      <c r="U84" s="74">
        <f>COUNTIF(U2:U45,U29)</f>
        <v>0</v>
      </c>
      <c r="V84" s="74"/>
      <c r="W84" s="74"/>
      <c r="X84" s="74">
        <f>COUNTIF(X2:X45,X29)</f>
        <v>0</v>
      </c>
      <c r="Y84" s="74"/>
      <c r="Z84" s="74"/>
      <c r="AA84" s="74">
        <f>COUNTIF(AA2:AA45,AA29)</f>
        <v>0</v>
      </c>
      <c r="AB84" s="74"/>
      <c r="AC84" s="74"/>
      <c r="AD84" s="74">
        <f>COUNTIF(AD2:AD45,AD29)</f>
        <v>0</v>
      </c>
      <c r="AE84" s="74"/>
      <c r="AF84" s="74"/>
      <c r="AG84" s="74">
        <f>COUNTIF(AG2:AG45,AG29)</f>
        <v>0</v>
      </c>
      <c r="AH84" s="74"/>
      <c r="AI84" s="74"/>
      <c r="AJ84" s="74">
        <f>COUNTIF(AJ2:AJ45,AJ29)</f>
        <v>0</v>
      </c>
      <c r="AK84" s="74"/>
      <c r="AL84" s="74"/>
      <c r="AM84" s="74">
        <f>COUNTIF(AM2:AM45,AM29)</f>
        <v>0</v>
      </c>
      <c r="AN84" s="74"/>
      <c r="AO84" s="74"/>
      <c r="AP84" s="74">
        <f>COUNTIF(AP2:AP45,AP29)</f>
        <v>0</v>
      </c>
      <c r="AQ84" s="74"/>
      <c r="AR84" s="74"/>
      <c r="AS84" s="74">
        <f>COUNTIF(AS2:AS45,AS29)</f>
        <v>0</v>
      </c>
      <c r="AT84" s="74"/>
      <c r="AU84" s="74"/>
      <c r="AV84" s="74">
        <f>COUNTIF(AV2:AV45,AV29)</f>
        <v>0</v>
      </c>
      <c r="AW84" s="74"/>
      <c r="AX84" s="74"/>
      <c r="AY84" s="74">
        <f t="shared" si="58"/>
        <v>0</v>
      </c>
      <c r="AZ84" s="74"/>
      <c r="BA84" s="74"/>
      <c r="BB84" s="74">
        <f t="shared" si="59"/>
        <v>0</v>
      </c>
      <c r="BC84" s="74"/>
      <c r="BD84" s="74"/>
      <c r="BE84" s="74">
        <f t="shared" si="60"/>
        <v>0</v>
      </c>
      <c r="BF84" s="74"/>
      <c r="BG84" s="74"/>
      <c r="BH84" s="74">
        <f t="shared" si="61"/>
        <v>0</v>
      </c>
      <c r="BI84" s="74"/>
      <c r="BJ84" s="74"/>
      <c r="BK84" s="74">
        <f t="shared" si="62"/>
        <v>0</v>
      </c>
      <c r="BL84" s="74"/>
      <c r="BM84" s="74"/>
      <c r="BN84" s="74">
        <f t="shared" si="63"/>
        <v>0</v>
      </c>
      <c r="BO84" s="74"/>
      <c r="BP84" s="74"/>
      <c r="BQ84" s="74">
        <f t="shared" si="64"/>
        <v>0</v>
      </c>
      <c r="BR84" s="252"/>
      <c r="BS84" s="252"/>
      <c r="BT84" s="74">
        <f t="shared" si="65"/>
        <v>0</v>
      </c>
      <c r="BU84" s="74"/>
      <c r="BV84" s="74"/>
      <c r="BW84" s="74">
        <f t="shared" si="66"/>
        <v>0</v>
      </c>
      <c r="BX84" s="74"/>
      <c r="BY84" s="74"/>
      <c r="BZ84" s="74">
        <f t="shared" si="67"/>
        <v>0</v>
      </c>
      <c r="CA84" s="74"/>
      <c r="CB84" s="74"/>
      <c r="CC84" s="74">
        <f t="shared" si="68"/>
        <v>0</v>
      </c>
      <c r="CD84" s="74"/>
      <c r="CE84" s="74"/>
      <c r="CF84" s="74">
        <f t="shared" si="69"/>
        <v>0</v>
      </c>
      <c r="CG84" s="74"/>
      <c r="CH84" s="74"/>
      <c r="CI84" s="74">
        <f t="shared" si="70"/>
        <v>0</v>
      </c>
      <c r="CJ84" s="74"/>
      <c r="CK84" s="74"/>
      <c r="CL84" s="74">
        <f t="shared" si="71"/>
        <v>0</v>
      </c>
      <c r="CM84" s="74"/>
      <c r="CN84" s="74"/>
      <c r="CO84" s="74">
        <f t="shared" si="72"/>
        <v>0</v>
      </c>
      <c r="CP84" s="74"/>
      <c r="CQ84" s="74"/>
      <c r="CR84" s="74">
        <f t="shared" si="73"/>
        <v>0</v>
      </c>
      <c r="CS84" s="74"/>
      <c r="CT84" s="74"/>
      <c r="CU84" s="74">
        <f t="shared" si="74"/>
        <v>0</v>
      </c>
      <c r="CV84" s="74"/>
      <c r="CW84" s="74"/>
      <c r="CX84" s="74">
        <f t="shared" si="75"/>
        <v>0</v>
      </c>
      <c r="CY84" s="74"/>
      <c r="CZ84" s="74"/>
      <c r="DA84" s="74">
        <f t="shared" si="76"/>
        <v>0</v>
      </c>
      <c r="DB84" s="74"/>
      <c r="DC84" s="74"/>
      <c r="DD84" s="74">
        <f t="shared" si="77"/>
        <v>0</v>
      </c>
      <c r="DE84" s="74"/>
      <c r="DF84" s="74"/>
      <c r="DG84" s="74">
        <f t="shared" si="78"/>
        <v>0</v>
      </c>
      <c r="DH84" s="74"/>
      <c r="DI84" s="74"/>
      <c r="DJ84" s="74">
        <f t="shared" si="79"/>
        <v>0</v>
      </c>
      <c r="DK84" s="74"/>
      <c r="DL84" s="74"/>
      <c r="DM84" s="74">
        <f t="shared" si="80"/>
        <v>0</v>
      </c>
      <c r="DN84" s="74"/>
      <c r="DO84" s="74"/>
      <c r="DP84" s="74">
        <f t="shared" si="81"/>
        <v>0</v>
      </c>
      <c r="DQ84" s="74"/>
      <c r="DR84" s="74"/>
      <c r="DS84" s="74">
        <f t="shared" si="82"/>
        <v>0</v>
      </c>
      <c r="DT84" s="74"/>
      <c r="DU84" s="74"/>
      <c r="DV84" s="74">
        <f t="shared" si="83"/>
        <v>0</v>
      </c>
      <c r="DW84" s="74"/>
      <c r="DX84" s="74"/>
      <c r="DY84" s="74">
        <f t="shared" si="84"/>
        <v>1</v>
      </c>
      <c r="DZ84" s="74"/>
      <c r="EA84" s="74"/>
      <c r="EB84" s="74">
        <f t="shared" si="85"/>
        <v>0</v>
      </c>
      <c r="EC84" s="74"/>
      <c r="ED84" s="74"/>
      <c r="EE84" s="74">
        <f t="shared" si="86"/>
        <v>0</v>
      </c>
      <c r="EF84" s="74"/>
      <c r="EG84" s="74"/>
      <c r="EH84" s="74">
        <f t="shared" si="87"/>
        <v>1</v>
      </c>
      <c r="EI84" s="74"/>
      <c r="EJ84" s="74"/>
      <c r="EK84" s="74">
        <f t="shared" si="88"/>
        <v>0</v>
      </c>
      <c r="EL84" s="74"/>
      <c r="EM84" s="74"/>
      <c r="EN84" s="74">
        <f t="shared" si="89"/>
        <v>0</v>
      </c>
      <c r="EO84" s="74"/>
      <c r="EP84" s="74"/>
      <c r="EQ84" s="74">
        <f t="shared" si="90"/>
        <v>0</v>
      </c>
      <c r="ER84" s="74"/>
      <c r="ES84" s="74"/>
      <c r="ET84" s="74">
        <f t="shared" si="91"/>
        <v>0</v>
      </c>
      <c r="EU84" s="74"/>
      <c r="EV84" s="74"/>
      <c r="EW84" s="74">
        <f t="shared" ref="EW84:EW101" si="106">COUNTIF($EW$2:$EW$45,EW29)</f>
        <v>0</v>
      </c>
      <c r="EX84" s="74"/>
      <c r="EY84" s="74"/>
      <c r="EZ84" s="74">
        <f t="shared" si="105"/>
        <v>0</v>
      </c>
      <c r="FA84" s="74"/>
      <c r="FB84" s="74"/>
      <c r="FC84" s="74">
        <f t="shared" si="93"/>
        <v>2</v>
      </c>
      <c r="FD84" s="74"/>
      <c r="FE84" s="74"/>
      <c r="FF84" s="74">
        <f t="shared" si="99"/>
        <v>2</v>
      </c>
      <c r="FG84" s="74"/>
      <c r="FH84" s="74"/>
      <c r="FI84" s="74">
        <f t="shared" si="95"/>
        <v>0</v>
      </c>
      <c r="FJ84" s="74"/>
      <c r="FK84" s="74"/>
      <c r="FL84" s="74">
        <f t="shared" si="103"/>
        <v>0</v>
      </c>
      <c r="FM84" s="74"/>
      <c r="FN84" s="74"/>
      <c r="FO84" s="74">
        <f t="shared" si="97"/>
        <v>0</v>
      </c>
      <c r="FP84" s="74"/>
    </row>
    <row r="85" spans="1:172" ht="15" hidden="1" x14ac:dyDescent="0.2">
      <c r="A85" s="74"/>
      <c r="B85" s="74"/>
      <c r="C85" s="74"/>
      <c r="D85" s="74"/>
      <c r="E85" s="74"/>
      <c r="F85" s="74">
        <f>COUNTIF(F2:F45,F30)</f>
        <v>0</v>
      </c>
      <c r="G85" s="74"/>
      <c r="H85" s="74"/>
      <c r="I85" s="74">
        <f>COUNTIF(I2:I45,I30)</f>
        <v>0</v>
      </c>
      <c r="J85" s="74"/>
      <c r="K85" s="74"/>
      <c r="L85" s="74">
        <f>COUNTIF(L2:L45,L30)</f>
        <v>0</v>
      </c>
      <c r="M85" s="74"/>
      <c r="N85" s="74"/>
      <c r="O85" s="74">
        <f>COUNTIF(O2:O45,O30)</f>
        <v>0</v>
      </c>
      <c r="P85" s="74"/>
      <c r="Q85" s="74"/>
      <c r="R85" s="74">
        <f>COUNTIF(R2:R45,R30)</f>
        <v>0</v>
      </c>
      <c r="S85" s="74"/>
      <c r="T85" s="74"/>
      <c r="U85" s="74">
        <f>COUNTIF(U2:U45,U30)</f>
        <v>0</v>
      </c>
      <c r="V85" s="74"/>
      <c r="W85" s="74"/>
      <c r="X85" s="74">
        <f>COUNTIF(X2:X45,X30)</f>
        <v>0</v>
      </c>
      <c r="Y85" s="74"/>
      <c r="Z85" s="74"/>
      <c r="AA85" s="74">
        <f>COUNTIF(AA2:AA45,AA30)</f>
        <v>0</v>
      </c>
      <c r="AB85" s="74"/>
      <c r="AC85" s="74"/>
      <c r="AD85" s="74">
        <f>COUNTIF(AD2:AD45,AD30)</f>
        <v>0</v>
      </c>
      <c r="AE85" s="74"/>
      <c r="AF85" s="74"/>
      <c r="AG85" s="74">
        <f>COUNTIF(AG2:AG45,AG30)</f>
        <v>0</v>
      </c>
      <c r="AH85" s="74"/>
      <c r="AI85" s="74"/>
      <c r="AJ85" s="74">
        <f>COUNTIF(AJ2:AJ45,AJ30)</f>
        <v>0</v>
      </c>
      <c r="AK85" s="74"/>
      <c r="AL85" s="74"/>
      <c r="AM85" s="74">
        <f>COUNTIF(AM2:AM45,AM30)</f>
        <v>0</v>
      </c>
      <c r="AN85" s="74"/>
      <c r="AO85" s="74"/>
      <c r="AP85" s="74">
        <f>COUNTIF(AP2:AP45,AP30)</f>
        <v>0</v>
      </c>
      <c r="AQ85" s="74"/>
      <c r="AR85" s="74"/>
      <c r="AS85" s="74">
        <f>COUNTIF(AS2:AS45,AS30)</f>
        <v>0</v>
      </c>
      <c r="AT85" s="74"/>
      <c r="AU85" s="74"/>
      <c r="AV85" s="74">
        <f>COUNTIF(AV2:AV45,AV30)</f>
        <v>0</v>
      </c>
      <c r="AW85" s="74"/>
      <c r="AX85" s="74"/>
      <c r="AY85" s="74">
        <f t="shared" si="58"/>
        <v>0</v>
      </c>
      <c r="AZ85" s="74"/>
      <c r="BA85" s="74"/>
      <c r="BB85" s="74">
        <f t="shared" si="59"/>
        <v>0</v>
      </c>
      <c r="BC85" s="74"/>
      <c r="BD85" s="74"/>
      <c r="BE85" s="74">
        <f t="shared" si="60"/>
        <v>0</v>
      </c>
      <c r="BF85" s="74"/>
      <c r="BG85" s="74"/>
      <c r="BH85" s="74">
        <f t="shared" si="61"/>
        <v>0</v>
      </c>
      <c r="BI85" s="74"/>
      <c r="BJ85" s="74"/>
      <c r="BK85" s="74">
        <f t="shared" si="62"/>
        <v>0</v>
      </c>
      <c r="BL85" s="74"/>
      <c r="BM85" s="74"/>
      <c r="BN85" s="74">
        <f t="shared" si="63"/>
        <v>0</v>
      </c>
      <c r="BO85" s="74"/>
      <c r="BP85" s="74"/>
      <c r="BQ85" s="74">
        <f t="shared" si="64"/>
        <v>0</v>
      </c>
      <c r="BR85" s="252"/>
      <c r="BS85" s="252"/>
      <c r="BT85" s="74">
        <f t="shared" si="65"/>
        <v>0</v>
      </c>
      <c r="BU85" s="74"/>
      <c r="BV85" s="74"/>
      <c r="BW85" s="74">
        <f t="shared" si="66"/>
        <v>0</v>
      </c>
      <c r="BX85" s="74"/>
      <c r="BY85" s="74"/>
      <c r="BZ85" s="74">
        <f t="shared" si="67"/>
        <v>0</v>
      </c>
      <c r="CA85" s="74"/>
      <c r="CB85" s="74"/>
      <c r="CC85" s="74">
        <f t="shared" si="68"/>
        <v>0</v>
      </c>
      <c r="CD85" s="74"/>
      <c r="CE85" s="74"/>
      <c r="CF85" s="74">
        <f t="shared" si="69"/>
        <v>0</v>
      </c>
      <c r="CG85" s="74"/>
      <c r="CH85" s="74"/>
      <c r="CI85" s="74">
        <f t="shared" si="70"/>
        <v>0</v>
      </c>
      <c r="CJ85" s="74"/>
      <c r="CK85" s="74"/>
      <c r="CL85" s="74">
        <f t="shared" si="71"/>
        <v>0</v>
      </c>
      <c r="CM85" s="74"/>
      <c r="CN85" s="74"/>
      <c r="CO85" s="74">
        <f t="shared" si="72"/>
        <v>0</v>
      </c>
      <c r="CP85" s="74"/>
      <c r="CQ85" s="74"/>
      <c r="CR85" s="74">
        <f t="shared" si="73"/>
        <v>0</v>
      </c>
      <c r="CS85" s="74"/>
      <c r="CT85" s="74"/>
      <c r="CU85" s="74">
        <f t="shared" si="74"/>
        <v>0</v>
      </c>
      <c r="CV85" s="74"/>
      <c r="CW85" s="74"/>
      <c r="CX85" s="74">
        <f t="shared" si="75"/>
        <v>0</v>
      </c>
      <c r="CY85" s="74"/>
      <c r="CZ85" s="74"/>
      <c r="DA85" s="74">
        <f t="shared" si="76"/>
        <v>0</v>
      </c>
      <c r="DB85" s="74"/>
      <c r="DC85" s="74"/>
      <c r="DD85" s="74">
        <f t="shared" si="77"/>
        <v>0</v>
      </c>
      <c r="DE85" s="74"/>
      <c r="DF85" s="74"/>
      <c r="DG85" s="74">
        <f t="shared" si="78"/>
        <v>0</v>
      </c>
      <c r="DH85" s="74"/>
      <c r="DI85" s="74"/>
      <c r="DJ85" s="74">
        <f t="shared" si="79"/>
        <v>0</v>
      </c>
      <c r="DK85" s="74"/>
      <c r="DL85" s="74"/>
      <c r="DM85" s="74">
        <f t="shared" si="80"/>
        <v>0</v>
      </c>
      <c r="DN85" s="74"/>
      <c r="DO85" s="74"/>
      <c r="DP85" s="74">
        <f t="shared" si="81"/>
        <v>0</v>
      </c>
      <c r="DQ85" s="74"/>
      <c r="DR85" s="74"/>
      <c r="DS85" s="74">
        <f t="shared" si="82"/>
        <v>0</v>
      </c>
      <c r="DT85" s="74"/>
      <c r="DU85" s="74"/>
      <c r="DV85" s="74">
        <f t="shared" si="83"/>
        <v>0</v>
      </c>
      <c r="DW85" s="74"/>
      <c r="DX85" s="74"/>
      <c r="DY85" s="74">
        <f t="shared" si="84"/>
        <v>0</v>
      </c>
      <c r="DZ85" s="74"/>
      <c r="EA85" s="74"/>
      <c r="EB85" s="74">
        <f t="shared" si="85"/>
        <v>0</v>
      </c>
      <c r="EC85" s="74"/>
      <c r="ED85" s="74"/>
      <c r="EE85" s="74">
        <f t="shared" si="86"/>
        <v>0</v>
      </c>
      <c r="EF85" s="74"/>
      <c r="EG85" s="74"/>
      <c r="EH85" s="74">
        <f t="shared" si="87"/>
        <v>1</v>
      </c>
      <c r="EI85" s="74"/>
      <c r="EJ85" s="74"/>
      <c r="EK85" s="74">
        <f t="shared" si="88"/>
        <v>0</v>
      </c>
      <c r="EL85" s="74"/>
      <c r="EM85" s="74"/>
      <c r="EN85" s="74">
        <f t="shared" si="89"/>
        <v>0</v>
      </c>
      <c r="EO85" s="74"/>
      <c r="EP85" s="74"/>
      <c r="EQ85" s="74">
        <f t="shared" si="90"/>
        <v>0</v>
      </c>
      <c r="ER85" s="74"/>
      <c r="ES85" s="74"/>
      <c r="ET85" s="74">
        <f t="shared" si="91"/>
        <v>0</v>
      </c>
      <c r="EU85" s="74"/>
      <c r="EV85" s="74"/>
      <c r="EW85" s="74">
        <f t="shared" si="106"/>
        <v>0</v>
      </c>
      <c r="EX85" s="74"/>
      <c r="EY85" s="74"/>
      <c r="EZ85" s="74">
        <f t="shared" si="105"/>
        <v>0</v>
      </c>
      <c r="FA85" s="74"/>
      <c r="FB85" s="74"/>
      <c r="FC85" s="74">
        <f t="shared" si="93"/>
        <v>2</v>
      </c>
      <c r="FD85" s="74"/>
      <c r="FE85" s="74"/>
      <c r="FF85" s="74">
        <f t="shared" si="99"/>
        <v>2</v>
      </c>
      <c r="FG85" s="74"/>
      <c r="FH85" s="74"/>
      <c r="FI85" s="74">
        <f t="shared" si="95"/>
        <v>0</v>
      </c>
      <c r="FJ85" s="74"/>
      <c r="FK85" s="74"/>
      <c r="FL85" s="74">
        <f t="shared" si="103"/>
        <v>0</v>
      </c>
      <c r="FM85" s="74"/>
      <c r="FN85" s="74"/>
      <c r="FO85" s="74">
        <f t="shared" si="97"/>
        <v>0</v>
      </c>
      <c r="FP85" s="74"/>
    </row>
    <row r="86" spans="1:172" ht="15" hidden="1" x14ac:dyDescent="0.2">
      <c r="A86" s="74"/>
      <c r="B86" s="74"/>
      <c r="C86" s="74"/>
      <c r="D86" s="74"/>
      <c r="E86" s="74"/>
      <c r="F86" s="74">
        <f>COUNTIF(F2:F45,F31)</f>
        <v>0</v>
      </c>
      <c r="G86" s="74"/>
      <c r="H86" s="74"/>
      <c r="I86" s="74">
        <f>COUNTIF(I2:I45,I31)</f>
        <v>0</v>
      </c>
      <c r="J86" s="74"/>
      <c r="K86" s="74"/>
      <c r="L86" s="74">
        <f>COUNTIF(L2:L45,L31)</f>
        <v>0</v>
      </c>
      <c r="M86" s="74"/>
      <c r="N86" s="74"/>
      <c r="O86" s="74">
        <f>COUNTIF(O2:O45,O31)</f>
        <v>0</v>
      </c>
      <c r="P86" s="74"/>
      <c r="Q86" s="74"/>
      <c r="R86" s="74">
        <f>COUNTIF(R2:R45,R31)</f>
        <v>0</v>
      </c>
      <c r="S86" s="74"/>
      <c r="T86" s="74"/>
      <c r="U86" s="74">
        <f>COUNTIF(U2:U45,U31)</f>
        <v>0</v>
      </c>
      <c r="V86" s="74"/>
      <c r="W86" s="74"/>
      <c r="X86" s="74">
        <f>COUNTIF(X2:X45,X31)</f>
        <v>0</v>
      </c>
      <c r="Y86" s="74"/>
      <c r="Z86" s="74"/>
      <c r="AA86" s="74">
        <f>COUNTIF(AA2:AA45,AA31)</f>
        <v>0</v>
      </c>
      <c r="AB86" s="74"/>
      <c r="AC86" s="74"/>
      <c r="AD86" s="74">
        <f>COUNTIF(AD2:AD45,AD31)</f>
        <v>0</v>
      </c>
      <c r="AE86" s="74"/>
      <c r="AF86" s="74"/>
      <c r="AG86" s="74">
        <f>COUNTIF(AG2:AG45,AG31)</f>
        <v>0</v>
      </c>
      <c r="AH86" s="74"/>
      <c r="AI86" s="74"/>
      <c r="AJ86" s="74">
        <f>COUNTIF(AJ2:AJ45,AJ31)</f>
        <v>0</v>
      </c>
      <c r="AK86" s="74"/>
      <c r="AL86" s="74"/>
      <c r="AM86" s="74">
        <f>COUNTIF(AM2:AM45,AM31)</f>
        <v>0</v>
      </c>
      <c r="AN86" s="74"/>
      <c r="AO86" s="74"/>
      <c r="AP86" s="74">
        <f>COUNTIF(AP2:AP45,AP31)</f>
        <v>0</v>
      </c>
      <c r="AQ86" s="74"/>
      <c r="AR86" s="74"/>
      <c r="AS86" s="74">
        <f>COUNTIF(AS2:AS45,AS31)</f>
        <v>0</v>
      </c>
      <c r="AT86" s="74"/>
      <c r="AU86" s="74"/>
      <c r="AV86" s="74">
        <f>COUNTIF(AV2:AV45,AV31)</f>
        <v>0</v>
      </c>
      <c r="AW86" s="74"/>
      <c r="AX86" s="74"/>
      <c r="AY86" s="74">
        <f t="shared" si="58"/>
        <v>0</v>
      </c>
      <c r="AZ86" s="74"/>
      <c r="BA86" s="74"/>
      <c r="BB86" s="74">
        <f t="shared" si="59"/>
        <v>0</v>
      </c>
      <c r="BC86" s="74"/>
      <c r="BD86" s="74"/>
      <c r="BE86" s="74">
        <f t="shared" si="60"/>
        <v>0</v>
      </c>
      <c r="BF86" s="74"/>
      <c r="BG86" s="74"/>
      <c r="BH86" s="74">
        <f t="shared" si="61"/>
        <v>0</v>
      </c>
      <c r="BI86" s="74"/>
      <c r="BJ86" s="74"/>
      <c r="BK86" s="74">
        <f t="shared" si="62"/>
        <v>0</v>
      </c>
      <c r="BL86" s="74"/>
      <c r="BM86" s="74"/>
      <c r="BN86" s="74">
        <f t="shared" si="63"/>
        <v>0</v>
      </c>
      <c r="BO86" s="74"/>
      <c r="BP86" s="74"/>
      <c r="BQ86" s="74">
        <f t="shared" si="64"/>
        <v>0</v>
      </c>
      <c r="BR86" s="252"/>
      <c r="BS86" s="252"/>
      <c r="BT86" s="74">
        <f t="shared" si="65"/>
        <v>0</v>
      </c>
      <c r="BU86" s="74"/>
      <c r="BV86" s="74"/>
      <c r="BW86" s="74">
        <f t="shared" si="66"/>
        <v>0</v>
      </c>
      <c r="BX86" s="74"/>
      <c r="BY86" s="74"/>
      <c r="BZ86" s="74">
        <f t="shared" si="67"/>
        <v>0</v>
      </c>
      <c r="CA86" s="74"/>
      <c r="CB86" s="74"/>
      <c r="CC86" s="74">
        <f t="shared" si="68"/>
        <v>0</v>
      </c>
      <c r="CD86" s="74"/>
      <c r="CE86" s="74"/>
      <c r="CF86" s="74">
        <f t="shared" si="69"/>
        <v>0</v>
      </c>
      <c r="CG86" s="74"/>
      <c r="CH86" s="74"/>
      <c r="CI86" s="74">
        <f t="shared" si="70"/>
        <v>0</v>
      </c>
      <c r="CJ86" s="74"/>
      <c r="CK86" s="74"/>
      <c r="CL86" s="74">
        <f t="shared" si="71"/>
        <v>0</v>
      </c>
      <c r="CM86" s="74"/>
      <c r="CN86" s="74"/>
      <c r="CO86" s="74">
        <f t="shared" si="72"/>
        <v>0</v>
      </c>
      <c r="CP86" s="74"/>
      <c r="CQ86" s="74"/>
      <c r="CR86" s="74">
        <f t="shared" si="73"/>
        <v>0</v>
      </c>
      <c r="CS86" s="74"/>
      <c r="CT86" s="74"/>
      <c r="CU86" s="74">
        <f t="shared" si="74"/>
        <v>0</v>
      </c>
      <c r="CV86" s="74"/>
      <c r="CW86" s="74"/>
      <c r="CX86" s="74">
        <f t="shared" si="75"/>
        <v>0</v>
      </c>
      <c r="CY86" s="74"/>
      <c r="CZ86" s="74"/>
      <c r="DA86" s="74">
        <f t="shared" si="76"/>
        <v>0</v>
      </c>
      <c r="DB86" s="74"/>
      <c r="DC86" s="74"/>
      <c r="DD86" s="74">
        <f t="shared" si="77"/>
        <v>0</v>
      </c>
      <c r="DE86" s="74"/>
      <c r="DF86" s="74"/>
      <c r="DG86" s="74">
        <f t="shared" si="78"/>
        <v>0</v>
      </c>
      <c r="DH86" s="74"/>
      <c r="DI86" s="74"/>
      <c r="DJ86" s="74">
        <f t="shared" si="79"/>
        <v>0</v>
      </c>
      <c r="DK86" s="74"/>
      <c r="DL86" s="74"/>
      <c r="DM86" s="74">
        <f t="shared" si="80"/>
        <v>0</v>
      </c>
      <c r="DN86" s="74"/>
      <c r="DO86" s="74"/>
      <c r="DP86" s="74">
        <f t="shared" si="81"/>
        <v>0</v>
      </c>
      <c r="DQ86" s="74"/>
      <c r="DR86" s="74"/>
      <c r="DS86" s="74">
        <f t="shared" si="82"/>
        <v>0</v>
      </c>
      <c r="DT86" s="74"/>
      <c r="DU86" s="74"/>
      <c r="DV86" s="74">
        <f t="shared" si="83"/>
        <v>0</v>
      </c>
      <c r="DW86" s="74"/>
      <c r="DX86" s="74"/>
      <c r="DY86" s="74">
        <f t="shared" si="84"/>
        <v>0</v>
      </c>
      <c r="DZ86" s="74"/>
      <c r="EA86" s="74"/>
      <c r="EB86" s="74">
        <f t="shared" si="85"/>
        <v>0</v>
      </c>
      <c r="EC86" s="74"/>
      <c r="ED86" s="74"/>
      <c r="EE86" s="74">
        <f t="shared" si="86"/>
        <v>0</v>
      </c>
      <c r="EF86" s="74"/>
      <c r="EG86" s="74"/>
      <c r="EH86" s="74">
        <f t="shared" si="87"/>
        <v>0</v>
      </c>
      <c r="EI86" s="74"/>
      <c r="EJ86" s="74"/>
      <c r="EK86" s="74">
        <f t="shared" si="88"/>
        <v>0</v>
      </c>
      <c r="EL86" s="74"/>
      <c r="EM86" s="74"/>
      <c r="EN86" s="74">
        <f t="shared" si="89"/>
        <v>0</v>
      </c>
      <c r="EO86" s="74"/>
      <c r="EP86" s="74"/>
      <c r="EQ86" s="74">
        <f t="shared" si="90"/>
        <v>0</v>
      </c>
      <c r="ER86" s="74"/>
      <c r="ES86" s="74"/>
      <c r="ET86" s="74">
        <f t="shared" si="91"/>
        <v>0</v>
      </c>
      <c r="EU86" s="74"/>
      <c r="EV86" s="74"/>
      <c r="EW86" s="74">
        <f t="shared" si="106"/>
        <v>0</v>
      </c>
      <c r="EX86" s="74"/>
      <c r="EY86" s="74"/>
      <c r="EZ86" s="74">
        <f t="shared" si="105"/>
        <v>0</v>
      </c>
      <c r="FA86" s="74"/>
      <c r="FB86" s="74"/>
      <c r="FC86" s="74">
        <f t="shared" si="93"/>
        <v>2</v>
      </c>
      <c r="FD86" s="74"/>
      <c r="FE86" s="74"/>
      <c r="FF86" s="74">
        <f t="shared" si="99"/>
        <v>1</v>
      </c>
      <c r="FG86" s="74"/>
      <c r="FH86" s="74"/>
      <c r="FI86" s="74">
        <f t="shared" si="95"/>
        <v>0</v>
      </c>
      <c r="FJ86" s="74"/>
      <c r="FK86" s="74"/>
      <c r="FL86" s="74">
        <f t="shared" si="103"/>
        <v>0</v>
      </c>
      <c r="FM86" s="74"/>
      <c r="FN86" s="74"/>
      <c r="FO86" s="74">
        <f t="shared" si="97"/>
        <v>0</v>
      </c>
      <c r="FP86" s="74"/>
    </row>
    <row r="87" spans="1:172" ht="15" hidden="1" x14ac:dyDescent="0.2">
      <c r="A87" s="74"/>
      <c r="B87" s="74"/>
      <c r="C87" s="74"/>
      <c r="D87" s="74"/>
      <c r="E87" s="74"/>
      <c r="F87" s="74">
        <f>COUNTIF(F2:F45,F32)</f>
        <v>0</v>
      </c>
      <c r="G87" s="74"/>
      <c r="H87" s="74"/>
      <c r="I87" s="74">
        <f>COUNTIF(I2:I45,I32)</f>
        <v>0</v>
      </c>
      <c r="J87" s="74"/>
      <c r="K87" s="74"/>
      <c r="L87" s="74">
        <f>COUNTIF(L2:L45,L32)</f>
        <v>0</v>
      </c>
      <c r="M87" s="74"/>
      <c r="N87" s="74"/>
      <c r="O87" s="74">
        <f>COUNTIF(O2:O45,O32)</f>
        <v>0</v>
      </c>
      <c r="P87" s="74"/>
      <c r="Q87" s="74"/>
      <c r="R87" s="74">
        <f>COUNTIF(R2:R45,R32)</f>
        <v>0</v>
      </c>
      <c r="S87" s="74"/>
      <c r="T87" s="74"/>
      <c r="U87" s="74">
        <f>COUNTIF(U2:U45,U32)</f>
        <v>0</v>
      </c>
      <c r="V87" s="74"/>
      <c r="W87" s="74"/>
      <c r="X87" s="74">
        <f>COUNTIF(X2:X45,X32)</f>
        <v>0</v>
      </c>
      <c r="Y87" s="74"/>
      <c r="Z87" s="74"/>
      <c r="AA87" s="74">
        <f>COUNTIF(AA2:AA45,AA32)</f>
        <v>0</v>
      </c>
      <c r="AB87" s="74"/>
      <c r="AC87" s="74"/>
      <c r="AD87" s="74">
        <f>COUNTIF(AD2:AD45,AD32)</f>
        <v>0</v>
      </c>
      <c r="AE87" s="74"/>
      <c r="AF87" s="74"/>
      <c r="AG87" s="74">
        <f>COUNTIF(AG2:AG45,AG32)</f>
        <v>0</v>
      </c>
      <c r="AH87" s="74"/>
      <c r="AI87" s="74"/>
      <c r="AJ87" s="74">
        <f>COUNTIF(AJ2:AJ45,AJ32)</f>
        <v>0</v>
      </c>
      <c r="AK87" s="74"/>
      <c r="AL87" s="74"/>
      <c r="AM87" s="74">
        <f>COUNTIF(AM2:AM45,AM32)</f>
        <v>0</v>
      </c>
      <c r="AN87" s="74"/>
      <c r="AO87" s="74"/>
      <c r="AP87" s="74">
        <f>COUNTIF(AP2:AP45,AP32)</f>
        <v>0</v>
      </c>
      <c r="AQ87" s="74"/>
      <c r="AR87" s="74"/>
      <c r="AS87" s="74">
        <f>COUNTIF(AS2:AS45,AS32)</f>
        <v>0</v>
      </c>
      <c r="AT87" s="74"/>
      <c r="AU87" s="74"/>
      <c r="AV87" s="74">
        <f>COUNTIF(AV2:AV45,AV32)</f>
        <v>0</v>
      </c>
      <c r="AW87" s="74"/>
      <c r="AX87" s="74"/>
      <c r="AY87" s="74">
        <f t="shared" si="58"/>
        <v>0</v>
      </c>
      <c r="AZ87" s="74"/>
      <c r="BA87" s="74"/>
      <c r="BB87" s="74">
        <f t="shared" si="59"/>
        <v>0</v>
      </c>
      <c r="BC87" s="74"/>
      <c r="BD87" s="74"/>
      <c r="BE87" s="74">
        <f t="shared" si="60"/>
        <v>0</v>
      </c>
      <c r="BF87" s="74"/>
      <c r="BG87" s="74"/>
      <c r="BH87" s="74">
        <f t="shared" si="61"/>
        <v>0</v>
      </c>
      <c r="BI87" s="74"/>
      <c r="BJ87" s="74"/>
      <c r="BK87" s="74">
        <f t="shared" si="62"/>
        <v>0</v>
      </c>
      <c r="BL87" s="74"/>
      <c r="BM87" s="74"/>
      <c r="BN87" s="74">
        <f t="shared" si="63"/>
        <v>0</v>
      </c>
      <c r="BO87" s="74"/>
      <c r="BP87" s="74"/>
      <c r="BQ87" s="74">
        <f t="shared" si="64"/>
        <v>0</v>
      </c>
      <c r="BR87" s="252"/>
      <c r="BS87" s="252"/>
      <c r="BT87" s="74">
        <f t="shared" si="65"/>
        <v>0</v>
      </c>
      <c r="BU87" s="74"/>
      <c r="BV87" s="74"/>
      <c r="BW87" s="74">
        <f t="shared" si="66"/>
        <v>0</v>
      </c>
      <c r="BX87" s="74"/>
      <c r="BY87" s="74"/>
      <c r="BZ87" s="74">
        <f t="shared" si="67"/>
        <v>0</v>
      </c>
      <c r="CA87" s="74"/>
      <c r="CB87" s="74"/>
      <c r="CC87" s="74">
        <f t="shared" si="68"/>
        <v>0</v>
      </c>
      <c r="CD87" s="74"/>
      <c r="CE87" s="74"/>
      <c r="CF87" s="74">
        <f t="shared" si="69"/>
        <v>0</v>
      </c>
      <c r="CG87" s="74"/>
      <c r="CH87" s="74"/>
      <c r="CI87" s="74">
        <f t="shared" si="70"/>
        <v>0</v>
      </c>
      <c r="CJ87" s="74"/>
      <c r="CK87" s="74"/>
      <c r="CL87" s="74">
        <f t="shared" si="71"/>
        <v>0</v>
      </c>
      <c r="CM87" s="74"/>
      <c r="CN87" s="74"/>
      <c r="CO87" s="74">
        <f t="shared" si="72"/>
        <v>0</v>
      </c>
      <c r="CP87" s="74"/>
      <c r="CQ87" s="74"/>
      <c r="CR87" s="74">
        <f t="shared" si="73"/>
        <v>0</v>
      </c>
      <c r="CS87" s="74"/>
      <c r="CT87" s="74"/>
      <c r="CU87" s="74">
        <f t="shared" si="74"/>
        <v>0</v>
      </c>
      <c r="CV87" s="74"/>
      <c r="CW87" s="74"/>
      <c r="CX87" s="74">
        <f t="shared" si="75"/>
        <v>0</v>
      </c>
      <c r="CY87" s="74"/>
      <c r="CZ87" s="74"/>
      <c r="DA87" s="74">
        <f t="shared" si="76"/>
        <v>0</v>
      </c>
      <c r="DB87" s="74"/>
      <c r="DC87" s="74"/>
      <c r="DD87" s="74">
        <f t="shared" si="77"/>
        <v>0</v>
      </c>
      <c r="DE87" s="74"/>
      <c r="DF87" s="74"/>
      <c r="DG87" s="74">
        <f t="shared" si="78"/>
        <v>0</v>
      </c>
      <c r="DH87" s="74"/>
      <c r="DI87" s="74"/>
      <c r="DJ87" s="74">
        <f t="shared" si="79"/>
        <v>0</v>
      </c>
      <c r="DK87" s="74"/>
      <c r="DL87" s="74"/>
      <c r="DM87" s="74">
        <f t="shared" si="80"/>
        <v>0</v>
      </c>
      <c r="DN87" s="74"/>
      <c r="DO87" s="74"/>
      <c r="DP87" s="74">
        <f t="shared" si="81"/>
        <v>0</v>
      </c>
      <c r="DQ87" s="74"/>
      <c r="DR87" s="74"/>
      <c r="DS87" s="74">
        <f t="shared" si="82"/>
        <v>0</v>
      </c>
      <c r="DT87" s="74"/>
      <c r="DU87" s="74"/>
      <c r="DV87" s="74">
        <f t="shared" si="83"/>
        <v>0</v>
      </c>
      <c r="DW87" s="74"/>
      <c r="DX87" s="74"/>
      <c r="DY87" s="74">
        <f t="shared" si="84"/>
        <v>0</v>
      </c>
      <c r="DZ87" s="74"/>
      <c r="EA87" s="74"/>
      <c r="EB87" s="74">
        <f t="shared" si="85"/>
        <v>0</v>
      </c>
      <c r="EC87" s="74"/>
      <c r="ED87" s="74"/>
      <c r="EE87" s="74">
        <f t="shared" si="86"/>
        <v>0</v>
      </c>
      <c r="EF87" s="74"/>
      <c r="EG87" s="74"/>
      <c r="EH87" s="74">
        <f t="shared" si="87"/>
        <v>0</v>
      </c>
      <c r="EI87" s="74"/>
      <c r="EJ87" s="74"/>
      <c r="EK87" s="74">
        <f t="shared" si="88"/>
        <v>0</v>
      </c>
      <c r="EL87" s="74"/>
      <c r="EM87" s="74"/>
      <c r="EN87" s="74">
        <f t="shared" si="89"/>
        <v>0</v>
      </c>
      <c r="EO87" s="74"/>
      <c r="EP87" s="74"/>
      <c r="EQ87" s="74">
        <f t="shared" si="90"/>
        <v>0</v>
      </c>
      <c r="ER87" s="74"/>
      <c r="ES87" s="74"/>
      <c r="ET87" s="74">
        <f t="shared" si="91"/>
        <v>0</v>
      </c>
      <c r="EU87" s="74"/>
      <c r="EV87" s="74"/>
      <c r="EW87" s="74">
        <f t="shared" si="106"/>
        <v>0</v>
      </c>
      <c r="EX87" s="74"/>
      <c r="EY87" s="74"/>
      <c r="EZ87" s="74">
        <f t="shared" si="105"/>
        <v>0</v>
      </c>
      <c r="FA87" s="74"/>
      <c r="FB87" s="74"/>
      <c r="FC87" s="74">
        <f t="shared" si="93"/>
        <v>1</v>
      </c>
      <c r="FD87" s="74"/>
      <c r="FE87" s="74"/>
      <c r="FF87" s="74">
        <f t="shared" si="99"/>
        <v>1</v>
      </c>
      <c r="FG87" s="74"/>
      <c r="FH87" s="74"/>
      <c r="FI87" s="74">
        <f t="shared" si="95"/>
        <v>0</v>
      </c>
      <c r="FJ87" s="74"/>
      <c r="FK87" s="74"/>
      <c r="FL87" s="74">
        <f t="shared" si="103"/>
        <v>0</v>
      </c>
      <c r="FM87" s="74"/>
      <c r="FN87" s="74"/>
      <c r="FO87" s="74">
        <f t="shared" si="97"/>
        <v>0</v>
      </c>
      <c r="FP87" s="74"/>
    </row>
    <row r="88" spans="1:172" ht="15" hidden="1" x14ac:dyDescent="0.2">
      <c r="A88" s="74"/>
      <c r="B88" s="74"/>
      <c r="C88" s="74"/>
      <c r="D88" s="74"/>
      <c r="E88" s="74"/>
      <c r="F88" s="74">
        <f>COUNTIF(F2:F45,F33)</f>
        <v>0</v>
      </c>
      <c r="G88" s="74"/>
      <c r="H88" s="74"/>
      <c r="I88" s="74">
        <f>COUNTIF(I2:I45,I33)</f>
        <v>0</v>
      </c>
      <c r="J88" s="74"/>
      <c r="K88" s="74"/>
      <c r="L88" s="74">
        <f>COUNTIF(L2:L45,L33)</f>
        <v>0</v>
      </c>
      <c r="M88" s="74"/>
      <c r="N88" s="74"/>
      <c r="O88" s="74">
        <f>COUNTIF(O2:O45,O33)</f>
        <v>0</v>
      </c>
      <c r="P88" s="74"/>
      <c r="Q88" s="74"/>
      <c r="R88" s="74">
        <f>COUNTIF(R2:R45,R33)</f>
        <v>0</v>
      </c>
      <c r="S88" s="74"/>
      <c r="T88" s="74"/>
      <c r="U88" s="74">
        <f>COUNTIF(U2:U45,U33)</f>
        <v>0</v>
      </c>
      <c r="V88" s="74"/>
      <c r="W88" s="74"/>
      <c r="X88" s="74">
        <f>COUNTIF(X2:X45,X33)</f>
        <v>0</v>
      </c>
      <c r="Y88" s="74"/>
      <c r="Z88" s="74"/>
      <c r="AA88" s="74">
        <f>COUNTIF(AA2:AA45,AA33)</f>
        <v>0</v>
      </c>
      <c r="AB88" s="74"/>
      <c r="AC88" s="74"/>
      <c r="AD88" s="74">
        <f>COUNTIF(AD2:AD45,AD33)</f>
        <v>0</v>
      </c>
      <c r="AE88" s="74"/>
      <c r="AF88" s="74"/>
      <c r="AG88" s="74">
        <f>COUNTIF(AG2:AG45,AG33)</f>
        <v>0</v>
      </c>
      <c r="AH88" s="74"/>
      <c r="AI88" s="74"/>
      <c r="AJ88" s="74">
        <f>COUNTIF(AJ2:AJ45,AJ33)</f>
        <v>0</v>
      </c>
      <c r="AK88" s="74"/>
      <c r="AL88" s="74"/>
      <c r="AM88" s="74">
        <f>COUNTIF(AM2:AM45,AM33)</f>
        <v>0</v>
      </c>
      <c r="AN88" s="74"/>
      <c r="AO88" s="74"/>
      <c r="AP88" s="74">
        <f>COUNTIF(AP2:AP45,AP33)</f>
        <v>0</v>
      </c>
      <c r="AQ88" s="74"/>
      <c r="AR88" s="74"/>
      <c r="AS88" s="74">
        <f>COUNTIF(AS2:AS45,AS33)</f>
        <v>0</v>
      </c>
      <c r="AT88" s="74"/>
      <c r="AU88" s="74"/>
      <c r="AV88" s="74">
        <f>COUNTIF(AV2:AV45,AV33)</f>
        <v>0</v>
      </c>
      <c r="AW88" s="74"/>
      <c r="AX88" s="74"/>
      <c r="AY88" s="74">
        <f t="shared" si="58"/>
        <v>0</v>
      </c>
      <c r="AZ88" s="74"/>
      <c r="BA88" s="74"/>
      <c r="BB88" s="74">
        <f t="shared" si="59"/>
        <v>0</v>
      </c>
      <c r="BC88" s="74"/>
      <c r="BD88" s="74"/>
      <c r="BE88" s="74">
        <f t="shared" si="60"/>
        <v>0</v>
      </c>
      <c r="BF88" s="74"/>
      <c r="BG88" s="74"/>
      <c r="BH88" s="74">
        <f t="shared" si="61"/>
        <v>0</v>
      </c>
      <c r="BI88" s="74"/>
      <c r="BJ88" s="74"/>
      <c r="BK88" s="74">
        <f t="shared" si="62"/>
        <v>0</v>
      </c>
      <c r="BL88" s="74"/>
      <c r="BM88" s="74"/>
      <c r="BN88" s="74">
        <f t="shared" si="63"/>
        <v>0</v>
      </c>
      <c r="BO88" s="74"/>
      <c r="BP88" s="74"/>
      <c r="BQ88" s="74">
        <f t="shared" si="64"/>
        <v>0</v>
      </c>
      <c r="BR88" s="252"/>
      <c r="BS88" s="252"/>
      <c r="BT88" s="74">
        <f t="shared" si="65"/>
        <v>0</v>
      </c>
      <c r="BU88" s="74"/>
      <c r="BV88" s="74"/>
      <c r="BW88" s="74">
        <f t="shared" si="66"/>
        <v>0</v>
      </c>
      <c r="BX88" s="74"/>
      <c r="BY88" s="74"/>
      <c r="BZ88" s="74">
        <f t="shared" si="67"/>
        <v>0</v>
      </c>
      <c r="CA88" s="74"/>
      <c r="CB88" s="74"/>
      <c r="CC88" s="74">
        <f t="shared" si="68"/>
        <v>0</v>
      </c>
      <c r="CD88" s="74"/>
      <c r="CE88" s="74"/>
      <c r="CF88" s="74">
        <f t="shared" si="69"/>
        <v>0</v>
      </c>
      <c r="CG88" s="74"/>
      <c r="CH88" s="74"/>
      <c r="CI88" s="74">
        <f t="shared" si="70"/>
        <v>0</v>
      </c>
      <c r="CJ88" s="74"/>
      <c r="CK88" s="74"/>
      <c r="CL88" s="74">
        <f t="shared" si="71"/>
        <v>0</v>
      </c>
      <c r="CM88" s="74"/>
      <c r="CN88" s="74"/>
      <c r="CO88" s="74">
        <f t="shared" si="72"/>
        <v>0</v>
      </c>
      <c r="CP88" s="74"/>
      <c r="CQ88" s="74"/>
      <c r="CR88" s="74">
        <f t="shared" si="73"/>
        <v>0</v>
      </c>
      <c r="CS88" s="74"/>
      <c r="CT88" s="74"/>
      <c r="CU88" s="74">
        <f t="shared" si="74"/>
        <v>0</v>
      </c>
      <c r="CV88" s="74"/>
      <c r="CW88" s="74"/>
      <c r="CX88" s="74">
        <f t="shared" si="75"/>
        <v>0</v>
      </c>
      <c r="CY88" s="74"/>
      <c r="CZ88" s="74"/>
      <c r="DA88" s="74">
        <f t="shared" si="76"/>
        <v>0</v>
      </c>
      <c r="DB88" s="74"/>
      <c r="DC88" s="74"/>
      <c r="DD88" s="74">
        <f t="shared" si="77"/>
        <v>0</v>
      </c>
      <c r="DE88" s="74"/>
      <c r="DF88" s="74"/>
      <c r="DG88" s="74">
        <f t="shared" si="78"/>
        <v>0</v>
      </c>
      <c r="DH88" s="74"/>
      <c r="DI88" s="74"/>
      <c r="DJ88" s="74">
        <f t="shared" si="79"/>
        <v>0</v>
      </c>
      <c r="DK88" s="74"/>
      <c r="DL88" s="74"/>
      <c r="DM88" s="74">
        <f t="shared" si="80"/>
        <v>0</v>
      </c>
      <c r="DN88" s="74"/>
      <c r="DO88" s="74"/>
      <c r="DP88" s="74">
        <f t="shared" si="81"/>
        <v>0</v>
      </c>
      <c r="DQ88" s="74"/>
      <c r="DR88" s="74"/>
      <c r="DS88" s="74">
        <f t="shared" si="82"/>
        <v>0</v>
      </c>
      <c r="DT88" s="74"/>
      <c r="DU88" s="74"/>
      <c r="DV88" s="74">
        <f t="shared" si="83"/>
        <v>0</v>
      </c>
      <c r="DW88" s="74"/>
      <c r="DX88" s="74"/>
      <c r="DY88" s="74">
        <f t="shared" si="84"/>
        <v>0</v>
      </c>
      <c r="DZ88" s="74"/>
      <c r="EA88" s="74"/>
      <c r="EB88" s="74">
        <f t="shared" si="85"/>
        <v>0</v>
      </c>
      <c r="EC88" s="74"/>
      <c r="ED88" s="74"/>
      <c r="EE88" s="74">
        <f t="shared" si="86"/>
        <v>0</v>
      </c>
      <c r="EF88" s="74"/>
      <c r="EG88" s="74"/>
      <c r="EH88" s="74">
        <f t="shared" si="87"/>
        <v>0</v>
      </c>
      <c r="EI88" s="74"/>
      <c r="EJ88" s="74"/>
      <c r="EK88" s="74">
        <f t="shared" si="88"/>
        <v>0</v>
      </c>
      <c r="EL88" s="74"/>
      <c r="EM88" s="74"/>
      <c r="EN88" s="74">
        <f t="shared" si="89"/>
        <v>0</v>
      </c>
      <c r="EO88" s="74"/>
      <c r="EP88" s="74"/>
      <c r="EQ88" s="74">
        <f t="shared" si="90"/>
        <v>0</v>
      </c>
      <c r="ER88" s="74"/>
      <c r="ES88" s="74"/>
      <c r="ET88" s="74">
        <f t="shared" si="91"/>
        <v>0</v>
      </c>
      <c r="EU88" s="74"/>
      <c r="EV88" s="74"/>
      <c r="EW88" s="74">
        <f t="shared" si="106"/>
        <v>0</v>
      </c>
      <c r="EX88" s="74"/>
      <c r="EY88" s="74"/>
      <c r="EZ88" s="74">
        <f t="shared" si="105"/>
        <v>0</v>
      </c>
      <c r="FA88" s="74"/>
      <c r="FB88" s="74"/>
      <c r="FC88" s="74">
        <f t="shared" si="93"/>
        <v>1</v>
      </c>
      <c r="FD88" s="74"/>
      <c r="FE88" s="74"/>
      <c r="FF88" s="74">
        <f t="shared" si="99"/>
        <v>1</v>
      </c>
      <c r="FG88" s="74"/>
      <c r="FH88" s="74"/>
      <c r="FI88" s="74">
        <f t="shared" si="95"/>
        <v>0</v>
      </c>
      <c r="FJ88" s="74"/>
      <c r="FK88" s="74"/>
      <c r="FL88" s="74">
        <f t="shared" si="103"/>
        <v>0</v>
      </c>
      <c r="FM88" s="74"/>
      <c r="FN88" s="74"/>
      <c r="FO88" s="74">
        <f t="shared" si="97"/>
        <v>0</v>
      </c>
      <c r="FP88" s="74"/>
    </row>
    <row r="89" spans="1:172" ht="15" hidden="1" x14ac:dyDescent="0.2">
      <c r="A89" s="74"/>
      <c r="B89" s="74"/>
      <c r="C89" s="74"/>
      <c r="D89" s="74"/>
      <c r="E89" s="74"/>
      <c r="F89" s="74">
        <f>COUNTIF(F2:F45,F34)</f>
        <v>0</v>
      </c>
      <c r="G89" s="74"/>
      <c r="H89" s="74"/>
      <c r="I89" s="74">
        <f>COUNTIF(I2:I45,I34)</f>
        <v>0</v>
      </c>
      <c r="J89" s="74"/>
      <c r="K89" s="74"/>
      <c r="L89" s="74">
        <f>COUNTIF(L2:L45,L34)</f>
        <v>0</v>
      </c>
      <c r="M89" s="74"/>
      <c r="N89" s="74"/>
      <c r="O89" s="74">
        <f>COUNTIF(O2:O45,O34)</f>
        <v>0</v>
      </c>
      <c r="P89" s="74"/>
      <c r="Q89" s="74"/>
      <c r="R89" s="74">
        <f>COUNTIF(R2:R45,R34)</f>
        <v>0</v>
      </c>
      <c r="S89" s="74"/>
      <c r="T89" s="74"/>
      <c r="U89" s="74">
        <f>COUNTIF(U2:U45,U34)</f>
        <v>0</v>
      </c>
      <c r="V89" s="74"/>
      <c r="W89" s="74"/>
      <c r="X89" s="74">
        <f>COUNTIF(X2:X45,X34)</f>
        <v>0</v>
      </c>
      <c r="Y89" s="74"/>
      <c r="Z89" s="74"/>
      <c r="AA89" s="74">
        <f>COUNTIF(AA2:AA45,AA34)</f>
        <v>0</v>
      </c>
      <c r="AB89" s="74"/>
      <c r="AC89" s="74"/>
      <c r="AD89" s="74">
        <f>COUNTIF(AD2:AD45,AD34)</f>
        <v>0</v>
      </c>
      <c r="AE89" s="74"/>
      <c r="AF89" s="74"/>
      <c r="AG89" s="74">
        <f>COUNTIF(AG2:AG45,AG34)</f>
        <v>0</v>
      </c>
      <c r="AH89" s="74"/>
      <c r="AI89" s="74"/>
      <c r="AJ89" s="74">
        <f>COUNTIF(AJ2:AJ45,AJ34)</f>
        <v>0</v>
      </c>
      <c r="AK89" s="74"/>
      <c r="AL89" s="74"/>
      <c r="AM89" s="74">
        <f>COUNTIF(AM2:AM45,AM34)</f>
        <v>0</v>
      </c>
      <c r="AN89" s="74"/>
      <c r="AO89" s="74"/>
      <c r="AP89" s="74">
        <f>COUNTIF(AP2:AP45,AP34)</f>
        <v>0</v>
      </c>
      <c r="AQ89" s="74"/>
      <c r="AR89" s="74"/>
      <c r="AS89" s="74">
        <f>COUNTIF(AS2:AS45,AS34)</f>
        <v>0</v>
      </c>
      <c r="AT89" s="74"/>
      <c r="AU89" s="74"/>
      <c r="AV89" s="74">
        <f>COUNTIF(AV2:AV45,AV34)</f>
        <v>0</v>
      </c>
      <c r="AW89" s="74"/>
      <c r="AX89" s="74"/>
      <c r="AY89" s="74">
        <f t="shared" si="58"/>
        <v>0</v>
      </c>
      <c r="AZ89" s="74"/>
      <c r="BA89" s="74"/>
      <c r="BB89" s="74">
        <f t="shared" si="59"/>
        <v>0</v>
      </c>
      <c r="BC89" s="74"/>
      <c r="BD89" s="74"/>
      <c r="BE89" s="74">
        <f t="shared" si="60"/>
        <v>0</v>
      </c>
      <c r="BF89" s="74"/>
      <c r="BG89" s="74"/>
      <c r="BH89" s="74">
        <f t="shared" si="61"/>
        <v>0</v>
      </c>
      <c r="BI89" s="74"/>
      <c r="BJ89" s="74"/>
      <c r="BK89" s="74">
        <f t="shared" si="62"/>
        <v>0</v>
      </c>
      <c r="BL89" s="74"/>
      <c r="BM89" s="74"/>
      <c r="BN89" s="74">
        <f t="shared" si="63"/>
        <v>0</v>
      </c>
      <c r="BO89" s="74"/>
      <c r="BP89" s="74"/>
      <c r="BQ89" s="74">
        <f t="shared" si="64"/>
        <v>0</v>
      </c>
      <c r="BR89" s="252"/>
      <c r="BS89" s="252"/>
      <c r="BT89" s="74">
        <f t="shared" si="65"/>
        <v>0</v>
      </c>
      <c r="BU89" s="74"/>
      <c r="BV89" s="74"/>
      <c r="BW89" s="74">
        <f t="shared" si="66"/>
        <v>0</v>
      </c>
      <c r="BX89" s="74"/>
      <c r="BY89" s="74"/>
      <c r="BZ89" s="74">
        <f t="shared" si="67"/>
        <v>0</v>
      </c>
      <c r="CA89" s="74"/>
      <c r="CB89" s="74"/>
      <c r="CC89" s="74">
        <f t="shared" si="68"/>
        <v>0</v>
      </c>
      <c r="CD89" s="74"/>
      <c r="CE89" s="74"/>
      <c r="CF89" s="74">
        <f t="shared" si="69"/>
        <v>0</v>
      </c>
      <c r="CG89" s="74"/>
      <c r="CH89" s="74"/>
      <c r="CI89" s="74">
        <f t="shared" si="70"/>
        <v>0</v>
      </c>
      <c r="CJ89" s="74"/>
      <c r="CK89" s="74"/>
      <c r="CL89" s="74">
        <f t="shared" si="71"/>
        <v>0</v>
      </c>
      <c r="CM89" s="74"/>
      <c r="CN89" s="74"/>
      <c r="CO89" s="74">
        <f t="shared" si="72"/>
        <v>0</v>
      </c>
      <c r="CP89" s="74"/>
      <c r="CQ89" s="74"/>
      <c r="CR89" s="74">
        <f t="shared" si="73"/>
        <v>0</v>
      </c>
      <c r="CS89" s="74"/>
      <c r="CT89" s="74"/>
      <c r="CU89" s="74">
        <f t="shared" si="74"/>
        <v>0</v>
      </c>
      <c r="CV89" s="74"/>
      <c r="CW89" s="74"/>
      <c r="CX89" s="74">
        <f t="shared" si="75"/>
        <v>0</v>
      </c>
      <c r="CY89" s="74"/>
      <c r="CZ89" s="74"/>
      <c r="DA89" s="74">
        <f t="shared" si="76"/>
        <v>0</v>
      </c>
      <c r="DB89" s="74"/>
      <c r="DC89" s="74"/>
      <c r="DD89" s="74">
        <f t="shared" si="77"/>
        <v>0</v>
      </c>
      <c r="DE89" s="74"/>
      <c r="DF89" s="74"/>
      <c r="DG89" s="74">
        <f t="shared" si="78"/>
        <v>0</v>
      </c>
      <c r="DH89" s="74"/>
      <c r="DI89" s="74"/>
      <c r="DJ89" s="74">
        <f t="shared" si="79"/>
        <v>0</v>
      </c>
      <c r="DK89" s="74"/>
      <c r="DL89" s="74"/>
      <c r="DM89" s="74">
        <f t="shared" si="80"/>
        <v>0</v>
      </c>
      <c r="DN89" s="74"/>
      <c r="DO89" s="74"/>
      <c r="DP89" s="74">
        <f t="shared" si="81"/>
        <v>0</v>
      </c>
      <c r="DQ89" s="74"/>
      <c r="DR89" s="74"/>
      <c r="DS89" s="74">
        <f t="shared" si="82"/>
        <v>0</v>
      </c>
      <c r="DT89" s="74"/>
      <c r="DU89" s="74"/>
      <c r="DV89" s="74">
        <f t="shared" si="83"/>
        <v>0</v>
      </c>
      <c r="DW89" s="74"/>
      <c r="DX89" s="74"/>
      <c r="DY89" s="74">
        <f t="shared" si="84"/>
        <v>0</v>
      </c>
      <c r="DZ89" s="74"/>
      <c r="EA89" s="74"/>
      <c r="EB89" s="74">
        <f t="shared" si="85"/>
        <v>0</v>
      </c>
      <c r="EC89" s="74"/>
      <c r="ED89" s="74"/>
      <c r="EE89" s="74">
        <f t="shared" si="86"/>
        <v>0</v>
      </c>
      <c r="EF89" s="74"/>
      <c r="EG89" s="74"/>
      <c r="EH89" s="74">
        <f t="shared" si="87"/>
        <v>0</v>
      </c>
      <c r="EI89" s="74"/>
      <c r="EJ89" s="74"/>
      <c r="EK89" s="74">
        <f t="shared" si="88"/>
        <v>0</v>
      </c>
      <c r="EL89" s="74"/>
      <c r="EM89" s="74"/>
      <c r="EN89" s="74">
        <f t="shared" si="89"/>
        <v>0</v>
      </c>
      <c r="EO89" s="74"/>
      <c r="EP89" s="74"/>
      <c r="EQ89" s="74">
        <f t="shared" si="90"/>
        <v>0</v>
      </c>
      <c r="ER89" s="74"/>
      <c r="ES89" s="74"/>
      <c r="ET89" s="74">
        <f t="shared" si="91"/>
        <v>0</v>
      </c>
      <c r="EU89" s="74"/>
      <c r="EV89" s="74"/>
      <c r="EW89" s="74">
        <f t="shared" si="106"/>
        <v>0</v>
      </c>
      <c r="EX89" s="74"/>
      <c r="EY89" s="74"/>
      <c r="EZ89" s="74">
        <f t="shared" si="105"/>
        <v>0</v>
      </c>
      <c r="FA89" s="74"/>
      <c r="FB89" s="74"/>
      <c r="FC89" s="74">
        <f t="shared" si="93"/>
        <v>1</v>
      </c>
      <c r="FD89" s="74"/>
      <c r="FE89" s="74"/>
      <c r="FF89" s="74">
        <f t="shared" si="99"/>
        <v>1</v>
      </c>
      <c r="FG89" s="74"/>
      <c r="FH89" s="74"/>
      <c r="FI89" s="74">
        <f t="shared" si="95"/>
        <v>0</v>
      </c>
      <c r="FJ89" s="74"/>
      <c r="FK89" s="74"/>
      <c r="FL89" s="74">
        <f t="shared" si="103"/>
        <v>0</v>
      </c>
      <c r="FM89" s="74"/>
      <c r="FN89" s="74"/>
      <c r="FO89" s="74">
        <f t="shared" si="97"/>
        <v>0</v>
      </c>
      <c r="FP89" s="74"/>
    </row>
    <row r="90" spans="1:172" ht="15" hidden="1" x14ac:dyDescent="0.2">
      <c r="A90" s="74"/>
      <c r="B90" s="74"/>
      <c r="C90" s="74"/>
      <c r="D90" s="74"/>
      <c r="E90" s="74"/>
      <c r="F90" s="74">
        <f>COUNTIF(F2:F45,F35)</f>
        <v>0</v>
      </c>
      <c r="G90" s="74"/>
      <c r="H90" s="74"/>
      <c r="I90" s="74">
        <f>COUNTIF(I2:I45,I35)</f>
        <v>0</v>
      </c>
      <c r="J90" s="74"/>
      <c r="K90" s="74"/>
      <c r="L90" s="74">
        <f>COUNTIF(L2:L45,L35)</f>
        <v>0</v>
      </c>
      <c r="M90" s="74"/>
      <c r="N90" s="74"/>
      <c r="O90" s="74">
        <f>COUNTIF(O2:O45,O35)</f>
        <v>0</v>
      </c>
      <c r="P90" s="74"/>
      <c r="Q90" s="74"/>
      <c r="R90" s="74">
        <f>COUNTIF(R2:R45,R35)</f>
        <v>0</v>
      </c>
      <c r="S90" s="74"/>
      <c r="T90" s="74"/>
      <c r="U90" s="74">
        <f>COUNTIF(U2:U45,U35)</f>
        <v>0</v>
      </c>
      <c r="V90" s="74"/>
      <c r="W90" s="74"/>
      <c r="X90" s="74">
        <f>COUNTIF(X2:X45,X35)</f>
        <v>0</v>
      </c>
      <c r="Y90" s="74"/>
      <c r="Z90" s="74"/>
      <c r="AA90" s="74">
        <f>COUNTIF(AA2:AA45,AA35)</f>
        <v>0</v>
      </c>
      <c r="AB90" s="74"/>
      <c r="AC90" s="74"/>
      <c r="AD90" s="74">
        <f>COUNTIF(AD2:AD45,AD35)</f>
        <v>0</v>
      </c>
      <c r="AE90" s="74"/>
      <c r="AF90" s="74"/>
      <c r="AG90" s="74">
        <f>COUNTIF(AG2:AG45,AG35)</f>
        <v>0</v>
      </c>
      <c r="AH90" s="74"/>
      <c r="AI90" s="74"/>
      <c r="AJ90" s="74">
        <f>COUNTIF(AJ2:AJ45,AJ35)</f>
        <v>0</v>
      </c>
      <c r="AK90" s="74"/>
      <c r="AL90" s="74"/>
      <c r="AM90" s="74">
        <f>COUNTIF(AM2:AM45,AM35)</f>
        <v>0</v>
      </c>
      <c r="AN90" s="74"/>
      <c r="AO90" s="74"/>
      <c r="AP90" s="74">
        <f>COUNTIF(AP2:AP45,AP35)</f>
        <v>0</v>
      </c>
      <c r="AQ90" s="74"/>
      <c r="AR90" s="74"/>
      <c r="AS90" s="74">
        <f>COUNTIF(AS2:AS45,AS35)</f>
        <v>0</v>
      </c>
      <c r="AT90" s="74"/>
      <c r="AU90" s="74"/>
      <c r="AV90" s="74">
        <f>COUNTIF(AV2:AV45,AV35)</f>
        <v>0</v>
      </c>
      <c r="AW90" s="74"/>
      <c r="AX90" s="74"/>
      <c r="AY90" s="74">
        <f t="shared" si="58"/>
        <v>0</v>
      </c>
      <c r="AZ90" s="74"/>
      <c r="BA90" s="74"/>
      <c r="BB90" s="74">
        <f t="shared" si="59"/>
        <v>0</v>
      </c>
      <c r="BC90" s="74"/>
      <c r="BD90" s="74"/>
      <c r="BE90" s="74">
        <f t="shared" si="60"/>
        <v>0</v>
      </c>
      <c r="BF90" s="74"/>
      <c r="BG90" s="74"/>
      <c r="BH90" s="74">
        <f t="shared" si="61"/>
        <v>0</v>
      </c>
      <c r="BI90" s="74"/>
      <c r="BJ90" s="74"/>
      <c r="BK90" s="74">
        <f t="shared" si="62"/>
        <v>0</v>
      </c>
      <c r="BL90" s="74"/>
      <c r="BM90" s="74"/>
      <c r="BN90" s="74">
        <f t="shared" si="63"/>
        <v>0</v>
      </c>
      <c r="BO90" s="74"/>
      <c r="BP90" s="74"/>
      <c r="BQ90" s="74">
        <f t="shared" si="64"/>
        <v>0</v>
      </c>
      <c r="BR90" s="252"/>
      <c r="BS90" s="252"/>
      <c r="BT90" s="74">
        <f t="shared" si="65"/>
        <v>0</v>
      </c>
      <c r="BU90" s="74"/>
      <c r="BV90" s="74"/>
      <c r="BW90" s="74">
        <f t="shared" si="66"/>
        <v>0</v>
      </c>
      <c r="BX90" s="74"/>
      <c r="BY90" s="74"/>
      <c r="BZ90" s="74">
        <f t="shared" si="67"/>
        <v>0</v>
      </c>
      <c r="CA90" s="74"/>
      <c r="CB90" s="74"/>
      <c r="CC90" s="74">
        <f t="shared" si="68"/>
        <v>0</v>
      </c>
      <c r="CD90" s="74"/>
      <c r="CE90" s="74"/>
      <c r="CF90" s="74">
        <f t="shared" si="69"/>
        <v>0</v>
      </c>
      <c r="CG90" s="74"/>
      <c r="CH90" s="74"/>
      <c r="CI90" s="74">
        <f t="shared" si="70"/>
        <v>0</v>
      </c>
      <c r="CJ90" s="74"/>
      <c r="CK90" s="74"/>
      <c r="CL90" s="74">
        <f t="shared" si="71"/>
        <v>0</v>
      </c>
      <c r="CM90" s="74"/>
      <c r="CN90" s="74"/>
      <c r="CO90" s="74">
        <f t="shared" si="72"/>
        <v>0</v>
      </c>
      <c r="CP90" s="74"/>
      <c r="CQ90" s="74"/>
      <c r="CR90" s="74">
        <f t="shared" si="73"/>
        <v>0</v>
      </c>
      <c r="CS90" s="74"/>
      <c r="CT90" s="74"/>
      <c r="CU90" s="74">
        <f t="shared" si="74"/>
        <v>0</v>
      </c>
      <c r="CV90" s="74"/>
      <c r="CW90" s="74"/>
      <c r="CX90" s="74">
        <f t="shared" si="75"/>
        <v>0</v>
      </c>
      <c r="CY90" s="74"/>
      <c r="CZ90" s="74"/>
      <c r="DA90" s="74">
        <f t="shared" si="76"/>
        <v>0</v>
      </c>
      <c r="DB90" s="74"/>
      <c r="DC90" s="74"/>
      <c r="DD90" s="74">
        <f t="shared" si="77"/>
        <v>0</v>
      </c>
      <c r="DE90" s="74"/>
      <c r="DF90" s="74"/>
      <c r="DG90" s="74">
        <f t="shared" si="78"/>
        <v>0</v>
      </c>
      <c r="DH90" s="74"/>
      <c r="DI90" s="74"/>
      <c r="DJ90" s="74">
        <f t="shared" si="79"/>
        <v>0</v>
      </c>
      <c r="DK90" s="74"/>
      <c r="DL90" s="74"/>
      <c r="DM90" s="74">
        <f t="shared" si="80"/>
        <v>0</v>
      </c>
      <c r="DN90" s="74"/>
      <c r="DO90" s="74"/>
      <c r="DP90" s="74">
        <f t="shared" si="81"/>
        <v>0</v>
      </c>
      <c r="DQ90" s="74"/>
      <c r="DR90" s="74"/>
      <c r="DS90" s="74">
        <f t="shared" si="82"/>
        <v>0</v>
      </c>
      <c r="DT90" s="74"/>
      <c r="DU90" s="74"/>
      <c r="DV90" s="74">
        <f t="shared" si="83"/>
        <v>0</v>
      </c>
      <c r="DW90" s="74"/>
      <c r="DX90" s="74"/>
      <c r="DY90" s="74">
        <f t="shared" si="84"/>
        <v>0</v>
      </c>
      <c r="DZ90" s="74"/>
      <c r="EA90" s="74"/>
      <c r="EB90" s="74">
        <f t="shared" si="85"/>
        <v>0</v>
      </c>
      <c r="EC90" s="74"/>
      <c r="ED90" s="74"/>
      <c r="EE90" s="74">
        <f t="shared" si="86"/>
        <v>0</v>
      </c>
      <c r="EF90" s="74"/>
      <c r="EG90" s="74"/>
      <c r="EH90" s="74">
        <f t="shared" si="87"/>
        <v>0</v>
      </c>
      <c r="EI90" s="74"/>
      <c r="EJ90" s="74"/>
      <c r="EK90" s="74">
        <f t="shared" si="88"/>
        <v>0</v>
      </c>
      <c r="EL90" s="74"/>
      <c r="EM90" s="74"/>
      <c r="EN90" s="74">
        <f t="shared" si="89"/>
        <v>0</v>
      </c>
      <c r="EO90" s="74"/>
      <c r="EP90" s="74"/>
      <c r="EQ90" s="74">
        <f t="shared" si="90"/>
        <v>0</v>
      </c>
      <c r="ER90" s="74"/>
      <c r="ES90" s="74"/>
      <c r="ET90" s="74">
        <f t="shared" si="91"/>
        <v>0</v>
      </c>
      <c r="EU90" s="74"/>
      <c r="EV90" s="74"/>
      <c r="EW90" s="74">
        <f t="shared" si="106"/>
        <v>0</v>
      </c>
      <c r="EX90" s="74"/>
      <c r="EY90" s="74"/>
      <c r="EZ90" s="74">
        <f t="shared" si="105"/>
        <v>0</v>
      </c>
      <c r="FA90" s="74"/>
      <c r="FB90" s="74"/>
      <c r="FC90" s="74">
        <f t="shared" si="93"/>
        <v>1</v>
      </c>
      <c r="FD90" s="74"/>
      <c r="FE90" s="74"/>
      <c r="FF90" s="74">
        <f t="shared" si="99"/>
        <v>1</v>
      </c>
      <c r="FG90" s="74"/>
      <c r="FH90" s="74"/>
      <c r="FI90" s="74">
        <f t="shared" si="95"/>
        <v>0</v>
      </c>
      <c r="FJ90" s="74"/>
      <c r="FK90" s="74"/>
      <c r="FL90" s="74">
        <f t="shared" si="103"/>
        <v>0</v>
      </c>
      <c r="FM90" s="74"/>
      <c r="FN90" s="74"/>
      <c r="FO90" s="74">
        <f t="shared" si="97"/>
        <v>0</v>
      </c>
      <c r="FP90" s="74"/>
    </row>
    <row r="91" spans="1:172" ht="15" hidden="1" x14ac:dyDescent="0.2">
      <c r="A91" s="74"/>
      <c r="B91" s="74"/>
      <c r="C91" s="74"/>
      <c r="D91" s="74"/>
      <c r="E91" s="74"/>
      <c r="F91" s="74">
        <f>COUNTIF(F2:F45,F36)</f>
        <v>0</v>
      </c>
      <c r="G91" s="74"/>
      <c r="H91" s="74"/>
      <c r="I91" s="74">
        <f>COUNTIF(I2:I45,I36)</f>
        <v>0</v>
      </c>
      <c r="J91" s="74"/>
      <c r="K91" s="74"/>
      <c r="L91" s="74">
        <f>COUNTIF(L2:L45,L36)</f>
        <v>0</v>
      </c>
      <c r="M91" s="74"/>
      <c r="N91" s="74"/>
      <c r="O91" s="74">
        <f>COUNTIF(O2:O45,O36)</f>
        <v>0</v>
      </c>
      <c r="P91" s="74"/>
      <c r="Q91" s="74"/>
      <c r="R91" s="74">
        <f>COUNTIF(R2:R45,R36)</f>
        <v>0</v>
      </c>
      <c r="S91" s="74"/>
      <c r="T91" s="74"/>
      <c r="U91" s="74">
        <f>COUNTIF(U2:U45,U36)</f>
        <v>0</v>
      </c>
      <c r="V91" s="74"/>
      <c r="W91" s="74"/>
      <c r="X91" s="74">
        <f>COUNTIF(X2:X45,X36)</f>
        <v>0</v>
      </c>
      <c r="Y91" s="74"/>
      <c r="Z91" s="74"/>
      <c r="AA91" s="74">
        <f>COUNTIF(AA2:AA45,AA36)</f>
        <v>0</v>
      </c>
      <c r="AB91" s="74"/>
      <c r="AC91" s="74"/>
      <c r="AD91" s="74">
        <f>COUNTIF(AD2:AD45,AD36)</f>
        <v>0</v>
      </c>
      <c r="AE91" s="74"/>
      <c r="AF91" s="74"/>
      <c r="AG91" s="74">
        <f>COUNTIF(AG2:AG45,AG36)</f>
        <v>0</v>
      </c>
      <c r="AH91" s="74"/>
      <c r="AI91" s="74"/>
      <c r="AJ91" s="74">
        <f>COUNTIF(AJ2:AJ45,AJ36)</f>
        <v>0</v>
      </c>
      <c r="AK91" s="74"/>
      <c r="AL91" s="74"/>
      <c r="AM91" s="74">
        <f>COUNTIF(AM2:AM45,AM36)</f>
        <v>0</v>
      </c>
      <c r="AN91" s="74"/>
      <c r="AO91" s="74"/>
      <c r="AP91" s="74">
        <f>COUNTIF(AP2:AP45,AP36)</f>
        <v>0</v>
      </c>
      <c r="AQ91" s="74"/>
      <c r="AR91" s="74"/>
      <c r="AS91" s="74">
        <f>COUNTIF(AS2:AS45,AS36)</f>
        <v>0</v>
      </c>
      <c r="AT91" s="74"/>
      <c r="AU91" s="74"/>
      <c r="AV91" s="74">
        <f>COUNTIF(AV2:AV45,AV36)</f>
        <v>0</v>
      </c>
      <c r="AW91" s="74"/>
      <c r="AX91" s="74"/>
      <c r="AY91" s="74">
        <f t="shared" si="58"/>
        <v>0</v>
      </c>
      <c r="AZ91" s="74"/>
      <c r="BA91" s="74"/>
      <c r="BB91" s="74">
        <f t="shared" si="59"/>
        <v>0</v>
      </c>
      <c r="BC91" s="74"/>
      <c r="BD91" s="74"/>
      <c r="BE91" s="74">
        <f t="shared" si="60"/>
        <v>0</v>
      </c>
      <c r="BF91" s="74"/>
      <c r="BG91" s="74"/>
      <c r="BH91" s="74">
        <f t="shared" si="61"/>
        <v>0</v>
      </c>
      <c r="BI91" s="74"/>
      <c r="BJ91" s="74"/>
      <c r="BK91" s="74">
        <f t="shared" si="62"/>
        <v>0</v>
      </c>
      <c r="BL91" s="74"/>
      <c r="BM91" s="74"/>
      <c r="BN91" s="74">
        <f t="shared" si="63"/>
        <v>0</v>
      </c>
      <c r="BO91" s="74"/>
      <c r="BP91" s="74"/>
      <c r="BQ91" s="74">
        <f t="shared" si="64"/>
        <v>0</v>
      </c>
      <c r="BR91" s="252"/>
      <c r="BS91" s="252"/>
      <c r="BT91" s="74">
        <f t="shared" si="65"/>
        <v>0</v>
      </c>
      <c r="BU91" s="74"/>
      <c r="BV91" s="74"/>
      <c r="BW91" s="74">
        <f t="shared" si="66"/>
        <v>0</v>
      </c>
      <c r="BX91" s="74"/>
      <c r="BY91" s="74"/>
      <c r="BZ91" s="74">
        <f t="shared" si="67"/>
        <v>0</v>
      </c>
      <c r="CA91" s="74"/>
      <c r="CB91" s="74"/>
      <c r="CC91" s="74">
        <f t="shared" si="68"/>
        <v>0</v>
      </c>
      <c r="CD91" s="74"/>
      <c r="CE91" s="74"/>
      <c r="CF91" s="74">
        <f t="shared" si="69"/>
        <v>0</v>
      </c>
      <c r="CG91" s="74"/>
      <c r="CH91" s="74"/>
      <c r="CI91" s="74">
        <f t="shared" si="70"/>
        <v>0</v>
      </c>
      <c r="CJ91" s="74"/>
      <c r="CK91" s="74"/>
      <c r="CL91" s="74">
        <f t="shared" si="71"/>
        <v>0</v>
      </c>
      <c r="CM91" s="74"/>
      <c r="CN91" s="74"/>
      <c r="CO91" s="74">
        <f t="shared" si="72"/>
        <v>0</v>
      </c>
      <c r="CP91" s="74"/>
      <c r="CQ91" s="74"/>
      <c r="CR91" s="74">
        <f t="shared" si="73"/>
        <v>0</v>
      </c>
      <c r="CS91" s="74"/>
      <c r="CT91" s="74"/>
      <c r="CU91" s="74">
        <f t="shared" si="74"/>
        <v>0</v>
      </c>
      <c r="CV91" s="74"/>
      <c r="CW91" s="74"/>
      <c r="CX91" s="74">
        <f t="shared" si="75"/>
        <v>0</v>
      </c>
      <c r="CY91" s="74"/>
      <c r="CZ91" s="74"/>
      <c r="DA91" s="74">
        <f t="shared" si="76"/>
        <v>0</v>
      </c>
      <c r="DB91" s="74"/>
      <c r="DC91" s="74"/>
      <c r="DD91" s="74">
        <f t="shared" si="77"/>
        <v>0</v>
      </c>
      <c r="DE91" s="74"/>
      <c r="DF91" s="74"/>
      <c r="DG91" s="74">
        <f t="shared" si="78"/>
        <v>0</v>
      </c>
      <c r="DH91" s="74"/>
      <c r="DI91" s="74"/>
      <c r="DJ91" s="74">
        <f t="shared" si="79"/>
        <v>0</v>
      </c>
      <c r="DK91" s="74"/>
      <c r="DL91" s="74"/>
      <c r="DM91" s="74">
        <f t="shared" si="80"/>
        <v>0</v>
      </c>
      <c r="DN91" s="74"/>
      <c r="DO91" s="74"/>
      <c r="DP91" s="74">
        <f t="shared" si="81"/>
        <v>0</v>
      </c>
      <c r="DQ91" s="74"/>
      <c r="DR91" s="74"/>
      <c r="DS91" s="74">
        <f t="shared" si="82"/>
        <v>0</v>
      </c>
      <c r="DT91" s="74"/>
      <c r="DU91" s="74"/>
      <c r="DV91" s="74">
        <f t="shared" si="83"/>
        <v>0</v>
      </c>
      <c r="DW91" s="74"/>
      <c r="DX91" s="74"/>
      <c r="DY91" s="74">
        <f t="shared" si="84"/>
        <v>0</v>
      </c>
      <c r="DZ91" s="74"/>
      <c r="EA91" s="74"/>
      <c r="EB91" s="74">
        <f t="shared" si="85"/>
        <v>0</v>
      </c>
      <c r="EC91" s="74"/>
      <c r="ED91" s="74"/>
      <c r="EE91" s="74">
        <f t="shared" si="86"/>
        <v>0</v>
      </c>
      <c r="EF91" s="74"/>
      <c r="EG91" s="74"/>
      <c r="EH91" s="74">
        <f t="shared" si="87"/>
        <v>0</v>
      </c>
      <c r="EI91" s="74"/>
      <c r="EJ91" s="74"/>
      <c r="EK91" s="74">
        <f t="shared" si="88"/>
        <v>0</v>
      </c>
      <c r="EL91" s="74"/>
      <c r="EM91" s="74"/>
      <c r="EN91" s="74">
        <f t="shared" si="89"/>
        <v>0</v>
      </c>
      <c r="EO91" s="74"/>
      <c r="EP91" s="74"/>
      <c r="EQ91" s="74">
        <f t="shared" si="90"/>
        <v>0</v>
      </c>
      <c r="ER91" s="74"/>
      <c r="ES91" s="74"/>
      <c r="ET91" s="74">
        <f t="shared" si="91"/>
        <v>0</v>
      </c>
      <c r="EU91" s="74"/>
      <c r="EV91" s="74"/>
      <c r="EW91" s="74">
        <f t="shared" si="106"/>
        <v>0</v>
      </c>
      <c r="EX91" s="74"/>
      <c r="EY91" s="74"/>
      <c r="EZ91" s="74">
        <f t="shared" si="105"/>
        <v>0</v>
      </c>
      <c r="FA91" s="74"/>
      <c r="FB91" s="74"/>
      <c r="FC91" s="74">
        <f t="shared" si="93"/>
        <v>1</v>
      </c>
      <c r="FD91" s="74"/>
      <c r="FE91" s="74"/>
      <c r="FF91" s="74">
        <f t="shared" si="99"/>
        <v>1</v>
      </c>
      <c r="FG91" s="74"/>
      <c r="FH91" s="74"/>
      <c r="FI91" s="74">
        <f t="shared" si="95"/>
        <v>0</v>
      </c>
      <c r="FJ91" s="74"/>
      <c r="FK91" s="74"/>
      <c r="FL91" s="74">
        <f t="shared" si="103"/>
        <v>0</v>
      </c>
      <c r="FM91" s="74"/>
      <c r="FN91" s="74"/>
      <c r="FO91" s="74">
        <f t="shared" si="97"/>
        <v>0</v>
      </c>
      <c r="FP91" s="74"/>
    </row>
    <row r="92" spans="1:172" ht="15" hidden="1" x14ac:dyDescent="0.2">
      <c r="A92" s="74"/>
      <c r="B92" s="74"/>
      <c r="C92" s="74"/>
      <c r="D92" s="74"/>
      <c r="E92" s="74"/>
      <c r="F92" s="74">
        <f>COUNTIF(F2:F45,F37)</f>
        <v>0</v>
      </c>
      <c r="G92" s="74"/>
      <c r="H92" s="74"/>
      <c r="I92" s="74">
        <f>COUNTIF(I2:I45,I37)</f>
        <v>0</v>
      </c>
      <c r="J92" s="74"/>
      <c r="K92" s="74"/>
      <c r="L92" s="74">
        <f>COUNTIF(L2:L45,L37)</f>
        <v>0</v>
      </c>
      <c r="M92" s="74"/>
      <c r="N92" s="74"/>
      <c r="O92" s="74">
        <f>COUNTIF(O2:O45,O37)</f>
        <v>0</v>
      </c>
      <c r="P92" s="74"/>
      <c r="Q92" s="74"/>
      <c r="R92" s="74">
        <f>COUNTIF(R2:R45,R37)</f>
        <v>0</v>
      </c>
      <c r="S92" s="74"/>
      <c r="T92" s="74"/>
      <c r="U92" s="74">
        <f>COUNTIF(U2:U45,U37)</f>
        <v>0</v>
      </c>
      <c r="V92" s="74"/>
      <c r="W92" s="74"/>
      <c r="X92" s="74">
        <f>COUNTIF(X2:X45,X37)</f>
        <v>0</v>
      </c>
      <c r="Y92" s="74"/>
      <c r="Z92" s="74"/>
      <c r="AA92" s="74">
        <f>COUNTIF(AA2:AA45,AA37)</f>
        <v>0</v>
      </c>
      <c r="AB92" s="74"/>
      <c r="AC92" s="74"/>
      <c r="AD92" s="74">
        <f>COUNTIF(AD2:AD45,AD37)</f>
        <v>0</v>
      </c>
      <c r="AE92" s="74"/>
      <c r="AF92" s="74"/>
      <c r="AG92" s="74">
        <f>COUNTIF(AG2:AG45,AG37)</f>
        <v>0</v>
      </c>
      <c r="AH92" s="74"/>
      <c r="AI92" s="74"/>
      <c r="AJ92" s="74">
        <f>COUNTIF(AJ2:AJ45,AJ37)</f>
        <v>0</v>
      </c>
      <c r="AK92" s="74"/>
      <c r="AL92" s="74"/>
      <c r="AM92" s="74">
        <f>COUNTIF(AM2:AM45,AM37)</f>
        <v>0</v>
      </c>
      <c r="AN92" s="74"/>
      <c r="AO92" s="74"/>
      <c r="AP92" s="74">
        <f>COUNTIF(AP2:AP45,AP37)</f>
        <v>0</v>
      </c>
      <c r="AQ92" s="74"/>
      <c r="AR92" s="74"/>
      <c r="AS92" s="74">
        <f>COUNTIF(AS2:AS45,AS37)</f>
        <v>0</v>
      </c>
      <c r="AT92" s="74"/>
      <c r="AU92" s="74"/>
      <c r="AV92" s="74">
        <f>COUNTIF(AV2:AV45,AV37)</f>
        <v>0</v>
      </c>
      <c r="AW92" s="74"/>
      <c r="AX92" s="74"/>
      <c r="AY92" s="74">
        <f t="shared" si="58"/>
        <v>0</v>
      </c>
      <c r="AZ92" s="74"/>
      <c r="BA92" s="74"/>
      <c r="BB92" s="74">
        <f t="shared" si="59"/>
        <v>0</v>
      </c>
      <c r="BC92" s="74"/>
      <c r="BD92" s="74"/>
      <c r="BE92" s="74">
        <f t="shared" si="60"/>
        <v>0</v>
      </c>
      <c r="BF92" s="74"/>
      <c r="BG92" s="74"/>
      <c r="BH92" s="74">
        <f t="shared" si="61"/>
        <v>0</v>
      </c>
      <c r="BI92" s="74"/>
      <c r="BJ92" s="74"/>
      <c r="BK92" s="74">
        <f t="shared" si="62"/>
        <v>0</v>
      </c>
      <c r="BL92" s="74"/>
      <c r="BM92" s="74"/>
      <c r="BN92" s="74">
        <f t="shared" si="63"/>
        <v>0</v>
      </c>
      <c r="BO92" s="74"/>
      <c r="BP92" s="74"/>
      <c r="BQ92" s="74">
        <f t="shared" si="64"/>
        <v>0</v>
      </c>
      <c r="BR92" s="252"/>
      <c r="BS92" s="252"/>
      <c r="BT92" s="74">
        <f t="shared" si="65"/>
        <v>0</v>
      </c>
      <c r="BU92" s="74"/>
      <c r="BV92" s="74"/>
      <c r="BW92" s="74">
        <f t="shared" si="66"/>
        <v>0</v>
      </c>
      <c r="BX92" s="74"/>
      <c r="BY92" s="74"/>
      <c r="BZ92" s="74">
        <f t="shared" si="67"/>
        <v>0</v>
      </c>
      <c r="CA92" s="74"/>
      <c r="CB92" s="74"/>
      <c r="CC92" s="74">
        <f t="shared" si="68"/>
        <v>0</v>
      </c>
      <c r="CD92" s="74"/>
      <c r="CE92" s="74"/>
      <c r="CF92" s="74">
        <f t="shared" si="69"/>
        <v>0</v>
      </c>
      <c r="CG92" s="74"/>
      <c r="CH92" s="74"/>
      <c r="CI92" s="74">
        <f t="shared" si="70"/>
        <v>0</v>
      </c>
      <c r="CJ92" s="74"/>
      <c r="CK92" s="74"/>
      <c r="CL92" s="74">
        <f t="shared" si="71"/>
        <v>0</v>
      </c>
      <c r="CM92" s="74"/>
      <c r="CN92" s="74"/>
      <c r="CO92" s="74">
        <f t="shared" si="72"/>
        <v>0</v>
      </c>
      <c r="CP92" s="74"/>
      <c r="CQ92" s="74"/>
      <c r="CR92" s="74">
        <f t="shared" si="73"/>
        <v>0</v>
      </c>
      <c r="CS92" s="74"/>
      <c r="CT92" s="74"/>
      <c r="CU92" s="74">
        <f t="shared" si="74"/>
        <v>0</v>
      </c>
      <c r="CV92" s="74"/>
      <c r="CW92" s="74"/>
      <c r="CX92" s="74">
        <f t="shared" si="75"/>
        <v>0</v>
      </c>
      <c r="CY92" s="74"/>
      <c r="CZ92" s="74"/>
      <c r="DA92" s="74">
        <f t="shared" si="76"/>
        <v>0</v>
      </c>
      <c r="DB92" s="74"/>
      <c r="DC92" s="74"/>
      <c r="DD92" s="74">
        <f t="shared" si="77"/>
        <v>0</v>
      </c>
      <c r="DE92" s="74"/>
      <c r="DF92" s="74"/>
      <c r="DG92" s="74">
        <f t="shared" si="78"/>
        <v>0</v>
      </c>
      <c r="DH92" s="74"/>
      <c r="DI92" s="74"/>
      <c r="DJ92" s="74">
        <f t="shared" si="79"/>
        <v>0</v>
      </c>
      <c r="DK92" s="74"/>
      <c r="DL92" s="74"/>
      <c r="DM92" s="74">
        <f t="shared" si="80"/>
        <v>0</v>
      </c>
      <c r="DN92" s="74"/>
      <c r="DO92" s="74"/>
      <c r="DP92" s="74">
        <f t="shared" si="81"/>
        <v>0</v>
      </c>
      <c r="DQ92" s="74"/>
      <c r="DR92" s="74"/>
      <c r="DS92" s="74">
        <f t="shared" si="82"/>
        <v>0</v>
      </c>
      <c r="DT92" s="74"/>
      <c r="DU92" s="74"/>
      <c r="DV92" s="74">
        <f t="shared" si="83"/>
        <v>0</v>
      </c>
      <c r="DW92" s="74"/>
      <c r="DX92" s="74"/>
      <c r="DY92" s="74">
        <f t="shared" si="84"/>
        <v>0</v>
      </c>
      <c r="DZ92" s="74"/>
      <c r="EA92" s="74"/>
      <c r="EB92" s="74">
        <f t="shared" si="85"/>
        <v>0</v>
      </c>
      <c r="EC92" s="74"/>
      <c r="ED92" s="74"/>
      <c r="EE92" s="74">
        <f t="shared" si="86"/>
        <v>0</v>
      </c>
      <c r="EF92" s="74"/>
      <c r="EG92" s="74"/>
      <c r="EH92" s="74">
        <f t="shared" si="87"/>
        <v>0</v>
      </c>
      <c r="EI92" s="74"/>
      <c r="EJ92" s="74"/>
      <c r="EK92" s="74">
        <f t="shared" si="88"/>
        <v>0</v>
      </c>
      <c r="EL92" s="74"/>
      <c r="EM92" s="74"/>
      <c r="EN92" s="74">
        <f t="shared" si="89"/>
        <v>0</v>
      </c>
      <c r="EO92" s="74"/>
      <c r="EP92" s="74"/>
      <c r="EQ92" s="74">
        <f t="shared" si="90"/>
        <v>0</v>
      </c>
      <c r="ER92" s="74"/>
      <c r="ES92" s="74"/>
      <c r="ET92" s="74">
        <f t="shared" si="91"/>
        <v>0</v>
      </c>
      <c r="EU92" s="74"/>
      <c r="EV92" s="74"/>
      <c r="EW92" s="74">
        <f t="shared" si="106"/>
        <v>0</v>
      </c>
      <c r="EX92" s="74"/>
      <c r="EY92" s="74"/>
      <c r="EZ92" s="74">
        <f t="shared" si="105"/>
        <v>0</v>
      </c>
      <c r="FA92" s="74"/>
      <c r="FB92" s="74"/>
      <c r="FC92" s="74">
        <f t="shared" si="93"/>
        <v>1</v>
      </c>
      <c r="FD92" s="74"/>
      <c r="FE92" s="74"/>
      <c r="FF92" s="74">
        <f t="shared" si="99"/>
        <v>1</v>
      </c>
      <c r="FG92" s="74"/>
      <c r="FH92" s="74"/>
      <c r="FI92" s="74">
        <f t="shared" si="95"/>
        <v>0</v>
      </c>
      <c r="FJ92" s="74"/>
      <c r="FK92" s="74"/>
      <c r="FL92" s="74">
        <f t="shared" si="103"/>
        <v>0</v>
      </c>
      <c r="FM92" s="74"/>
      <c r="FN92" s="74"/>
      <c r="FO92" s="74">
        <f t="shared" si="97"/>
        <v>0</v>
      </c>
      <c r="FP92" s="74"/>
    </row>
    <row r="93" spans="1:172" ht="15" hidden="1" x14ac:dyDescent="0.2">
      <c r="A93" s="74"/>
      <c r="B93" s="74"/>
      <c r="C93" s="74"/>
      <c r="D93" s="74"/>
      <c r="E93" s="74"/>
      <c r="F93" s="74">
        <f>COUNTIF(F2:F45,F38)</f>
        <v>0</v>
      </c>
      <c r="G93" s="74"/>
      <c r="H93" s="74"/>
      <c r="I93" s="74">
        <f>COUNTIF(I2:I45,I38)</f>
        <v>0</v>
      </c>
      <c r="J93" s="74"/>
      <c r="K93" s="74"/>
      <c r="L93" s="74">
        <f>COUNTIF(L2:L45,L38)</f>
        <v>0</v>
      </c>
      <c r="M93" s="74"/>
      <c r="N93" s="74"/>
      <c r="O93" s="74">
        <f>COUNTIF(O2:O45,O38)</f>
        <v>0</v>
      </c>
      <c r="P93" s="74"/>
      <c r="Q93" s="74"/>
      <c r="R93" s="74">
        <f>COUNTIF(R2:R45,R38)</f>
        <v>0</v>
      </c>
      <c r="S93" s="74"/>
      <c r="T93" s="74"/>
      <c r="U93" s="74">
        <f>COUNTIF(U2:U45,U38)</f>
        <v>0</v>
      </c>
      <c r="V93" s="74"/>
      <c r="W93" s="74"/>
      <c r="X93" s="74">
        <f>COUNTIF(X2:X45,X38)</f>
        <v>0</v>
      </c>
      <c r="Y93" s="74"/>
      <c r="Z93" s="74"/>
      <c r="AA93" s="74">
        <f>COUNTIF(AA2:AA45,AA38)</f>
        <v>0</v>
      </c>
      <c r="AB93" s="74"/>
      <c r="AC93" s="74"/>
      <c r="AD93" s="74">
        <f>COUNTIF(AD2:AD45,AD38)</f>
        <v>0</v>
      </c>
      <c r="AE93" s="74"/>
      <c r="AF93" s="74"/>
      <c r="AG93" s="74">
        <f>COUNTIF(AG2:AG45,AG38)</f>
        <v>0</v>
      </c>
      <c r="AH93" s="74"/>
      <c r="AI93" s="74"/>
      <c r="AJ93" s="74">
        <f>COUNTIF(AJ2:AJ45,AJ38)</f>
        <v>0</v>
      </c>
      <c r="AK93" s="74"/>
      <c r="AL93" s="74"/>
      <c r="AM93" s="74">
        <f>COUNTIF(AM2:AM45,AM38)</f>
        <v>0</v>
      </c>
      <c r="AN93" s="74"/>
      <c r="AO93" s="74"/>
      <c r="AP93" s="74">
        <f>COUNTIF(AP2:AP45,AP38)</f>
        <v>0</v>
      </c>
      <c r="AQ93" s="74"/>
      <c r="AR93" s="74"/>
      <c r="AS93" s="74">
        <f>COUNTIF(AS2:AS45,AS38)</f>
        <v>0</v>
      </c>
      <c r="AT93" s="74"/>
      <c r="AU93" s="74"/>
      <c r="AV93" s="74">
        <f>COUNTIF(AV2:AV45,AV38)</f>
        <v>0</v>
      </c>
      <c r="AW93" s="74"/>
      <c r="AX93" s="74"/>
      <c r="AY93" s="74">
        <f t="shared" si="58"/>
        <v>0</v>
      </c>
      <c r="AZ93" s="74"/>
      <c r="BA93" s="74"/>
      <c r="BB93" s="74">
        <f t="shared" si="59"/>
        <v>0</v>
      </c>
      <c r="BC93" s="74"/>
      <c r="BD93" s="74"/>
      <c r="BE93" s="74">
        <f t="shared" si="60"/>
        <v>0</v>
      </c>
      <c r="BF93" s="74"/>
      <c r="BG93" s="74"/>
      <c r="BH93" s="74">
        <f t="shared" si="61"/>
        <v>0</v>
      </c>
      <c r="BI93" s="74"/>
      <c r="BJ93" s="74"/>
      <c r="BK93" s="74">
        <f t="shared" si="62"/>
        <v>0</v>
      </c>
      <c r="BL93" s="74"/>
      <c r="BM93" s="74"/>
      <c r="BN93" s="74">
        <f t="shared" si="63"/>
        <v>0</v>
      </c>
      <c r="BO93" s="74"/>
      <c r="BP93" s="74"/>
      <c r="BQ93" s="74">
        <f t="shared" si="64"/>
        <v>0</v>
      </c>
      <c r="BR93" s="252"/>
      <c r="BS93" s="252"/>
      <c r="BT93" s="74">
        <f t="shared" si="65"/>
        <v>0</v>
      </c>
      <c r="BU93" s="74"/>
      <c r="BV93" s="74"/>
      <c r="BW93" s="74">
        <f t="shared" si="66"/>
        <v>0</v>
      </c>
      <c r="BX93" s="74"/>
      <c r="BY93" s="74"/>
      <c r="BZ93" s="74">
        <f t="shared" si="67"/>
        <v>0</v>
      </c>
      <c r="CA93" s="74"/>
      <c r="CB93" s="74"/>
      <c r="CC93" s="74">
        <f t="shared" si="68"/>
        <v>0</v>
      </c>
      <c r="CD93" s="74"/>
      <c r="CE93" s="74"/>
      <c r="CF93" s="74">
        <f t="shared" si="69"/>
        <v>0</v>
      </c>
      <c r="CG93" s="74"/>
      <c r="CH93" s="74"/>
      <c r="CI93" s="74">
        <f t="shared" si="70"/>
        <v>0</v>
      </c>
      <c r="CJ93" s="74"/>
      <c r="CK93" s="74"/>
      <c r="CL93" s="74">
        <f t="shared" si="71"/>
        <v>0</v>
      </c>
      <c r="CM93" s="74"/>
      <c r="CN93" s="74"/>
      <c r="CO93" s="74">
        <f t="shared" si="72"/>
        <v>0</v>
      </c>
      <c r="CP93" s="74"/>
      <c r="CQ93" s="74"/>
      <c r="CR93" s="74">
        <f t="shared" si="73"/>
        <v>0</v>
      </c>
      <c r="CS93" s="74"/>
      <c r="CT93" s="74"/>
      <c r="CU93" s="74">
        <f t="shared" si="74"/>
        <v>0</v>
      </c>
      <c r="CV93" s="74"/>
      <c r="CW93" s="74"/>
      <c r="CX93" s="74">
        <f t="shared" si="75"/>
        <v>0</v>
      </c>
      <c r="CY93" s="74"/>
      <c r="CZ93" s="74"/>
      <c r="DA93" s="74">
        <f t="shared" si="76"/>
        <v>0</v>
      </c>
      <c r="DB93" s="74"/>
      <c r="DC93" s="74"/>
      <c r="DD93" s="74">
        <f t="shared" si="77"/>
        <v>0</v>
      </c>
      <c r="DE93" s="74"/>
      <c r="DF93" s="74"/>
      <c r="DG93" s="74">
        <f t="shared" si="78"/>
        <v>0</v>
      </c>
      <c r="DH93" s="74"/>
      <c r="DI93" s="74"/>
      <c r="DJ93" s="74">
        <f t="shared" si="79"/>
        <v>0</v>
      </c>
      <c r="DK93" s="74"/>
      <c r="DL93" s="74"/>
      <c r="DM93" s="74">
        <f t="shared" si="80"/>
        <v>0</v>
      </c>
      <c r="DN93" s="74"/>
      <c r="DO93" s="74"/>
      <c r="DP93" s="74">
        <f t="shared" si="81"/>
        <v>0</v>
      </c>
      <c r="DQ93" s="74"/>
      <c r="DR93" s="74"/>
      <c r="DS93" s="74">
        <f t="shared" si="82"/>
        <v>0</v>
      </c>
      <c r="DT93" s="74"/>
      <c r="DU93" s="74"/>
      <c r="DV93" s="74">
        <f t="shared" si="83"/>
        <v>0</v>
      </c>
      <c r="DW93" s="74"/>
      <c r="DX93" s="74"/>
      <c r="DY93" s="74">
        <f t="shared" si="84"/>
        <v>0</v>
      </c>
      <c r="DZ93" s="74"/>
      <c r="EA93" s="74"/>
      <c r="EB93" s="74">
        <f t="shared" si="85"/>
        <v>0</v>
      </c>
      <c r="EC93" s="74"/>
      <c r="ED93" s="74"/>
      <c r="EE93" s="74">
        <f t="shared" si="86"/>
        <v>0</v>
      </c>
      <c r="EF93" s="74"/>
      <c r="EG93" s="74"/>
      <c r="EH93" s="74">
        <f t="shared" si="87"/>
        <v>0</v>
      </c>
      <c r="EI93" s="74"/>
      <c r="EJ93" s="74"/>
      <c r="EK93" s="74">
        <f t="shared" si="88"/>
        <v>0</v>
      </c>
      <c r="EL93" s="74"/>
      <c r="EM93" s="74"/>
      <c r="EN93" s="74">
        <f t="shared" si="89"/>
        <v>0</v>
      </c>
      <c r="EO93" s="74"/>
      <c r="EP93" s="74"/>
      <c r="EQ93" s="74">
        <f t="shared" si="90"/>
        <v>0</v>
      </c>
      <c r="ER93" s="74"/>
      <c r="ES93" s="74"/>
      <c r="ET93" s="74">
        <f t="shared" si="91"/>
        <v>0</v>
      </c>
      <c r="EU93" s="74"/>
      <c r="EV93" s="74"/>
      <c r="EW93" s="74">
        <f t="shared" si="106"/>
        <v>0</v>
      </c>
      <c r="EX93" s="74"/>
      <c r="EY93" s="74"/>
      <c r="EZ93" s="74">
        <f t="shared" si="105"/>
        <v>0</v>
      </c>
      <c r="FA93" s="74"/>
      <c r="FB93" s="74"/>
      <c r="FC93" s="74">
        <f t="shared" si="93"/>
        <v>1</v>
      </c>
      <c r="FD93" s="74"/>
      <c r="FE93" s="74"/>
      <c r="FF93" s="74">
        <f t="shared" si="99"/>
        <v>2</v>
      </c>
      <c r="FG93" s="74"/>
      <c r="FH93" s="74"/>
      <c r="FI93" s="74">
        <f t="shared" si="95"/>
        <v>0</v>
      </c>
      <c r="FJ93" s="74"/>
      <c r="FK93" s="74"/>
      <c r="FL93" s="74">
        <f t="shared" si="103"/>
        <v>0</v>
      </c>
      <c r="FM93" s="74"/>
      <c r="FN93" s="74"/>
      <c r="FO93" s="74">
        <f t="shared" si="97"/>
        <v>0</v>
      </c>
      <c r="FP93" s="74"/>
    </row>
    <row r="94" spans="1:172" ht="15" hidden="1" x14ac:dyDescent="0.2">
      <c r="A94" s="74"/>
      <c r="B94" s="74"/>
      <c r="C94" s="74"/>
      <c r="D94" s="74"/>
      <c r="E94" s="74"/>
      <c r="F94" s="74">
        <f>COUNTIF(F2:F45,F39)</f>
        <v>0</v>
      </c>
      <c r="G94" s="74"/>
      <c r="H94" s="74"/>
      <c r="I94" s="74">
        <f>COUNTIF(I2:I45,I39)</f>
        <v>0</v>
      </c>
      <c r="J94" s="74"/>
      <c r="K94" s="74"/>
      <c r="L94" s="74">
        <f>COUNTIF(L2:L45,L39)</f>
        <v>0</v>
      </c>
      <c r="M94" s="74"/>
      <c r="N94" s="74"/>
      <c r="O94" s="74">
        <f>COUNTIF(O2:O45,O39)</f>
        <v>0</v>
      </c>
      <c r="P94" s="74"/>
      <c r="Q94" s="74"/>
      <c r="R94" s="74">
        <f>COUNTIF(R2:R45,R39)</f>
        <v>0</v>
      </c>
      <c r="S94" s="74"/>
      <c r="T94" s="74"/>
      <c r="U94" s="74">
        <f>COUNTIF(U2:U45,U39)</f>
        <v>0</v>
      </c>
      <c r="V94" s="74"/>
      <c r="W94" s="74"/>
      <c r="X94" s="74">
        <f>COUNTIF(X2:X45,X39)</f>
        <v>0</v>
      </c>
      <c r="Y94" s="74"/>
      <c r="Z94" s="74"/>
      <c r="AA94" s="74">
        <f>COUNTIF(AA2:AA45,AA39)</f>
        <v>0</v>
      </c>
      <c r="AB94" s="74"/>
      <c r="AC94" s="74"/>
      <c r="AD94" s="74">
        <f>COUNTIF(AD2:AD45,AD39)</f>
        <v>0</v>
      </c>
      <c r="AE94" s="74"/>
      <c r="AF94" s="74"/>
      <c r="AG94" s="74">
        <f>COUNTIF(AG2:AG45,AG39)</f>
        <v>0</v>
      </c>
      <c r="AH94" s="74"/>
      <c r="AI94" s="74"/>
      <c r="AJ94" s="74">
        <f>COUNTIF(AJ2:AJ45,AJ39)</f>
        <v>0</v>
      </c>
      <c r="AK94" s="74"/>
      <c r="AL94" s="74"/>
      <c r="AM94" s="74">
        <f>COUNTIF(AM2:AM45,AM39)</f>
        <v>0</v>
      </c>
      <c r="AN94" s="74"/>
      <c r="AO94" s="74"/>
      <c r="AP94" s="74">
        <f>COUNTIF(AP2:AP45,AP39)</f>
        <v>0</v>
      </c>
      <c r="AQ94" s="74"/>
      <c r="AR94" s="74"/>
      <c r="AS94" s="74">
        <f>COUNTIF(AS2:AS45,AS39)</f>
        <v>0</v>
      </c>
      <c r="AT94" s="74"/>
      <c r="AU94" s="74"/>
      <c r="AV94" s="74">
        <f>COUNTIF(AV2:AV45,AV39)</f>
        <v>0</v>
      </c>
      <c r="AW94" s="74"/>
      <c r="AX94" s="74"/>
      <c r="AY94" s="74">
        <f t="shared" si="58"/>
        <v>0</v>
      </c>
      <c r="AZ94" s="74"/>
      <c r="BA94" s="74"/>
      <c r="BB94" s="74">
        <f t="shared" si="59"/>
        <v>0</v>
      </c>
      <c r="BC94" s="74"/>
      <c r="BD94" s="74"/>
      <c r="BE94" s="74">
        <f t="shared" si="60"/>
        <v>0</v>
      </c>
      <c r="BF94" s="74"/>
      <c r="BG94" s="74"/>
      <c r="BH94" s="74">
        <f t="shared" si="61"/>
        <v>0</v>
      </c>
      <c r="BI94" s="74"/>
      <c r="BJ94" s="74"/>
      <c r="BK94" s="74">
        <f t="shared" si="62"/>
        <v>0</v>
      </c>
      <c r="BL94" s="74"/>
      <c r="BM94" s="74"/>
      <c r="BN94" s="74">
        <f t="shared" si="63"/>
        <v>0</v>
      </c>
      <c r="BO94" s="74"/>
      <c r="BP94" s="74"/>
      <c r="BQ94" s="74">
        <f t="shared" si="64"/>
        <v>0</v>
      </c>
      <c r="BR94" s="252"/>
      <c r="BS94" s="252"/>
      <c r="BT94" s="74">
        <f t="shared" si="65"/>
        <v>0</v>
      </c>
      <c r="BU94" s="74"/>
      <c r="BV94" s="74"/>
      <c r="BW94" s="74">
        <f t="shared" si="66"/>
        <v>0</v>
      </c>
      <c r="BX94" s="74"/>
      <c r="BY94" s="74"/>
      <c r="BZ94" s="74">
        <f t="shared" si="67"/>
        <v>0</v>
      </c>
      <c r="CA94" s="74"/>
      <c r="CB94" s="74"/>
      <c r="CC94" s="74">
        <f t="shared" si="68"/>
        <v>0</v>
      </c>
      <c r="CD94" s="74"/>
      <c r="CE94" s="74"/>
      <c r="CF94" s="74">
        <f t="shared" si="69"/>
        <v>0</v>
      </c>
      <c r="CG94" s="74"/>
      <c r="CH94" s="74"/>
      <c r="CI94" s="74">
        <f t="shared" si="70"/>
        <v>0</v>
      </c>
      <c r="CJ94" s="74"/>
      <c r="CK94" s="74"/>
      <c r="CL94" s="74">
        <f t="shared" si="71"/>
        <v>0</v>
      </c>
      <c r="CM94" s="74"/>
      <c r="CN94" s="74"/>
      <c r="CO94" s="74">
        <f t="shared" si="72"/>
        <v>0</v>
      </c>
      <c r="CP94" s="74"/>
      <c r="CQ94" s="74"/>
      <c r="CR94" s="74">
        <f t="shared" si="73"/>
        <v>0</v>
      </c>
      <c r="CS94" s="74"/>
      <c r="CT94" s="74"/>
      <c r="CU94" s="74">
        <f t="shared" si="74"/>
        <v>0</v>
      </c>
      <c r="CV94" s="74"/>
      <c r="CW94" s="74"/>
      <c r="CX94" s="74">
        <f t="shared" si="75"/>
        <v>0</v>
      </c>
      <c r="CY94" s="74"/>
      <c r="CZ94" s="74"/>
      <c r="DA94" s="74">
        <f t="shared" si="76"/>
        <v>0</v>
      </c>
      <c r="DB94" s="74"/>
      <c r="DC94" s="74"/>
      <c r="DD94" s="74">
        <f t="shared" si="77"/>
        <v>0</v>
      </c>
      <c r="DE94" s="74"/>
      <c r="DF94" s="74"/>
      <c r="DG94" s="74">
        <f t="shared" si="78"/>
        <v>0</v>
      </c>
      <c r="DH94" s="74"/>
      <c r="DI94" s="74"/>
      <c r="DJ94" s="74">
        <f t="shared" si="79"/>
        <v>0</v>
      </c>
      <c r="DK94" s="74"/>
      <c r="DL94" s="74"/>
      <c r="DM94" s="74">
        <f t="shared" si="80"/>
        <v>0</v>
      </c>
      <c r="DN94" s="74"/>
      <c r="DO94" s="74"/>
      <c r="DP94" s="74">
        <f t="shared" si="81"/>
        <v>0</v>
      </c>
      <c r="DQ94" s="74"/>
      <c r="DR94" s="74"/>
      <c r="DS94" s="74">
        <f t="shared" si="82"/>
        <v>0</v>
      </c>
      <c r="DT94" s="74"/>
      <c r="DU94" s="74"/>
      <c r="DV94" s="74">
        <f t="shared" si="83"/>
        <v>0</v>
      </c>
      <c r="DW94" s="74"/>
      <c r="DX94" s="74"/>
      <c r="DY94" s="74">
        <f t="shared" si="84"/>
        <v>0</v>
      </c>
      <c r="DZ94" s="74"/>
      <c r="EA94" s="74"/>
      <c r="EB94" s="74">
        <f t="shared" si="85"/>
        <v>0</v>
      </c>
      <c r="EC94" s="74"/>
      <c r="ED94" s="74"/>
      <c r="EE94" s="74">
        <f t="shared" si="86"/>
        <v>0</v>
      </c>
      <c r="EF94" s="74"/>
      <c r="EG94" s="74"/>
      <c r="EH94" s="74">
        <f t="shared" si="87"/>
        <v>0</v>
      </c>
      <c r="EI94" s="74"/>
      <c r="EJ94" s="74"/>
      <c r="EK94" s="74">
        <f t="shared" si="88"/>
        <v>0</v>
      </c>
      <c r="EL94" s="74"/>
      <c r="EM94" s="74"/>
      <c r="EN94" s="74">
        <f t="shared" si="89"/>
        <v>0</v>
      </c>
      <c r="EO94" s="74"/>
      <c r="EP94" s="74"/>
      <c r="EQ94" s="74">
        <f t="shared" si="90"/>
        <v>0</v>
      </c>
      <c r="ER94" s="74"/>
      <c r="ES94" s="74"/>
      <c r="ET94" s="74">
        <f t="shared" si="91"/>
        <v>0</v>
      </c>
      <c r="EU94" s="74"/>
      <c r="EV94" s="74"/>
      <c r="EW94" s="74">
        <f t="shared" si="106"/>
        <v>0</v>
      </c>
      <c r="EX94" s="74"/>
      <c r="EY94" s="74"/>
      <c r="EZ94" s="74">
        <f t="shared" si="105"/>
        <v>0</v>
      </c>
      <c r="FA94" s="74"/>
      <c r="FB94" s="74"/>
      <c r="FC94" s="74">
        <f t="shared" si="93"/>
        <v>1</v>
      </c>
      <c r="FD94" s="74"/>
      <c r="FE94" s="74"/>
      <c r="FF94" s="74">
        <f t="shared" si="99"/>
        <v>2</v>
      </c>
      <c r="FG94" s="74"/>
      <c r="FH94" s="74"/>
      <c r="FI94" s="74">
        <f t="shared" si="95"/>
        <v>0</v>
      </c>
      <c r="FJ94" s="74"/>
      <c r="FK94" s="74"/>
      <c r="FL94" s="74">
        <f t="shared" si="103"/>
        <v>0</v>
      </c>
      <c r="FM94" s="74"/>
      <c r="FN94" s="74"/>
      <c r="FO94" s="74">
        <f t="shared" si="97"/>
        <v>0</v>
      </c>
      <c r="FP94" s="74"/>
    </row>
    <row r="95" spans="1:172" ht="15" hidden="1" x14ac:dyDescent="0.2">
      <c r="A95" s="74"/>
      <c r="B95" s="74"/>
      <c r="C95" s="74"/>
      <c r="D95" s="74"/>
      <c r="E95" s="74"/>
      <c r="F95" s="74">
        <f>COUNTIF(F2:F45,F40)</f>
        <v>0</v>
      </c>
      <c r="G95" s="74"/>
      <c r="H95" s="74"/>
      <c r="I95" s="74">
        <f>COUNTIF(I2:I45,I40)</f>
        <v>0</v>
      </c>
      <c r="J95" s="74"/>
      <c r="K95" s="74"/>
      <c r="L95" s="74">
        <f>COUNTIF(L2:L45,L40)</f>
        <v>0</v>
      </c>
      <c r="M95" s="74"/>
      <c r="N95" s="74"/>
      <c r="O95" s="74">
        <f>COUNTIF(O2:O45,O40)</f>
        <v>0</v>
      </c>
      <c r="P95" s="74"/>
      <c r="Q95" s="74"/>
      <c r="R95" s="74">
        <f>COUNTIF(R2:R45,R40)</f>
        <v>0</v>
      </c>
      <c r="S95" s="74"/>
      <c r="T95" s="74"/>
      <c r="U95" s="74">
        <f>COUNTIF(U2:U45,U40)</f>
        <v>0</v>
      </c>
      <c r="V95" s="74"/>
      <c r="W95" s="74"/>
      <c r="X95" s="74">
        <f>COUNTIF(X2:X45,X40)</f>
        <v>0</v>
      </c>
      <c r="Y95" s="74"/>
      <c r="Z95" s="74"/>
      <c r="AA95" s="74">
        <f>COUNTIF(AA2:AA45,AA40)</f>
        <v>0</v>
      </c>
      <c r="AB95" s="74"/>
      <c r="AC95" s="74"/>
      <c r="AD95" s="74">
        <f>COUNTIF(AD2:AD45,AD40)</f>
        <v>0</v>
      </c>
      <c r="AE95" s="74"/>
      <c r="AF95" s="74"/>
      <c r="AG95" s="74">
        <f>COUNTIF(AG2:AG45,AG40)</f>
        <v>0</v>
      </c>
      <c r="AH95" s="74"/>
      <c r="AI95" s="74"/>
      <c r="AJ95" s="74">
        <f>COUNTIF(AJ2:AJ45,AJ40)</f>
        <v>0</v>
      </c>
      <c r="AK95" s="74"/>
      <c r="AL95" s="74"/>
      <c r="AM95" s="74">
        <f>COUNTIF(AM2:AM45,AM40)</f>
        <v>0</v>
      </c>
      <c r="AN95" s="74"/>
      <c r="AO95" s="74"/>
      <c r="AP95" s="74">
        <f>COUNTIF(AP2:AP45,AP40)</f>
        <v>0</v>
      </c>
      <c r="AQ95" s="74"/>
      <c r="AR95" s="74"/>
      <c r="AS95" s="74">
        <f>COUNTIF(AS2:AS45,AS40)</f>
        <v>0</v>
      </c>
      <c r="AT95" s="74"/>
      <c r="AU95" s="74"/>
      <c r="AV95" s="74">
        <f>COUNTIF(AV2:AV45,AV40)</f>
        <v>0</v>
      </c>
      <c r="AW95" s="74"/>
      <c r="AX95" s="74"/>
      <c r="AY95" s="74">
        <f t="shared" si="58"/>
        <v>0</v>
      </c>
      <c r="AZ95" s="74"/>
      <c r="BA95" s="74"/>
      <c r="BB95" s="74">
        <f t="shared" si="59"/>
        <v>0</v>
      </c>
      <c r="BC95" s="74"/>
      <c r="BD95" s="74"/>
      <c r="BE95" s="74">
        <f t="shared" si="60"/>
        <v>0</v>
      </c>
      <c r="BF95" s="74"/>
      <c r="BG95" s="74"/>
      <c r="BH95" s="74">
        <f t="shared" si="61"/>
        <v>0</v>
      </c>
      <c r="BI95" s="74"/>
      <c r="BJ95" s="74"/>
      <c r="BK95" s="74">
        <f t="shared" si="62"/>
        <v>0</v>
      </c>
      <c r="BL95" s="74"/>
      <c r="BM95" s="74"/>
      <c r="BN95" s="74">
        <f t="shared" si="63"/>
        <v>0</v>
      </c>
      <c r="BO95" s="74"/>
      <c r="BP95" s="74"/>
      <c r="BQ95" s="74">
        <f t="shared" si="64"/>
        <v>0</v>
      </c>
      <c r="BR95" s="252"/>
      <c r="BS95" s="252"/>
      <c r="BT95" s="74">
        <f t="shared" si="65"/>
        <v>0</v>
      </c>
      <c r="BU95" s="74"/>
      <c r="BV95" s="74"/>
      <c r="BW95" s="74">
        <f t="shared" si="66"/>
        <v>0</v>
      </c>
      <c r="BX95" s="74"/>
      <c r="BY95" s="74"/>
      <c r="BZ95" s="74">
        <f t="shared" si="67"/>
        <v>0</v>
      </c>
      <c r="CA95" s="74"/>
      <c r="CB95" s="74"/>
      <c r="CC95" s="74">
        <f t="shared" si="68"/>
        <v>0</v>
      </c>
      <c r="CD95" s="74"/>
      <c r="CE95" s="74"/>
      <c r="CF95" s="74">
        <f t="shared" si="69"/>
        <v>0</v>
      </c>
      <c r="CG95" s="74"/>
      <c r="CH95" s="74"/>
      <c r="CI95" s="74">
        <f t="shared" si="70"/>
        <v>0</v>
      </c>
      <c r="CJ95" s="74"/>
      <c r="CK95" s="74"/>
      <c r="CL95" s="74">
        <f t="shared" si="71"/>
        <v>0</v>
      </c>
      <c r="CM95" s="74"/>
      <c r="CN95" s="74"/>
      <c r="CO95" s="74">
        <f t="shared" si="72"/>
        <v>0</v>
      </c>
      <c r="CP95" s="74"/>
      <c r="CQ95" s="74"/>
      <c r="CR95" s="74">
        <f t="shared" si="73"/>
        <v>0</v>
      </c>
      <c r="CS95" s="74"/>
      <c r="CT95" s="74"/>
      <c r="CU95" s="74">
        <f t="shared" si="74"/>
        <v>0</v>
      </c>
      <c r="CV95" s="74"/>
      <c r="CW95" s="74"/>
      <c r="CX95" s="74">
        <f t="shared" si="75"/>
        <v>0</v>
      </c>
      <c r="CY95" s="74"/>
      <c r="CZ95" s="74"/>
      <c r="DA95" s="74">
        <f t="shared" si="76"/>
        <v>0</v>
      </c>
      <c r="DB95" s="74"/>
      <c r="DC95" s="74"/>
      <c r="DD95" s="74">
        <f t="shared" si="77"/>
        <v>0</v>
      </c>
      <c r="DE95" s="74"/>
      <c r="DF95" s="74"/>
      <c r="DG95" s="74">
        <f t="shared" si="78"/>
        <v>0</v>
      </c>
      <c r="DH95" s="74"/>
      <c r="DI95" s="74"/>
      <c r="DJ95" s="74">
        <f t="shared" si="79"/>
        <v>0</v>
      </c>
      <c r="DK95" s="74"/>
      <c r="DL95" s="74"/>
      <c r="DM95" s="74">
        <f t="shared" si="80"/>
        <v>0</v>
      </c>
      <c r="DN95" s="74"/>
      <c r="DO95" s="74"/>
      <c r="DP95" s="74">
        <f t="shared" si="81"/>
        <v>0</v>
      </c>
      <c r="DQ95" s="74"/>
      <c r="DR95" s="74"/>
      <c r="DS95" s="74">
        <f t="shared" si="82"/>
        <v>0</v>
      </c>
      <c r="DT95" s="74"/>
      <c r="DU95" s="74"/>
      <c r="DV95" s="74">
        <f t="shared" si="83"/>
        <v>0</v>
      </c>
      <c r="DW95" s="74"/>
      <c r="DX95" s="74"/>
      <c r="DY95" s="74">
        <f t="shared" si="84"/>
        <v>0</v>
      </c>
      <c r="DZ95" s="74"/>
      <c r="EA95" s="74"/>
      <c r="EB95" s="74">
        <f t="shared" si="85"/>
        <v>0</v>
      </c>
      <c r="EC95" s="74"/>
      <c r="ED95" s="74"/>
      <c r="EE95" s="74">
        <f t="shared" si="86"/>
        <v>0</v>
      </c>
      <c r="EF95" s="74"/>
      <c r="EG95" s="74"/>
      <c r="EH95" s="74">
        <f t="shared" si="87"/>
        <v>0</v>
      </c>
      <c r="EI95" s="74"/>
      <c r="EJ95" s="74"/>
      <c r="EK95" s="74">
        <f t="shared" si="88"/>
        <v>0</v>
      </c>
      <c r="EL95" s="74"/>
      <c r="EM95" s="74"/>
      <c r="EN95" s="74">
        <f t="shared" si="89"/>
        <v>0</v>
      </c>
      <c r="EO95" s="74"/>
      <c r="EP95" s="74"/>
      <c r="EQ95" s="74">
        <f t="shared" si="90"/>
        <v>0</v>
      </c>
      <c r="ER95" s="74"/>
      <c r="ES95" s="74"/>
      <c r="ET95" s="74">
        <f t="shared" si="91"/>
        <v>0</v>
      </c>
      <c r="EU95" s="74"/>
      <c r="EV95" s="74"/>
      <c r="EW95" s="74">
        <f t="shared" si="106"/>
        <v>0</v>
      </c>
      <c r="EX95" s="74"/>
      <c r="EY95" s="74"/>
      <c r="EZ95" s="74">
        <f t="shared" si="105"/>
        <v>0</v>
      </c>
      <c r="FA95" s="74"/>
      <c r="FB95" s="74"/>
      <c r="FC95" s="74">
        <f t="shared" si="93"/>
        <v>0</v>
      </c>
      <c r="FD95" s="74"/>
      <c r="FE95" s="74"/>
      <c r="FF95" s="74">
        <f t="shared" si="99"/>
        <v>2</v>
      </c>
      <c r="FG95" s="74"/>
      <c r="FH95" s="74"/>
      <c r="FI95" s="74">
        <f t="shared" si="95"/>
        <v>0</v>
      </c>
      <c r="FJ95" s="74"/>
      <c r="FK95" s="74"/>
      <c r="FL95" s="74">
        <f t="shared" si="103"/>
        <v>0</v>
      </c>
      <c r="FM95" s="74"/>
      <c r="FN95" s="74"/>
      <c r="FO95" s="74">
        <f t="shared" si="97"/>
        <v>0</v>
      </c>
      <c r="FP95" s="74"/>
    </row>
    <row r="96" spans="1:172" ht="15" hidden="1" x14ac:dyDescent="0.2">
      <c r="A96" s="74"/>
      <c r="B96" s="74"/>
      <c r="C96" s="74"/>
      <c r="D96" s="74"/>
      <c r="E96" s="74"/>
      <c r="F96" s="74">
        <f>COUNTIF(F2:F45,F41)</f>
        <v>0</v>
      </c>
      <c r="G96" s="74"/>
      <c r="H96" s="74"/>
      <c r="I96" s="74">
        <f>COUNTIF(I2:I45,I41)</f>
        <v>0</v>
      </c>
      <c r="J96" s="74"/>
      <c r="K96" s="74"/>
      <c r="L96" s="74">
        <f>COUNTIF(L2:L45,L41)</f>
        <v>0</v>
      </c>
      <c r="M96" s="74"/>
      <c r="N96" s="74"/>
      <c r="O96" s="74">
        <f>COUNTIF(O2:O45,O41)</f>
        <v>0</v>
      </c>
      <c r="P96" s="74"/>
      <c r="Q96" s="74"/>
      <c r="R96" s="74">
        <f>COUNTIF(R2:R45,R41)</f>
        <v>0</v>
      </c>
      <c r="S96" s="74"/>
      <c r="T96" s="74"/>
      <c r="U96" s="74">
        <f>COUNTIF(U2:U45,U41)</f>
        <v>0</v>
      </c>
      <c r="V96" s="74"/>
      <c r="W96" s="74"/>
      <c r="X96" s="74">
        <f>COUNTIF(X2:X45,X41)</f>
        <v>0</v>
      </c>
      <c r="Y96" s="74"/>
      <c r="Z96" s="74"/>
      <c r="AA96" s="74">
        <f>COUNTIF(AA2:AA45,AA41)</f>
        <v>0</v>
      </c>
      <c r="AB96" s="74"/>
      <c r="AC96" s="74"/>
      <c r="AD96" s="74">
        <f>COUNTIF(AD2:AD45,AD41)</f>
        <v>0</v>
      </c>
      <c r="AE96" s="74"/>
      <c r="AF96" s="74"/>
      <c r="AG96" s="74">
        <f>COUNTIF(AG2:AG45,AG41)</f>
        <v>0</v>
      </c>
      <c r="AH96" s="74"/>
      <c r="AI96" s="74"/>
      <c r="AJ96" s="74">
        <f>COUNTIF(AJ2:AJ45,AJ41)</f>
        <v>0</v>
      </c>
      <c r="AK96" s="74"/>
      <c r="AL96" s="74"/>
      <c r="AM96" s="74">
        <f>COUNTIF(AM2:AM45,AM41)</f>
        <v>0</v>
      </c>
      <c r="AN96" s="74"/>
      <c r="AO96" s="74"/>
      <c r="AP96" s="74">
        <f>COUNTIF(AP2:AP45,AP41)</f>
        <v>0</v>
      </c>
      <c r="AQ96" s="74"/>
      <c r="AR96" s="74"/>
      <c r="AS96" s="74">
        <f>COUNTIF(AS2:AS45,AS41)</f>
        <v>0</v>
      </c>
      <c r="AT96" s="74"/>
      <c r="AU96" s="74"/>
      <c r="AV96" s="74">
        <f>COUNTIF(AV2:AV45,AV41)</f>
        <v>0</v>
      </c>
      <c r="AW96" s="74"/>
      <c r="AX96" s="74"/>
      <c r="AY96" s="74">
        <f t="shared" si="58"/>
        <v>0</v>
      </c>
      <c r="AZ96" s="74"/>
      <c r="BA96" s="74"/>
      <c r="BB96" s="74">
        <f t="shared" si="59"/>
        <v>0</v>
      </c>
      <c r="BC96" s="74"/>
      <c r="BD96" s="74"/>
      <c r="BE96" s="74">
        <f t="shared" si="60"/>
        <v>0</v>
      </c>
      <c r="BF96" s="74"/>
      <c r="BG96" s="74"/>
      <c r="BH96" s="74">
        <f t="shared" si="61"/>
        <v>0</v>
      </c>
      <c r="BI96" s="74"/>
      <c r="BJ96" s="74"/>
      <c r="BK96" s="74">
        <f t="shared" si="62"/>
        <v>0</v>
      </c>
      <c r="BL96" s="74"/>
      <c r="BM96" s="74"/>
      <c r="BN96" s="74">
        <f t="shared" si="63"/>
        <v>0</v>
      </c>
      <c r="BO96" s="74"/>
      <c r="BP96" s="74"/>
      <c r="BQ96" s="74">
        <f t="shared" si="64"/>
        <v>0</v>
      </c>
      <c r="BR96" s="252"/>
      <c r="BS96" s="252"/>
      <c r="BT96" s="74">
        <f t="shared" si="65"/>
        <v>0</v>
      </c>
      <c r="BU96" s="74"/>
      <c r="BV96" s="74"/>
      <c r="BW96" s="74">
        <f t="shared" si="66"/>
        <v>0</v>
      </c>
      <c r="BX96" s="74"/>
      <c r="BY96" s="74"/>
      <c r="BZ96" s="74">
        <f t="shared" si="67"/>
        <v>0</v>
      </c>
      <c r="CA96" s="74"/>
      <c r="CB96" s="74"/>
      <c r="CC96" s="74">
        <f t="shared" si="68"/>
        <v>0</v>
      </c>
      <c r="CD96" s="74"/>
      <c r="CE96" s="74"/>
      <c r="CF96" s="74">
        <f t="shared" si="69"/>
        <v>0</v>
      </c>
      <c r="CG96" s="74"/>
      <c r="CH96" s="74"/>
      <c r="CI96" s="74">
        <f t="shared" si="70"/>
        <v>0</v>
      </c>
      <c r="CJ96" s="74"/>
      <c r="CK96" s="74"/>
      <c r="CL96" s="74">
        <f t="shared" si="71"/>
        <v>0</v>
      </c>
      <c r="CM96" s="74"/>
      <c r="CN96" s="74"/>
      <c r="CO96" s="74">
        <f t="shared" si="72"/>
        <v>0</v>
      </c>
      <c r="CP96" s="74"/>
      <c r="CQ96" s="74"/>
      <c r="CR96" s="74">
        <f t="shared" si="73"/>
        <v>0</v>
      </c>
      <c r="CS96" s="74"/>
      <c r="CT96" s="74"/>
      <c r="CU96" s="74">
        <f t="shared" si="74"/>
        <v>0</v>
      </c>
      <c r="CV96" s="74"/>
      <c r="CW96" s="74"/>
      <c r="CX96" s="74">
        <f t="shared" si="75"/>
        <v>0</v>
      </c>
      <c r="CY96" s="74"/>
      <c r="CZ96" s="74"/>
      <c r="DA96" s="74">
        <f t="shared" si="76"/>
        <v>0</v>
      </c>
      <c r="DB96" s="74"/>
      <c r="DC96" s="74"/>
      <c r="DD96" s="74">
        <f t="shared" si="77"/>
        <v>0</v>
      </c>
      <c r="DE96" s="74"/>
      <c r="DF96" s="74"/>
      <c r="DG96" s="74">
        <f t="shared" si="78"/>
        <v>0</v>
      </c>
      <c r="DH96" s="74"/>
      <c r="DI96" s="74"/>
      <c r="DJ96" s="74">
        <f t="shared" si="79"/>
        <v>0</v>
      </c>
      <c r="DK96" s="74"/>
      <c r="DL96" s="74"/>
      <c r="DM96" s="74">
        <f t="shared" si="80"/>
        <v>0</v>
      </c>
      <c r="DN96" s="74"/>
      <c r="DO96" s="74"/>
      <c r="DP96" s="74">
        <f t="shared" si="81"/>
        <v>0</v>
      </c>
      <c r="DQ96" s="74"/>
      <c r="DR96" s="74"/>
      <c r="DS96" s="74">
        <f t="shared" si="82"/>
        <v>0</v>
      </c>
      <c r="DT96" s="74"/>
      <c r="DU96" s="74"/>
      <c r="DV96" s="74">
        <f t="shared" si="83"/>
        <v>0</v>
      </c>
      <c r="DW96" s="74"/>
      <c r="DX96" s="74"/>
      <c r="DY96" s="74">
        <f t="shared" si="84"/>
        <v>0</v>
      </c>
      <c r="DZ96" s="74"/>
      <c r="EA96" s="74"/>
      <c r="EB96" s="74">
        <f t="shared" si="85"/>
        <v>0</v>
      </c>
      <c r="EC96" s="74"/>
      <c r="ED96" s="74"/>
      <c r="EE96" s="74">
        <f t="shared" si="86"/>
        <v>0</v>
      </c>
      <c r="EF96" s="74"/>
      <c r="EG96" s="74"/>
      <c r="EH96" s="74">
        <f t="shared" si="87"/>
        <v>0</v>
      </c>
      <c r="EI96" s="74"/>
      <c r="EJ96" s="74"/>
      <c r="EK96" s="74">
        <f t="shared" si="88"/>
        <v>0</v>
      </c>
      <c r="EL96" s="74"/>
      <c r="EM96" s="74"/>
      <c r="EN96" s="74">
        <f t="shared" si="89"/>
        <v>0</v>
      </c>
      <c r="EO96" s="74"/>
      <c r="EP96" s="74"/>
      <c r="EQ96" s="74">
        <f t="shared" si="90"/>
        <v>0</v>
      </c>
      <c r="ER96" s="74"/>
      <c r="ES96" s="74"/>
      <c r="ET96" s="74">
        <f t="shared" si="91"/>
        <v>0</v>
      </c>
      <c r="EU96" s="74"/>
      <c r="EV96" s="74"/>
      <c r="EW96" s="74">
        <f t="shared" si="106"/>
        <v>0</v>
      </c>
      <c r="EX96" s="74"/>
      <c r="EY96" s="74"/>
      <c r="EZ96" s="74">
        <f t="shared" si="105"/>
        <v>0</v>
      </c>
      <c r="FA96" s="74"/>
      <c r="FB96" s="74"/>
      <c r="FC96" s="74">
        <f t="shared" si="93"/>
        <v>0</v>
      </c>
      <c r="FD96" s="74"/>
      <c r="FE96" s="74"/>
      <c r="FF96" s="74">
        <f t="shared" si="99"/>
        <v>2</v>
      </c>
      <c r="FG96" s="74"/>
      <c r="FH96" s="74"/>
      <c r="FI96" s="74">
        <f t="shared" si="95"/>
        <v>0</v>
      </c>
      <c r="FJ96" s="74"/>
      <c r="FK96" s="74"/>
      <c r="FL96" s="74">
        <f t="shared" si="103"/>
        <v>0</v>
      </c>
      <c r="FM96" s="74"/>
      <c r="FN96" s="74"/>
      <c r="FO96" s="74">
        <f t="shared" si="97"/>
        <v>0</v>
      </c>
      <c r="FP96" s="74"/>
    </row>
    <row r="97" spans="1:172" ht="15" hidden="1" x14ac:dyDescent="0.2">
      <c r="A97" s="74"/>
      <c r="B97" s="74"/>
      <c r="C97" s="74"/>
      <c r="D97" s="74"/>
      <c r="E97" s="74"/>
      <c r="F97" s="74">
        <f>COUNTIF(F2:F45,F42)</f>
        <v>0</v>
      </c>
      <c r="G97" s="74"/>
      <c r="H97" s="74"/>
      <c r="I97" s="74">
        <f>COUNTIF(I2:I45,I42)</f>
        <v>0</v>
      </c>
      <c r="J97" s="74"/>
      <c r="K97" s="74"/>
      <c r="L97" s="74">
        <f>COUNTIF(L2:L45,L42)</f>
        <v>0</v>
      </c>
      <c r="M97" s="74"/>
      <c r="N97" s="74"/>
      <c r="O97" s="74">
        <f>COUNTIF(O2:O45,O42)</f>
        <v>0</v>
      </c>
      <c r="P97" s="74"/>
      <c r="Q97" s="74"/>
      <c r="R97" s="74">
        <f>COUNTIF(R2:R45,R42)</f>
        <v>0</v>
      </c>
      <c r="S97" s="74"/>
      <c r="T97" s="74"/>
      <c r="U97" s="74">
        <f>COUNTIF(U2:U45,U42)</f>
        <v>0</v>
      </c>
      <c r="V97" s="74"/>
      <c r="W97" s="74"/>
      <c r="X97" s="74">
        <f>COUNTIF(X2:X45,X42)</f>
        <v>0</v>
      </c>
      <c r="Y97" s="74"/>
      <c r="Z97" s="74"/>
      <c r="AA97" s="74">
        <f>COUNTIF(AA2:AA45,AA42)</f>
        <v>0</v>
      </c>
      <c r="AB97" s="74"/>
      <c r="AC97" s="74"/>
      <c r="AD97" s="74">
        <f>COUNTIF(AD2:AD45,AD42)</f>
        <v>0</v>
      </c>
      <c r="AE97" s="74"/>
      <c r="AF97" s="74"/>
      <c r="AG97" s="74">
        <f>COUNTIF(AG2:AG45,AG42)</f>
        <v>0</v>
      </c>
      <c r="AH97" s="74"/>
      <c r="AI97" s="74"/>
      <c r="AJ97" s="74">
        <f>COUNTIF(AJ2:AJ45,AJ42)</f>
        <v>0</v>
      </c>
      <c r="AK97" s="74"/>
      <c r="AL97" s="74"/>
      <c r="AM97" s="74">
        <f>COUNTIF(AM2:AM45,AM42)</f>
        <v>0</v>
      </c>
      <c r="AN97" s="74"/>
      <c r="AO97" s="74"/>
      <c r="AP97" s="74">
        <f>COUNTIF(AP2:AP45,AP42)</f>
        <v>0</v>
      </c>
      <c r="AQ97" s="74"/>
      <c r="AR97" s="74"/>
      <c r="AS97" s="74">
        <f>COUNTIF(AS2:AS45,AS42)</f>
        <v>0</v>
      </c>
      <c r="AT97" s="74"/>
      <c r="AU97" s="74"/>
      <c r="AV97" s="74">
        <f>COUNTIF(AV2:AV45,AV42)</f>
        <v>0</v>
      </c>
      <c r="AW97" s="74"/>
      <c r="AX97" s="74"/>
      <c r="AY97" s="74">
        <f t="shared" si="58"/>
        <v>0</v>
      </c>
      <c r="AZ97" s="74"/>
      <c r="BA97" s="74"/>
      <c r="BB97" s="74">
        <f t="shared" si="59"/>
        <v>0</v>
      </c>
      <c r="BC97" s="74"/>
      <c r="BD97" s="74"/>
      <c r="BE97" s="74">
        <f t="shared" si="60"/>
        <v>0</v>
      </c>
      <c r="BF97" s="74"/>
      <c r="BG97" s="74"/>
      <c r="BH97" s="74">
        <f t="shared" si="61"/>
        <v>0</v>
      </c>
      <c r="BI97" s="74"/>
      <c r="BJ97" s="74"/>
      <c r="BK97" s="74">
        <f t="shared" si="62"/>
        <v>0</v>
      </c>
      <c r="BL97" s="74"/>
      <c r="BM97" s="74"/>
      <c r="BN97" s="74">
        <f t="shared" si="63"/>
        <v>0</v>
      </c>
      <c r="BO97" s="74"/>
      <c r="BP97" s="74"/>
      <c r="BQ97" s="74">
        <f t="shared" si="64"/>
        <v>0</v>
      </c>
      <c r="BR97" s="252"/>
      <c r="BS97" s="252"/>
      <c r="BT97" s="74">
        <f t="shared" si="65"/>
        <v>0</v>
      </c>
      <c r="BU97" s="74"/>
      <c r="BV97" s="74"/>
      <c r="BW97" s="74">
        <f t="shared" si="66"/>
        <v>0</v>
      </c>
      <c r="BX97" s="74"/>
      <c r="BY97" s="74"/>
      <c r="BZ97" s="74">
        <f t="shared" si="67"/>
        <v>0</v>
      </c>
      <c r="CA97" s="74"/>
      <c r="CB97" s="74"/>
      <c r="CC97" s="74">
        <f t="shared" si="68"/>
        <v>0</v>
      </c>
      <c r="CD97" s="74"/>
      <c r="CE97" s="74"/>
      <c r="CF97" s="74">
        <f t="shared" si="69"/>
        <v>0</v>
      </c>
      <c r="CG97" s="74"/>
      <c r="CH97" s="74"/>
      <c r="CI97" s="74">
        <f t="shared" si="70"/>
        <v>0</v>
      </c>
      <c r="CJ97" s="74"/>
      <c r="CK97" s="74"/>
      <c r="CL97" s="74">
        <f t="shared" si="71"/>
        <v>0</v>
      </c>
      <c r="CM97" s="74"/>
      <c r="CN97" s="74"/>
      <c r="CO97" s="74">
        <f t="shared" si="72"/>
        <v>0</v>
      </c>
      <c r="CP97" s="74"/>
      <c r="CQ97" s="74"/>
      <c r="CR97" s="74">
        <f t="shared" si="73"/>
        <v>0</v>
      </c>
      <c r="CS97" s="74"/>
      <c r="CT97" s="74"/>
      <c r="CU97" s="74">
        <f t="shared" si="74"/>
        <v>0</v>
      </c>
      <c r="CV97" s="74"/>
      <c r="CW97" s="74"/>
      <c r="CX97" s="74">
        <f t="shared" si="75"/>
        <v>0</v>
      </c>
      <c r="CY97" s="74"/>
      <c r="CZ97" s="74"/>
      <c r="DA97" s="74">
        <f t="shared" si="76"/>
        <v>0</v>
      </c>
      <c r="DB97" s="74"/>
      <c r="DC97" s="74"/>
      <c r="DD97" s="74">
        <f t="shared" si="77"/>
        <v>0</v>
      </c>
      <c r="DE97" s="74"/>
      <c r="DF97" s="74"/>
      <c r="DG97" s="74">
        <f t="shared" si="78"/>
        <v>0</v>
      </c>
      <c r="DH97" s="74"/>
      <c r="DI97" s="74"/>
      <c r="DJ97" s="74">
        <f t="shared" si="79"/>
        <v>0</v>
      </c>
      <c r="DK97" s="74"/>
      <c r="DL97" s="74"/>
      <c r="DM97" s="74">
        <f t="shared" si="80"/>
        <v>0</v>
      </c>
      <c r="DN97" s="74"/>
      <c r="DO97" s="74"/>
      <c r="DP97" s="74">
        <f t="shared" si="81"/>
        <v>0</v>
      </c>
      <c r="DQ97" s="74"/>
      <c r="DR97" s="74"/>
      <c r="DS97" s="74">
        <f t="shared" si="82"/>
        <v>0</v>
      </c>
      <c r="DT97" s="74"/>
      <c r="DU97" s="74"/>
      <c r="DV97" s="74">
        <f t="shared" si="83"/>
        <v>0</v>
      </c>
      <c r="DW97" s="74"/>
      <c r="DX97" s="74"/>
      <c r="DY97" s="74">
        <f t="shared" si="84"/>
        <v>0</v>
      </c>
      <c r="DZ97" s="74"/>
      <c r="EA97" s="74"/>
      <c r="EB97" s="74">
        <f t="shared" si="85"/>
        <v>0</v>
      </c>
      <c r="EC97" s="74"/>
      <c r="ED97" s="74"/>
      <c r="EE97" s="74">
        <f t="shared" si="86"/>
        <v>0</v>
      </c>
      <c r="EF97" s="74"/>
      <c r="EG97" s="74"/>
      <c r="EH97" s="74">
        <f t="shared" si="87"/>
        <v>0</v>
      </c>
      <c r="EI97" s="74"/>
      <c r="EJ97" s="74"/>
      <c r="EK97" s="74">
        <f t="shared" si="88"/>
        <v>0</v>
      </c>
      <c r="EL97" s="74"/>
      <c r="EM97" s="74"/>
      <c r="EN97" s="74">
        <f t="shared" si="89"/>
        <v>0</v>
      </c>
      <c r="EO97" s="74"/>
      <c r="EP97" s="74"/>
      <c r="EQ97" s="74">
        <f t="shared" si="90"/>
        <v>0</v>
      </c>
      <c r="ER97" s="74"/>
      <c r="ES97" s="74"/>
      <c r="ET97" s="74">
        <f t="shared" si="91"/>
        <v>0</v>
      </c>
      <c r="EU97" s="74"/>
      <c r="EV97" s="74"/>
      <c r="EW97" s="74">
        <f t="shared" si="106"/>
        <v>0</v>
      </c>
      <c r="EX97" s="74"/>
      <c r="EY97" s="74"/>
      <c r="EZ97" s="74">
        <f t="shared" si="105"/>
        <v>0</v>
      </c>
      <c r="FA97" s="74"/>
      <c r="FB97" s="74"/>
      <c r="FC97" s="74">
        <f t="shared" si="93"/>
        <v>0</v>
      </c>
      <c r="FD97" s="74"/>
      <c r="FE97" s="74"/>
      <c r="FF97" s="74">
        <f t="shared" si="99"/>
        <v>1</v>
      </c>
      <c r="FG97" s="74"/>
      <c r="FH97" s="74"/>
      <c r="FI97" s="74">
        <f t="shared" si="95"/>
        <v>0</v>
      </c>
      <c r="FJ97" s="74"/>
      <c r="FK97" s="74"/>
      <c r="FL97" s="74">
        <f t="shared" si="103"/>
        <v>0</v>
      </c>
      <c r="FM97" s="74"/>
      <c r="FN97" s="74"/>
      <c r="FO97" s="74">
        <f t="shared" si="97"/>
        <v>0</v>
      </c>
      <c r="FP97" s="74"/>
    </row>
    <row r="98" spans="1:172" ht="15" hidden="1" x14ac:dyDescent="0.2">
      <c r="A98" s="74"/>
      <c r="B98" s="74"/>
      <c r="C98" s="74"/>
      <c r="D98" s="74"/>
      <c r="E98" s="74"/>
      <c r="F98" s="74">
        <f>COUNTIF(F2:F45,F43)</f>
        <v>0</v>
      </c>
      <c r="G98" s="74"/>
      <c r="H98" s="74"/>
      <c r="I98" s="74">
        <f>COUNTIF(I2:I45,I43)</f>
        <v>0</v>
      </c>
      <c r="J98" s="74"/>
      <c r="K98" s="74"/>
      <c r="L98" s="74">
        <f>COUNTIF(L2:L45,L43)</f>
        <v>0</v>
      </c>
      <c r="M98" s="74"/>
      <c r="N98" s="74"/>
      <c r="O98" s="74">
        <f>COUNTIF(O2:O45,O43)</f>
        <v>0</v>
      </c>
      <c r="P98" s="74"/>
      <c r="Q98" s="74"/>
      <c r="R98" s="74">
        <f>COUNTIF(R2:R45,R43)</f>
        <v>0</v>
      </c>
      <c r="S98" s="74"/>
      <c r="T98" s="74"/>
      <c r="U98" s="74">
        <f>COUNTIF(U2:U45,U43)</f>
        <v>0</v>
      </c>
      <c r="V98" s="74"/>
      <c r="W98" s="74"/>
      <c r="X98" s="74">
        <f>COUNTIF(X2:X45,X43)</f>
        <v>0</v>
      </c>
      <c r="Y98" s="74"/>
      <c r="Z98" s="74"/>
      <c r="AA98" s="74">
        <f>COUNTIF(AA2:AA45,AA43)</f>
        <v>0</v>
      </c>
      <c r="AB98" s="74"/>
      <c r="AC98" s="74"/>
      <c r="AD98" s="74">
        <f>COUNTIF(AD2:AD45,AD43)</f>
        <v>0</v>
      </c>
      <c r="AE98" s="74"/>
      <c r="AF98" s="74"/>
      <c r="AG98" s="74">
        <f>COUNTIF(AG2:AG45,AG43)</f>
        <v>0</v>
      </c>
      <c r="AH98" s="74"/>
      <c r="AI98" s="74"/>
      <c r="AJ98" s="74">
        <f>COUNTIF(AJ2:AJ45,AJ43)</f>
        <v>0</v>
      </c>
      <c r="AK98" s="74"/>
      <c r="AL98" s="74"/>
      <c r="AM98" s="74">
        <f>COUNTIF(AM2:AM45,AM43)</f>
        <v>0</v>
      </c>
      <c r="AN98" s="74"/>
      <c r="AO98" s="74"/>
      <c r="AP98" s="74">
        <f>COUNTIF(AP2:AP45,AP43)</f>
        <v>0</v>
      </c>
      <c r="AQ98" s="74"/>
      <c r="AR98" s="74"/>
      <c r="AS98" s="74">
        <f>COUNTIF(AS2:AS45,AS43)</f>
        <v>0</v>
      </c>
      <c r="AT98" s="74"/>
      <c r="AU98" s="74"/>
      <c r="AV98" s="74">
        <f>COUNTIF(AV2:AV45,AV43)</f>
        <v>0</v>
      </c>
      <c r="AW98" s="74"/>
      <c r="AX98" s="74"/>
      <c r="AY98" s="74">
        <f t="shared" si="58"/>
        <v>0</v>
      </c>
      <c r="AZ98" s="74"/>
      <c r="BA98" s="74"/>
      <c r="BB98" s="74">
        <f t="shared" si="59"/>
        <v>0</v>
      </c>
      <c r="BC98" s="74"/>
      <c r="BD98" s="74"/>
      <c r="BE98" s="74">
        <f t="shared" si="60"/>
        <v>0</v>
      </c>
      <c r="BF98" s="74"/>
      <c r="BG98" s="74"/>
      <c r="BH98" s="74">
        <f t="shared" si="61"/>
        <v>0</v>
      </c>
      <c r="BI98" s="74"/>
      <c r="BJ98" s="74"/>
      <c r="BK98" s="74">
        <f t="shared" si="62"/>
        <v>0</v>
      </c>
      <c r="BL98" s="74"/>
      <c r="BM98" s="74"/>
      <c r="BN98" s="74">
        <f t="shared" si="63"/>
        <v>0</v>
      </c>
      <c r="BO98" s="74"/>
      <c r="BP98" s="74"/>
      <c r="BQ98" s="74">
        <f t="shared" si="64"/>
        <v>0</v>
      </c>
      <c r="BR98" s="252"/>
      <c r="BS98" s="252"/>
      <c r="BT98" s="74">
        <f t="shared" si="65"/>
        <v>0</v>
      </c>
      <c r="BU98" s="74"/>
      <c r="BV98" s="74"/>
      <c r="BW98" s="74">
        <f t="shared" si="66"/>
        <v>0</v>
      </c>
      <c r="BX98" s="74"/>
      <c r="BY98" s="74"/>
      <c r="BZ98" s="74">
        <f t="shared" si="67"/>
        <v>0</v>
      </c>
      <c r="CA98" s="74"/>
      <c r="CB98" s="74"/>
      <c r="CC98" s="74">
        <f t="shared" si="68"/>
        <v>0</v>
      </c>
      <c r="CD98" s="74"/>
      <c r="CE98" s="74"/>
      <c r="CF98" s="74">
        <f t="shared" si="69"/>
        <v>0</v>
      </c>
      <c r="CG98" s="74"/>
      <c r="CH98" s="74"/>
      <c r="CI98" s="74">
        <f t="shared" si="70"/>
        <v>0</v>
      </c>
      <c r="CJ98" s="74"/>
      <c r="CK98" s="74"/>
      <c r="CL98" s="74">
        <f t="shared" si="71"/>
        <v>0</v>
      </c>
      <c r="CM98" s="74"/>
      <c r="CN98" s="74"/>
      <c r="CO98" s="74">
        <f t="shared" si="72"/>
        <v>0</v>
      </c>
      <c r="CP98" s="74"/>
      <c r="CQ98" s="74"/>
      <c r="CR98" s="74">
        <f t="shared" si="73"/>
        <v>0</v>
      </c>
      <c r="CS98" s="74"/>
      <c r="CT98" s="74"/>
      <c r="CU98" s="74">
        <f t="shared" si="74"/>
        <v>0</v>
      </c>
      <c r="CV98" s="74"/>
      <c r="CW98" s="74"/>
      <c r="CX98" s="74">
        <f t="shared" si="75"/>
        <v>0</v>
      </c>
      <c r="CY98" s="74"/>
      <c r="CZ98" s="74"/>
      <c r="DA98" s="74">
        <f t="shared" si="76"/>
        <v>0</v>
      </c>
      <c r="DB98" s="74"/>
      <c r="DC98" s="74"/>
      <c r="DD98" s="74">
        <f t="shared" si="77"/>
        <v>0</v>
      </c>
      <c r="DE98" s="74"/>
      <c r="DF98" s="74"/>
      <c r="DG98" s="74">
        <f t="shared" si="78"/>
        <v>0</v>
      </c>
      <c r="DH98" s="74"/>
      <c r="DI98" s="74"/>
      <c r="DJ98" s="74">
        <f t="shared" si="79"/>
        <v>0</v>
      </c>
      <c r="DK98" s="74"/>
      <c r="DL98" s="74"/>
      <c r="DM98" s="74">
        <f t="shared" si="80"/>
        <v>0</v>
      </c>
      <c r="DN98" s="74"/>
      <c r="DO98" s="74"/>
      <c r="DP98" s="74">
        <f t="shared" si="81"/>
        <v>0</v>
      </c>
      <c r="DQ98" s="74"/>
      <c r="DR98" s="74"/>
      <c r="DS98" s="74">
        <f t="shared" si="82"/>
        <v>0</v>
      </c>
      <c r="DT98" s="74"/>
      <c r="DU98" s="74"/>
      <c r="DV98" s="74">
        <f t="shared" si="83"/>
        <v>0</v>
      </c>
      <c r="DW98" s="74"/>
      <c r="DX98" s="74"/>
      <c r="DY98" s="74">
        <f t="shared" si="84"/>
        <v>0</v>
      </c>
      <c r="DZ98" s="74"/>
      <c r="EA98" s="74"/>
      <c r="EB98" s="74">
        <f t="shared" si="85"/>
        <v>0</v>
      </c>
      <c r="EC98" s="74"/>
      <c r="ED98" s="74"/>
      <c r="EE98" s="74">
        <f t="shared" si="86"/>
        <v>0</v>
      </c>
      <c r="EF98" s="74"/>
      <c r="EG98" s="74"/>
      <c r="EH98" s="74">
        <f t="shared" si="87"/>
        <v>0</v>
      </c>
      <c r="EI98" s="74"/>
      <c r="EJ98" s="74"/>
      <c r="EK98" s="74">
        <f t="shared" si="88"/>
        <v>0</v>
      </c>
      <c r="EL98" s="74"/>
      <c r="EM98" s="74"/>
      <c r="EN98" s="74">
        <f t="shared" si="89"/>
        <v>0</v>
      </c>
      <c r="EO98" s="74"/>
      <c r="EP98" s="74"/>
      <c r="EQ98" s="74">
        <f t="shared" si="90"/>
        <v>0</v>
      </c>
      <c r="ER98" s="74"/>
      <c r="ES98" s="74"/>
      <c r="ET98" s="74">
        <f t="shared" si="91"/>
        <v>0</v>
      </c>
      <c r="EU98" s="74"/>
      <c r="EV98" s="74"/>
      <c r="EW98" s="74">
        <f t="shared" si="106"/>
        <v>0</v>
      </c>
      <c r="EX98" s="74"/>
      <c r="EY98" s="74"/>
      <c r="EZ98" s="74">
        <f t="shared" si="105"/>
        <v>0</v>
      </c>
      <c r="FA98" s="74"/>
      <c r="FB98" s="74"/>
      <c r="FC98" s="74">
        <f t="shared" si="93"/>
        <v>0</v>
      </c>
      <c r="FD98" s="74"/>
      <c r="FE98" s="74"/>
      <c r="FF98" s="74">
        <f t="shared" si="99"/>
        <v>1</v>
      </c>
      <c r="FG98" s="74"/>
      <c r="FH98" s="74"/>
      <c r="FI98" s="74">
        <f t="shared" si="95"/>
        <v>0</v>
      </c>
      <c r="FJ98" s="74"/>
      <c r="FK98" s="74"/>
      <c r="FL98" s="74">
        <f t="shared" si="103"/>
        <v>0</v>
      </c>
      <c r="FM98" s="74"/>
      <c r="FN98" s="74"/>
      <c r="FO98" s="74">
        <f t="shared" si="97"/>
        <v>0</v>
      </c>
      <c r="FP98" s="74"/>
    </row>
    <row r="99" spans="1:172" ht="15" hidden="1" x14ac:dyDescent="0.2">
      <c r="A99" s="74"/>
      <c r="B99" s="74"/>
      <c r="C99" s="74"/>
      <c r="D99" s="74"/>
      <c r="E99" s="74"/>
      <c r="F99" s="74">
        <f>COUNTIF(F2:F45,F44)</f>
        <v>0</v>
      </c>
      <c r="G99" s="74"/>
      <c r="H99" s="74"/>
      <c r="I99" s="74">
        <f>COUNTIF(I2:I45,I44)</f>
        <v>0</v>
      </c>
      <c r="J99" s="74"/>
      <c r="K99" s="74"/>
      <c r="L99" s="74">
        <f>COUNTIF(L2:L45,L44)</f>
        <v>0</v>
      </c>
      <c r="M99" s="74"/>
      <c r="N99" s="74"/>
      <c r="O99" s="74">
        <f>COUNTIF(O2:O45,O44)</f>
        <v>0</v>
      </c>
      <c r="P99" s="74"/>
      <c r="Q99" s="74"/>
      <c r="R99" s="74">
        <f>COUNTIF(R2:R45,R44)</f>
        <v>0</v>
      </c>
      <c r="S99" s="74"/>
      <c r="T99" s="74"/>
      <c r="U99" s="74">
        <f>COUNTIF(U2:U45,U44)</f>
        <v>0</v>
      </c>
      <c r="V99" s="74"/>
      <c r="W99" s="74"/>
      <c r="X99" s="74">
        <f>COUNTIF(X2:X45,X44)</f>
        <v>0</v>
      </c>
      <c r="Y99" s="74"/>
      <c r="Z99" s="74"/>
      <c r="AA99" s="74">
        <f>COUNTIF(AA2:AA45,AA44)</f>
        <v>0</v>
      </c>
      <c r="AB99" s="74"/>
      <c r="AC99" s="74"/>
      <c r="AD99" s="74">
        <f>COUNTIF(AD2:AD45,AD44)</f>
        <v>0</v>
      </c>
      <c r="AE99" s="74"/>
      <c r="AF99" s="74"/>
      <c r="AG99" s="74">
        <f>COUNTIF(AG2:AG45,AG44)</f>
        <v>0</v>
      </c>
      <c r="AH99" s="74"/>
      <c r="AI99" s="74"/>
      <c r="AJ99" s="74">
        <f>COUNTIF(AJ2:AJ45,AJ44)</f>
        <v>0</v>
      </c>
      <c r="AK99" s="74"/>
      <c r="AL99" s="74"/>
      <c r="AM99" s="74">
        <f>COUNTIF(AM2:AM45,AM44)</f>
        <v>0</v>
      </c>
      <c r="AN99" s="74"/>
      <c r="AO99" s="74"/>
      <c r="AP99" s="74">
        <f>COUNTIF(AP2:AP45,AP44)</f>
        <v>0</v>
      </c>
      <c r="AQ99" s="74"/>
      <c r="AR99" s="74"/>
      <c r="AS99" s="74">
        <f>COUNTIF(AS2:AS45,AS44)</f>
        <v>0</v>
      </c>
      <c r="AT99" s="74"/>
      <c r="AU99" s="74"/>
      <c r="AV99" s="74">
        <f>COUNTIF(AV2:AV45,AV44)</f>
        <v>0</v>
      </c>
      <c r="AW99" s="74"/>
      <c r="AX99" s="74"/>
      <c r="AY99" s="74">
        <f t="shared" si="58"/>
        <v>0</v>
      </c>
      <c r="AZ99" s="74"/>
      <c r="BA99" s="74"/>
      <c r="BB99" s="74">
        <f t="shared" si="59"/>
        <v>0</v>
      </c>
      <c r="BC99" s="74"/>
      <c r="BD99" s="74"/>
      <c r="BE99" s="74">
        <f t="shared" si="60"/>
        <v>0</v>
      </c>
      <c r="BF99" s="74"/>
      <c r="BG99" s="74"/>
      <c r="BH99" s="74">
        <f t="shared" si="61"/>
        <v>0</v>
      </c>
      <c r="BI99" s="74"/>
      <c r="BJ99" s="74"/>
      <c r="BK99" s="74">
        <f t="shared" si="62"/>
        <v>0</v>
      </c>
      <c r="BL99" s="74"/>
      <c r="BM99" s="74"/>
      <c r="BN99" s="74">
        <f t="shared" si="63"/>
        <v>0</v>
      </c>
      <c r="BO99" s="74"/>
      <c r="BP99" s="74"/>
      <c r="BQ99" s="74">
        <f t="shared" si="64"/>
        <v>0</v>
      </c>
      <c r="BR99" s="252"/>
      <c r="BS99" s="252"/>
      <c r="BT99" s="74">
        <f t="shared" si="65"/>
        <v>0</v>
      </c>
      <c r="BU99" s="74"/>
      <c r="BV99" s="74"/>
      <c r="BW99" s="74">
        <f t="shared" si="66"/>
        <v>0</v>
      </c>
      <c r="BX99" s="74"/>
      <c r="BY99" s="74"/>
      <c r="BZ99" s="74">
        <f t="shared" si="67"/>
        <v>0</v>
      </c>
      <c r="CA99" s="74"/>
      <c r="CB99" s="74"/>
      <c r="CC99" s="74">
        <f t="shared" si="68"/>
        <v>0</v>
      </c>
      <c r="CD99" s="74"/>
      <c r="CE99" s="74"/>
      <c r="CF99" s="74">
        <f t="shared" si="69"/>
        <v>0</v>
      </c>
      <c r="CG99" s="74"/>
      <c r="CH99" s="74"/>
      <c r="CI99" s="74">
        <f t="shared" si="70"/>
        <v>0</v>
      </c>
      <c r="CJ99" s="74"/>
      <c r="CK99" s="74"/>
      <c r="CL99" s="74">
        <f t="shared" si="71"/>
        <v>0</v>
      </c>
      <c r="CM99" s="74"/>
      <c r="CN99" s="74"/>
      <c r="CO99" s="74">
        <f t="shared" si="72"/>
        <v>0</v>
      </c>
      <c r="CP99" s="74"/>
      <c r="CQ99" s="74"/>
      <c r="CR99" s="74">
        <f t="shared" si="73"/>
        <v>0</v>
      </c>
      <c r="CS99" s="74"/>
      <c r="CT99" s="74"/>
      <c r="CU99" s="74">
        <f t="shared" si="74"/>
        <v>0</v>
      </c>
      <c r="CV99" s="74"/>
      <c r="CW99" s="74"/>
      <c r="CX99" s="74">
        <f t="shared" si="75"/>
        <v>0</v>
      </c>
      <c r="CY99" s="74"/>
      <c r="CZ99" s="74"/>
      <c r="DA99" s="74">
        <f t="shared" si="76"/>
        <v>0</v>
      </c>
      <c r="DB99" s="74"/>
      <c r="DC99" s="74"/>
      <c r="DD99" s="74">
        <f t="shared" si="77"/>
        <v>0</v>
      </c>
      <c r="DE99" s="74"/>
      <c r="DF99" s="74"/>
      <c r="DG99" s="74">
        <f t="shared" si="78"/>
        <v>0</v>
      </c>
      <c r="DH99" s="74"/>
      <c r="DI99" s="74"/>
      <c r="DJ99" s="74">
        <f t="shared" si="79"/>
        <v>0</v>
      </c>
      <c r="DK99" s="74"/>
      <c r="DL99" s="74"/>
      <c r="DM99" s="74">
        <f t="shared" si="80"/>
        <v>0</v>
      </c>
      <c r="DN99" s="74"/>
      <c r="DO99" s="74"/>
      <c r="DP99" s="74">
        <f t="shared" si="81"/>
        <v>0</v>
      </c>
      <c r="DQ99" s="74"/>
      <c r="DR99" s="74"/>
      <c r="DS99" s="74">
        <f t="shared" si="82"/>
        <v>0</v>
      </c>
      <c r="DT99" s="74"/>
      <c r="DU99" s="74"/>
      <c r="DV99" s="74">
        <f t="shared" si="83"/>
        <v>0</v>
      </c>
      <c r="DW99" s="74"/>
      <c r="DX99" s="74"/>
      <c r="DY99" s="74">
        <f t="shared" si="84"/>
        <v>0</v>
      </c>
      <c r="DZ99" s="74"/>
      <c r="EA99" s="74"/>
      <c r="EB99" s="74">
        <f t="shared" si="85"/>
        <v>0</v>
      </c>
      <c r="EC99" s="74"/>
      <c r="ED99" s="74"/>
      <c r="EE99" s="74">
        <f t="shared" si="86"/>
        <v>0</v>
      </c>
      <c r="EF99" s="74"/>
      <c r="EG99" s="74"/>
      <c r="EH99" s="74">
        <f t="shared" si="87"/>
        <v>0</v>
      </c>
      <c r="EI99" s="74"/>
      <c r="EJ99" s="74"/>
      <c r="EK99" s="74">
        <f t="shared" si="88"/>
        <v>0</v>
      </c>
      <c r="EL99" s="74"/>
      <c r="EM99" s="74"/>
      <c r="EN99" s="74">
        <f t="shared" si="89"/>
        <v>0</v>
      </c>
      <c r="EO99" s="74"/>
      <c r="EP99" s="74"/>
      <c r="EQ99" s="74">
        <f t="shared" si="90"/>
        <v>0</v>
      </c>
      <c r="ER99" s="74"/>
      <c r="ES99" s="74"/>
      <c r="ET99" s="74">
        <f t="shared" si="91"/>
        <v>0</v>
      </c>
      <c r="EU99" s="74"/>
      <c r="EV99" s="74"/>
      <c r="EW99" s="74">
        <f t="shared" si="106"/>
        <v>0</v>
      </c>
      <c r="EX99" s="74"/>
      <c r="EY99" s="74"/>
      <c r="EZ99" s="74">
        <f t="shared" si="105"/>
        <v>0</v>
      </c>
      <c r="FA99" s="74"/>
      <c r="FB99" s="74"/>
      <c r="FC99" s="74">
        <f t="shared" si="93"/>
        <v>0</v>
      </c>
      <c r="FD99" s="74"/>
      <c r="FE99" s="74"/>
      <c r="FF99" s="74">
        <f t="shared" si="99"/>
        <v>1</v>
      </c>
      <c r="FG99" s="74"/>
      <c r="FH99" s="74"/>
      <c r="FI99" s="74">
        <f t="shared" si="95"/>
        <v>0</v>
      </c>
      <c r="FJ99" s="74"/>
      <c r="FK99" s="74"/>
      <c r="FL99" s="74">
        <f t="shared" si="103"/>
        <v>0</v>
      </c>
      <c r="FM99" s="74"/>
      <c r="FN99" s="74"/>
      <c r="FO99" s="74">
        <f t="shared" si="97"/>
        <v>0</v>
      </c>
      <c r="FP99" s="74"/>
    </row>
    <row r="100" spans="1:172" ht="15" hidden="1" x14ac:dyDescent="0.2">
      <c r="A100" s="74"/>
      <c r="B100" s="74"/>
      <c r="C100" s="74"/>
      <c r="D100" s="74"/>
      <c r="E100" s="74"/>
      <c r="F100" s="74">
        <f>COUNTIF(F2:F45,F45)</f>
        <v>0</v>
      </c>
      <c r="G100" s="74"/>
      <c r="H100" s="74"/>
      <c r="I100" s="74">
        <f>COUNTIF(I2:I45,I45)</f>
        <v>0</v>
      </c>
      <c r="J100" s="74"/>
      <c r="K100" s="74"/>
      <c r="L100" s="74">
        <f>COUNTIF(L2:L45,L45)</f>
        <v>0</v>
      </c>
      <c r="M100" s="74"/>
      <c r="N100" s="74"/>
      <c r="O100" s="74">
        <f>COUNTIF(O2:O45,O45)</f>
        <v>0</v>
      </c>
      <c r="P100" s="74"/>
      <c r="Q100" s="74"/>
      <c r="R100" s="74">
        <f>COUNTIF(R2:R45,R45)</f>
        <v>0</v>
      </c>
      <c r="S100" s="74"/>
      <c r="T100" s="74"/>
      <c r="U100" s="74">
        <f>COUNTIF(U2:U45,U45)</f>
        <v>0</v>
      </c>
      <c r="V100" s="74"/>
      <c r="W100" s="74"/>
      <c r="X100" s="74">
        <f>COUNTIF(X2:X45,X45)</f>
        <v>0</v>
      </c>
      <c r="Y100" s="74"/>
      <c r="Z100" s="74"/>
      <c r="AA100" s="74">
        <f>COUNTIF(AA2:AA45,AA45)</f>
        <v>0</v>
      </c>
      <c r="AB100" s="74"/>
      <c r="AC100" s="74"/>
      <c r="AD100" s="74">
        <f>COUNTIF(AD2:AD45,AD45)</f>
        <v>0</v>
      </c>
      <c r="AE100" s="74"/>
      <c r="AF100" s="74"/>
      <c r="AG100" s="74">
        <f>COUNTIF(AG2:AG45,AG45)</f>
        <v>0</v>
      </c>
      <c r="AH100" s="74"/>
      <c r="AI100" s="74"/>
      <c r="AJ100" s="74">
        <f>COUNTIF(AJ2:AJ45,AJ45)</f>
        <v>0</v>
      </c>
      <c r="AK100" s="74"/>
      <c r="AL100" s="74"/>
      <c r="AM100" s="74">
        <f>COUNTIF(AM2:AM45,AM45)</f>
        <v>0</v>
      </c>
      <c r="AN100" s="74"/>
      <c r="AO100" s="74"/>
      <c r="AP100" s="74">
        <f>COUNTIF(AP2:AP45,AP45)</f>
        <v>0</v>
      </c>
      <c r="AQ100" s="74"/>
      <c r="AR100" s="74"/>
      <c r="AS100" s="74">
        <f>COUNTIF(AS2:AS45,AS45)</f>
        <v>0</v>
      </c>
      <c r="AT100" s="74"/>
      <c r="AU100" s="74"/>
      <c r="AV100" s="74">
        <f>COUNTIF(AV2:AV45,AV45)</f>
        <v>0</v>
      </c>
      <c r="AW100" s="74"/>
      <c r="AX100" s="74"/>
      <c r="AY100" s="74">
        <f t="shared" si="58"/>
        <v>0</v>
      </c>
      <c r="AZ100" s="74"/>
      <c r="BA100" s="74"/>
      <c r="BB100" s="74">
        <f t="shared" si="59"/>
        <v>0</v>
      </c>
      <c r="BC100" s="74"/>
      <c r="BD100" s="74"/>
      <c r="BE100" s="74">
        <f t="shared" si="60"/>
        <v>0</v>
      </c>
      <c r="BF100" s="74"/>
      <c r="BG100" s="74"/>
      <c r="BH100" s="74">
        <f t="shared" si="61"/>
        <v>0</v>
      </c>
      <c r="BI100" s="74"/>
      <c r="BJ100" s="74"/>
      <c r="BK100" s="74">
        <f t="shared" si="62"/>
        <v>0</v>
      </c>
      <c r="BL100" s="74"/>
      <c r="BM100" s="74"/>
      <c r="BN100" s="74">
        <f t="shared" si="63"/>
        <v>0</v>
      </c>
      <c r="BO100" s="74"/>
      <c r="BP100" s="74"/>
      <c r="BQ100" s="74">
        <f t="shared" si="64"/>
        <v>0</v>
      </c>
      <c r="BR100" s="252"/>
      <c r="BS100" s="252"/>
      <c r="BT100" s="74">
        <f t="shared" si="65"/>
        <v>0</v>
      </c>
      <c r="BU100" s="74"/>
      <c r="BV100" s="74"/>
      <c r="BW100" s="74">
        <f t="shared" si="66"/>
        <v>0</v>
      </c>
      <c r="BX100" s="74"/>
      <c r="BY100" s="74"/>
      <c r="BZ100" s="74">
        <f t="shared" si="67"/>
        <v>0</v>
      </c>
      <c r="CA100" s="74"/>
      <c r="CB100" s="74"/>
      <c r="CC100" s="74">
        <f t="shared" si="68"/>
        <v>0</v>
      </c>
      <c r="CD100" s="74"/>
      <c r="CE100" s="74"/>
      <c r="CF100" s="74">
        <f t="shared" si="69"/>
        <v>0</v>
      </c>
      <c r="CG100" s="74"/>
      <c r="CH100" s="74"/>
      <c r="CI100" s="74">
        <f t="shared" si="70"/>
        <v>0</v>
      </c>
      <c r="CJ100" s="74"/>
      <c r="CK100" s="74"/>
      <c r="CL100" s="74">
        <f t="shared" si="71"/>
        <v>0</v>
      </c>
      <c r="CM100" s="74"/>
      <c r="CN100" s="74"/>
      <c r="CO100" s="74">
        <f t="shared" si="72"/>
        <v>0</v>
      </c>
      <c r="CP100" s="74"/>
      <c r="CQ100" s="74"/>
      <c r="CR100" s="74">
        <f t="shared" si="73"/>
        <v>0</v>
      </c>
      <c r="CS100" s="74"/>
      <c r="CT100" s="74"/>
      <c r="CU100" s="74">
        <f t="shared" si="74"/>
        <v>0</v>
      </c>
      <c r="CV100" s="74"/>
      <c r="CW100" s="74"/>
      <c r="CX100" s="74">
        <f t="shared" si="75"/>
        <v>0</v>
      </c>
      <c r="CY100" s="74"/>
      <c r="CZ100" s="74"/>
      <c r="DA100" s="74">
        <f t="shared" si="76"/>
        <v>0</v>
      </c>
      <c r="DB100" s="74"/>
      <c r="DC100" s="74"/>
      <c r="DD100" s="74">
        <f t="shared" si="77"/>
        <v>0</v>
      </c>
      <c r="DE100" s="74"/>
      <c r="DF100" s="74"/>
      <c r="DG100" s="74">
        <f t="shared" si="78"/>
        <v>0</v>
      </c>
      <c r="DH100" s="74"/>
      <c r="DI100" s="74"/>
      <c r="DJ100" s="74">
        <f t="shared" si="79"/>
        <v>0</v>
      </c>
      <c r="DK100" s="74"/>
      <c r="DL100" s="74"/>
      <c r="DM100" s="74">
        <f t="shared" si="80"/>
        <v>0</v>
      </c>
      <c r="DN100" s="74"/>
      <c r="DO100" s="74"/>
      <c r="DP100" s="74">
        <f t="shared" si="81"/>
        <v>0</v>
      </c>
      <c r="DQ100" s="74"/>
      <c r="DR100" s="74"/>
      <c r="DS100" s="74">
        <f t="shared" si="82"/>
        <v>0</v>
      </c>
      <c r="DT100" s="74"/>
      <c r="DU100" s="74"/>
      <c r="DV100" s="74">
        <f t="shared" si="83"/>
        <v>0</v>
      </c>
      <c r="DW100" s="74"/>
      <c r="DX100" s="74"/>
      <c r="DY100" s="74">
        <f t="shared" si="84"/>
        <v>0</v>
      </c>
      <c r="DZ100" s="74"/>
      <c r="EA100" s="74"/>
      <c r="EB100" s="74">
        <f t="shared" si="85"/>
        <v>0</v>
      </c>
      <c r="EC100" s="74"/>
      <c r="ED100" s="74"/>
      <c r="EE100" s="74">
        <f t="shared" si="86"/>
        <v>0</v>
      </c>
      <c r="EF100" s="74"/>
      <c r="EG100" s="74"/>
      <c r="EH100" s="74">
        <f t="shared" si="87"/>
        <v>0</v>
      </c>
      <c r="EI100" s="74"/>
      <c r="EJ100" s="74"/>
      <c r="EK100" s="74">
        <f t="shared" si="88"/>
        <v>0</v>
      </c>
      <c r="EL100" s="74"/>
      <c r="EM100" s="74"/>
      <c r="EN100" s="74">
        <f t="shared" si="89"/>
        <v>0</v>
      </c>
      <c r="EO100" s="74"/>
      <c r="EP100" s="74"/>
      <c r="EQ100" s="74">
        <f t="shared" si="90"/>
        <v>0</v>
      </c>
      <c r="ER100" s="74"/>
      <c r="ES100" s="74"/>
      <c r="ET100" s="74">
        <f t="shared" si="91"/>
        <v>0</v>
      </c>
      <c r="EU100" s="74"/>
      <c r="EV100" s="74"/>
      <c r="EW100" s="74">
        <f t="shared" si="106"/>
        <v>0</v>
      </c>
      <c r="EX100" s="74"/>
      <c r="EY100" s="74"/>
      <c r="EZ100" s="74">
        <f t="shared" si="105"/>
        <v>0</v>
      </c>
      <c r="FA100" s="74"/>
      <c r="FB100" s="74"/>
      <c r="FC100" s="74">
        <f t="shared" si="93"/>
        <v>0</v>
      </c>
      <c r="FD100" s="74"/>
      <c r="FE100" s="74"/>
      <c r="FF100" s="74">
        <f t="shared" si="99"/>
        <v>1</v>
      </c>
      <c r="FG100" s="74"/>
      <c r="FH100" s="74"/>
      <c r="FI100" s="74">
        <f t="shared" si="95"/>
        <v>0</v>
      </c>
      <c r="FJ100" s="74"/>
      <c r="FK100" s="74"/>
      <c r="FL100" s="74">
        <f t="shared" si="103"/>
        <v>0</v>
      </c>
      <c r="FM100" s="74"/>
      <c r="FN100" s="74"/>
      <c r="FO100" s="74">
        <f t="shared" si="97"/>
        <v>0</v>
      </c>
      <c r="FP100" s="74"/>
    </row>
    <row r="101" spans="1:172" ht="15" hidden="1" x14ac:dyDescent="0.2">
      <c r="A101" s="74"/>
      <c r="B101" s="74"/>
      <c r="C101" s="254"/>
      <c r="D101" s="254"/>
      <c r="E101" s="74"/>
      <c r="F101" s="74">
        <f>COUNTIF(F2:F45,F46)</f>
        <v>0</v>
      </c>
      <c r="G101" s="74"/>
      <c r="H101" s="74"/>
      <c r="I101" s="74">
        <f>COUNTIF(I2:I45,I46)</f>
        <v>0</v>
      </c>
      <c r="J101" s="74"/>
      <c r="K101" s="74"/>
      <c r="L101" s="74">
        <f>COUNTIF(L2:L45,L46)</f>
        <v>0</v>
      </c>
      <c r="M101" s="74"/>
      <c r="N101" s="74"/>
      <c r="O101" s="74">
        <f>COUNTIF(O2:O45,O46)</f>
        <v>0</v>
      </c>
      <c r="P101" s="74"/>
      <c r="Q101" s="74"/>
      <c r="R101" s="74">
        <f>COUNTIF(R2:R45,R46)</f>
        <v>0</v>
      </c>
      <c r="S101" s="74"/>
      <c r="T101" s="74"/>
      <c r="U101" s="74">
        <f>COUNTIF(U2:U45,U46)</f>
        <v>0</v>
      </c>
      <c r="V101" s="74"/>
      <c r="W101" s="74"/>
      <c r="X101" s="74">
        <f>COUNTIF(X2:X45,X46)</f>
        <v>0</v>
      </c>
      <c r="Y101" s="74"/>
      <c r="Z101" s="74"/>
      <c r="AA101" s="74">
        <f>COUNTIF(AA2:AA45,AA46)</f>
        <v>0</v>
      </c>
      <c r="AB101" s="74"/>
      <c r="AC101" s="74"/>
      <c r="AD101" s="74">
        <f>COUNTIF(AD2:AD45,AD46)</f>
        <v>0</v>
      </c>
      <c r="AE101" s="74"/>
      <c r="AF101" s="74"/>
      <c r="AG101" s="74">
        <f>COUNTIF(AG2:AG45,AG46)</f>
        <v>0</v>
      </c>
      <c r="AH101" s="74"/>
      <c r="AI101" s="74"/>
      <c r="AJ101" s="74">
        <f>COUNTIF(AJ2:AJ45,AJ46)</f>
        <v>0</v>
      </c>
      <c r="AK101" s="74"/>
      <c r="AL101" s="74"/>
      <c r="AM101" s="74">
        <f>COUNTIF(AM2:AM45,AM46)</f>
        <v>0</v>
      </c>
      <c r="AN101" s="74"/>
      <c r="AO101" s="74"/>
      <c r="AP101" s="74">
        <f>COUNTIF(AP2:AP45,AP46)</f>
        <v>0</v>
      </c>
      <c r="AQ101" s="74"/>
      <c r="AR101" s="74"/>
      <c r="AS101" s="74">
        <f>COUNTIF(AS2:AS45,AS46)</f>
        <v>0</v>
      </c>
      <c r="AT101" s="74"/>
      <c r="AU101" s="74"/>
      <c r="AV101" s="74">
        <f>COUNTIF(AV2:AV45,AV46)</f>
        <v>0</v>
      </c>
      <c r="AW101" s="74"/>
      <c r="AX101" s="74"/>
      <c r="AY101" s="74">
        <f t="shared" si="58"/>
        <v>0</v>
      </c>
      <c r="AZ101" s="74"/>
      <c r="BA101" s="74"/>
      <c r="BB101" s="74">
        <f t="shared" si="59"/>
        <v>0</v>
      </c>
      <c r="BC101" s="74"/>
      <c r="BD101" s="74"/>
      <c r="BE101" s="74">
        <f t="shared" si="60"/>
        <v>0</v>
      </c>
      <c r="BF101" s="74"/>
      <c r="BG101" s="74"/>
      <c r="BH101" s="74">
        <f t="shared" si="61"/>
        <v>0</v>
      </c>
      <c r="BI101" s="74"/>
      <c r="BJ101" s="74"/>
      <c r="BK101" s="74">
        <f t="shared" si="62"/>
        <v>0</v>
      </c>
      <c r="BL101" s="74"/>
      <c r="BM101" s="74"/>
      <c r="BN101" s="74">
        <f t="shared" si="63"/>
        <v>0</v>
      </c>
      <c r="BO101" s="74"/>
      <c r="BP101" s="74"/>
      <c r="BQ101" s="74">
        <f t="shared" si="64"/>
        <v>0</v>
      </c>
      <c r="BR101" s="252"/>
      <c r="BS101" s="252"/>
      <c r="BT101" s="74">
        <f t="shared" si="65"/>
        <v>0</v>
      </c>
      <c r="BU101" s="74"/>
      <c r="BV101" s="74"/>
      <c r="BW101" s="74">
        <f t="shared" si="66"/>
        <v>0</v>
      </c>
      <c r="BX101" s="74"/>
      <c r="BY101" s="74"/>
      <c r="BZ101" s="74">
        <f t="shared" si="67"/>
        <v>0</v>
      </c>
      <c r="CA101" s="74"/>
      <c r="CB101" s="74"/>
      <c r="CC101" s="74">
        <f t="shared" si="68"/>
        <v>0</v>
      </c>
      <c r="CD101" s="74"/>
      <c r="CE101" s="74"/>
      <c r="CF101" s="74">
        <f t="shared" si="69"/>
        <v>0</v>
      </c>
      <c r="CG101" s="74"/>
      <c r="CH101" s="74"/>
      <c r="CI101" s="74">
        <f t="shared" si="70"/>
        <v>0</v>
      </c>
      <c r="CJ101" s="74"/>
      <c r="CK101" s="74"/>
      <c r="CL101" s="74">
        <f t="shared" si="71"/>
        <v>0</v>
      </c>
      <c r="CM101" s="74"/>
      <c r="CN101" s="74"/>
      <c r="CO101" s="74">
        <f t="shared" si="72"/>
        <v>0</v>
      </c>
      <c r="CP101" s="74"/>
      <c r="CQ101" s="74"/>
      <c r="CR101" s="74">
        <f t="shared" si="73"/>
        <v>0</v>
      </c>
      <c r="CS101" s="74"/>
      <c r="CT101" s="74"/>
      <c r="CU101" s="74">
        <f t="shared" si="74"/>
        <v>0</v>
      </c>
      <c r="CV101" s="74"/>
      <c r="CW101" s="74"/>
      <c r="CX101" s="74">
        <f t="shared" si="75"/>
        <v>0</v>
      </c>
      <c r="CY101" s="74"/>
      <c r="CZ101" s="74"/>
      <c r="DA101" s="74">
        <f t="shared" si="76"/>
        <v>0</v>
      </c>
      <c r="DB101" s="74"/>
      <c r="DC101" s="74"/>
      <c r="DD101" s="74">
        <f t="shared" si="77"/>
        <v>0</v>
      </c>
      <c r="DE101" s="74"/>
      <c r="DF101" s="74"/>
      <c r="DG101" s="74">
        <f t="shared" si="78"/>
        <v>0</v>
      </c>
      <c r="DH101" s="74"/>
      <c r="DI101" s="74"/>
      <c r="DJ101" s="74">
        <f t="shared" si="79"/>
        <v>0</v>
      </c>
      <c r="DK101" s="74"/>
      <c r="DL101" s="74"/>
      <c r="DM101" s="74">
        <f t="shared" si="80"/>
        <v>0</v>
      </c>
      <c r="DN101" s="74"/>
      <c r="DO101" s="74"/>
      <c r="DP101" s="74">
        <f t="shared" si="81"/>
        <v>0</v>
      </c>
      <c r="DQ101" s="74"/>
      <c r="DR101" s="74"/>
      <c r="DS101" s="74">
        <f t="shared" si="82"/>
        <v>0</v>
      </c>
      <c r="DT101" s="74"/>
      <c r="DU101" s="74"/>
      <c r="DV101" s="74">
        <f t="shared" si="83"/>
        <v>0</v>
      </c>
      <c r="DW101" s="74"/>
      <c r="DX101" s="74"/>
      <c r="DY101" s="74">
        <f t="shared" si="84"/>
        <v>0</v>
      </c>
      <c r="DZ101" s="74"/>
      <c r="EA101" s="74"/>
      <c r="EB101" s="74">
        <f t="shared" si="85"/>
        <v>0</v>
      </c>
      <c r="EC101" s="74"/>
      <c r="ED101" s="74"/>
      <c r="EE101" s="74">
        <f t="shared" si="86"/>
        <v>0</v>
      </c>
      <c r="EF101" s="74"/>
      <c r="EG101" s="74"/>
      <c r="EH101" s="74">
        <f t="shared" si="87"/>
        <v>0</v>
      </c>
      <c r="EI101" s="74"/>
      <c r="EJ101" s="74"/>
      <c r="EK101" s="74">
        <f t="shared" si="88"/>
        <v>0</v>
      </c>
      <c r="EL101" s="74"/>
      <c r="EM101" s="74"/>
      <c r="EN101" s="74">
        <f t="shared" si="89"/>
        <v>0</v>
      </c>
      <c r="EO101" s="74"/>
      <c r="EP101" s="74"/>
      <c r="EQ101" s="74">
        <f t="shared" si="90"/>
        <v>0</v>
      </c>
      <c r="ER101" s="74"/>
      <c r="ES101" s="74"/>
      <c r="ET101" s="74">
        <f t="shared" si="91"/>
        <v>0</v>
      </c>
      <c r="EU101" s="74"/>
      <c r="EV101" s="74"/>
      <c r="EW101" s="74">
        <f t="shared" si="106"/>
        <v>0</v>
      </c>
      <c r="EX101" s="74"/>
      <c r="EY101" s="74"/>
      <c r="EZ101" s="74">
        <f t="shared" si="105"/>
        <v>0</v>
      </c>
      <c r="FA101" s="74"/>
      <c r="FB101" s="74"/>
      <c r="FC101" s="74">
        <f t="shared" si="93"/>
        <v>0</v>
      </c>
      <c r="FD101" s="74"/>
      <c r="FE101" s="74"/>
      <c r="FF101" s="74">
        <f t="shared" si="99"/>
        <v>0</v>
      </c>
      <c r="FG101" s="74"/>
      <c r="FH101" s="74"/>
      <c r="FI101" s="74">
        <f t="shared" si="95"/>
        <v>0</v>
      </c>
      <c r="FJ101" s="74"/>
      <c r="FK101" s="74"/>
      <c r="FL101" s="74">
        <f t="shared" si="103"/>
        <v>0</v>
      </c>
      <c r="FM101" s="74"/>
      <c r="FN101" s="74"/>
      <c r="FO101" s="74">
        <f t="shared" si="97"/>
        <v>0</v>
      </c>
      <c r="FP101" s="254"/>
    </row>
    <row r="102" spans="1:172" ht="15" hidden="1" x14ac:dyDescent="0.2">
      <c r="A102" s="74"/>
      <c r="B102" s="7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254"/>
      <c r="BI102" s="254"/>
      <c r="BJ102" s="254"/>
      <c r="BK102" s="254"/>
      <c r="BL102" s="254"/>
      <c r="BM102" s="254"/>
      <c r="BN102" s="254"/>
      <c r="BO102" s="254"/>
      <c r="BP102" s="254"/>
      <c r="BQ102" s="254"/>
      <c r="BR102" s="254"/>
      <c r="BS102" s="254"/>
      <c r="BT102" s="254"/>
      <c r="BU102" s="254"/>
      <c r="BV102" s="254"/>
      <c r="BW102" s="254"/>
      <c r="BX102" s="254"/>
      <c r="BY102" s="254"/>
      <c r="BZ102" s="254"/>
      <c r="CA102" s="254"/>
      <c r="CB102" s="254"/>
      <c r="CC102" s="254"/>
      <c r="CD102" s="259"/>
      <c r="CE102" s="254"/>
      <c r="CF102" s="254"/>
      <c r="CG102" s="254"/>
      <c r="CH102" s="254"/>
      <c r="CI102" s="254"/>
      <c r="CJ102" s="254"/>
      <c r="CK102" s="254"/>
      <c r="CL102" s="254"/>
      <c r="CM102" s="254"/>
      <c r="CN102" s="254"/>
      <c r="CO102" s="254"/>
      <c r="CP102" s="259"/>
      <c r="CQ102" s="254"/>
      <c r="CR102" s="259"/>
      <c r="CS102" s="254"/>
      <c r="CT102" s="254"/>
      <c r="CU102" s="254"/>
      <c r="CV102" s="254"/>
      <c r="CW102" s="254"/>
      <c r="CX102" s="254"/>
      <c r="CY102" s="254"/>
      <c r="CZ102" s="254"/>
      <c r="DA102" s="254"/>
      <c r="DB102" s="254"/>
      <c r="DC102" s="254"/>
      <c r="DD102" s="254"/>
      <c r="DE102" s="254"/>
      <c r="DF102" s="254"/>
      <c r="DG102" s="254"/>
      <c r="DH102" s="254"/>
      <c r="DI102" s="254"/>
      <c r="DJ102" s="259"/>
      <c r="DK102" s="254"/>
      <c r="DL102" s="254"/>
      <c r="DM102" s="254"/>
      <c r="DN102" s="254"/>
      <c r="DO102" s="254"/>
      <c r="DP102" s="254"/>
      <c r="DQ102" s="254"/>
      <c r="DR102" s="254"/>
      <c r="DS102" s="254"/>
      <c r="DT102" s="259"/>
      <c r="DU102" s="254"/>
      <c r="DV102" s="254"/>
      <c r="DW102" s="254"/>
      <c r="DX102" s="259"/>
      <c r="DY102" s="254"/>
      <c r="DZ102" s="254"/>
      <c r="EA102" s="254"/>
      <c r="EB102" s="254"/>
      <c r="EC102" s="254"/>
      <c r="ED102" s="254"/>
      <c r="EE102" s="254"/>
      <c r="EF102" s="254"/>
      <c r="EG102" s="254"/>
      <c r="EH102" s="254"/>
      <c r="EI102" s="254"/>
      <c r="EJ102" s="254"/>
      <c r="EK102" s="254"/>
      <c r="EL102" s="254"/>
      <c r="EM102" s="254"/>
      <c r="EN102" s="254"/>
      <c r="EO102" s="254"/>
      <c r="EP102" s="254"/>
      <c r="EQ102" s="254"/>
      <c r="ER102" s="254"/>
      <c r="ES102" s="254"/>
      <c r="ET102" s="254"/>
      <c r="EU102" s="254"/>
      <c r="EV102" s="254"/>
      <c r="EW102" s="254"/>
      <c r="EX102" s="254"/>
      <c r="EY102" s="254"/>
      <c r="EZ102" s="259"/>
      <c r="FA102" s="254"/>
      <c r="FB102" s="254"/>
      <c r="FC102" s="254"/>
      <c r="FD102" s="259"/>
      <c r="FE102" s="254"/>
      <c r="FF102" s="254"/>
      <c r="FG102" s="254"/>
      <c r="FH102" s="254"/>
      <c r="FI102" s="254"/>
      <c r="FJ102" s="259"/>
      <c r="FK102" s="254"/>
      <c r="FL102" s="254"/>
      <c r="FM102" s="254"/>
      <c r="FN102" s="254"/>
      <c r="FO102" s="254"/>
      <c r="FP102" s="254"/>
    </row>
    <row r="103" spans="1:172" ht="15" hidden="1" x14ac:dyDescent="0.2">
      <c r="A103" s="74"/>
      <c r="B103" s="7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254"/>
      <c r="BF103" s="254"/>
      <c r="BG103" s="254"/>
      <c r="BH103" s="254"/>
      <c r="BI103" s="254"/>
      <c r="BJ103" s="254"/>
      <c r="BK103" s="254"/>
      <c r="BL103" s="254"/>
      <c r="BM103" s="254"/>
      <c r="BN103" s="254"/>
      <c r="BO103" s="254"/>
      <c r="BP103" s="254"/>
      <c r="BQ103" s="254"/>
      <c r="BR103" s="254"/>
      <c r="BS103" s="254"/>
      <c r="BT103" s="254"/>
      <c r="BU103" s="254"/>
      <c r="BV103" s="254"/>
      <c r="BW103" s="254"/>
      <c r="BX103" s="254"/>
      <c r="BY103" s="254"/>
      <c r="BZ103" s="254"/>
      <c r="CA103" s="254"/>
      <c r="CB103" s="254"/>
      <c r="CC103" s="254"/>
      <c r="CD103" s="254"/>
      <c r="CE103" s="254"/>
      <c r="CF103" s="254"/>
      <c r="CG103" s="254"/>
      <c r="CH103" s="254"/>
      <c r="CI103" s="254"/>
      <c r="CJ103" s="254"/>
      <c r="CK103" s="254"/>
      <c r="CL103" s="254"/>
      <c r="CM103" s="254"/>
      <c r="CN103" s="254"/>
      <c r="CO103" s="254"/>
      <c r="CP103" s="254"/>
      <c r="CQ103" s="254"/>
      <c r="CR103" s="254"/>
      <c r="CS103" s="254"/>
      <c r="CT103" s="254"/>
      <c r="CU103" s="254"/>
      <c r="CV103" s="254"/>
      <c r="CW103" s="254"/>
      <c r="CX103" s="254"/>
      <c r="CY103" s="254"/>
      <c r="CZ103" s="254"/>
      <c r="DA103" s="254"/>
      <c r="DB103" s="254"/>
      <c r="DC103" s="254"/>
      <c r="DD103" s="254"/>
      <c r="DE103" s="254"/>
      <c r="DF103" s="254"/>
      <c r="DG103" s="254"/>
      <c r="DH103" s="254"/>
      <c r="DI103" s="254"/>
      <c r="DJ103" s="254"/>
      <c r="DK103" s="254"/>
      <c r="DL103" s="254"/>
      <c r="DM103" s="254"/>
      <c r="DN103" s="254"/>
      <c r="DO103" s="254"/>
      <c r="DP103" s="254"/>
      <c r="DQ103" s="254"/>
      <c r="DR103" s="254"/>
      <c r="DS103" s="254"/>
      <c r="DT103" s="254"/>
      <c r="DU103" s="254"/>
      <c r="DV103" s="254"/>
      <c r="DW103" s="254"/>
      <c r="DX103" s="254"/>
      <c r="DY103" s="254"/>
      <c r="DZ103" s="254"/>
      <c r="EA103" s="254"/>
      <c r="EB103" s="254"/>
      <c r="EC103" s="254"/>
      <c r="ED103" s="254"/>
      <c r="EE103" s="254"/>
      <c r="EF103" s="254"/>
      <c r="EG103" s="254"/>
      <c r="EH103" s="254"/>
      <c r="EI103" s="254"/>
      <c r="EJ103" s="254"/>
      <c r="EK103" s="254"/>
      <c r="EL103" s="254"/>
      <c r="EM103" s="254"/>
      <c r="EN103" s="254"/>
      <c r="EO103" s="254"/>
      <c r="EP103" s="254"/>
      <c r="EQ103" s="254"/>
      <c r="ER103" s="254"/>
      <c r="ES103" s="254"/>
      <c r="ET103" s="254"/>
      <c r="EU103" s="254"/>
      <c r="EV103" s="254"/>
      <c r="EW103" s="254"/>
      <c r="EX103" s="254"/>
      <c r="EY103" s="254"/>
      <c r="EZ103" s="254"/>
      <c r="FA103" s="254"/>
      <c r="FB103" s="254"/>
      <c r="FC103" s="254"/>
      <c r="FD103" s="254"/>
      <c r="FE103" s="254"/>
      <c r="FF103" s="254"/>
      <c r="FG103" s="254"/>
      <c r="FH103" s="254"/>
      <c r="FI103" s="254"/>
      <c r="FJ103" s="254"/>
      <c r="FK103" s="254"/>
      <c r="FL103" s="254"/>
      <c r="FM103" s="254"/>
      <c r="FN103" s="254"/>
      <c r="FO103" s="254"/>
      <c r="FP103" s="254"/>
    </row>
    <row r="104" spans="1:172" ht="15" hidden="1" x14ac:dyDescent="0.2">
      <c r="A104" s="74"/>
      <c r="B104" s="7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4"/>
      <c r="AZ104" s="254"/>
      <c r="BA104" s="254"/>
      <c r="BB104" s="254"/>
      <c r="BC104" s="254"/>
      <c r="BD104" s="254"/>
      <c r="BE104" s="254"/>
      <c r="BF104" s="254"/>
      <c r="BG104" s="254"/>
      <c r="BH104" s="254"/>
      <c r="BI104" s="254"/>
      <c r="BJ104" s="254"/>
      <c r="BK104" s="254"/>
      <c r="BL104" s="254"/>
      <c r="BM104" s="254"/>
      <c r="BN104" s="254"/>
      <c r="BO104" s="254"/>
      <c r="BP104" s="254"/>
      <c r="BQ104" s="254"/>
      <c r="BR104" s="254"/>
      <c r="BS104" s="254"/>
      <c r="BT104" s="254"/>
      <c r="BU104" s="254"/>
      <c r="BV104" s="254"/>
      <c r="BW104" s="254"/>
      <c r="BX104" s="254"/>
      <c r="BY104" s="254"/>
      <c r="BZ104" s="254"/>
      <c r="CA104" s="254"/>
      <c r="CB104" s="254"/>
      <c r="CC104" s="254"/>
      <c r="CD104" s="254"/>
      <c r="CE104" s="254"/>
      <c r="CF104" s="254"/>
      <c r="CG104" s="254"/>
      <c r="CH104" s="254"/>
      <c r="CI104" s="254"/>
      <c r="CJ104" s="254"/>
      <c r="CK104" s="254"/>
      <c r="CL104" s="254"/>
      <c r="CM104" s="254"/>
      <c r="CN104" s="254"/>
      <c r="CO104" s="254"/>
      <c r="CP104" s="254"/>
      <c r="CQ104" s="254"/>
      <c r="CR104" s="254"/>
      <c r="CS104" s="254"/>
      <c r="CT104" s="254"/>
      <c r="CU104" s="254"/>
      <c r="CV104" s="254"/>
      <c r="CW104" s="254"/>
      <c r="CX104" s="254"/>
      <c r="CY104" s="254"/>
      <c r="CZ104" s="254"/>
      <c r="DA104" s="254"/>
      <c r="DB104" s="254"/>
      <c r="DC104" s="254"/>
      <c r="DD104" s="254"/>
      <c r="DE104" s="254"/>
      <c r="DF104" s="254"/>
      <c r="DG104" s="254"/>
      <c r="DH104" s="254"/>
      <c r="DI104" s="254"/>
      <c r="DJ104" s="254"/>
      <c r="DK104" s="254"/>
      <c r="DL104" s="254"/>
      <c r="DM104" s="254"/>
      <c r="DN104" s="254"/>
      <c r="DO104" s="254"/>
      <c r="DP104" s="254"/>
      <c r="DQ104" s="254"/>
      <c r="DR104" s="254"/>
      <c r="DS104" s="254"/>
      <c r="DT104" s="254"/>
      <c r="DU104" s="254"/>
      <c r="DV104" s="254"/>
      <c r="DW104" s="254"/>
      <c r="DX104" s="254"/>
      <c r="DY104" s="254"/>
      <c r="DZ104" s="254"/>
      <c r="EA104" s="254"/>
      <c r="EB104" s="254"/>
      <c r="EC104" s="254"/>
      <c r="ED104" s="254"/>
      <c r="EE104" s="254"/>
      <c r="EF104" s="254"/>
      <c r="EG104" s="254"/>
      <c r="EH104" s="254"/>
      <c r="EI104" s="254"/>
      <c r="EJ104" s="254"/>
      <c r="EK104" s="254"/>
      <c r="EL104" s="254"/>
      <c r="EM104" s="254"/>
      <c r="EN104" s="254"/>
      <c r="EO104" s="254"/>
      <c r="EP104" s="254"/>
      <c r="EQ104" s="254"/>
      <c r="ER104" s="254"/>
      <c r="ES104" s="254"/>
      <c r="ET104" s="254"/>
      <c r="EU104" s="254"/>
      <c r="EV104" s="254"/>
      <c r="EW104" s="254"/>
      <c r="EX104" s="254"/>
      <c r="EY104" s="254"/>
      <c r="EZ104" s="254"/>
      <c r="FA104" s="254"/>
      <c r="FB104" s="254"/>
      <c r="FC104" s="254"/>
      <c r="FD104" s="254"/>
      <c r="FE104" s="254"/>
      <c r="FF104" s="254"/>
      <c r="FG104" s="254"/>
      <c r="FH104" s="254"/>
      <c r="FI104" s="254"/>
      <c r="FJ104" s="254"/>
      <c r="FK104" s="254"/>
      <c r="FL104" s="254"/>
      <c r="FM104" s="254"/>
      <c r="FN104" s="254"/>
      <c r="FO104" s="254"/>
      <c r="FP104" s="254"/>
    </row>
  </sheetData>
  <mergeCells count="58">
    <mergeCell ref="A2:A3"/>
    <mergeCell ref="A18:C18"/>
    <mergeCell ref="FB1:FD1"/>
    <mergeCell ref="FE1:FG1"/>
    <mergeCell ref="FH1:FJ1"/>
    <mergeCell ref="FK1:FM1"/>
    <mergeCell ref="FN1:FP1"/>
    <mergeCell ref="DR1:DT1"/>
    <mergeCell ref="DU1:DW1"/>
    <mergeCell ref="DX1:DZ1"/>
    <mergeCell ref="EV1:EX1"/>
    <mergeCell ref="EY1:FA1"/>
    <mergeCell ref="EA1:EC1"/>
    <mergeCell ref="ED1:EF1"/>
    <mergeCell ref="EG1:EI1"/>
    <mergeCell ref="EJ1:EL1"/>
    <mergeCell ref="EM1:EO1"/>
    <mergeCell ref="EP1:ER1"/>
    <mergeCell ref="ES1:EU1"/>
    <mergeCell ref="DC1:DE1"/>
    <mergeCell ref="DF1:DH1"/>
    <mergeCell ref="DI1:DK1"/>
    <mergeCell ref="DL1:DN1"/>
    <mergeCell ref="DO1:DQ1"/>
    <mergeCell ref="CN1:CP1"/>
    <mergeCell ref="CQ1:CS1"/>
    <mergeCell ref="CT1:CV1"/>
    <mergeCell ref="CW1:CY1"/>
    <mergeCell ref="CZ1:DB1"/>
    <mergeCell ref="BY1:CA1"/>
    <mergeCell ref="CB1:CD1"/>
    <mergeCell ref="CE1:CG1"/>
    <mergeCell ref="CH1:CJ1"/>
    <mergeCell ref="CK1:CM1"/>
    <mergeCell ref="BJ1:BL1"/>
    <mergeCell ref="BM1:BO1"/>
    <mergeCell ref="BP1:BR1"/>
    <mergeCell ref="BS1:BU1"/>
    <mergeCell ref="BV1:BX1"/>
    <mergeCell ref="AU1:AW1"/>
    <mergeCell ref="AX1:AZ1"/>
    <mergeCell ref="BA1:BC1"/>
    <mergeCell ref="BD1:BF1"/>
    <mergeCell ref="BG1:BI1"/>
    <mergeCell ref="AO1:AQ1"/>
    <mergeCell ref="AR1:AT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conditionalFormatting sqref="A1:FP104">
    <cfRule type="cellIs" dxfId="41" priority="1" operator="equal">
      <formula>"Monday"</formula>
    </cfRule>
    <cfRule type="cellIs" dxfId="40" priority="2" operator="equal">
      <formula>"Tuesday"</formula>
    </cfRule>
    <cfRule type="cellIs" dxfId="39" priority="3" operator="equal">
      <formula>"Wednesday"</formula>
    </cfRule>
    <cfRule type="cellIs" dxfId="38" priority="4" operator="equal">
      <formula>"Thursday"</formula>
    </cfRule>
    <cfRule type="cellIs" dxfId="37" priority="5" operator="equal">
      <formula>"Friday"</formula>
    </cfRule>
    <cfRule type="cellIs" dxfId="36" priority="6" operator="equal">
      <formula>"Saturday"</formula>
    </cfRule>
  </conditionalFormatting>
  <hyperlinks>
    <hyperlink ref="E2" r:id="rId1" xr:uid="{00000000-0004-0000-0800-000000000000}"/>
    <hyperlink ref="H2" r:id="rId2" xr:uid="{00000000-0004-0000-0800-000001000000}"/>
    <hyperlink ref="K2" r:id="rId3" xr:uid="{00000000-0004-0000-0800-000002000000}"/>
    <hyperlink ref="N2" r:id="rId4" xr:uid="{00000000-0004-0000-0800-000003000000}"/>
    <hyperlink ref="Q2" r:id="rId5" xr:uid="{00000000-0004-0000-0800-000004000000}"/>
    <hyperlink ref="T2" r:id="rId6" xr:uid="{00000000-0004-0000-0800-000005000000}"/>
    <hyperlink ref="W2" r:id="rId7" xr:uid="{00000000-0004-0000-0800-000006000000}"/>
    <hyperlink ref="Z2" r:id="rId8" xr:uid="{00000000-0004-0000-0800-000007000000}"/>
    <hyperlink ref="AC2" r:id="rId9" xr:uid="{00000000-0004-0000-0800-000008000000}"/>
    <hyperlink ref="AF2" r:id="rId10" xr:uid="{00000000-0004-0000-0800-000009000000}"/>
    <hyperlink ref="AI2" r:id="rId11" xr:uid="{00000000-0004-0000-0800-00000A000000}"/>
    <hyperlink ref="AL2" r:id="rId12" xr:uid="{00000000-0004-0000-0800-00000B000000}"/>
    <hyperlink ref="AO2" r:id="rId13" xr:uid="{00000000-0004-0000-0800-00000C000000}"/>
    <hyperlink ref="AR2" r:id="rId14" xr:uid="{00000000-0004-0000-0800-00000D000000}"/>
    <hyperlink ref="AU2" r:id="rId15" xr:uid="{00000000-0004-0000-0800-00000E000000}"/>
    <hyperlink ref="AX2" r:id="rId16" xr:uid="{00000000-0004-0000-0800-00000F000000}"/>
    <hyperlink ref="BA2" r:id="rId17" xr:uid="{00000000-0004-0000-0800-000010000000}"/>
    <hyperlink ref="BD2" r:id="rId18" xr:uid="{00000000-0004-0000-0800-000011000000}"/>
    <hyperlink ref="BG2" r:id="rId19" xr:uid="{00000000-0004-0000-0800-000012000000}"/>
    <hyperlink ref="BJ2" r:id="rId20" xr:uid="{00000000-0004-0000-0800-000013000000}"/>
    <hyperlink ref="BM2" r:id="rId21" xr:uid="{00000000-0004-0000-0800-000014000000}"/>
    <hyperlink ref="BP2" r:id="rId22" xr:uid="{00000000-0004-0000-0800-000015000000}"/>
    <hyperlink ref="BS2" r:id="rId23" xr:uid="{00000000-0004-0000-0800-000016000000}"/>
    <hyperlink ref="BV2" r:id="rId24" xr:uid="{00000000-0004-0000-0800-000017000000}"/>
    <hyperlink ref="BY2" r:id="rId25" xr:uid="{00000000-0004-0000-0800-000018000000}"/>
    <hyperlink ref="CB2" r:id="rId26" xr:uid="{00000000-0004-0000-0800-000019000000}"/>
    <hyperlink ref="CE2" r:id="rId27" xr:uid="{00000000-0004-0000-0800-00001A000000}"/>
    <hyperlink ref="CH2" r:id="rId28" xr:uid="{00000000-0004-0000-0800-00001B000000}"/>
    <hyperlink ref="CK2" r:id="rId29" xr:uid="{00000000-0004-0000-0800-00001C000000}"/>
    <hyperlink ref="CN2" r:id="rId30" xr:uid="{00000000-0004-0000-0800-00001D000000}"/>
    <hyperlink ref="CQ2" r:id="rId31" xr:uid="{00000000-0004-0000-0800-00001E000000}"/>
    <hyperlink ref="CT2" r:id="rId32" xr:uid="{00000000-0004-0000-0800-00001F000000}"/>
    <hyperlink ref="CW2" r:id="rId33" xr:uid="{00000000-0004-0000-0800-000020000000}"/>
    <hyperlink ref="CZ2" r:id="rId34" xr:uid="{00000000-0004-0000-0800-000021000000}"/>
    <hyperlink ref="DC2" r:id="rId35" xr:uid="{00000000-0004-0000-0800-000022000000}"/>
    <hyperlink ref="DF2" r:id="rId36" xr:uid="{00000000-0004-0000-0800-000023000000}"/>
    <hyperlink ref="DI2" r:id="rId37" xr:uid="{00000000-0004-0000-0800-000024000000}"/>
    <hyperlink ref="DL2" r:id="rId38" xr:uid="{00000000-0004-0000-0800-000025000000}"/>
    <hyperlink ref="DO2" r:id="rId39" xr:uid="{00000000-0004-0000-0800-000026000000}"/>
    <hyperlink ref="DR2" r:id="rId40" xr:uid="{00000000-0004-0000-0800-000027000000}"/>
    <hyperlink ref="DU2" r:id="rId41" xr:uid="{00000000-0004-0000-0800-000028000000}"/>
    <hyperlink ref="DX2" r:id="rId42" xr:uid="{00000000-0004-0000-0800-000029000000}"/>
    <hyperlink ref="EA2" r:id="rId43" xr:uid="{00000000-0004-0000-0800-00002A000000}"/>
    <hyperlink ref="ED2" r:id="rId44" xr:uid="{00000000-0004-0000-0800-00002B000000}"/>
    <hyperlink ref="EG2" r:id="rId45" xr:uid="{00000000-0004-0000-0800-00002C000000}"/>
    <hyperlink ref="EJ2" r:id="rId46" xr:uid="{00000000-0004-0000-0800-00002D000000}"/>
    <hyperlink ref="EM2" r:id="rId47" xr:uid="{00000000-0004-0000-0800-00002E000000}"/>
    <hyperlink ref="EP2" r:id="rId48" xr:uid="{00000000-0004-0000-0800-00002F000000}"/>
    <hyperlink ref="ES2" r:id="rId49" xr:uid="{00000000-0004-0000-0800-000030000000}"/>
    <hyperlink ref="EV2" r:id="rId50" xr:uid="{00000000-0004-0000-0800-000031000000}"/>
    <hyperlink ref="EY2" r:id="rId51" xr:uid="{00000000-0004-0000-0800-000032000000}"/>
    <hyperlink ref="FB2" r:id="rId52" xr:uid="{00000000-0004-0000-0800-000033000000}"/>
    <hyperlink ref="FE2" r:id="rId53" xr:uid="{00000000-0004-0000-0800-000034000000}"/>
    <hyperlink ref="FH2" r:id="rId54" xr:uid="{00000000-0004-0000-0800-000035000000}"/>
    <hyperlink ref="FK2" r:id="rId55" xr:uid="{00000000-0004-0000-0800-000036000000}"/>
    <hyperlink ref="FN2" r:id="rId56" xr:uid="{00000000-0004-0000-0800-000037000000}"/>
    <hyperlink ref="H3" r:id="rId57" xr:uid="{00000000-0004-0000-0800-000038000000}"/>
    <hyperlink ref="K3" r:id="rId58" xr:uid="{00000000-0004-0000-0800-000039000000}"/>
    <hyperlink ref="N3" r:id="rId59" xr:uid="{00000000-0004-0000-0800-00003A000000}"/>
    <hyperlink ref="T3" r:id="rId60" xr:uid="{00000000-0004-0000-0800-00003B000000}"/>
    <hyperlink ref="W3" r:id="rId61" xr:uid="{00000000-0004-0000-0800-00003C000000}"/>
    <hyperlink ref="Z3" r:id="rId62" xr:uid="{00000000-0004-0000-0800-00003D000000}"/>
    <hyperlink ref="AC3" r:id="rId63" xr:uid="{00000000-0004-0000-0800-00003E000000}"/>
    <hyperlink ref="AF3" r:id="rId64" xr:uid="{00000000-0004-0000-0800-00003F000000}"/>
    <hyperlink ref="AI3" r:id="rId65" xr:uid="{00000000-0004-0000-0800-000040000000}"/>
    <hyperlink ref="AL3" r:id="rId66" xr:uid="{00000000-0004-0000-0800-000041000000}"/>
    <hyperlink ref="AO3" r:id="rId67" xr:uid="{00000000-0004-0000-0800-000042000000}"/>
    <hyperlink ref="AR3" r:id="rId68" xr:uid="{00000000-0004-0000-0800-000043000000}"/>
    <hyperlink ref="AU3" r:id="rId69" xr:uid="{00000000-0004-0000-0800-000044000000}"/>
    <hyperlink ref="AX3" r:id="rId70" xr:uid="{00000000-0004-0000-0800-000045000000}"/>
    <hyperlink ref="BA3" r:id="rId71" xr:uid="{00000000-0004-0000-0800-000046000000}"/>
    <hyperlink ref="BD3" r:id="rId72" xr:uid="{00000000-0004-0000-0800-000047000000}"/>
    <hyperlink ref="BG3" r:id="rId73" xr:uid="{00000000-0004-0000-0800-000048000000}"/>
    <hyperlink ref="BJ3" r:id="rId74" xr:uid="{00000000-0004-0000-0800-000049000000}"/>
    <hyperlink ref="BM3" r:id="rId75" xr:uid="{00000000-0004-0000-0800-00004A000000}"/>
    <hyperlink ref="BP3" r:id="rId76" xr:uid="{00000000-0004-0000-0800-00004B000000}"/>
    <hyperlink ref="BS3" r:id="rId77" xr:uid="{00000000-0004-0000-0800-00004C000000}"/>
    <hyperlink ref="BV3" r:id="rId78" xr:uid="{00000000-0004-0000-0800-00004D000000}"/>
    <hyperlink ref="BY3" r:id="rId79" xr:uid="{00000000-0004-0000-0800-00004E000000}"/>
    <hyperlink ref="CB3" r:id="rId80" xr:uid="{00000000-0004-0000-0800-00004F000000}"/>
    <hyperlink ref="CE3" r:id="rId81" xr:uid="{00000000-0004-0000-0800-000050000000}"/>
    <hyperlink ref="CH3" r:id="rId82" xr:uid="{00000000-0004-0000-0800-000051000000}"/>
    <hyperlink ref="CK3" r:id="rId83" xr:uid="{00000000-0004-0000-0800-000052000000}"/>
    <hyperlink ref="CN3" r:id="rId84" xr:uid="{00000000-0004-0000-0800-000053000000}"/>
    <hyperlink ref="CQ3" r:id="rId85" xr:uid="{00000000-0004-0000-0800-000054000000}"/>
    <hyperlink ref="CT3" r:id="rId86" xr:uid="{00000000-0004-0000-0800-000055000000}"/>
    <hyperlink ref="CW3" r:id="rId87" xr:uid="{00000000-0004-0000-0800-000056000000}"/>
    <hyperlink ref="CZ3" r:id="rId88" xr:uid="{00000000-0004-0000-0800-000057000000}"/>
    <hyperlink ref="DC3" r:id="rId89" xr:uid="{00000000-0004-0000-0800-000058000000}"/>
    <hyperlink ref="DF3" r:id="rId90" xr:uid="{00000000-0004-0000-0800-000059000000}"/>
    <hyperlink ref="DI3" r:id="rId91" xr:uid="{00000000-0004-0000-0800-00005A000000}"/>
    <hyperlink ref="DL3" r:id="rId92" xr:uid="{00000000-0004-0000-0800-00005B000000}"/>
    <hyperlink ref="DO3" r:id="rId93" xr:uid="{00000000-0004-0000-0800-00005C000000}"/>
    <hyperlink ref="DR3" r:id="rId94" xr:uid="{00000000-0004-0000-0800-00005D000000}"/>
    <hyperlink ref="DU3" r:id="rId95" xr:uid="{00000000-0004-0000-0800-00005E000000}"/>
    <hyperlink ref="DX3" r:id="rId96" xr:uid="{00000000-0004-0000-0800-00005F000000}"/>
    <hyperlink ref="EA3" r:id="rId97" xr:uid="{00000000-0004-0000-0800-000060000000}"/>
    <hyperlink ref="ED3" r:id="rId98" xr:uid="{00000000-0004-0000-0800-000061000000}"/>
    <hyperlink ref="EG3" r:id="rId99" xr:uid="{00000000-0004-0000-0800-000062000000}"/>
    <hyperlink ref="EJ3" r:id="rId100" xr:uid="{00000000-0004-0000-0800-000063000000}"/>
    <hyperlink ref="EM3" r:id="rId101" xr:uid="{00000000-0004-0000-0800-000064000000}"/>
    <hyperlink ref="EP3" r:id="rId102" xr:uid="{00000000-0004-0000-0800-000065000000}"/>
    <hyperlink ref="ES3" r:id="rId103" xr:uid="{00000000-0004-0000-0800-000066000000}"/>
    <hyperlink ref="EV3" r:id="rId104" xr:uid="{00000000-0004-0000-0800-000067000000}"/>
    <hyperlink ref="EY3" r:id="rId105" xr:uid="{00000000-0004-0000-0800-000068000000}"/>
    <hyperlink ref="FB3" r:id="rId106" xr:uid="{00000000-0004-0000-0800-000069000000}"/>
    <hyperlink ref="FE3" r:id="rId107" xr:uid="{00000000-0004-0000-0800-00006A000000}"/>
    <hyperlink ref="FH3" r:id="rId108" xr:uid="{00000000-0004-0000-0800-00006B000000}"/>
    <hyperlink ref="FK3" r:id="rId109" xr:uid="{00000000-0004-0000-0800-00006C000000}"/>
    <hyperlink ref="FN3" r:id="rId110" xr:uid="{00000000-0004-0000-0800-00006D000000}"/>
    <hyperlink ref="H4" r:id="rId111" xr:uid="{00000000-0004-0000-0800-00006E000000}"/>
    <hyperlink ref="K4" r:id="rId112" xr:uid="{00000000-0004-0000-0800-00006F000000}"/>
    <hyperlink ref="N4" r:id="rId113" xr:uid="{00000000-0004-0000-0800-000070000000}"/>
    <hyperlink ref="Q4" r:id="rId114" xr:uid="{00000000-0004-0000-0800-000071000000}"/>
    <hyperlink ref="T4" r:id="rId115" xr:uid="{00000000-0004-0000-0800-000072000000}"/>
    <hyperlink ref="W4" r:id="rId116" xr:uid="{00000000-0004-0000-0800-000073000000}"/>
    <hyperlink ref="Z4" r:id="rId117" xr:uid="{00000000-0004-0000-0800-000074000000}"/>
    <hyperlink ref="AC4" r:id="rId118" xr:uid="{00000000-0004-0000-0800-000075000000}"/>
    <hyperlink ref="AF4" r:id="rId119" xr:uid="{00000000-0004-0000-0800-000076000000}"/>
    <hyperlink ref="AI4" r:id="rId120" xr:uid="{00000000-0004-0000-0800-000077000000}"/>
    <hyperlink ref="AL4" r:id="rId121" xr:uid="{00000000-0004-0000-0800-000078000000}"/>
    <hyperlink ref="AO4" r:id="rId122" xr:uid="{00000000-0004-0000-0800-000079000000}"/>
    <hyperlink ref="AR4" r:id="rId123" xr:uid="{00000000-0004-0000-0800-00007A000000}"/>
    <hyperlink ref="AU4" r:id="rId124" xr:uid="{00000000-0004-0000-0800-00007B000000}"/>
    <hyperlink ref="AX4" r:id="rId125" xr:uid="{00000000-0004-0000-0800-00007C000000}"/>
    <hyperlink ref="BA4" r:id="rId126" xr:uid="{00000000-0004-0000-0800-00007D000000}"/>
    <hyperlink ref="BD4" r:id="rId127" xr:uid="{00000000-0004-0000-0800-00007E000000}"/>
    <hyperlink ref="BG4" r:id="rId128" xr:uid="{00000000-0004-0000-0800-00007F000000}"/>
    <hyperlink ref="BJ4" r:id="rId129" xr:uid="{00000000-0004-0000-0800-000080000000}"/>
    <hyperlink ref="BM4" r:id="rId130" xr:uid="{00000000-0004-0000-0800-000081000000}"/>
    <hyperlink ref="BP4" r:id="rId131" xr:uid="{00000000-0004-0000-0800-000082000000}"/>
    <hyperlink ref="BS4" r:id="rId132" xr:uid="{00000000-0004-0000-0800-000083000000}"/>
    <hyperlink ref="BV4" r:id="rId133" xr:uid="{00000000-0004-0000-0800-000084000000}"/>
    <hyperlink ref="BY4" r:id="rId134" xr:uid="{00000000-0004-0000-0800-000085000000}"/>
    <hyperlink ref="CB4" r:id="rId135" xr:uid="{00000000-0004-0000-0800-000086000000}"/>
    <hyperlink ref="CE4" r:id="rId136" xr:uid="{00000000-0004-0000-0800-000087000000}"/>
    <hyperlink ref="CH4" r:id="rId137" xr:uid="{00000000-0004-0000-0800-000088000000}"/>
    <hyperlink ref="CK4" r:id="rId138" xr:uid="{00000000-0004-0000-0800-000089000000}"/>
    <hyperlink ref="CN4" r:id="rId139" xr:uid="{00000000-0004-0000-0800-00008A000000}"/>
    <hyperlink ref="CQ4" r:id="rId140" xr:uid="{00000000-0004-0000-0800-00008B000000}"/>
    <hyperlink ref="CT4" r:id="rId141" xr:uid="{00000000-0004-0000-0800-00008C000000}"/>
    <hyperlink ref="CW4" r:id="rId142" xr:uid="{00000000-0004-0000-0800-00008D000000}"/>
    <hyperlink ref="CZ4" r:id="rId143" xr:uid="{00000000-0004-0000-0800-00008E000000}"/>
    <hyperlink ref="DC4" r:id="rId144" xr:uid="{00000000-0004-0000-0800-00008F000000}"/>
    <hyperlink ref="DF4" r:id="rId145" xr:uid="{00000000-0004-0000-0800-000090000000}"/>
    <hyperlink ref="DI4" r:id="rId146" xr:uid="{00000000-0004-0000-0800-000091000000}"/>
    <hyperlink ref="DL4" r:id="rId147" xr:uid="{00000000-0004-0000-0800-000092000000}"/>
    <hyperlink ref="DO4" r:id="rId148" xr:uid="{00000000-0004-0000-0800-000093000000}"/>
    <hyperlink ref="DR4" r:id="rId149" xr:uid="{00000000-0004-0000-0800-000094000000}"/>
    <hyperlink ref="DU4" r:id="rId150" xr:uid="{00000000-0004-0000-0800-000095000000}"/>
    <hyperlink ref="DX4" r:id="rId151" xr:uid="{00000000-0004-0000-0800-000096000000}"/>
    <hyperlink ref="EA4" r:id="rId152" xr:uid="{00000000-0004-0000-0800-000097000000}"/>
    <hyperlink ref="ED4" r:id="rId153" xr:uid="{00000000-0004-0000-0800-000098000000}"/>
    <hyperlink ref="EG4" r:id="rId154" xr:uid="{00000000-0004-0000-0800-000099000000}"/>
    <hyperlink ref="EJ4" r:id="rId155" xr:uid="{00000000-0004-0000-0800-00009A000000}"/>
    <hyperlink ref="EM4" r:id="rId156" xr:uid="{00000000-0004-0000-0800-00009B000000}"/>
    <hyperlink ref="EP4" r:id="rId157" xr:uid="{00000000-0004-0000-0800-00009C000000}"/>
    <hyperlink ref="ES4" r:id="rId158" xr:uid="{00000000-0004-0000-0800-00009D000000}"/>
    <hyperlink ref="EV4" r:id="rId159" xr:uid="{00000000-0004-0000-0800-00009E000000}"/>
    <hyperlink ref="EY4" r:id="rId160" xr:uid="{00000000-0004-0000-0800-00009F000000}"/>
    <hyperlink ref="FB4" r:id="rId161" xr:uid="{00000000-0004-0000-0800-0000A0000000}"/>
    <hyperlink ref="FE4" r:id="rId162" xr:uid="{00000000-0004-0000-0800-0000A1000000}"/>
    <hyperlink ref="FH4" r:id="rId163" xr:uid="{00000000-0004-0000-0800-0000A2000000}"/>
    <hyperlink ref="FK4" r:id="rId164" xr:uid="{00000000-0004-0000-0800-0000A3000000}"/>
    <hyperlink ref="FN4" r:id="rId165" xr:uid="{00000000-0004-0000-0800-0000A4000000}"/>
    <hyperlink ref="H5" r:id="rId166" xr:uid="{00000000-0004-0000-0800-0000A5000000}"/>
    <hyperlink ref="K5" r:id="rId167" xr:uid="{00000000-0004-0000-0800-0000A6000000}"/>
    <hyperlink ref="N5" r:id="rId168" xr:uid="{00000000-0004-0000-0800-0000A7000000}"/>
    <hyperlink ref="Q5" r:id="rId169" xr:uid="{00000000-0004-0000-0800-0000A8000000}"/>
    <hyperlink ref="T5" r:id="rId170" xr:uid="{00000000-0004-0000-0800-0000A9000000}"/>
    <hyperlink ref="W5" r:id="rId171" xr:uid="{00000000-0004-0000-0800-0000AA000000}"/>
    <hyperlink ref="Z5" r:id="rId172" xr:uid="{00000000-0004-0000-0800-0000AB000000}"/>
    <hyperlink ref="AC5" r:id="rId173" xr:uid="{00000000-0004-0000-0800-0000AC000000}"/>
    <hyperlink ref="AF5" r:id="rId174" xr:uid="{00000000-0004-0000-0800-0000AD000000}"/>
    <hyperlink ref="AI5" r:id="rId175" xr:uid="{00000000-0004-0000-0800-0000AE000000}"/>
    <hyperlink ref="AL5" r:id="rId176" xr:uid="{00000000-0004-0000-0800-0000AF000000}"/>
    <hyperlink ref="AO5" r:id="rId177" xr:uid="{00000000-0004-0000-0800-0000B0000000}"/>
    <hyperlink ref="AR5" r:id="rId178" xr:uid="{00000000-0004-0000-0800-0000B1000000}"/>
    <hyperlink ref="AU5" r:id="rId179" xr:uid="{00000000-0004-0000-0800-0000B2000000}"/>
    <hyperlink ref="AX5" r:id="rId180" xr:uid="{00000000-0004-0000-0800-0000B3000000}"/>
    <hyperlink ref="BA5" r:id="rId181" xr:uid="{00000000-0004-0000-0800-0000B4000000}"/>
    <hyperlink ref="BD5" r:id="rId182" xr:uid="{00000000-0004-0000-0800-0000B5000000}"/>
    <hyperlink ref="BG5" r:id="rId183" xr:uid="{00000000-0004-0000-0800-0000B6000000}"/>
    <hyperlink ref="BJ5" r:id="rId184" xr:uid="{00000000-0004-0000-0800-0000B7000000}"/>
    <hyperlink ref="BM5" r:id="rId185" xr:uid="{00000000-0004-0000-0800-0000B8000000}"/>
    <hyperlink ref="BP5" r:id="rId186" xr:uid="{00000000-0004-0000-0800-0000B9000000}"/>
    <hyperlink ref="BS5" r:id="rId187" xr:uid="{00000000-0004-0000-0800-0000BA000000}"/>
    <hyperlink ref="BV5" r:id="rId188" xr:uid="{00000000-0004-0000-0800-0000BB000000}"/>
    <hyperlink ref="BY5" r:id="rId189" xr:uid="{00000000-0004-0000-0800-0000BC000000}"/>
    <hyperlink ref="CB5" r:id="rId190" xr:uid="{00000000-0004-0000-0800-0000BD000000}"/>
    <hyperlink ref="CE5" r:id="rId191" xr:uid="{00000000-0004-0000-0800-0000BE000000}"/>
    <hyperlink ref="CH5" r:id="rId192" xr:uid="{00000000-0004-0000-0800-0000BF000000}"/>
    <hyperlink ref="CK5" r:id="rId193" xr:uid="{00000000-0004-0000-0800-0000C0000000}"/>
    <hyperlink ref="CN5" r:id="rId194" xr:uid="{00000000-0004-0000-0800-0000C1000000}"/>
    <hyperlink ref="CQ5" r:id="rId195" xr:uid="{00000000-0004-0000-0800-0000C2000000}"/>
    <hyperlink ref="CT5" r:id="rId196" xr:uid="{00000000-0004-0000-0800-0000C3000000}"/>
    <hyperlink ref="CW5" r:id="rId197" xr:uid="{00000000-0004-0000-0800-0000C4000000}"/>
    <hyperlink ref="CZ5" r:id="rId198" xr:uid="{00000000-0004-0000-0800-0000C5000000}"/>
    <hyperlink ref="DC5" r:id="rId199" xr:uid="{00000000-0004-0000-0800-0000C6000000}"/>
    <hyperlink ref="DF5" r:id="rId200" xr:uid="{00000000-0004-0000-0800-0000C7000000}"/>
    <hyperlink ref="DI5" r:id="rId201" xr:uid="{00000000-0004-0000-0800-0000C8000000}"/>
    <hyperlink ref="DL5" r:id="rId202" xr:uid="{00000000-0004-0000-0800-0000C9000000}"/>
    <hyperlink ref="DO5" r:id="rId203" xr:uid="{00000000-0004-0000-0800-0000CA000000}"/>
    <hyperlink ref="DR5" r:id="rId204" xr:uid="{00000000-0004-0000-0800-0000CB000000}"/>
    <hyperlink ref="DU5" r:id="rId205" xr:uid="{00000000-0004-0000-0800-0000CC000000}"/>
    <hyperlink ref="DX5" r:id="rId206" xr:uid="{00000000-0004-0000-0800-0000CD000000}"/>
    <hyperlink ref="EA5" r:id="rId207" xr:uid="{00000000-0004-0000-0800-0000CE000000}"/>
    <hyperlink ref="ED5" r:id="rId208" xr:uid="{00000000-0004-0000-0800-0000CF000000}"/>
    <hyperlink ref="EG5" r:id="rId209" xr:uid="{00000000-0004-0000-0800-0000D0000000}"/>
    <hyperlink ref="EJ5" r:id="rId210" xr:uid="{00000000-0004-0000-0800-0000D1000000}"/>
    <hyperlink ref="EM5" r:id="rId211" xr:uid="{00000000-0004-0000-0800-0000D2000000}"/>
    <hyperlink ref="EP5" r:id="rId212" xr:uid="{00000000-0004-0000-0800-0000D3000000}"/>
    <hyperlink ref="ES5" r:id="rId213" xr:uid="{00000000-0004-0000-0800-0000D4000000}"/>
    <hyperlink ref="EV5" r:id="rId214" xr:uid="{00000000-0004-0000-0800-0000D5000000}"/>
    <hyperlink ref="EY5" r:id="rId215" xr:uid="{00000000-0004-0000-0800-0000D6000000}"/>
    <hyperlink ref="FB5" r:id="rId216" xr:uid="{00000000-0004-0000-0800-0000D7000000}"/>
    <hyperlink ref="FE5" r:id="rId217" xr:uid="{00000000-0004-0000-0800-0000D8000000}"/>
    <hyperlink ref="FH5" r:id="rId218" xr:uid="{00000000-0004-0000-0800-0000D9000000}"/>
    <hyperlink ref="FK5" r:id="rId219" xr:uid="{00000000-0004-0000-0800-0000DA000000}"/>
    <hyperlink ref="FN5" r:id="rId220" xr:uid="{00000000-0004-0000-0800-0000DB000000}"/>
    <hyperlink ref="H6" r:id="rId221" xr:uid="{00000000-0004-0000-0800-0000DC000000}"/>
    <hyperlink ref="K6" r:id="rId222" xr:uid="{00000000-0004-0000-0800-0000DD000000}"/>
    <hyperlink ref="N6" r:id="rId223" xr:uid="{00000000-0004-0000-0800-0000DE000000}"/>
    <hyperlink ref="Q6" r:id="rId224" xr:uid="{00000000-0004-0000-0800-0000DF000000}"/>
    <hyperlink ref="T6" r:id="rId225" xr:uid="{00000000-0004-0000-0800-0000E0000000}"/>
    <hyperlink ref="W6" r:id="rId226" xr:uid="{00000000-0004-0000-0800-0000E1000000}"/>
    <hyperlink ref="Z6" r:id="rId227" xr:uid="{00000000-0004-0000-0800-0000E2000000}"/>
    <hyperlink ref="AC6" r:id="rId228" xr:uid="{00000000-0004-0000-0800-0000E3000000}"/>
    <hyperlink ref="AF6" r:id="rId229" xr:uid="{00000000-0004-0000-0800-0000E4000000}"/>
    <hyperlink ref="AI6" r:id="rId230" xr:uid="{00000000-0004-0000-0800-0000E5000000}"/>
    <hyperlink ref="AL6" r:id="rId231" xr:uid="{00000000-0004-0000-0800-0000E6000000}"/>
    <hyperlink ref="AO6" r:id="rId232" xr:uid="{00000000-0004-0000-0800-0000E7000000}"/>
    <hyperlink ref="AR6" r:id="rId233" xr:uid="{00000000-0004-0000-0800-0000E8000000}"/>
    <hyperlink ref="AU6" r:id="rId234" xr:uid="{00000000-0004-0000-0800-0000E9000000}"/>
    <hyperlink ref="AX6" r:id="rId235" xr:uid="{00000000-0004-0000-0800-0000EA000000}"/>
    <hyperlink ref="BA6" r:id="rId236" xr:uid="{00000000-0004-0000-0800-0000EB000000}"/>
    <hyperlink ref="BD6" r:id="rId237" xr:uid="{00000000-0004-0000-0800-0000EC000000}"/>
    <hyperlink ref="BG6" r:id="rId238" xr:uid="{00000000-0004-0000-0800-0000ED000000}"/>
    <hyperlink ref="BJ6" r:id="rId239" xr:uid="{00000000-0004-0000-0800-0000EE000000}"/>
    <hyperlink ref="BM6" r:id="rId240" xr:uid="{00000000-0004-0000-0800-0000EF000000}"/>
    <hyperlink ref="BP6" r:id="rId241" xr:uid="{00000000-0004-0000-0800-0000F0000000}"/>
    <hyperlink ref="BS6" r:id="rId242" xr:uid="{00000000-0004-0000-0800-0000F1000000}"/>
    <hyperlink ref="BV6" r:id="rId243" xr:uid="{00000000-0004-0000-0800-0000F2000000}"/>
    <hyperlink ref="BY6" r:id="rId244" xr:uid="{00000000-0004-0000-0800-0000F3000000}"/>
    <hyperlink ref="CB6" r:id="rId245" xr:uid="{00000000-0004-0000-0800-0000F4000000}"/>
    <hyperlink ref="CE6" r:id="rId246" xr:uid="{00000000-0004-0000-0800-0000F5000000}"/>
    <hyperlink ref="CH6" r:id="rId247" xr:uid="{00000000-0004-0000-0800-0000F6000000}"/>
    <hyperlink ref="CK6" r:id="rId248" xr:uid="{00000000-0004-0000-0800-0000F7000000}"/>
    <hyperlink ref="CN6" r:id="rId249" xr:uid="{00000000-0004-0000-0800-0000F8000000}"/>
    <hyperlink ref="CQ6" r:id="rId250" xr:uid="{00000000-0004-0000-0800-0000F9000000}"/>
    <hyperlink ref="CT6" r:id="rId251" xr:uid="{00000000-0004-0000-0800-0000FA000000}"/>
    <hyperlink ref="CW6" r:id="rId252" xr:uid="{00000000-0004-0000-0800-0000FB000000}"/>
    <hyperlink ref="CZ6" r:id="rId253" xr:uid="{00000000-0004-0000-0800-0000FC000000}"/>
    <hyperlink ref="DC6" r:id="rId254" xr:uid="{00000000-0004-0000-0800-0000FD000000}"/>
    <hyperlink ref="DF6" r:id="rId255" xr:uid="{00000000-0004-0000-0800-0000FE000000}"/>
    <hyperlink ref="DI6" r:id="rId256" xr:uid="{00000000-0004-0000-0800-0000FF000000}"/>
    <hyperlink ref="DL6" r:id="rId257" xr:uid="{00000000-0004-0000-0800-000000010000}"/>
    <hyperlink ref="DO6" r:id="rId258" xr:uid="{00000000-0004-0000-0800-000001010000}"/>
    <hyperlink ref="DR6" r:id="rId259" xr:uid="{00000000-0004-0000-0800-000002010000}"/>
    <hyperlink ref="DU6" r:id="rId260" xr:uid="{00000000-0004-0000-0800-000003010000}"/>
    <hyperlink ref="DX6" r:id="rId261" xr:uid="{00000000-0004-0000-0800-000004010000}"/>
    <hyperlink ref="EA6" r:id="rId262" xr:uid="{00000000-0004-0000-0800-000005010000}"/>
    <hyperlink ref="ED6" r:id="rId263" xr:uid="{00000000-0004-0000-0800-000006010000}"/>
    <hyperlink ref="EG6" r:id="rId264" xr:uid="{00000000-0004-0000-0800-000007010000}"/>
    <hyperlink ref="EJ6" r:id="rId265" xr:uid="{00000000-0004-0000-0800-000008010000}"/>
    <hyperlink ref="EM6" r:id="rId266" xr:uid="{00000000-0004-0000-0800-000009010000}"/>
    <hyperlink ref="EP6" r:id="rId267" xr:uid="{00000000-0004-0000-0800-00000A010000}"/>
    <hyperlink ref="ES6" r:id="rId268" xr:uid="{00000000-0004-0000-0800-00000B010000}"/>
    <hyperlink ref="EV6" r:id="rId269" xr:uid="{00000000-0004-0000-0800-00000C010000}"/>
    <hyperlink ref="EY6" r:id="rId270" xr:uid="{00000000-0004-0000-0800-00000D010000}"/>
    <hyperlink ref="FB6" r:id="rId271" xr:uid="{00000000-0004-0000-0800-00000E010000}"/>
    <hyperlink ref="FE6" r:id="rId272" xr:uid="{00000000-0004-0000-0800-00000F010000}"/>
    <hyperlink ref="FH6" r:id="rId273" xr:uid="{00000000-0004-0000-0800-000010010000}"/>
    <hyperlink ref="FK6" r:id="rId274" xr:uid="{00000000-0004-0000-0800-000011010000}"/>
    <hyperlink ref="FN6" r:id="rId275" xr:uid="{00000000-0004-0000-0800-000012010000}"/>
    <hyperlink ref="H7" r:id="rId276" xr:uid="{00000000-0004-0000-0800-000013010000}"/>
    <hyperlink ref="K7" r:id="rId277" xr:uid="{00000000-0004-0000-0800-000014010000}"/>
    <hyperlink ref="N7" r:id="rId278" xr:uid="{00000000-0004-0000-0800-000015010000}"/>
    <hyperlink ref="Q7" r:id="rId279" xr:uid="{00000000-0004-0000-0800-000016010000}"/>
    <hyperlink ref="T7" r:id="rId280" xr:uid="{00000000-0004-0000-0800-000017010000}"/>
    <hyperlink ref="W7" r:id="rId281" xr:uid="{00000000-0004-0000-0800-000018010000}"/>
    <hyperlink ref="Z7" r:id="rId282" xr:uid="{00000000-0004-0000-0800-000019010000}"/>
    <hyperlink ref="AC7" r:id="rId283" xr:uid="{00000000-0004-0000-0800-00001A010000}"/>
    <hyperlink ref="AF7" r:id="rId284" xr:uid="{00000000-0004-0000-0800-00001B010000}"/>
    <hyperlink ref="AI7" r:id="rId285" xr:uid="{00000000-0004-0000-0800-00001C010000}"/>
    <hyperlink ref="AL7" r:id="rId286" xr:uid="{00000000-0004-0000-0800-00001D010000}"/>
    <hyperlink ref="AO7" r:id="rId287" xr:uid="{00000000-0004-0000-0800-00001E010000}"/>
    <hyperlink ref="AR7" r:id="rId288" xr:uid="{00000000-0004-0000-0800-00001F010000}"/>
    <hyperlink ref="AU7" r:id="rId289" xr:uid="{00000000-0004-0000-0800-000020010000}"/>
    <hyperlink ref="AX7" r:id="rId290" xr:uid="{00000000-0004-0000-0800-000021010000}"/>
    <hyperlink ref="BA7" r:id="rId291" xr:uid="{00000000-0004-0000-0800-000022010000}"/>
    <hyperlink ref="BD7" r:id="rId292" xr:uid="{00000000-0004-0000-0800-000023010000}"/>
    <hyperlink ref="BG7" r:id="rId293" xr:uid="{00000000-0004-0000-0800-000024010000}"/>
    <hyperlink ref="BJ7" r:id="rId294" xr:uid="{00000000-0004-0000-0800-000025010000}"/>
    <hyperlink ref="BM7" r:id="rId295" xr:uid="{00000000-0004-0000-0800-000026010000}"/>
    <hyperlink ref="BP7" r:id="rId296" xr:uid="{00000000-0004-0000-0800-000027010000}"/>
    <hyperlink ref="BS7" r:id="rId297" xr:uid="{00000000-0004-0000-0800-000028010000}"/>
    <hyperlink ref="BV7" r:id="rId298" xr:uid="{00000000-0004-0000-0800-000029010000}"/>
    <hyperlink ref="BY7" r:id="rId299" xr:uid="{00000000-0004-0000-0800-00002A010000}"/>
    <hyperlink ref="CB7" r:id="rId300" xr:uid="{00000000-0004-0000-0800-00002B010000}"/>
    <hyperlink ref="CE7" r:id="rId301" xr:uid="{00000000-0004-0000-0800-00002C010000}"/>
    <hyperlink ref="CH7" r:id="rId302" xr:uid="{00000000-0004-0000-0800-00002D010000}"/>
    <hyperlink ref="CK7" r:id="rId303" xr:uid="{00000000-0004-0000-0800-00002E010000}"/>
    <hyperlink ref="CN7" r:id="rId304" xr:uid="{00000000-0004-0000-0800-00002F010000}"/>
    <hyperlink ref="CQ7" r:id="rId305" xr:uid="{00000000-0004-0000-0800-000030010000}"/>
    <hyperlink ref="CT7" r:id="rId306" xr:uid="{00000000-0004-0000-0800-000031010000}"/>
    <hyperlink ref="CW7" r:id="rId307" xr:uid="{00000000-0004-0000-0800-000032010000}"/>
    <hyperlink ref="CZ7" r:id="rId308" xr:uid="{00000000-0004-0000-0800-000033010000}"/>
    <hyperlink ref="DC7" r:id="rId309" xr:uid="{00000000-0004-0000-0800-000034010000}"/>
    <hyperlink ref="DF7" r:id="rId310" xr:uid="{00000000-0004-0000-0800-000035010000}"/>
    <hyperlink ref="DI7" r:id="rId311" xr:uid="{00000000-0004-0000-0800-000036010000}"/>
    <hyperlink ref="DL7" r:id="rId312" xr:uid="{00000000-0004-0000-0800-000037010000}"/>
    <hyperlink ref="DO7" r:id="rId313" xr:uid="{00000000-0004-0000-0800-000038010000}"/>
    <hyperlink ref="DR7" r:id="rId314" xr:uid="{00000000-0004-0000-0800-000039010000}"/>
    <hyperlink ref="DU7" r:id="rId315" xr:uid="{00000000-0004-0000-0800-00003A010000}"/>
    <hyperlink ref="DX7" r:id="rId316" xr:uid="{00000000-0004-0000-0800-00003B010000}"/>
    <hyperlink ref="EA7" r:id="rId317" xr:uid="{00000000-0004-0000-0800-00003C010000}"/>
    <hyperlink ref="ED7" r:id="rId318" xr:uid="{00000000-0004-0000-0800-00003D010000}"/>
    <hyperlink ref="EG7" r:id="rId319" xr:uid="{00000000-0004-0000-0800-00003E010000}"/>
    <hyperlink ref="EJ7" r:id="rId320" xr:uid="{00000000-0004-0000-0800-00003F010000}"/>
    <hyperlink ref="EM7" r:id="rId321" xr:uid="{00000000-0004-0000-0800-000040010000}"/>
    <hyperlink ref="EP7" r:id="rId322" xr:uid="{00000000-0004-0000-0800-000041010000}"/>
    <hyperlink ref="ES7" r:id="rId323" xr:uid="{00000000-0004-0000-0800-000042010000}"/>
    <hyperlink ref="EV7" r:id="rId324" xr:uid="{00000000-0004-0000-0800-000043010000}"/>
    <hyperlink ref="EY7" r:id="rId325" xr:uid="{00000000-0004-0000-0800-000044010000}"/>
    <hyperlink ref="FB7" r:id="rId326" xr:uid="{00000000-0004-0000-0800-000045010000}"/>
    <hyperlink ref="FE7" r:id="rId327" xr:uid="{00000000-0004-0000-0800-000046010000}"/>
    <hyperlink ref="FH7" r:id="rId328" xr:uid="{00000000-0004-0000-0800-000047010000}"/>
    <hyperlink ref="FN7" r:id="rId329" xr:uid="{00000000-0004-0000-0800-000048010000}"/>
    <hyperlink ref="H8" r:id="rId330" xr:uid="{00000000-0004-0000-0800-000049010000}"/>
    <hyperlink ref="K8" r:id="rId331" xr:uid="{00000000-0004-0000-0800-00004A010000}"/>
    <hyperlink ref="N8" r:id="rId332" xr:uid="{00000000-0004-0000-0800-00004B010000}"/>
    <hyperlink ref="Q8" r:id="rId333" xr:uid="{00000000-0004-0000-0800-00004C010000}"/>
    <hyperlink ref="T8" r:id="rId334" xr:uid="{00000000-0004-0000-0800-00004D010000}"/>
    <hyperlink ref="W8" r:id="rId335" xr:uid="{00000000-0004-0000-0800-00004E010000}"/>
    <hyperlink ref="Z8" r:id="rId336" xr:uid="{00000000-0004-0000-0800-00004F010000}"/>
    <hyperlink ref="AC8" r:id="rId337" xr:uid="{00000000-0004-0000-0800-000050010000}"/>
    <hyperlink ref="AF8" r:id="rId338" xr:uid="{00000000-0004-0000-0800-000051010000}"/>
    <hyperlink ref="AI8" r:id="rId339" xr:uid="{00000000-0004-0000-0800-000052010000}"/>
    <hyperlink ref="AL8" r:id="rId340" xr:uid="{00000000-0004-0000-0800-000053010000}"/>
    <hyperlink ref="AO8" r:id="rId341" xr:uid="{00000000-0004-0000-0800-000054010000}"/>
    <hyperlink ref="AR8" r:id="rId342" xr:uid="{00000000-0004-0000-0800-000055010000}"/>
    <hyperlink ref="AU8" r:id="rId343" xr:uid="{00000000-0004-0000-0800-000056010000}"/>
    <hyperlink ref="BD8" r:id="rId344" xr:uid="{00000000-0004-0000-0800-000057010000}"/>
    <hyperlink ref="BG8" r:id="rId345" xr:uid="{00000000-0004-0000-0800-000058010000}"/>
    <hyperlink ref="BJ8" r:id="rId346" xr:uid="{00000000-0004-0000-0800-000059010000}"/>
    <hyperlink ref="BM8" r:id="rId347" xr:uid="{00000000-0004-0000-0800-00005A010000}"/>
    <hyperlink ref="BP8" r:id="rId348" xr:uid="{00000000-0004-0000-0800-00005B010000}"/>
    <hyperlink ref="BS8" r:id="rId349" xr:uid="{00000000-0004-0000-0800-00005C010000}"/>
    <hyperlink ref="BV8" r:id="rId350" xr:uid="{00000000-0004-0000-0800-00005D010000}"/>
    <hyperlink ref="BY8" r:id="rId351" xr:uid="{00000000-0004-0000-0800-00005E010000}"/>
    <hyperlink ref="CB8" r:id="rId352" xr:uid="{00000000-0004-0000-0800-00005F010000}"/>
    <hyperlink ref="CE8" r:id="rId353" xr:uid="{00000000-0004-0000-0800-000060010000}"/>
    <hyperlink ref="CH8" r:id="rId354" xr:uid="{00000000-0004-0000-0800-000061010000}"/>
    <hyperlink ref="CK8" r:id="rId355" xr:uid="{00000000-0004-0000-0800-000062010000}"/>
    <hyperlink ref="CN8" r:id="rId356" xr:uid="{00000000-0004-0000-0800-000063010000}"/>
    <hyperlink ref="CQ8" r:id="rId357" xr:uid="{00000000-0004-0000-0800-000064010000}"/>
    <hyperlink ref="CT8" r:id="rId358" xr:uid="{00000000-0004-0000-0800-000065010000}"/>
    <hyperlink ref="CW8" r:id="rId359" xr:uid="{00000000-0004-0000-0800-000066010000}"/>
    <hyperlink ref="CZ8" r:id="rId360" xr:uid="{00000000-0004-0000-0800-000067010000}"/>
    <hyperlink ref="DC8" r:id="rId361" xr:uid="{00000000-0004-0000-0800-000068010000}"/>
    <hyperlink ref="DF8" r:id="rId362" xr:uid="{00000000-0004-0000-0800-000069010000}"/>
    <hyperlink ref="DI8" r:id="rId363" xr:uid="{00000000-0004-0000-0800-00006A010000}"/>
    <hyperlink ref="DL8" r:id="rId364" xr:uid="{00000000-0004-0000-0800-00006B010000}"/>
    <hyperlink ref="DO8" r:id="rId365" xr:uid="{00000000-0004-0000-0800-00006C010000}"/>
    <hyperlink ref="DR8" r:id="rId366" xr:uid="{00000000-0004-0000-0800-00006D010000}"/>
    <hyperlink ref="DU8" r:id="rId367" xr:uid="{00000000-0004-0000-0800-00006E010000}"/>
    <hyperlink ref="DX8" r:id="rId368" xr:uid="{00000000-0004-0000-0800-00006F010000}"/>
    <hyperlink ref="EA8" r:id="rId369" xr:uid="{00000000-0004-0000-0800-000070010000}"/>
    <hyperlink ref="ED8" r:id="rId370" xr:uid="{00000000-0004-0000-0800-000071010000}"/>
    <hyperlink ref="EG8" r:id="rId371" xr:uid="{00000000-0004-0000-0800-000072010000}"/>
    <hyperlink ref="EJ8" r:id="rId372" xr:uid="{00000000-0004-0000-0800-000073010000}"/>
    <hyperlink ref="EM8" r:id="rId373" xr:uid="{00000000-0004-0000-0800-000074010000}"/>
    <hyperlink ref="EP8" r:id="rId374" xr:uid="{00000000-0004-0000-0800-000075010000}"/>
    <hyperlink ref="ES8" r:id="rId375" xr:uid="{00000000-0004-0000-0800-000076010000}"/>
    <hyperlink ref="EV8" r:id="rId376" xr:uid="{00000000-0004-0000-0800-000077010000}"/>
    <hyperlink ref="EY8" r:id="rId377" xr:uid="{00000000-0004-0000-0800-000078010000}"/>
    <hyperlink ref="FB8" r:id="rId378" xr:uid="{00000000-0004-0000-0800-000079010000}"/>
    <hyperlink ref="FE8" r:id="rId379" xr:uid="{00000000-0004-0000-0800-00007A010000}"/>
    <hyperlink ref="FH8" r:id="rId380" xr:uid="{00000000-0004-0000-0800-00007B010000}"/>
    <hyperlink ref="FN8" r:id="rId381" xr:uid="{00000000-0004-0000-0800-00007C010000}"/>
    <hyperlink ref="H9" r:id="rId382" xr:uid="{00000000-0004-0000-0800-00007D010000}"/>
    <hyperlink ref="K9" r:id="rId383" xr:uid="{00000000-0004-0000-0800-00007E010000}"/>
    <hyperlink ref="N9" r:id="rId384" xr:uid="{00000000-0004-0000-0800-00007F010000}"/>
    <hyperlink ref="Q9" r:id="rId385" xr:uid="{00000000-0004-0000-0800-000080010000}"/>
    <hyperlink ref="T9" r:id="rId386" xr:uid="{00000000-0004-0000-0800-000081010000}"/>
    <hyperlink ref="W9" r:id="rId387" xr:uid="{00000000-0004-0000-0800-000082010000}"/>
    <hyperlink ref="Z9" r:id="rId388" xr:uid="{00000000-0004-0000-0800-000083010000}"/>
    <hyperlink ref="AC9" r:id="rId389" xr:uid="{00000000-0004-0000-0800-000084010000}"/>
    <hyperlink ref="AF9" r:id="rId390" xr:uid="{00000000-0004-0000-0800-000085010000}"/>
    <hyperlink ref="AI9" r:id="rId391" xr:uid="{00000000-0004-0000-0800-000086010000}"/>
    <hyperlink ref="AL9" r:id="rId392" xr:uid="{00000000-0004-0000-0800-000087010000}"/>
    <hyperlink ref="AO9" r:id="rId393" xr:uid="{00000000-0004-0000-0800-000088010000}"/>
    <hyperlink ref="AR9" r:id="rId394" xr:uid="{00000000-0004-0000-0800-000089010000}"/>
    <hyperlink ref="AU9" r:id="rId395" xr:uid="{00000000-0004-0000-0800-00008A010000}"/>
    <hyperlink ref="BD9" r:id="rId396" xr:uid="{00000000-0004-0000-0800-00008B010000}"/>
    <hyperlink ref="BG9" r:id="rId397" xr:uid="{00000000-0004-0000-0800-00008C010000}"/>
    <hyperlink ref="BJ9" r:id="rId398" xr:uid="{00000000-0004-0000-0800-00008D010000}"/>
    <hyperlink ref="BM9" r:id="rId399" xr:uid="{00000000-0004-0000-0800-00008E010000}"/>
    <hyperlink ref="BP9" r:id="rId400" xr:uid="{00000000-0004-0000-0800-00008F010000}"/>
    <hyperlink ref="BS9" r:id="rId401" xr:uid="{00000000-0004-0000-0800-000090010000}"/>
    <hyperlink ref="BV9" r:id="rId402" xr:uid="{00000000-0004-0000-0800-000091010000}"/>
    <hyperlink ref="BY9" r:id="rId403" xr:uid="{00000000-0004-0000-0800-000092010000}"/>
    <hyperlink ref="CB9" r:id="rId404" xr:uid="{00000000-0004-0000-0800-000093010000}"/>
    <hyperlink ref="CE9" r:id="rId405" xr:uid="{00000000-0004-0000-0800-000094010000}"/>
    <hyperlink ref="CH9" r:id="rId406" xr:uid="{00000000-0004-0000-0800-000095010000}"/>
    <hyperlink ref="CK9" r:id="rId407" xr:uid="{00000000-0004-0000-0800-000096010000}"/>
    <hyperlink ref="CN9" r:id="rId408" xr:uid="{00000000-0004-0000-0800-000097010000}"/>
    <hyperlink ref="CQ9" r:id="rId409" xr:uid="{00000000-0004-0000-0800-000098010000}"/>
    <hyperlink ref="CT9" r:id="rId410" xr:uid="{00000000-0004-0000-0800-000099010000}"/>
    <hyperlink ref="CW9" r:id="rId411" xr:uid="{00000000-0004-0000-0800-00009A010000}"/>
    <hyperlink ref="CZ9" r:id="rId412" xr:uid="{00000000-0004-0000-0800-00009B010000}"/>
    <hyperlink ref="DC9" r:id="rId413" xr:uid="{00000000-0004-0000-0800-00009C010000}"/>
    <hyperlink ref="DF9" r:id="rId414" xr:uid="{00000000-0004-0000-0800-00009D010000}"/>
    <hyperlink ref="DI9" r:id="rId415" xr:uid="{00000000-0004-0000-0800-00009E010000}"/>
    <hyperlink ref="DL9" r:id="rId416" xr:uid="{00000000-0004-0000-0800-00009F010000}"/>
    <hyperlink ref="DO9" r:id="rId417" xr:uid="{00000000-0004-0000-0800-0000A0010000}"/>
    <hyperlink ref="DR9" r:id="rId418" xr:uid="{00000000-0004-0000-0800-0000A1010000}"/>
    <hyperlink ref="DU9" r:id="rId419" xr:uid="{00000000-0004-0000-0800-0000A2010000}"/>
    <hyperlink ref="DX9" r:id="rId420" xr:uid="{00000000-0004-0000-0800-0000A3010000}"/>
    <hyperlink ref="EA9" r:id="rId421" xr:uid="{00000000-0004-0000-0800-0000A4010000}"/>
    <hyperlink ref="ED9" r:id="rId422" xr:uid="{00000000-0004-0000-0800-0000A5010000}"/>
    <hyperlink ref="EG9" r:id="rId423" xr:uid="{00000000-0004-0000-0800-0000A6010000}"/>
    <hyperlink ref="EJ9" r:id="rId424" xr:uid="{00000000-0004-0000-0800-0000A7010000}"/>
    <hyperlink ref="EM9" r:id="rId425" xr:uid="{00000000-0004-0000-0800-0000A8010000}"/>
    <hyperlink ref="EP9" r:id="rId426" xr:uid="{00000000-0004-0000-0800-0000A9010000}"/>
    <hyperlink ref="ES9" r:id="rId427" xr:uid="{00000000-0004-0000-0800-0000AA010000}"/>
    <hyperlink ref="EV9" r:id="rId428" xr:uid="{00000000-0004-0000-0800-0000AB010000}"/>
    <hyperlink ref="EY9" r:id="rId429" xr:uid="{00000000-0004-0000-0800-0000AC010000}"/>
    <hyperlink ref="FB9" r:id="rId430" xr:uid="{00000000-0004-0000-0800-0000AD010000}"/>
    <hyperlink ref="FE9" r:id="rId431" xr:uid="{00000000-0004-0000-0800-0000AE010000}"/>
    <hyperlink ref="FH9" r:id="rId432" xr:uid="{00000000-0004-0000-0800-0000AF010000}"/>
    <hyperlink ref="FN9" r:id="rId433" xr:uid="{00000000-0004-0000-0800-0000B0010000}"/>
    <hyperlink ref="H10" r:id="rId434" xr:uid="{00000000-0004-0000-0800-0000B1010000}"/>
    <hyperlink ref="K10" r:id="rId435" xr:uid="{00000000-0004-0000-0800-0000B2010000}"/>
    <hyperlink ref="N10" r:id="rId436" xr:uid="{00000000-0004-0000-0800-0000B3010000}"/>
    <hyperlink ref="Q10" r:id="rId437" xr:uid="{00000000-0004-0000-0800-0000B4010000}"/>
    <hyperlink ref="T10" r:id="rId438" xr:uid="{00000000-0004-0000-0800-0000B5010000}"/>
    <hyperlink ref="W10" r:id="rId439" xr:uid="{00000000-0004-0000-0800-0000B6010000}"/>
    <hyperlink ref="Z10" r:id="rId440" xr:uid="{00000000-0004-0000-0800-0000B7010000}"/>
    <hyperlink ref="AC10" r:id="rId441" xr:uid="{00000000-0004-0000-0800-0000B8010000}"/>
    <hyperlink ref="AF10" r:id="rId442" xr:uid="{00000000-0004-0000-0800-0000B9010000}"/>
    <hyperlink ref="AI10" r:id="rId443" xr:uid="{00000000-0004-0000-0800-0000BA010000}"/>
    <hyperlink ref="AL10" r:id="rId444" xr:uid="{00000000-0004-0000-0800-0000BB010000}"/>
    <hyperlink ref="AO10" r:id="rId445" xr:uid="{00000000-0004-0000-0800-0000BC010000}"/>
    <hyperlink ref="AR10" r:id="rId446" xr:uid="{00000000-0004-0000-0800-0000BD010000}"/>
    <hyperlink ref="AU10" r:id="rId447" xr:uid="{00000000-0004-0000-0800-0000BE010000}"/>
    <hyperlink ref="BA10" r:id="rId448" xr:uid="{00000000-0004-0000-0800-0000BF010000}"/>
    <hyperlink ref="BD10" r:id="rId449" xr:uid="{00000000-0004-0000-0800-0000C0010000}"/>
    <hyperlink ref="BG10" r:id="rId450" xr:uid="{00000000-0004-0000-0800-0000C1010000}"/>
    <hyperlink ref="BJ10" r:id="rId451" xr:uid="{00000000-0004-0000-0800-0000C2010000}"/>
    <hyperlink ref="BM10" r:id="rId452" xr:uid="{00000000-0004-0000-0800-0000C3010000}"/>
    <hyperlink ref="BP10" r:id="rId453" xr:uid="{00000000-0004-0000-0800-0000C4010000}"/>
    <hyperlink ref="BS10" r:id="rId454" xr:uid="{00000000-0004-0000-0800-0000C5010000}"/>
    <hyperlink ref="BV10" r:id="rId455" xr:uid="{00000000-0004-0000-0800-0000C6010000}"/>
    <hyperlink ref="BY10" r:id="rId456" xr:uid="{00000000-0004-0000-0800-0000C7010000}"/>
    <hyperlink ref="CB10" r:id="rId457" xr:uid="{00000000-0004-0000-0800-0000C8010000}"/>
    <hyperlink ref="CE10" r:id="rId458" xr:uid="{00000000-0004-0000-0800-0000C9010000}"/>
    <hyperlink ref="CH10" r:id="rId459" xr:uid="{00000000-0004-0000-0800-0000CA010000}"/>
    <hyperlink ref="CK10" r:id="rId460" xr:uid="{00000000-0004-0000-0800-0000CB010000}"/>
    <hyperlink ref="CN10" r:id="rId461" xr:uid="{00000000-0004-0000-0800-0000CC010000}"/>
    <hyperlink ref="CQ10" r:id="rId462" xr:uid="{00000000-0004-0000-0800-0000CD010000}"/>
    <hyperlink ref="CT10" r:id="rId463" xr:uid="{00000000-0004-0000-0800-0000CE010000}"/>
    <hyperlink ref="CW10" r:id="rId464" xr:uid="{00000000-0004-0000-0800-0000CF010000}"/>
    <hyperlink ref="CZ10" r:id="rId465" xr:uid="{00000000-0004-0000-0800-0000D0010000}"/>
    <hyperlink ref="DC10" r:id="rId466" xr:uid="{00000000-0004-0000-0800-0000D1010000}"/>
    <hyperlink ref="DF10" r:id="rId467" xr:uid="{00000000-0004-0000-0800-0000D2010000}"/>
    <hyperlink ref="DI10" r:id="rId468" xr:uid="{00000000-0004-0000-0800-0000D3010000}"/>
    <hyperlink ref="DL10" r:id="rId469" xr:uid="{00000000-0004-0000-0800-0000D4010000}"/>
    <hyperlink ref="DO10" r:id="rId470" xr:uid="{00000000-0004-0000-0800-0000D5010000}"/>
    <hyperlink ref="DR10" r:id="rId471" xr:uid="{00000000-0004-0000-0800-0000D6010000}"/>
    <hyperlink ref="DU10" r:id="rId472" xr:uid="{00000000-0004-0000-0800-0000D7010000}"/>
    <hyperlink ref="DX10" r:id="rId473" xr:uid="{00000000-0004-0000-0800-0000D8010000}"/>
    <hyperlink ref="EA10" r:id="rId474" xr:uid="{00000000-0004-0000-0800-0000D9010000}"/>
    <hyperlink ref="ED10" r:id="rId475" xr:uid="{00000000-0004-0000-0800-0000DA010000}"/>
    <hyperlink ref="EG10" r:id="rId476" xr:uid="{00000000-0004-0000-0800-0000DB010000}"/>
    <hyperlink ref="EJ10" r:id="rId477" xr:uid="{00000000-0004-0000-0800-0000DC010000}"/>
    <hyperlink ref="EM10" r:id="rId478" xr:uid="{00000000-0004-0000-0800-0000DD010000}"/>
    <hyperlink ref="EP10" r:id="rId479" xr:uid="{00000000-0004-0000-0800-0000DE010000}"/>
    <hyperlink ref="ES10" r:id="rId480" xr:uid="{00000000-0004-0000-0800-0000DF010000}"/>
    <hyperlink ref="EV10" r:id="rId481" xr:uid="{00000000-0004-0000-0800-0000E0010000}"/>
    <hyperlink ref="EY10" r:id="rId482" xr:uid="{00000000-0004-0000-0800-0000E1010000}"/>
    <hyperlink ref="FB10" r:id="rId483" xr:uid="{00000000-0004-0000-0800-0000E2010000}"/>
    <hyperlink ref="FE10" r:id="rId484" xr:uid="{00000000-0004-0000-0800-0000E3010000}"/>
    <hyperlink ref="FH10" r:id="rId485" xr:uid="{00000000-0004-0000-0800-0000E4010000}"/>
    <hyperlink ref="FN10" r:id="rId486" xr:uid="{00000000-0004-0000-0800-0000E5010000}"/>
    <hyperlink ref="H11" r:id="rId487" xr:uid="{00000000-0004-0000-0800-0000E6010000}"/>
    <hyperlink ref="K11" r:id="rId488" xr:uid="{00000000-0004-0000-0800-0000E7010000}"/>
    <hyperlink ref="N11" r:id="rId489" xr:uid="{00000000-0004-0000-0800-0000E8010000}"/>
    <hyperlink ref="Q11" r:id="rId490" xr:uid="{00000000-0004-0000-0800-0000E9010000}"/>
    <hyperlink ref="T11" r:id="rId491" xr:uid="{00000000-0004-0000-0800-0000EA010000}"/>
    <hyperlink ref="W11" r:id="rId492" xr:uid="{00000000-0004-0000-0800-0000EB010000}"/>
    <hyperlink ref="Z11" r:id="rId493" xr:uid="{00000000-0004-0000-0800-0000EC010000}"/>
    <hyperlink ref="AC11" r:id="rId494" xr:uid="{00000000-0004-0000-0800-0000ED010000}"/>
    <hyperlink ref="AF11" r:id="rId495" xr:uid="{00000000-0004-0000-0800-0000EE010000}"/>
    <hyperlink ref="AI11" r:id="rId496" xr:uid="{00000000-0004-0000-0800-0000EF010000}"/>
    <hyperlink ref="AL11" r:id="rId497" xr:uid="{00000000-0004-0000-0800-0000F0010000}"/>
    <hyperlink ref="AO11" r:id="rId498" xr:uid="{00000000-0004-0000-0800-0000F1010000}"/>
    <hyperlink ref="AR11" r:id="rId499" xr:uid="{00000000-0004-0000-0800-0000F2010000}"/>
    <hyperlink ref="AU11" r:id="rId500" xr:uid="{00000000-0004-0000-0800-0000F3010000}"/>
    <hyperlink ref="BA11" r:id="rId501" xr:uid="{00000000-0004-0000-0800-0000F4010000}"/>
    <hyperlink ref="BG11" r:id="rId502" xr:uid="{00000000-0004-0000-0800-0000F5010000}"/>
    <hyperlink ref="BJ11" r:id="rId503" xr:uid="{00000000-0004-0000-0800-0000F6010000}"/>
    <hyperlink ref="BM11" r:id="rId504" xr:uid="{00000000-0004-0000-0800-0000F7010000}"/>
    <hyperlink ref="BP11" r:id="rId505" xr:uid="{00000000-0004-0000-0800-0000F8010000}"/>
    <hyperlink ref="BS11" r:id="rId506" xr:uid="{00000000-0004-0000-0800-0000F9010000}"/>
    <hyperlink ref="BV11" r:id="rId507" xr:uid="{00000000-0004-0000-0800-0000FA010000}"/>
    <hyperlink ref="BY11" r:id="rId508" xr:uid="{00000000-0004-0000-0800-0000FB010000}"/>
    <hyperlink ref="CB11" r:id="rId509" xr:uid="{00000000-0004-0000-0800-0000FC010000}"/>
    <hyperlink ref="CE11" r:id="rId510" xr:uid="{00000000-0004-0000-0800-0000FD010000}"/>
    <hyperlink ref="CH11" r:id="rId511" xr:uid="{00000000-0004-0000-0800-0000FE010000}"/>
    <hyperlink ref="CK11" r:id="rId512" xr:uid="{00000000-0004-0000-0800-0000FF010000}"/>
    <hyperlink ref="CN11" r:id="rId513" xr:uid="{00000000-0004-0000-0800-000000020000}"/>
    <hyperlink ref="CQ11" r:id="rId514" xr:uid="{00000000-0004-0000-0800-000001020000}"/>
    <hyperlink ref="CT11" r:id="rId515" xr:uid="{00000000-0004-0000-0800-000002020000}"/>
    <hyperlink ref="CW11" r:id="rId516" xr:uid="{00000000-0004-0000-0800-000003020000}"/>
    <hyperlink ref="CZ11" r:id="rId517" xr:uid="{00000000-0004-0000-0800-000004020000}"/>
    <hyperlink ref="DC11" r:id="rId518" xr:uid="{00000000-0004-0000-0800-000005020000}"/>
    <hyperlink ref="DF11" r:id="rId519" xr:uid="{00000000-0004-0000-0800-000006020000}"/>
    <hyperlink ref="DI11" r:id="rId520" xr:uid="{00000000-0004-0000-0800-000007020000}"/>
    <hyperlink ref="DL11" r:id="rId521" xr:uid="{00000000-0004-0000-0800-000008020000}"/>
    <hyperlink ref="DO11" r:id="rId522" xr:uid="{00000000-0004-0000-0800-000009020000}"/>
    <hyperlink ref="DR11" r:id="rId523" xr:uid="{00000000-0004-0000-0800-00000A020000}"/>
    <hyperlink ref="DU11" r:id="rId524" xr:uid="{00000000-0004-0000-0800-00000B020000}"/>
    <hyperlink ref="DX11" r:id="rId525" xr:uid="{00000000-0004-0000-0800-00000C020000}"/>
    <hyperlink ref="EA11" r:id="rId526" xr:uid="{00000000-0004-0000-0800-00000D020000}"/>
    <hyperlink ref="ED11" r:id="rId527" xr:uid="{00000000-0004-0000-0800-00000E020000}"/>
    <hyperlink ref="EG11" r:id="rId528" xr:uid="{00000000-0004-0000-0800-00000F020000}"/>
    <hyperlink ref="EJ11" r:id="rId529" xr:uid="{00000000-0004-0000-0800-000010020000}"/>
    <hyperlink ref="EM11" r:id="rId530" xr:uid="{00000000-0004-0000-0800-000011020000}"/>
    <hyperlink ref="EP11" r:id="rId531" xr:uid="{00000000-0004-0000-0800-000012020000}"/>
    <hyperlink ref="ES11" r:id="rId532" xr:uid="{00000000-0004-0000-0800-000013020000}"/>
    <hyperlink ref="EV11" r:id="rId533" xr:uid="{00000000-0004-0000-0800-000014020000}"/>
    <hyperlink ref="EY11" r:id="rId534" xr:uid="{00000000-0004-0000-0800-000015020000}"/>
    <hyperlink ref="FB11" r:id="rId535" xr:uid="{00000000-0004-0000-0800-000016020000}"/>
    <hyperlink ref="FE11" r:id="rId536" xr:uid="{00000000-0004-0000-0800-000017020000}"/>
    <hyperlink ref="FH11" r:id="rId537" xr:uid="{00000000-0004-0000-0800-000018020000}"/>
    <hyperlink ref="FN11" r:id="rId538" xr:uid="{00000000-0004-0000-0800-000019020000}"/>
    <hyperlink ref="H12" r:id="rId539" xr:uid="{00000000-0004-0000-0800-00001A020000}"/>
    <hyperlink ref="K12" r:id="rId540" xr:uid="{00000000-0004-0000-0800-00001B020000}"/>
    <hyperlink ref="N12" r:id="rId541" xr:uid="{00000000-0004-0000-0800-00001C020000}"/>
    <hyperlink ref="Q12" r:id="rId542" xr:uid="{00000000-0004-0000-0800-00001D020000}"/>
    <hyperlink ref="T12" r:id="rId543" xr:uid="{00000000-0004-0000-0800-00001E020000}"/>
    <hyperlink ref="W12" r:id="rId544" xr:uid="{00000000-0004-0000-0800-00001F020000}"/>
    <hyperlink ref="Z12" r:id="rId545" xr:uid="{00000000-0004-0000-0800-000020020000}"/>
    <hyperlink ref="AC12" r:id="rId546" xr:uid="{00000000-0004-0000-0800-000021020000}"/>
    <hyperlink ref="AF12" r:id="rId547" xr:uid="{00000000-0004-0000-0800-000022020000}"/>
    <hyperlink ref="AI12" r:id="rId548" xr:uid="{00000000-0004-0000-0800-000023020000}"/>
    <hyperlink ref="AL12" r:id="rId549" xr:uid="{00000000-0004-0000-0800-000024020000}"/>
    <hyperlink ref="AO12" r:id="rId550" xr:uid="{00000000-0004-0000-0800-000025020000}"/>
    <hyperlink ref="AR12" r:id="rId551" xr:uid="{00000000-0004-0000-0800-000026020000}"/>
    <hyperlink ref="BA12" r:id="rId552" xr:uid="{00000000-0004-0000-0800-000027020000}"/>
    <hyperlink ref="BD12" r:id="rId553" xr:uid="{00000000-0004-0000-0800-000028020000}"/>
    <hyperlink ref="BG12" r:id="rId554" xr:uid="{00000000-0004-0000-0800-000029020000}"/>
    <hyperlink ref="BJ12" r:id="rId555" xr:uid="{00000000-0004-0000-0800-00002A020000}"/>
    <hyperlink ref="BM12" r:id="rId556" xr:uid="{00000000-0004-0000-0800-00002B020000}"/>
    <hyperlink ref="BP12" r:id="rId557" xr:uid="{00000000-0004-0000-0800-00002C020000}"/>
    <hyperlink ref="BS12" r:id="rId558" xr:uid="{00000000-0004-0000-0800-00002D020000}"/>
    <hyperlink ref="BV12" r:id="rId559" xr:uid="{00000000-0004-0000-0800-00002E020000}"/>
    <hyperlink ref="BY12" r:id="rId560" xr:uid="{00000000-0004-0000-0800-00002F020000}"/>
    <hyperlink ref="CB12" r:id="rId561" xr:uid="{00000000-0004-0000-0800-000030020000}"/>
    <hyperlink ref="CE12" r:id="rId562" xr:uid="{00000000-0004-0000-0800-000031020000}"/>
    <hyperlink ref="CH12" r:id="rId563" xr:uid="{00000000-0004-0000-0800-000032020000}"/>
    <hyperlink ref="CK12" r:id="rId564" xr:uid="{00000000-0004-0000-0800-000033020000}"/>
    <hyperlink ref="CN12" r:id="rId565" xr:uid="{00000000-0004-0000-0800-000034020000}"/>
    <hyperlink ref="CQ12" r:id="rId566" xr:uid="{00000000-0004-0000-0800-000035020000}"/>
    <hyperlink ref="CT12" r:id="rId567" xr:uid="{00000000-0004-0000-0800-000036020000}"/>
    <hyperlink ref="CW12" r:id="rId568" xr:uid="{00000000-0004-0000-0800-000037020000}"/>
    <hyperlink ref="CZ12" r:id="rId569" xr:uid="{00000000-0004-0000-0800-000038020000}"/>
    <hyperlink ref="DC12" r:id="rId570" xr:uid="{00000000-0004-0000-0800-000039020000}"/>
    <hyperlink ref="DF12" r:id="rId571" xr:uid="{00000000-0004-0000-0800-00003A020000}"/>
    <hyperlink ref="DI12" r:id="rId572" xr:uid="{00000000-0004-0000-0800-00003B020000}"/>
    <hyperlink ref="DL12" r:id="rId573" xr:uid="{00000000-0004-0000-0800-00003C020000}"/>
    <hyperlink ref="DO12" r:id="rId574" xr:uid="{00000000-0004-0000-0800-00003D020000}"/>
    <hyperlink ref="DR12" r:id="rId575" xr:uid="{00000000-0004-0000-0800-00003E020000}"/>
    <hyperlink ref="DU12" r:id="rId576" xr:uid="{00000000-0004-0000-0800-00003F020000}"/>
    <hyperlink ref="DX12" r:id="rId577" xr:uid="{00000000-0004-0000-0800-000040020000}"/>
    <hyperlink ref="EA12" r:id="rId578" xr:uid="{00000000-0004-0000-0800-000041020000}"/>
    <hyperlink ref="EG12" r:id="rId579" xr:uid="{00000000-0004-0000-0800-000042020000}"/>
    <hyperlink ref="EJ12" r:id="rId580" xr:uid="{00000000-0004-0000-0800-000043020000}"/>
    <hyperlink ref="EM12" r:id="rId581" xr:uid="{00000000-0004-0000-0800-000044020000}"/>
    <hyperlink ref="EP12" r:id="rId582" xr:uid="{00000000-0004-0000-0800-000045020000}"/>
    <hyperlink ref="ES12" r:id="rId583" xr:uid="{00000000-0004-0000-0800-000046020000}"/>
    <hyperlink ref="EV12" r:id="rId584" xr:uid="{00000000-0004-0000-0800-000047020000}"/>
    <hyperlink ref="EY12" r:id="rId585" xr:uid="{00000000-0004-0000-0800-000048020000}"/>
    <hyperlink ref="FB12" r:id="rId586" xr:uid="{00000000-0004-0000-0800-000049020000}"/>
    <hyperlink ref="FE12" r:id="rId587" xr:uid="{00000000-0004-0000-0800-00004A020000}"/>
    <hyperlink ref="FH12" r:id="rId588" xr:uid="{00000000-0004-0000-0800-00004B020000}"/>
    <hyperlink ref="FN12" r:id="rId589" xr:uid="{00000000-0004-0000-0800-00004C020000}"/>
    <hyperlink ref="H13" r:id="rId590" xr:uid="{00000000-0004-0000-0800-00004D020000}"/>
    <hyperlink ref="K13" r:id="rId591" xr:uid="{00000000-0004-0000-0800-00004E020000}"/>
    <hyperlink ref="N13" r:id="rId592" xr:uid="{00000000-0004-0000-0800-00004F020000}"/>
    <hyperlink ref="Q13" r:id="rId593" xr:uid="{00000000-0004-0000-0800-000050020000}"/>
    <hyperlink ref="T13" r:id="rId594" xr:uid="{00000000-0004-0000-0800-000051020000}"/>
    <hyperlink ref="W13" r:id="rId595" xr:uid="{00000000-0004-0000-0800-000052020000}"/>
    <hyperlink ref="Z13" r:id="rId596" xr:uid="{00000000-0004-0000-0800-000053020000}"/>
    <hyperlink ref="AC13" r:id="rId597" xr:uid="{00000000-0004-0000-0800-000054020000}"/>
    <hyperlink ref="AF13" r:id="rId598" xr:uid="{00000000-0004-0000-0800-000055020000}"/>
    <hyperlink ref="AI13" r:id="rId599" xr:uid="{00000000-0004-0000-0800-000056020000}"/>
    <hyperlink ref="AL13" r:id="rId600" xr:uid="{00000000-0004-0000-0800-000057020000}"/>
    <hyperlink ref="AO13" r:id="rId601" xr:uid="{00000000-0004-0000-0800-000058020000}"/>
    <hyperlink ref="AR13" r:id="rId602" xr:uid="{00000000-0004-0000-0800-000059020000}"/>
    <hyperlink ref="BA13" r:id="rId603" xr:uid="{00000000-0004-0000-0800-00005A020000}"/>
    <hyperlink ref="BD13" r:id="rId604" xr:uid="{00000000-0004-0000-0800-00005B020000}"/>
    <hyperlink ref="BG13" r:id="rId605" xr:uid="{00000000-0004-0000-0800-00005C020000}"/>
    <hyperlink ref="BJ13" r:id="rId606" xr:uid="{00000000-0004-0000-0800-00005D020000}"/>
    <hyperlink ref="BM13" r:id="rId607" xr:uid="{00000000-0004-0000-0800-00005E020000}"/>
    <hyperlink ref="BS13" r:id="rId608" xr:uid="{00000000-0004-0000-0800-00005F020000}"/>
    <hyperlink ref="BV13" r:id="rId609" xr:uid="{00000000-0004-0000-0800-000060020000}"/>
    <hyperlink ref="BY13" r:id="rId610" xr:uid="{00000000-0004-0000-0800-000061020000}"/>
    <hyperlink ref="CB13" r:id="rId611" xr:uid="{00000000-0004-0000-0800-000062020000}"/>
    <hyperlink ref="CE13" r:id="rId612" xr:uid="{00000000-0004-0000-0800-000063020000}"/>
    <hyperlink ref="CH13" r:id="rId613" xr:uid="{00000000-0004-0000-0800-000064020000}"/>
    <hyperlink ref="CK13" r:id="rId614" xr:uid="{00000000-0004-0000-0800-000065020000}"/>
    <hyperlink ref="CN13" r:id="rId615" xr:uid="{00000000-0004-0000-0800-000066020000}"/>
    <hyperlink ref="CQ13" r:id="rId616" xr:uid="{00000000-0004-0000-0800-000067020000}"/>
    <hyperlink ref="CT13" r:id="rId617" xr:uid="{00000000-0004-0000-0800-000068020000}"/>
    <hyperlink ref="CW13" r:id="rId618" xr:uid="{00000000-0004-0000-0800-000069020000}"/>
    <hyperlink ref="CZ13" r:id="rId619" xr:uid="{00000000-0004-0000-0800-00006A020000}"/>
    <hyperlink ref="DC13" r:id="rId620" xr:uid="{00000000-0004-0000-0800-00006B020000}"/>
    <hyperlink ref="DF13" r:id="rId621" xr:uid="{00000000-0004-0000-0800-00006C020000}"/>
    <hyperlink ref="DI13" r:id="rId622" xr:uid="{00000000-0004-0000-0800-00006D020000}"/>
    <hyperlink ref="DL13" r:id="rId623" xr:uid="{00000000-0004-0000-0800-00006E020000}"/>
    <hyperlink ref="DO13" r:id="rId624" xr:uid="{00000000-0004-0000-0800-00006F020000}"/>
    <hyperlink ref="DR13" r:id="rId625" xr:uid="{00000000-0004-0000-0800-000070020000}"/>
    <hyperlink ref="DU13" r:id="rId626" xr:uid="{00000000-0004-0000-0800-000071020000}"/>
    <hyperlink ref="DX13" r:id="rId627" xr:uid="{00000000-0004-0000-0800-000072020000}"/>
    <hyperlink ref="EA13" r:id="rId628" xr:uid="{00000000-0004-0000-0800-000073020000}"/>
    <hyperlink ref="EG13" r:id="rId629" xr:uid="{00000000-0004-0000-0800-000074020000}"/>
    <hyperlink ref="EJ13" r:id="rId630" xr:uid="{00000000-0004-0000-0800-000075020000}"/>
    <hyperlink ref="EM13" r:id="rId631" xr:uid="{00000000-0004-0000-0800-000076020000}"/>
    <hyperlink ref="EP13" r:id="rId632" xr:uid="{00000000-0004-0000-0800-000077020000}"/>
    <hyperlink ref="ES13" r:id="rId633" xr:uid="{00000000-0004-0000-0800-000078020000}"/>
    <hyperlink ref="EV13" r:id="rId634" xr:uid="{00000000-0004-0000-0800-000079020000}"/>
    <hyperlink ref="EY13" r:id="rId635" xr:uid="{00000000-0004-0000-0800-00007A020000}"/>
    <hyperlink ref="FB13" r:id="rId636" xr:uid="{00000000-0004-0000-0800-00007B020000}"/>
    <hyperlink ref="FE13" r:id="rId637" xr:uid="{00000000-0004-0000-0800-00007C020000}"/>
    <hyperlink ref="FH13" r:id="rId638" xr:uid="{00000000-0004-0000-0800-00007D020000}"/>
    <hyperlink ref="FN13" r:id="rId639" xr:uid="{00000000-0004-0000-0800-00007E020000}"/>
    <hyperlink ref="K14" r:id="rId640" xr:uid="{00000000-0004-0000-0800-00007F020000}"/>
    <hyperlink ref="N14" r:id="rId641" xr:uid="{00000000-0004-0000-0800-000080020000}"/>
    <hyperlink ref="Q14" r:id="rId642" xr:uid="{00000000-0004-0000-0800-000081020000}"/>
    <hyperlink ref="T14" r:id="rId643" xr:uid="{00000000-0004-0000-0800-000082020000}"/>
    <hyperlink ref="W14" r:id="rId644" xr:uid="{00000000-0004-0000-0800-000083020000}"/>
    <hyperlink ref="AC14" r:id="rId645" xr:uid="{00000000-0004-0000-0800-000084020000}"/>
    <hyperlink ref="AF14" r:id="rId646" xr:uid="{00000000-0004-0000-0800-000085020000}"/>
    <hyperlink ref="AI14" r:id="rId647" xr:uid="{00000000-0004-0000-0800-000086020000}"/>
    <hyperlink ref="AL14" r:id="rId648" xr:uid="{00000000-0004-0000-0800-000087020000}"/>
    <hyperlink ref="AR14" r:id="rId649" xr:uid="{00000000-0004-0000-0800-000088020000}"/>
    <hyperlink ref="AU14" r:id="rId650" xr:uid="{00000000-0004-0000-0800-000089020000}"/>
    <hyperlink ref="BA14" r:id="rId651" xr:uid="{00000000-0004-0000-0800-00008A020000}"/>
    <hyperlink ref="BG14" r:id="rId652" xr:uid="{00000000-0004-0000-0800-00008B020000}"/>
    <hyperlink ref="BJ14" r:id="rId653" xr:uid="{00000000-0004-0000-0800-00008C020000}"/>
    <hyperlink ref="BM14" r:id="rId654" xr:uid="{00000000-0004-0000-0800-00008D020000}"/>
    <hyperlink ref="BS14" r:id="rId655" xr:uid="{00000000-0004-0000-0800-00008E020000}"/>
    <hyperlink ref="BV14" r:id="rId656" xr:uid="{00000000-0004-0000-0800-00008F020000}"/>
    <hyperlink ref="BY14" r:id="rId657" xr:uid="{00000000-0004-0000-0800-000090020000}"/>
    <hyperlink ref="CB14" r:id="rId658" xr:uid="{00000000-0004-0000-0800-000091020000}"/>
    <hyperlink ref="CE14" r:id="rId659" xr:uid="{00000000-0004-0000-0800-000092020000}"/>
    <hyperlink ref="CH14" r:id="rId660" xr:uid="{00000000-0004-0000-0800-000093020000}"/>
    <hyperlink ref="CK14" r:id="rId661" xr:uid="{00000000-0004-0000-0800-000094020000}"/>
    <hyperlink ref="CN14" r:id="rId662" xr:uid="{00000000-0004-0000-0800-000095020000}"/>
    <hyperlink ref="CQ14" r:id="rId663" xr:uid="{00000000-0004-0000-0800-000096020000}"/>
    <hyperlink ref="CT14" r:id="rId664" xr:uid="{00000000-0004-0000-0800-000097020000}"/>
    <hyperlink ref="CW14" r:id="rId665" xr:uid="{00000000-0004-0000-0800-000098020000}"/>
    <hyperlink ref="CZ14" r:id="rId666" xr:uid="{00000000-0004-0000-0800-000099020000}"/>
    <hyperlink ref="DC14" r:id="rId667" xr:uid="{00000000-0004-0000-0800-00009A020000}"/>
    <hyperlink ref="DF14" r:id="rId668" xr:uid="{00000000-0004-0000-0800-00009B020000}"/>
    <hyperlink ref="DI14" r:id="rId669" xr:uid="{00000000-0004-0000-0800-00009C020000}"/>
    <hyperlink ref="DL14" r:id="rId670" xr:uid="{00000000-0004-0000-0800-00009D020000}"/>
    <hyperlink ref="DO14" r:id="rId671" xr:uid="{00000000-0004-0000-0800-00009E020000}"/>
    <hyperlink ref="DR14" r:id="rId672" xr:uid="{00000000-0004-0000-0800-00009F020000}"/>
    <hyperlink ref="DU14" r:id="rId673" xr:uid="{00000000-0004-0000-0800-0000A0020000}"/>
    <hyperlink ref="DX14" r:id="rId674" xr:uid="{00000000-0004-0000-0800-0000A1020000}"/>
    <hyperlink ref="EA14" r:id="rId675" xr:uid="{00000000-0004-0000-0800-0000A2020000}"/>
    <hyperlink ref="EG14" r:id="rId676" xr:uid="{00000000-0004-0000-0800-0000A3020000}"/>
    <hyperlink ref="EJ14" r:id="rId677" xr:uid="{00000000-0004-0000-0800-0000A4020000}"/>
    <hyperlink ref="EM14" r:id="rId678" xr:uid="{00000000-0004-0000-0800-0000A5020000}"/>
    <hyperlink ref="EP14" r:id="rId679" xr:uid="{00000000-0004-0000-0800-0000A6020000}"/>
    <hyperlink ref="ES14" r:id="rId680" xr:uid="{00000000-0004-0000-0800-0000A7020000}"/>
    <hyperlink ref="EV14" r:id="rId681" xr:uid="{00000000-0004-0000-0800-0000A8020000}"/>
    <hyperlink ref="EY14" r:id="rId682" xr:uid="{00000000-0004-0000-0800-0000A9020000}"/>
    <hyperlink ref="FB14" r:id="rId683" xr:uid="{00000000-0004-0000-0800-0000AA020000}"/>
    <hyperlink ref="FE14" r:id="rId684" xr:uid="{00000000-0004-0000-0800-0000AB020000}"/>
    <hyperlink ref="FH14" r:id="rId685" xr:uid="{00000000-0004-0000-0800-0000AC020000}"/>
    <hyperlink ref="K15" r:id="rId686" xr:uid="{00000000-0004-0000-0800-0000AD020000}"/>
    <hyperlink ref="N15" r:id="rId687" xr:uid="{00000000-0004-0000-0800-0000AE020000}"/>
    <hyperlink ref="Q15" r:id="rId688" xr:uid="{00000000-0004-0000-0800-0000AF020000}"/>
    <hyperlink ref="T15" r:id="rId689" xr:uid="{00000000-0004-0000-0800-0000B0020000}"/>
    <hyperlink ref="W15" r:id="rId690" xr:uid="{00000000-0004-0000-0800-0000B1020000}"/>
    <hyperlink ref="AC15" r:id="rId691" xr:uid="{00000000-0004-0000-0800-0000B2020000}"/>
    <hyperlink ref="AF15" r:id="rId692" xr:uid="{00000000-0004-0000-0800-0000B3020000}"/>
    <hyperlink ref="AI15" r:id="rId693" xr:uid="{00000000-0004-0000-0800-0000B4020000}"/>
    <hyperlink ref="AL15" r:id="rId694" xr:uid="{00000000-0004-0000-0800-0000B5020000}"/>
    <hyperlink ref="AR15" r:id="rId695" xr:uid="{00000000-0004-0000-0800-0000B6020000}"/>
    <hyperlink ref="AU15" r:id="rId696" xr:uid="{00000000-0004-0000-0800-0000B7020000}"/>
    <hyperlink ref="BA15" r:id="rId697" xr:uid="{00000000-0004-0000-0800-0000B8020000}"/>
    <hyperlink ref="BG15" r:id="rId698" xr:uid="{00000000-0004-0000-0800-0000B9020000}"/>
    <hyperlink ref="BJ15" r:id="rId699" xr:uid="{00000000-0004-0000-0800-0000BA020000}"/>
    <hyperlink ref="BM15" r:id="rId700" xr:uid="{00000000-0004-0000-0800-0000BB020000}"/>
    <hyperlink ref="BS15" r:id="rId701" xr:uid="{00000000-0004-0000-0800-0000BC020000}"/>
    <hyperlink ref="BY15" r:id="rId702" xr:uid="{00000000-0004-0000-0800-0000BD020000}"/>
    <hyperlink ref="CB15" r:id="rId703" xr:uid="{00000000-0004-0000-0800-0000BE020000}"/>
    <hyperlink ref="CE15" r:id="rId704" xr:uid="{00000000-0004-0000-0800-0000BF020000}"/>
    <hyperlink ref="CH15" r:id="rId705" xr:uid="{00000000-0004-0000-0800-0000C0020000}"/>
    <hyperlink ref="CK15" r:id="rId706" xr:uid="{00000000-0004-0000-0800-0000C1020000}"/>
    <hyperlink ref="CN15" r:id="rId707" xr:uid="{00000000-0004-0000-0800-0000C2020000}"/>
    <hyperlink ref="CQ15" r:id="rId708" xr:uid="{00000000-0004-0000-0800-0000C3020000}"/>
    <hyperlink ref="CT15" r:id="rId709" xr:uid="{00000000-0004-0000-0800-0000C4020000}"/>
    <hyperlink ref="CZ15" r:id="rId710" xr:uid="{00000000-0004-0000-0800-0000C5020000}"/>
    <hyperlink ref="DC15" r:id="rId711" xr:uid="{00000000-0004-0000-0800-0000C6020000}"/>
    <hyperlink ref="DF15" r:id="rId712" xr:uid="{00000000-0004-0000-0800-0000C7020000}"/>
    <hyperlink ref="DI15" r:id="rId713" xr:uid="{00000000-0004-0000-0800-0000C8020000}"/>
    <hyperlink ref="DO15" r:id="rId714" xr:uid="{00000000-0004-0000-0800-0000C9020000}"/>
    <hyperlink ref="DR15" r:id="rId715" xr:uid="{00000000-0004-0000-0800-0000CA020000}"/>
    <hyperlink ref="DU15" r:id="rId716" xr:uid="{00000000-0004-0000-0800-0000CB020000}"/>
    <hyperlink ref="DX15" r:id="rId717" xr:uid="{00000000-0004-0000-0800-0000CC020000}"/>
    <hyperlink ref="EA15" r:id="rId718" xr:uid="{00000000-0004-0000-0800-0000CD020000}"/>
    <hyperlink ref="EG15" r:id="rId719" xr:uid="{00000000-0004-0000-0800-0000CE020000}"/>
    <hyperlink ref="EJ15" r:id="rId720" xr:uid="{00000000-0004-0000-0800-0000CF020000}"/>
    <hyperlink ref="EM15" r:id="rId721" xr:uid="{00000000-0004-0000-0800-0000D0020000}"/>
    <hyperlink ref="EP15" r:id="rId722" xr:uid="{00000000-0004-0000-0800-0000D1020000}"/>
    <hyperlink ref="ES15" r:id="rId723" xr:uid="{00000000-0004-0000-0800-0000D2020000}"/>
    <hyperlink ref="EV15" r:id="rId724" xr:uid="{00000000-0004-0000-0800-0000D3020000}"/>
    <hyperlink ref="EY15" r:id="rId725" xr:uid="{00000000-0004-0000-0800-0000D4020000}"/>
    <hyperlink ref="FB15" r:id="rId726" xr:uid="{00000000-0004-0000-0800-0000D5020000}"/>
    <hyperlink ref="FE15" r:id="rId727" xr:uid="{00000000-0004-0000-0800-0000D6020000}"/>
    <hyperlink ref="FH15" r:id="rId728" xr:uid="{00000000-0004-0000-0800-0000D7020000}"/>
    <hyperlink ref="K16" r:id="rId729" xr:uid="{00000000-0004-0000-0800-0000D8020000}"/>
    <hyperlink ref="N16" r:id="rId730" xr:uid="{00000000-0004-0000-0800-0000D9020000}"/>
    <hyperlink ref="Q16" r:id="rId731" xr:uid="{00000000-0004-0000-0800-0000DA020000}"/>
    <hyperlink ref="T16" r:id="rId732" xr:uid="{00000000-0004-0000-0800-0000DB020000}"/>
    <hyperlink ref="W16" r:id="rId733" xr:uid="{00000000-0004-0000-0800-0000DC020000}"/>
    <hyperlink ref="AC16" r:id="rId734" xr:uid="{00000000-0004-0000-0800-0000DD020000}"/>
    <hyperlink ref="AF16" r:id="rId735" xr:uid="{00000000-0004-0000-0800-0000DE020000}"/>
    <hyperlink ref="AI16" r:id="rId736" xr:uid="{00000000-0004-0000-0800-0000DF020000}"/>
    <hyperlink ref="AL16" r:id="rId737" xr:uid="{00000000-0004-0000-0800-0000E0020000}"/>
    <hyperlink ref="AR16" r:id="rId738" xr:uid="{00000000-0004-0000-0800-0000E1020000}"/>
    <hyperlink ref="AU16" r:id="rId739" xr:uid="{00000000-0004-0000-0800-0000E2020000}"/>
    <hyperlink ref="AX16" r:id="rId740" xr:uid="{00000000-0004-0000-0800-0000E3020000}"/>
    <hyperlink ref="BA16" r:id="rId741" xr:uid="{00000000-0004-0000-0800-0000E4020000}"/>
    <hyperlink ref="BG16" r:id="rId742" xr:uid="{00000000-0004-0000-0800-0000E5020000}"/>
    <hyperlink ref="BJ16" r:id="rId743" xr:uid="{00000000-0004-0000-0800-0000E6020000}"/>
    <hyperlink ref="BM16" r:id="rId744" xr:uid="{00000000-0004-0000-0800-0000E7020000}"/>
    <hyperlink ref="BS16" r:id="rId745" xr:uid="{00000000-0004-0000-0800-0000E8020000}"/>
    <hyperlink ref="BY16" r:id="rId746" xr:uid="{00000000-0004-0000-0800-0000E9020000}"/>
    <hyperlink ref="CB16" r:id="rId747" xr:uid="{00000000-0004-0000-0800-0000EA020000}"/>
    <hyperlink ref="CE16" r:id="rId748" xr:uid="{00000000-0004-0000-0800-0000EB020000}"/>
    <hyperlink ref="CH16" r:id="rId749" xr:uid="{00000000-0004-0000-0800-0000EC020000}"/>
    <hyperlink ref="CK16" r:id="rId750" xr:uid="{00000000-0004-0000-0800-0000ED020000}"/>
    <hyperlink ref="CN16" r:id="rId751" xr:uid="{00000000-0004-0000-0800-0000EE020000}"/>
    <hyperlink ref="CQ16" r:id="rId752" xr:uid="{00000000-0004-0000-0800-0000EF020000}"/>
    <hyperlink ref="CT16" r:id="rId753" xr:uid="{00000000-0004-0000-0800-0000F0020000}"/>
    <hyperlink ref="CZ16" r:id="rId754" xr:uid="{00000000-0004-0000-0800-0000F1020000}"/>
    <hyperlink ref="DC16" r:id="rId755" xr:uid="{00000000-0004-0000-0800-0000F2020000}"/>
    <hyperlink ref="DF16" r:id="rId756" xr:uid="{00000000-0004-0000-0800-0000F3020000}"/>
    <hyperlink ref="DO16" r:id="rId757" xr:uid="{00000000-0004-0000-0800-0000F4020000}"/>
    <hyperlink ref="DR16" r:id="rId758" xr:uid="{00000000-0004-0000-0800-0000F5020000}"/>
    <hyperlink ref="DU16" r:id="rId759" xr:uid="{00000000-0004-0000-0800-0000F6020000}"/>
    <hyperlink ref="DX16" r:id="rId760" xr:uid="{00000000-0004-0000-0800-0000F7020000}"/>
    <hyperlink ref="EA16" r:id="rId761" xr:uid="{00000000-0004-0000-0800-0000F8020000}"/>
    <hyperlink ref="EG16" r:id="rId762" xr:uid="{00000000-0004-0000-0800-0000F9020000}"/>
    <hyperlink ref="EJ16" r:id="rId763" xr:uid="{00000000-0004-0000-0800-0000FA020000}"/>
    <hyperlink ref="EM16" r:id="rId764" xr:uid="{00000000-0004-0000-0800-0000FB020000}"/>
    <hyperlink ref="EP16" r:id="rId765" xr:uid="{00000000-0004-0000-0800-0000FC020000}"/>
    <hyperlink ref="EV16" r:id="rId766" xr:uid="{00000000-0004-0000-0800-0000FD020000}"/>
    <hyperlink ref="EY16" r:id="rId767" xr:uid="{00000000-0004-0000-0800-0000FE020000}"/>
    <hyperlink ref="FB16" r:id="rId768" xr:uid="{00000000-0004-0000-0800-0000FF020000}"/>
    <hyperlink ref="FE16" r:id="rId769" xr:uid="{00000000-0004-0000-0800-000000030000}"/>
    <hyperlink ref="FH16" r:id="rId770" xr:uid="{00000000-0004-0000-0800-000001030000}"/>
    <hyperlink ref="K17" r:id="rId771" xr:uid="{00000000-0004-0000-0800-000002030000}"/>
    <hyperlink ref="N17" r:id="rId772" xr:uid="{00000000-0004-0000-0800-000003030000}"/>
    <hyperlink ref="Q17" r:id="rId773" xr:uid="{00000000-0004-0000-0800-000004030000}"/>
    <hyperlink ref="T17" r:id="rId774" xr:uid="{00000000-0004-0000-0800-000005030000}"/>
    <hyperlink ref="W17" r:id="rId775" xr:uid="{00000000-0004-0000-0800-000006030000}"/>
    <hyperlink ref="AC17" r:id="rId776" xr:uid="{00000000-0004-0000-0800-000007030000}"/>
    <hyperlink ref="AF17" r:id="rId777" xr:uid="{00000000-0004-0000-0800-000008030000}"/>
    <hyperlink ref="AI17" r:id="rId778" xr:uid="{00000000-0004-0000-0800-000009030000}"/>
    <hyperlink ref="AL17" r:id="rId779" xr:uid="{00000000-0004-0000-0800-00000A030000}"/>
    <hyperlink ref="AR17" r:id="rId780" xr:uid="{00000000-0004-0000-0800-00000B030000}"/>
    <hyperlink ref="AU17" r:id="rId781" xr:uid="{00000000-0004-0000-0800-00000C030000}"/>
    <hyperlink ref="AX17" r:id="rId782" xr:uid="{00000000-0004-0000-0800-00000D030000}"/>
    <hyperlink ref="BG17" r:id="rId783" xr:uid="{00000000-0004-0000-0800-00000E030000}"/>
    <hyperlink ref="BJ17" r:id="rId784" xr:uid="{00000000-0004-0000-0800-00000F030000}"/>
    <hyperlink ref="BM17" r:id="rId785" xr:uid="{00000000-0004-0000-0800-000010030000}"/>
    <hyperlink ref="BS17" r:id="rId786" xr:uid="{00000000-0004-0000-0800-000011030000}"/>
    <hyperlink ref="BY17" r:id="rId787" xr:uid="{00000000-0004-0000-0800-000012030000}"/>
    <hyperlink ref="CB17" r:id="rId788" xr:uid="{00000000-0004-0000-0800-000013030000}"/>
    <hyperlink ref="CE17" r:id="rId789" xr:uid="{00000000-0004-0000-0800-000014030000}"/>
    <hyperlink ref="CK17" r:id="rId790" xr:uid="{00000000-0004-0000-0800-000015030000}"/>
    <hyperlink ref="CN17" r:id="rId791" xr:uid="{00000000-0004-0000-0800-000016030000}"/>
    <hyperlink ref="CQ17" r:id="rId792" xr:uid="{00000000-0004-0000-0800-000017030000}"/>
    <hyperlink ref="CT17" r:id="rId793" xr:uid="{00000000-0004-0000-0800-000018030000}"/>
    <hyperlink ref="CZ17" r:id="rId794" xr:uid="{00000000-0004-0000-0800-000019030000}"/>
    <hyperlink ref="DC17" r:id="rId795" xr:uid="{00000000-0004-0000-0800-00001A030000}"/>
    <hyperlink ref="DF17" r:id="rId796" xr:uid="{00000000-0004-0000-0800-00001B030000}"/>
    <hyperlink ref="DO17" r:id="rId797" xr:uid="{00000000-0004-0000-0800-00001C030000}"/>
    <hyperlink ref="DR17" r:id="rId798" xr:uid="{00000000-0004-0000-0800-00001D030000}"/>
    <hyperlink ref="DU17" r:id="rId799" xr:uid="{00000000-0004-0000-0800-00001E030000}"/>
    <hyperlink ref="DX17" r:id="rId800" xr:uid="{00000000-0004-0000-0800-00001F030000}"/>
    <hyperlink ref="EA17" r:id="rId801" xr:uid="{00000000-0004-0000-0800-000020030000}"/>
    <hyperlink ref="EG17" r:id="rId802" xr:uid="{00000000-0004-0000-0800-000021030000}"/>
    <hyperlink ref="EJ17" r:id="rId803" xr:uid="{00000000-0004-0000-0800-000022030000}"/>
    <hyperlink ref="EM17" r:id="rId804" xr:uid="{00000000-0004-0000-0800-000023030000}"/>
    <hyperlink ref="EP17" r:id="rId805" xr:uid="{00000000-0004-0000-0800-000024030000}"/>
    <hyperlink ref="EV17" r:id="rId806" xr:uid="{00000000-0004-0000-0800-000025030000}"/>
    <hyperlink ref="EY17" r:id="rId807" xr:uid="{00000000-0004-0000-0800-000026030000}"/>
    <hyperlink ref="FB17" r:id="rId808" xr:uid="{00000000-0004-0000-0800-000027030000}"/>
    <hyperlink ref="FE17" r:id="rId809" xr:uid="{00000000-0004-0000-0800-000028030000}"/>
    <hyperlink ref="K18" r:id="rId810" xr:uid="{00000000-0004-0000-0800-000029030000}"/>
    <hyperlink ref="N18" r:id="rId811" xr:uid="{00000000-0004-0000-0800-00002A030000}"/>
    <hyperlink ref="Q18" r:id="rId812" xr:uid="{00000000-0004-0000-0800-00002B030000}"/>
    <hyperlink ref="T18" r:id="rId813" xr:uid="{00000000-0004-0000-0800-00002C030000}"/>
    <hyperlink ref="AC18" r:id="rId814" xr:uid="{00000000-0004-0000-0800-00002D030000}"/>
    <hyperlink ref="AF18" r:id="rId815" xr:uid="{00000000-0004-0000-0800-00002E030000}"/>
    <hyperlink ref="AI18" r:id="rId816" xr:uid="{00000000-0004-0000-0800-00002F030000}"/>
    <hyperlink ref="AL18" r:id="rId817" xr:uid="{00000000-0004-0000-0800-000030030000}"/>
    <hyperlink ref="AR18" r:id="rId818" xr:uid="{00000000-0004-0000-0800-000031030000}"/>
    <hyperlink ref="AU18" r:id="rId819" xr:uid="{00000000-0004-0000-0800-000032030000}"/>
    <hyperlink ref="AX18" r:id="rId820" xr:uid="{00000000-0004-0000-0800-000033030000}"/>
    <hyperlink ref="BJ18" r:id="rId821" xr:uid="{00000000-0004-0000-0800-000034030000}"/>
    <hyperlink ref="BM18" r:id="rId822" xr:uid="{00000000-0004-0000-0800-000035030000}"/>
    <hyperlink ref="BS18" r:id="rId823" xr:uid="{00000000-0004-0000-0800-000036030000}"/>
    <hyperlink ref="BY18" r:id="rId824" xr:uid="{00000000-0004-0000-0800-000037030000}"/>
    <hyperlink ref="CB18" r:id="rId825" xr:uid="{00000000-0004-0000-0800-000038030000}"/>
    <hyperlink ref="CE18" r:id="rId826" xr:uid="{00000000-0004-0000-0800-000039030000}"/>
    <hyperlink ref="CK18" r:id="rId827" xr:uid="{00000000-0004-0000-0800-00003A030000}"/>
    <hyperlink ref="CN18" r:id="rId828" xr:uid="{00000000-0004-0000-0800-00003B030000}"/>
    <hyperlink ref="CQ18" r:id="rId829" xr:uid="{00000000-0004-0000-0800-00003C030000}"/>
    <hyperlink ref="CT18" r:id="rId830" xr:uid="{00000000-0004-0000-0800-00003D030000}"/>
    <hyperlink ref="CZ18" r:id="rId831" xr:uid="{00000000-0004-0000-0800-00003E030000}"/>
    <hyperlink ref="DC18" r:id="rId832" xr:uid="{00000000-0004-0000-0800-00003F030000}"/>
    <hyperlink ref="DF18" r:id="rId833" xr:uid="{00000000-0004-0000-0800-000040030000}"/>
    <hyperlink ref="DO18" r:id="rId834" xr:uid="{00000000-0004-0000-0800-000041030000}"/>
    <hyperlink ref="DU18" r:id="rId835" xr:uid="{00000000-0004-0000-0800-000042030000}"/>
    <hyperlink ref="DX18" r:id="rId836" xr:uid="{00000000-0004-0000-0800-000043030000}"/>
    <hyperlink ref="EA18" r:id="rId837" xr:uid="{00000000-0004-0000-0800-000044030000}"/>
    <hyperlink ref="EG18" r:id="rId838" xr:uid="{00000000-0004-0000-0800-000045030000}"/>
    <hyperlink ref="EJ18" r:id="rId839" xr:uid="{00000000-0004-0000-0800-000046030000}"/>
    <hyperlink ref="EP18" r:id="rId840" xr:uid="{00000000-0004-0000-0800-000047030000}"/>
    <hyperlink ref="EV18" r:id="rId841" xr:uid="{00000000-0004-0000-0800-000048030000}"/>
    <hyperlink ref="EY18" r:id="rId842" xr:uid="{00000000-0004-0000-0800-000049030000}"/>
    <hyperlink ref="FB18" r:id="rId843" xr:uid="{00000000-0004-0000-0800-00004A030000}"/>
    <hyperlink ref="FE18" r:id="rId844" xr:uid="{00000000-0004-0000-0800-00004B030000}"/>
    <hyperlink ref="K19" r:id="rId845" xr:uid="{00000000-0004-0000-0800-00004C030000}"/>
    <hyperlink ref="N19" r:id="rId846" xr:uid="{00000000-0004-0000-0800-00004D030000}"/>
    <hyperlink ref="Q19" r:id="rId847" xr:uid="{00000000-0004-0000-0800-00004E030000}"/>
    <hyperlink ref="T19" r:id="rId848" xr:uid="{00000000-0004-0000-0800-00004F030000}"/>
    <hyperlink ref="AC19" r:id="rId849" xr:uid="{00000000-0004-0000-0800-000050030000}"/>
    <hyperlink ref="AF19" r:id="rId850" xr:uid="{00000000-0004-0000-0800-000051030000}"/>
    <hyperlink ref="AI19" r:id="rId851" xr:uid="{00000000-0004-0000-0800-000052030000}"/>
    <hyperlink ref="AR19" r:id="rId852" xr:uid="{00000000-0004-0000-0800-000053030000}"/>
    <hyperlink ref="AU19" r:id="rId853" xr:uid="{00000000-0004-0000-0800-000054030000}"/>
    <hyperlink ref="AX19" r:id="rId854" xr:uid="{00000000-0004-0000-0800-000055030000}"/>
    <hyperlink ref="BJ19" r:id="rId855" xr:uid="{00000000-0004-0000-0800-000056030000}"/>
    <hyperlink ref="BM19" r:id="rId856" xr:uid="{00000000-0004-0000-0800-000057030000}"/>
    <hyperlink ref="BS19" r:id="rId857" xr:uid="{00000000-0004-0000-0800-000058030000}"/>
    <hyperlink ref="BY19" r:id="rId858" xr:uid="{00000000-0004-0000-0800-000059030000}"/>
    <hyperlink ref="CB19" r:id="rId859" xr:uid="{00000000-0004-0000-0800-00005A030000}"/>
    <hyperlink ref="CK19" r:id="rId860" xr:uid="{00000000-0004-0000-0800-00005B030000}"/>
    <hyperlink ref="CN19" r:id="rId861" xr:uid="{00000000-0004-0000-0800-00005C030000}"/>
    <hyperlink ref="CQ19" r:id="rId862" xr:uid="{00000000-0004-0000-0800-00005D030000}"/>
    <hyperlink ref="CT19" r:id="rId863" xr:uid="{00000000-0004-0000-0800-00005E030000}"/>
    <hyperlink ref="CZ19" r:id="rId864" xr:uid="{00000000-0004-0000-0800-00005F030000}"/>
    <hyperlink ref="DC19" r:id="rId865" xr:uid="{00000000-0004-0000-0800-000060030000}"/>
    <hyperlink ref="DF19" r:id="rId866" xr:uid="{00000000-0004-0000-0800-000061030000}"/>
    <hyperlink ref="DO19" r:id="rId867" xr:uid="{00000000-0004-0000-0800-000062030000}"/>
    <hyperlink ref="DU19" r:id="rId868" xr:uid="{00000000-0004-0000-0800-000063030000}"/>
    <hyperlink ref="DX19" r:id="rId869" xr:uid="{00000000-0004-0000-0800-000064030000}"/>
    <hyperlink ref="EG19" r:id="rId870" xr:uid="{00000000-0004-0000-0800-000065030000}"/>
    <hyperlink ref="EJ19" r:id="rId871" xr:uid="{00000000-0004-0000-0800-000066030000}"/>
    <hyperlink ref="EP19" r:id="rId872" xr:uid="{00000000-0004-0000-0800-000067030000}"/>
    <hyperlink ref="EV19" r:id="rId873" xr:uid="{00000000-0004-0000-0800-000068030000}"/>
    <hyperlink ref="EY19" r:id="rId874" xr:uid="{00000000-0004-0000-0800-000069030000}"/>
    <hyperlink ref="FB19" r:id="rId875" xr:uid="{00000000-0004-0000-0800-00006A030000}"/>
    <hyperlink ref="FE19" r:id="rId876" xr:uid="{00000000-0004-0000-0800-00006B030000}"/>
    <hyperlink ref="K20" r:id="rId877" xr:uid="{00000000-0004-0000-0800-00006C030000}"/>
    <hyperlink ref="Q20" r:id="rId878" xr:uid="{00000000-0004-0000-0800-00006D030000}"/>
    <hyperlink ref="T20" r:id="rId879" xr:uid="{00000000-0004-0000-0800-00006E030000}"/>
    <hyperlink ref="AC20" r:id="rId880" xr:uid="{00000000-0004-0000-0800-00006F030000}"/>
    <hyperlink ref="AF20" r:id="rId881" xr:uid="{00000000-0004-0000-0800-000070030000}"/>
    <hyperlink ref="AI20" r:id="rId882" xr:uid="{00000000-0004-0000-0800-000071030000}"/>
    <hyperlink ref="AR20" r:id="rId883" xr:uid="{00000000-0004-0000-0800-000072030000}"/>
    <hyperlink ref="AU20" r:id="rId884" xr:uid="{00000000-0004-0000-0800-000073030000}"/>
    <hyperlink ref="AX20" r:id="rId885" xr:uid="{00000000-0004-0000-0800-000074030000}"/>
    <hyperlink ref="BJ20" r:id="rId886" xr:uid="{00000000-0004-0000-0800-000075030000}"/>
    <hyperlink ref="BM20" r:id="rId887" xr:uid="{00000000-0004-0000-0800-000076030000}"/>
    <hyperlink ref="BS20" r:id="rId888" xr:uid="{00000000-0004-0000-0800-000077030000}"/>
    <hyperlink ref="BY20" r:id="rId889" xr:uid="{00000000-0004-0000-0800-000078030000}"/>
    <hyperlink ref="CB20" r:id="rId890" xr:uid="{00000000-0004-0000-0800-000079030000}"/>
    <hyperlink ref="CK20" r:id="rId891" xr:uid="{00000000-0004-0000-0800-00007A030000}"/>
    <hyperlink ref="CN20" r:id="rId892" xr:uid="{00000000-0004-0000-0800-00007B030000}"/>
    <hyperlink ref="CQ20" r:id="rId893" xr:uid="{00000000-0004-0000-0800-00007C030000}"/>
    <hyperlink ref="CT20" r:id="rId894" xr:uid="{00000000-0004-0000-0800-00007D030000}"/>
    <hyperlink ref="CZ20" r:id="rId895" xr:uid="{00000000-0004-0000-0800-00007E030000}"/>
    <hyperlink ref="DC20" r:id="rId896" xr:uid="{00000000-0004-0000-0800-00007F030000}"/>
    <hyperlink ref="DF20" r:id="rId897" xr:uid="{00000000-0004-0000-0800-000080030000}"/>
    <hyperlink ref="DO20" r:id="rId898" xr:uid="{00000000-0004-0000-0800-000081030000}"/>
    <hyperlink ref="DU20" r:id="rId899" xr:uid="{00000000-0004-0000-0800-000082030000}"/>
    <hyperlink ref="DX20" r:id="rId900" xr:uid="{00000000-0004-0000-0800-000083030000}"/>
    <hyperlink ref="EG20" r:id="rId901" xr:uid="{00000000-0004-0000-0800-000084030000}"/>
    <hyperlink ref="EJ20" r:id="rId902" xr:uid="{00000000-0004-0000-0800-000085030000}"/>
    <hyperlink ref="EP20" r:id="rId903" xr:uid="{00000000-0004-0000-0800-000086030000}"/>
    <hyperlink ref="FB20" r:id="rId904" xr:uid="{00000000-0004-0000-0800-000087030000}"/>
    <hyperlink ref="FE20" r:id="rId905" xr:uid="{00000000-0004-0000-0800-000088030000}"/>
    <hyperlink ref="K21" r:id="rId906" xr:uid="{00000000-0004-0000-0800-000089030000}"/>
    <hyperlink ref="Q21" r:id="rId907" xr:uid="{00000000-0004-0000-0800-00008A030000}"/>
    <hyperlink ref="AC21" r:id="rId908" xr:uid="{00000000-0004-0000-0800-00008B030000}"/>
    <hyperlink ref="AF21" r:id="rId909" xr:uid="{00000000-0004-0000-0800-00008C030000}"/>
    <hyperlink ref="AI21" r:id="rId910" xr:uid="{00000000-0004-0000-0800-00008D030000}"/>
    <hyperlink ref="AR21" r:id="rId911" xr:uid="{00000000-0004-0000-0800-00008E030000}"/>
    <hyperlink ref="AX21" r:id="rId912" xr:uid="{00000000-0004-0000-0800-00008F030000}"/>
    <hyperlink ref="BJ21" r:id="rId913" xr:uid="{00000000-0004-0000-0800-000090030000}"/>
    <hyperlink ref="BS21" r:id="rId914" xr:uid="{00000000-0004-0000-0800-000091030000}"/>
    <hyperlink ref="CB21" r:id="rId915" xr:uid="{00000000-0004-0000-0800-000092030000}"/>
    <hyperlink ref="CK21" r:id="rId916" xr:uid="{00000000-0004-0000-0800-000093030000}"/>
    <hyperlink ref="CN21" r:id="rId917" xr:uid="{00000000-0004-0000-0800-000094030000}"/>
    <hyperlink ref="CQ21" r:id="rId918" xr:uid="{00000000-0004-0000-0800-000095030000}"/>
    <hyperlink ref="CT21" r:id="rId919" xr:uid="{00000000-0004-0000-0800-000096030000}"/>
    <hyperlink ref="CZ21" r:id="rId920" xr:uid="{00000000-0004-0000-0800-000097030000}"/>
    <hyperlink ref="DC21" r:id="rId921" xr:uid="{00000000-0004-0000-0800-000098030000}"/>
    <hyperlink ref="DF21" r:id="rId922" xr:uid="{00000000-0004-0000-0800-000099030000}"/>
    <hyperlink ref="DO21" r:id="rId923" xr:uid="{00000000-0004-0000-0800-00009A030000}"/>
    <hyperlink ref="DU21" r:id="rId924" xr:uid="{00000000-0004-0000-0800-00009B030000}"/>
    <hyperlink ref="DX21" r:id="rId925" xr:uid="{00000000-0004-0000-0800-00009C030000}"/>
    <hyperlink ref="EG21" r:id="rId926" xr:uid="{00000000-0004-0000-0800-00009D030000}"/>
    <hyperlink ref="EJ21" r:id="rId927" xr:uid="{00000000-0004-0000-0800-00009E030000}"/>
    <hyperlink ref="EP21" r:id="rId928" xr:uid="{00000000-0004-0000-0800-00009F030000}"/>
    <hyperlink ref="FB21" r:id="rId929" xr:uid="{00000000-0004-0000-0800-0000A0030000}"/>
    <hyperlink ref="FE21" r:id="rId930" xr:uid="{00000000-0004-0000-0800-0000A1030000}"/>
    <hyperlink ref="K22" r:id="rId931" xr:uid="{00000000-0004-0000-0800-0000A2030000}"/>
    <hyperlink ref="Q22" r:id="rId932" xr:uid="{00000000-0004-0000-0800-0000A3030000}"/>
    <hyperlink ref="AC22" r:id="rId933" xr:uid="{00000000-0004-0000-0800-0000A4030000}"/>
    <hyperlink ref="AF22" r:id="rId934" xr:uid="{00000000-0004-0000-0800-0000A5030000}"/>
    <hyperlink ref="AR22" r:id="rId935" xr:uid="{00000000-0004-0000-0800-0000A6030000}"/>
    <hyperlink ref="BJ22" r:id="rId936" xr:uid="{00000000-0004-0000-0800-0000A7030000}"/>
    <hyperlink ref="BS22" r:id="rId937" xr:uid="{00000000-0004-0000-0800-0000A8030000}"/>
    <hyperlink ref="CB22" r:id="rId938" xr:uid="{00000000-0004-0000-0800-0000A9030000}"/>
    <hyperlink ref="CK22" r:id="rId939" xr:uid="{00000000-0004-0000-0800-0000AA030000}"/>
    <hyperlink ref="CN22" r:id="rId940" xr:uid="{00000000-0004-0000-0800-0000AB030000}"/>
    <hyperlink ref="CQ22" r:id="rId941" xr:uid="{00000000-0004-0000-0800-0000AC030000}"/>
    <hyperlink ref="CT22" r:id="rId942" xr:uid="{00000000-0004-0000-0800-0000AD030000}"/>
    <hyperlink ref="CZ22" r:id="rId943" xr:uid="{00000000-0004-0000-0800-0000AE030000}"/>
    <hyperlink ref="DC22" r:id="rId944" xr:uid="{00000000-0004-0000-0800-0000AF030000}"/>
    <hyperlink ref="DF22" r:id="rId945" xr:uid="{00000000-0004-0000-0800-0000B0030000}"/>
    <hyperlink ref="DO22" r:id="rId946" xr:uid="{00000000-0004-0000-0800-0000B1030000}"/>
    <hyperlink ref="DU22" r:id="rId947" xr:uid="{00000000-0004-0000-0800-0000B2030000}"/>
    <hyperlink ref="DX22" r:id="rId948" xr:uid="{00000000-0004-0000-0800-0000B3030000}"/>
    <hyperlink ref="EG22" r:id="rId949" xr:uid="{00000000-0004-0000-0800-0000B4030000}"/>
    <hyperlink ref="EJ22" r:id="rId950" xr:uid="{00000000-0004-0000-0800-0000B5030000}"/>
    <hyperlink ref="EP22" r:id="rId951" xr:uid="{00000000-0004-0000-0800-0000B6030000}"/>
    <hyperlink ref="FB22" r:id="rId952" xr:uid="{00000000-0004-0000-0800-0000B7030000}"/>
    <hyperlink ref="FE22" r:id="rId953" xr:uid="{00000000-0004-0000-0800-0000B8030000}"/>
    <hyperlink ref="K23" r:id="rId954" xr:uid="{00000000-0004-0000-0800-0000B9030000}"/>
    <hyperlink ref="AC23" r:id="rId955" xr:uid="{00000000-0004-0000-0800-0000BA030000}"/>
    <hyperlink ref="AF23" r:id="rId956" xr:uid="{00000000-0004-0000-0800-0000BB030000}"/>
    <hyperlink ref="AR23" r:id="rId957" xr:uid="{00000000-0004-0000-0800-0000BC030000}"/>
    <hyperlink ref="BS23" r:id="rId958" xr:uid="{00000000-0004-0000-0800-0000BD030000}"/>
    <hyperlink ref="CB23" r:id="rId959" xr:uid="{00000000-0004-0000-0800-0000BE030000}"/>
    <hyperlink ref="CK23" r:id="rId960" xr:uid="{00000000-0004-0000-0800-0000BF030000}"/>
    <hyperlink ref="CQ23" r:id="rId961" xr:uid="{00000000-0004-0000-0800-0000C0030000}"/>
    <hyperlink ref="CT23" r:id="rId962" xr:uid="{00000000-0004-0000-0800-0000C1030000}"/>
    <hyperlink ref="DC23" r:id="rId963" xr:uid="{00000000-0004-0000-0800-0000C2030000}"/>
    <hyperlink ref="DF23" r:id="rId964" xr:uid="{00000000-0004-0000-0800-0000C3030000}"/>
    <hyperlink ref="DO23" r:id="rId965" xr:uid="{00000000-0004-0000-0800-0000C4030000}"/>
    <hyperlink ref="DX23" r:id="rId966" xr:uid="{00000000-0004-0000-0800-0000C5030000}"/>
    <hyperlink ref="EG23" r:id="rId967" xr:uid="{00000000-0004-0000-0800-0000C6030000}"/>
    <hyperlink ref="EJ23" r:id="rId968" xr:uid="{00000000-0004-0000-0800-0000C7030000}"/>
    <hyperlink ref="EP23" r:id="rId969" xr:uid="{00000000-0004-0000-0800-0000C8030000}"/>
    <hyperlink ref="FB23" r:id="rId970" xr:uid="{00000000-0004-0000-0800-0000C9030000}"/>
    <hyperlink ref="FE23" r:id="rId971" xr:uid="{00000000-0004-0000-0800-0000CA030000}"/>
    <hyperlink ref="K24" r:id="rId972" xr:uid="{00000000-0004-0000-0800-0000CB030000}"/>
    <hyperlink ref="AC24" r:id="rId973" xr:uid="{00000000-0004-0000-0800-0000CC030000}"/>
    <hyperlink ref="AF24" r:id="rId974" xr:uid="{00000000-0004-0000-0800-0000CD030000}"/>
    <hyperlink ref="BS24" r:id="rId975" xr:uid="{00000000-0004-0000-0800-0000CE030000}"/>
    <hyperlink ref="CB24" r:id="rId976" xr:uid="{00000000-0004-0000-0800-0000CF030000}"/>
    <hyperlink ref="CK24" r:id="rId977" xr:uid="{00000000-0004-0000-0800-0000D0030000}"/>
    <hyperlink ref="CQ24" r:id="rId978" xr:uid="{00000000-0004-0000-0800-0000D1030000}"/>
    <hyperlink ref="CT24" r:id="rId979" xr:uid="{00000000-0004-0000-0800-0000D2030000}"/>
    <hyperlink ref="DC24" r:id="rId980" xr:uid="{00000000-0004-0000-0800-0000D3030000}"/>
    <hyperlink ref="DF24" r:id="rId981" xr:uid="{00000000-0004-0000-0800-0000D4030000}"/>
    <hyperlink ref="DO24" r:id="rId982" xr:uid="{00000000-0004-0000-0800-0000D5030000}"/>
    <hyperlink ref="DX24" r:id="rId983" xr:uid="{00000000-0004-0000-0800-0000D6030000}"/>
    <hyperlink ref="EG24" r:id="rId984" xr:uid="{00000000-0004-0000-0800-0000D7030000}"/>
    <hyperlink ref="EJ24" r:id="rId985" xr:uid="{00000000-0004-0000-0800-0000D8030000}"/>
    <hyperlink ref="EP24" r:id="rId986" xr:uid="{00000000-0004-0000-0800-0000D9030000}"/>
    <hyperlink ref="FB24" r:id="rId987" xr:uid="{00000000-0004-0000-0800-0000DA030000}"/>
    <hyperlink ref="FE24" r:id="rId988" xr:uid="{00000000-0004-0000-0800-0000DB030000}"/>
    <hyperlink ref="K25" r:id="rId989" xr:uid="{00000000-0004-0000-0800-0000DC030000}"/>
    <hyperlink ref="AC25" r:id="rId990" xr:uid="{00000000-0004-0000-0800-0000DD030000}"/>
    <hyperlink ref="AF25" r:id="rId991" xr:uid="{00000000-0004-0000-0800-0000DE030000}"/>
    <hyperlink ref="BS25" r:id="rId992" xr:uid="{00000000-0004-0000-0800-0000DF030000}"/>
    <hyperlink ref="CB25" r:id="rId993" xr:uid="{00000000-0004-0000-0800-0000E0030000}"/>
    <hyperlink ref="CK25" r:id="rId994" xr:uid="{00000000-0004-0000-0800-0000E1030000}"/>
    <hyperlink ref="CQ25" r:id="rId995" xr:uid="{00000000-0004-0000-0800-0000E2030000}"/>
    <hyperlink ref="CT25" r:id="rId996" xr:uid="{00000000-0004-0000-0800-0000E3030000}"/>
    <hyperlink ref="DC25" r:id="rId997" xr:uid="{00000000-0004-0000-0800-0000E4030000}"/>
    <hyperlink ref="DF25" r:id="rId998" xr:uid="{00000000-0004-0000-0800-0000E5030000}"/>
    <hyperlink ref="DX25" r:id="rId999" xr:uid="{00000000-0004-0000-0800-0000E6030000}"/>
    <hyperlink ref="EG25" r:id="rId1000" xr:uid="{00000000-0004-0000-0800-0000E7030000}"/>
    <hyperlink ref="EJ25" r:id="rId1001" xr:uid="{00000000-0004-0000-0800-0000E8030000}"/>
    <hyperlink ref="EP25" r:id="rId1002" xr:uid="{00000000-0004-0000-0800-0000E9030000}"/>
    <hyperlink ref="FB25" r:id="rId1003" xr:uid="{00000000-0004-0000-0800-0000EA030000}"/>
    <hyperlink ref="FE25" r:id="rId1004" xr:uid="{00000000-0004-0000-0800-0000EB030000}"/>
    <hyperlink ref="K26" r:id="rId1005" xr:uid="{00000000-0004-0000-0800-0000EC030000}"/>
    <hyperlink ref="AC26" r:id="rId1006" xr:uid="{00000000-0004-0000-0800-0000ED030000}"/>
    <hyperlink ref="AF26" r:id="rId1007" xr:uid="{00000000-0004-0000-0800-0000EE030000}"/>
    <hyperlink ref="BS26" r:id="rId1008" xr:uid="{00000000-0004-0000-0800-0000EF030000}"/>
    <hyperlink ref="CB26" r:id="rId1009" xr:uid="{00000000-0004-0000-0800-0000F0030000}"/>
    <hyperlink ref="CK26" r:id="rId1010" xr:uid="{00000000-0004-0000-0800-0000F1030000}"/>
    <hyperlink ref="CQ26" r:id="rId1011" xr:uid="{00000000-0004-0000-0800-0000F2030000}"/>
    <hyperlink ref="CT26" r:id="rId1012" xr:uid="{00000000-0004-0000-0800-0000F3030000}"/>
    <hyperlink ref="DC26" r:id="rId1013" xr:uid="{00000000-0004-0000-0800-0000F4030000}"/>
    <hyperlink ref="DX26" r:id="rId1014" xr:uid="{00000000-0004-0000-0800-0000F5030000}"/>
    <hyperlink ref="EG26" r:id="rId1015" xr:uid="{00000000-0004-0000-0800-0000F6030000}"/>
    <hyperlink ref="EJ26" r:id="rId1016" xr:uid="{00000000-0004-0000-0800-0000F7030000}"/>
    <hyperlink ref="EP26" r:id="rId1017" xr:uid="{00000000-0004-0000-0800-0000F8030000}"/>
    <hyperlink ref="FB26" r:id="rId1018" xr:uid="{00000000-0004-0000-0800-0000F9030000}"/>
    <hyperlink ref="FE26" r:id="rId1019" xr:uid="{00000000-0004-0000-0800-0000FA030000}"/>
    <hyperlink ref="CB27" r:id="rId1020" xr:uid="{00000000-0004-0000-0800-0000FB030000}"/>
    <hyperlink ref="DX27" r:id="rId1021" xr:uid="{00000000-0004-0000-0800-0000FC030000}"/>
    <hyperlink ref="EG27" r:id="rId1022" xr:uid="{00000000-0004-0000-0800-0000FD030000}"/>
    <hyperlink ref="EP27" r:id="rId1023" xr:uid="{00000000-0004-0000-0800-0000FE030000}"/>
    <hyperlink ref="FB27" r:id="rId1024" xr:uid="{00000000-0004-0000-0800-0000FF030000}"/>
    <hyperlink ref="FE27" r:id="rId1025" xr:uid="{00000000-0004-0000-0800-000000040000}"/>
    <hyperlink ref="DX28" r:id="rId1026" xr:uid="{00000000-0004-0000-0800-000001040000}"/>
    <hyperlink ref="EG28" r:id="rId1027" xr:uid="{00000000-0004-0000-0800-000002040000}"/>
    <hyperlink ref="EP28" r:id="rId1028" xr:uid="{00000000-0004-0000-0800-000003040000}"/>
    <hyperlink ref="FB28" r:id="rId1029" xr:uid="{00000000-0004-0000-0800-000004040000}"/>
    <hyperlink ref="FE28" r:id="rId1030" xr:uid="{00000000-0004-0000-0800-000005040000}"/>
    <hyperlink ref="DX29" r:id="rId1031" xr:uid="{00000000-0004-0000-0800-000006040000}"/>
    <hyperlink ref="EG29" r:id="rId1032" xr:uid="{00000000-0004-0000-0800-000007040000}"/>
    <hyperlink ref="FB29" r:id="rId1033" xr:uid="{00000000-0004-0000-0800-000008040000}"/>
    <hyperlink ref="FE29" r:id="rId1034" xr:uid="{00000000-0004-0000-0800-000009040000}"/>
    <hyperlink ref="EG30" r:id="rId1035" xr:uid="{00000000-0004-0000-0800-00000A040000}"/>
    <hyperlink ref="FB30" r:id="rId1036" xr:uid="{00000000-0004-0000-0800-00000B040000}"/>
    <hyperlink ref="FE30" r:id="rId1037" xr:uid="{00000000-0004-0000-0800-00000C040000}"/>
    <hyperlink ref="FB31" r:id="rId1038" xr:uid="{00000000-0004-0000-0800-00000D040000}"/>
    <hyperlink ref="FE31" r:id="rId1039" xr:uid="{00000000-0004-0000-0800-00000E040000}"/>
    <hyperlink ref="FB32" r:id="rId1040" xr:uid="{00000000-0004-0000-0800-00000F040000}"/>
    <hyperlink ref="FE32" r:id="rId1041" xr:uid="{00000000-0004-0000-0800-000010040000}"/>
    <hyperlink ref="FB33" r:id="rId1042" xr:uid="{00000000-0004-0000-0800-000011040000}"/>
    <hyperlink ref="FE33" r:id="rId1043" xr:uid="{00000000-0004-0000-0800-000012040000}"/>
    <hyperlink ref="FB34" r:id="rId1044" xr:uid="{00000000-0004-0000-0800-000013040000}"/>
    <hyperlink ref="FE34" r:id="rId1045" xr:uid="{00000000-0004-0000-0800-000014040000}"/>
    <hyperlink ref="FB35" r:id="rId1046" xr:uid="{00000000-0004-0000-0800-000015040000}"/>
    <hyperlink ref="FE35" r:id="rId1047" xr:uid="{00000000-0004-0000-0800-000016040000}"/>
    <hyperlink ref="FB36" r:id="rId1048" xr:uid="{00000000-0004-0000-0800-000017040000}"/>
    <hyperlink ref="FE36" r:id="rId1049" xr:uid="{00000000-0004-0000-0800-000018040000}"/>
    <hyperlink ref="FB37" r:id="rId1050" xr:uid="{00000000-0004-0000-0800-000019040000}"/>
    <hyperlink ref="FE37" r:id="rId1051" xr:uid="{00000000-0004-0000-0800-00001A040000}"/>
    <hyperlink ref="FB38" r:id="rId1052" xr:uid="{00000000-0004-0000-0800-00001B040000}"/>
    <hyperlink ref="FE38" r:id="rId1053" xr:uid="{00000000-0004-0000-0800-00001C040000}"/>
    <hyperlink ref="FB39" r:id="rId1054" xr:uid="{00000000-0004-0000-0800-00001D040000}"/>
    <hyperlink ref="FE39" r:id="rId1055" xr:uid="{00000000-0004-0000-0800-00001E040000}"/>
    <hyperlink ref="FE40" r:id="rId1056" xr:uid="{00000000-0004-0000-0800-00001F040000}"/>
    <hyperlink ref="FE41" r:id="rId1057" xr:uid="{00000000-0004-0000-0800-000020040000}"/>
    <hyperlink ref="FE42" r:id="rId1058" xr:uid="{00000000-0004-0000-0800-000021040000}"/>
    <hyperlink ref="FE43" r:id="rId1059" xr:uid="{00000000-0004-0000-0800-000022040000}"/>
    <hyperlink ref="FE44" r:id="rId1060" xr:uid="{00000000-0004-0000-0800-000023040000}"/>
    <hyperlink ref="FE45" r:id="rId1061" xr:uid="{00000000-0004-0000-0800-000024040000}"/>
    <hyperlink ref="FE46" r:id="rId1062" xr:uid="{00000000-0004-0000-0800-000025040000}"/>
    <hyperlink ref="FE47" r:id="rId1063" xr:uid="{00000000-0004-0000-0800-000026040000}"/>
    <hyperlink ref="FE48" r:id="rId1064" xr:uid="{00000000-0004-0000-0800-000027040000}"/>
    <hyperlink ref="FE49" r:id="rId1065" xr:uid="{00000000-0004-0000-0800-000028040000}"/>
    <hyperlink ref="FE50" r:id="rId1066" xr:uid="{00000000-0004-0000-0800-00002904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F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4" max="4" width="4.28515625" customWidth="1"/>
    <col min="5" max="5" width="22.42578125" customWidth="1"/>
    <col min="8" max="8" width="17.85546875" customWidth="1"/>
    <col min="11" max="11" width="19.140625" customWidth="1"/>
    <col min="14" max="14" width="25" customWidth="1"/>
    <col min="17" max="17" width="16.5703125" customWidth="1"/>
    <col min="20" max="20" width="26.140625" customWidth="1"/>
    <col min="23" max="23" width="22" customWidth="1"/>
    <col min="26" max="26" width="20.85546875" customWidth="1"/>
    <col min="29" max="29" width="23.7109375" customWidth="1"/>
    <col min="32" max="32" width="20.7109375" customWidth="1"/>
    <col min="35" max="35" width="19.85546875" customWidth="1"/>
    <col min="38" max="38" width="26.140625" customWidth="1"/>
    <col min="41" max="41" width="14.7109375" customWidth="1"/>
    <col min="44" max="44" width="16" customWidth="1"/>
    <col min="47" max="47" width="19.140625" customWidth="1"/>
    <col min="50" max="50" width="18.7109375" customWidth="1"/>
    <col min="53" max="53" width="13.140625" customWidth="1"/>
    <col min="56" max="56" width="12.5703125" customWidth="1"/>
  </cols>
  <sheetData>
    <row r="1" spans="1:58" ht="15.75" customHeight="1" x14ac:dyDescent="0.2">
      <c r="A1" s="65"/>
      <c r="B1" s="65"/>
      <c r="C1" s="65"/>
      <c r="D1" s="215"/>
      <c r="E1" s="449" t="s">
        <v>1476</v>
      </c>
      <c r="F1" s="397"/>
      <c r="G1" s="450"/>
      <c r="H1" s="449" t="s">
        <v>1477</v>
      </c>
      <c r="I1" s="397"/>
      <c r="J1" s="450"/>
      <c r="K1" s="449" t="s">
        <v>1478</v>
      </c>
      <c r="L1" s="397"/>
      <c r="M1" s="450"/>
      <c r="N1" s="449" t="s">
        <v>1479</v>
      </c>
      <c r="O1" s="397"/>
      <c r="P1" s="450"/>
      <c r="Q1" s="449" t="s">
        <v>1480</v>
      </c>
      <c r="R1" s="397"/>
      <c r="S1" s="450"/>
      <c r="T1" s="449" t="s">
        <v>1481</v>
      </c>
      <c r="U1" s="397"/>
      <c r="V1" s="450"/>
      <c r="W1" s="449" t="s">
        <v>1482</v>
      </c>
      <c r="X1" s="397"/>
      <c r="Y1" s="450"/>
      <c r="Z1" s="449" t="s">
        <v>1483</v>
      </c>
      <c r="AA1" s="397"/>
      <c r="AB1" s="450"/>
      <c r="AC1" s="449" t="s">
        <v>1484</v>
      </c>
      <c r="AD1" s="397"/>
      <c r="AE1" s="450"/>
      <c r="AF1" s="449" t="s">
        <v>1485</v>
      </c>
      <c r="AG1" s="397"/>
      <c r="AH1" s="450"/>
      <c r="AI1" s="449" t="s">
        <v>1486</v>
      </c>
      <c r="AJ1" s="397"/>
      <c r="AK1" s="450"/>
      <c r="AL1" s="449" t="s">
        <v>1487</v>
      </c>
      <c r="AM1" s="397"/>
      <c r="AN1" s="450"/>
      <c r="AO1" s="449" t="s">
        <v>1488</v>
      </c>
      <c r="AP1" s="397"/>
      <c r="AQ1" s="450"/>
      <c r="AR1" s="449" t="s">
        <v>1489</v>
      </c>
      <c r="AS1" s="397"/>
      <c r="AT1" s="450"/>
      <c r="AU1" s="449" t="s">
        <v>1490</v>
      </c>
      <c r="AV1" s="397"/>
      <c r="AW1" s="450"/>
      <c r="AX1" s="449" t="s">
        <v>1491</v>
      </c>
      <c r="AY1" s="397"/>
      <c r="AZ1" s="450"/>
      <c r="BA1" s="449" t="s">
        <v>1492</v>
      </c>
      <c r="BB1" s="397"/>
      <c r="BC1" s="450"/>
      <c r="BD1" s="449" t="s">
        <v>1493</v>
      </c>
      <c r="BE1" s="397"/>
      <c r="BF1" s="450"/>
    </row>
    <row r="2" spans="1:58" ht="15.75" customHeight="1" x14ac:dyDescent="0.2">
      <c r="A2" s="454" t="s">
        <v>1494</v>
      </c>
      <c r="B2" s="412"/>
      <c r="C2" s="215"/>
      <c r="D2" s="216"/>
      <c r="E2" s="223" t="s">
        <v>1495</v>
      </c>
      <c r="F2" s="79">
        <v>45673</v>
      </c>
      <c r="G2" s="218" t="str">
        <f t="shared" ref="G2:G5" si="0">CHOOSE(WEEKDAY(F2,2),"Monday","Tuesday","Wednesday","Thursday","Friday","Saturday","Sunday")</f>
        <v>Thursday</v>
      </c>
      <c r="H2" s="223" t="s">
        <v>1496</v>
      </c>
      <c r="I2" s="79">
        <v>45581</v>
      </c>
      <c r="J2" s="218" t="str">
        <f t="shared" ref="J2:J5" si="1">CHOOSE(WEEKDAY(I2,2),"Monday","Tuesday","Wednesday","Thursday","Friday","Saturday","Sunday")</f>
        <v>Wednesday</v>
      </c>
      <c r="K2" s="223" t="s">
        <v>1497</v>
      </c>
      <c r="L2" s="79">
        <v>45491</v>
      </c>
      <c r="M2" s="218" t="str">
        <f t="shared" ref="M2:M5" si="2">CHOOSE(WEEKDAY(L2,2),"Monday","Tuesday","Wednesday","Thursday","Friday","Saturday","Sunday")</f>
        <v>Thursday</v>
      </c>
      <c r="N2" s="223" t="s">
        <v>1498</v>
      </c>
      <c r="O2" s="79">
        <v>45399</v>
      </c>
      <c r="P2" s="218" t="str">
        <f t="shared" ref="P2:P6" si="3">CHOOSE(WEEKDAY(O2,2),"Monday","Tuesday","Wednesday","Thursday","Friday","Saturday","Sunday")</f>
        <v>Wednesday</v>
      </c>
      <c r="Q2" s="223" t="s">
        <v>1499</v>
      </c>
      <c r="R2" s="79">
        <v>45308</v>
      </c>
      <c r="S2" s="218" t="str">
        <f t="shared" ref="S2:S6" si="4">CHOOSE(WEEKDAY(R2,2),"Monday","Tuesday","Wednesday","Thursday","Friday","Saturday","Sunday")</f>
        <v>Wednesday</v>
      </c>
      <c r="T2" s="223" t="s">
        <v>1500</v>
      </c>
      <c r="U2" s="79">
        <v>45217</v>
      </c>
      <c r="V2" s="218" t="str">
        <f t="shared" ref="V2:V6" si="5">CHOOSE(WEEKDAY(U2,2),"Monday","Tuesday","Wednesday","Thursday","Friday","Saturday","Sunday")</f>
        <v>Wednesday</v>
      </c>
      <c r="W2" s="223" t="s">
        <v>1501</v>
      </c>
      <c r="X2" s="79">
        <v>45126</v>
      </c>
      <c r="Y2" s="218" t="str">
        <f t="shared" ref="Y2:Y6" si="6">CHOOSE(WEEKDAY(X2,2),"Monday","Tuesday","Wednesday","Thursday","Friday","Saturday","Sunday")</f>
        <v>Wednesday</v>
      </c>
      <c r="Z2" s="223" t="s">
        <v>1502</v>
      </c>
      <c r="AA2" s="79">
        <v>45035</v>
      </c>
      <c r="AB2" s="218" t="str">
        <f t="shared" ref="AB2:AB6" si="7">CHOOSE(WEEKDAY(AA2,2),"Monday","Tuesday","Wednesday","Thursday","Friday","Saturday","Sunday")</f>
        <v>Wednesday</v>
      </c>
      <c r="AC2" s="223" t="s">
        <v>1503</v>
      </c>
      <c r="AD2" s="79">
        <v>44944</v>
      </c>
      <c r="AE2" s="218" t="str">
        <f t="shared" ref="AE2:AE6" si="8">CHOOSE(WEEKDAY(AD2,2),"Monday","Tuesday","Wednesday","Thursday","Friday","Saturday","Sunday")</f>
        <v>Wednesday</v>
      </c>
      <c r="AF2" s="223" t="s">
        <v>1504</v>
      </c>
      <c r="AG2" s="79">
        <v>44852</v>
      </c>
      <c r="AH2" s="218" t="str">
        <f t="shared" ref="AH2:AH6" si="9">CHOOSE(WEEKDAY(AG2,2),"Monday","Tuesday","Wednesday","Thursday","Friday","Saturday","Sunday")</f>
        <v>Tuesday</v>
      </c>
      <c r="AI2" s="223" t="s">
        <v>1505</v>
      </c>
      <c r="AJ2" s="79">
        <v>44762</v>
      </c>
      <c r="AK2" s="218" t="str">
        <f t="shared" ref="AK2:AK6" si="10">CHOOSE(WEEKDAY(AJ2,2),"Monday","Tuesday","Wednesday","Thursday","Friday","Saturday","Sunday")</f>
        <v>Wednesday</v>
      </c>
      <c r="AL2" s="223" t="s">
        <v>1506</v>
      </c>
      <c r="AM2" s="79">
        <v>44671</v>
      </c>
      <c r="AN2" s="218" t="str">
        <f t="shared" ref="AN2:AN6" si="11">CHOOSE(WEEKDAY(AM2,2),"Monday","Tuesday","Wednesday","Thursday","Friday","Saturday","Sunday")</f>
        <v>Wednesday</v>
      </c>
      <c r="AO2" s="223" t="s">
        <v>1507</v>
      </c>
      <c r="AP2" s="79">
        <v>44579</v>
      </c>
      <c r="AQ2" s="218" t="str">
        <f t="shared" ref="AQ2:AQ7" si="12">CHOOSE(WEEKDAY(AP2,2),"Monday","Tuesday","Wednesday","Thursday","Friday","Saturday","Sunday")</f>
        <v>Tuesday</v>
      </c>
      <c r="AR2" s="223" t="s">
        <v>1508</v>
      </c>
      <c r="AS2" s="79">
        <v>44487</v>
      </c>
      <c r="AT2" s="218" t="str">
        <f t="shared" ref="AT2:AT7" si="13">CHOOSE(WEEKDAY(AS2,2),"Monday","Tuesday","Wednesday","Thursday","Friday","Saturday","Sunday")</f>
        <v>Monday</v>
      </c>
      <c r="AU2" s="223" t="s">
        <v>1509</v>
      </c>
      <c r="AV2" s="79">
        <v>44397</v>
      </c>
      <c r="AW2" s="218" t="str">
        <f t="shared" ref="AW2:AW7" si="14">CHOOSE(WEEKDAY(AV2,2),"Monday","Tuesday","Wednesday","Thursday","Friday","Saturday","Sunday")</f>
        <v>Tuesday</v>
      </c>
      <c r="AX2" s="223" t="s">
        <v>1510</v>
      </c>
      <c r="AY2" s="79">
        <v>44315</v>
      </c>
      <c r="AZ2" s="218" t="str">
        <f t="shared" ref="AZ2:AZ7" si="15">CHOOSE(WEEKDAY(AY2,2),"Monday","Tuesday","Wednesday","Thursday","Friday","Saturday","Sunday")</f>
        <v>Thursday</v>
      </c>
      <c r="BA2" s="223" t="s">
        <v>1511</v>
      </c>
      <c r="BB2" s="79">
        <v>44247</v>
      </c>
      <c r="BC2" s="218" t="str">
        <f t="shared" ref="BC2:BC7" si="16">CHOOSE(WEEKDAY(BB2,2),"Monday","Tuesday","Wednesday","Thursday","Friday","Saturday","Sunday")</f>
        <v>Saturday</v>
      </c>
      <c r="BD2" s="223" t="s">
        <v>1399</v>
      </c>
      <c r="BE2" s="79">
        <v>44151</v>
      </c>
      <c r="BF2" s="218" t="str">
        <f>CHOOSE(WEEKDAY(BE2,2),"Monday","Tuesday","Wednesday","Thursday","Friday","Saturday","Sunday")</f>
        <v>Monday</v>
      </c>
    </row>
    <row r="3" spans="1:58" ht="15.75" customHeight="1" x14ac:dyDescent="0.2">
      <c r="A3" s="396"/>
      <c r="B3" s="398"/>
      <c r="C3" s="216"/>
      <c r="D3" s="216"/>
      <c r="E3" s="223" t="s">
        <v>1512</v>
      </c>
      <c r="F3" s="79">
        <v>45674</v>
      </c>
      <c r="G3" s="218" t="str">
        <f t="shared" si="0"/>
        <v>Friday</v>
      </c>
      <c r="H3" s="223" t="s">
        <v>1513</v>
      </c>
      <c r="I3" s="79">
        <v>45583</v>
      </c>
      <c r="J3" s="218" t="str">
        <f t="shared" si="1"/>
        <v>Friday</v>
      </c>
      <c r="K3" s="223" t="s">
        <v>1514</v>
      </c>
      <c r="L3" s="79">
        <v>45492</v>
      </c>
      <c r="M3" s="218" t="str">
        <f t="shared" si="2"/>
        <v>Friday</v>
      </c>
      <c r="N3" s="223" t="s">
        <v>1515</v>
      </c>
      <c r="O3" s="79">
        <v>45400</v>
      </c>
      <c r="P3" s="218" t="str">
        <f t="shared" si="3"/>
        <v>Thursday</v>
      </c>
      <c r="Q3" s="223" t="s">
        <v>1516</v>
      </c>
      <c r="R3" s="79">
        <v>45309</v>
      </c>
      <c r="S3" s="218" t="str">
        <f t="shared" si="4"/>
        <v>Thursday</v>
      </c>
      <c r="T3" s="223" t="s">
        <v>1517</v>
      </c>
      <c r="U3" s="79">
        <v>45218</v>
      </c>
      <c r="V3" s="218" t="str">
        <f t="shared" si="5"/>
        <v>Thursday</v>
      </c>
      <c r="W3" s="223" t="s">
        <v>1518</v>
      </c>
      <c r="X3" s="79">
        <v>45127</v>
      </c>
      <c r="Y3" s="218" t="str">
        <f t="shared" si="6"/>
        <v>Thursday</v>
      </c>
      <c r="Z3" s="223" t="s">
        <v>1519</v>
      </c>
      <c r="AA3" s="79">
        <v>45036</v>
      </c>
      <c r="AB3" s="218" t="str">
        <f t="shared" si="7"/>
        <v>Thursday</v>
      </c>
      <c r="AC3" s="223" t="s">
        <v>1520</v>
      </c>
      <c r="AD3" s="79">
        <v>44945</v>
      </c>
      <c r="AE3" s="218" t="str">
        <f t="shared" si="8"/>
        <v>Thursday</v>
      </c>
      <c r="AF3" s="223" t="s">
        <v>1521</v>
      </c>
      <c r="AG3" s="79">
        <v>44853</v>
      </c>
      <c r="AH3" s="218" t="str">
        <f t="shared" si="9"/>
        <v>Wednesday</v>
      </c>
      <c r="AI3" s="223" t="s">
        <v>1522</v>
      </c>
      <c r="AJ3" s="79">
        <v>44763</v>
      </c>
      <c r="AK3" s="218" t="str">
        <f t="shared" si="10"/>
        <v>Thursday</v>
      </c>
      <c r="AL3" s="223" t="s">
        <v>1523</v>
      </c>
      <c r="AM3" s="79">
        <v>44673</v>
      </c>
      <c r="AN3" s="218" t="str">
        <f t="shared" si="11"/>
        <v>Friday</v>
      </c>
      <c r="AO3" s="223" t="s">
        <v>1524</v>
      </c>
      <c r="AP3" s="79">
        <v>44580</v>
      </c>
      <c r="AQ3" s="218" t="str">
        <f t="shared" si="12"/>
        <v>Wednesday</v>
      </c>
      <c r="AR3" s="223" t="s">
        <v>1525</v>
      </c>
      <c r="AS3" s="79">
        <v>44489</v>
      </c>
      <c r="AT3" s="218" t="str">
        <f t="shared" si="13"/>
        <v>Wednesday</v>
      </c>
      <c r="AU3" s="223" t="s">
        <v>1526</v>
      </c>
      <c r="AV3" s="79">
        <v>44398</v>
      </c>
      <c r="AW3" s="218" t="str">
        <f t="shared" si="14"/>
        <v>Wednesday</v>
      </c>
      <c r="AX3" s="223" t="s">
        <v>1527</v>
      </c>
      <c r="AY3" s="79">
        <v>44316</v>
      </c>
      <c r="AZ3" s="218" t="str">
        <f t="shared" si="15"/>
        <v>Friday</v>
      </c>
      <c r="BA3" s="223" t="s">
        <v>1399</v>
      </c>
      <c r="BB3" s="79">
        <v>44251</v>
      </c>
      <c r="BC3" s="218" t="str">
        <f t="shared" si="16"/>
        <v>Wednesday</v>
      </c>
      <c r="BD3" s="220"/>
      <c r="BE3" s="79"/>
      <c r="BF3" s="74"/>
    </row>
    <row r="4" spans="1:58" ht="15.75" customHeight="1" x14ac:dyDescent="0.2">
      <c r="A4" s="74"/>
      <c r="B4" s="216"/>
      <c r="C4" s="216"/>
      <c r="D4" s="74"/>
      <c r="E4" s="223" t="s">
        <v>1399</v>
      </c>
      <c r="F4" s="79">
        <v>45677</v>
      </c>
      <c r="G4" s="218" t="str">
        <f t="shared" si="0"/>
        <v>Monday</v>
      </c>
      <c r="H4" s="223" t="s">
        <v>1399</v>
      </c>
      <c r="I4" s="79">
        <v>45586</v>
      </c>
      <c r="J4" s="218" t="str">
        <f t="shared" si="1"/>
        <v>Monday</v>
      </c>
      <c r="K4" s="223" t="s">
        <v>1399</v>
      </c>
      <c r="L4" s="79">
        <v>45495</v>
      </c>
      <c r="M4" s="218" t="str">
        <f t="shared" si="2"/>
        <v>Monday</v>
      </c>
      <c r="N4" s="223" t="s">
        <v>1528</v>
      </c>
      <c r="O4" s="79">
        <v>45401</v>
      </c>
      <c r="P4" s="218" t="str">
        <f t="shared" si="3"/>
        <v>Friday</v>
      </c>
      <c r="Q4" s="223" t="s">
        <v>1529</v>
      </c>
      <c r="R4" s="79">
        <v>45310</v>
      </c>
      <c r="S4" s="218" t="str">
        <f t="shared" si="4"/>
        <v>Friday</v>
      </c>
      <c r="T4" s="223" t="s">
        <v>1530</v>
      </c>
      <c r="U4" s="79">
        <v>45219</v>
      </c>
      <c r="V4" s="218" t="str">
        <f t="shared" si="5"/>
        <v>Friday</v>
      </c>
      <c r="W4" s="223" t="s">
        <v>1531</v>
      </c>
      <c r="X4" s="79">
        <v>45128</v>
      </c>
      <c r="Y4" s="218" t="str">
        <f t="shared" si="6"/>
        <v>Friday</v>
      </c>
      <c r="Z4" s="223" t="s">
        <v>1532</v>
      </c>
      <c r="AA4" s="79">
        <v>45037</v>
      </c>
      <c r="AB4" s="218" t="str">
        <f t="shared" si="7"/>
        <v>Friday</v>
      </c>
      <c r="AC4" s="223" t="s">
        <v>1533</v>
      </c>
      <c r="AD4" s="79">
        <v>44946</v>
      </c>
      <c r="AE4" s="218" t="str">
        <f t="shared" si="8"/>
        <v>Friday</v>
      </c>
      <c r="AF4" s="223" t="s">
        <v>1534</v>
      </c>
      <c r="AG4" s="79">
        <v>44855</v>
      </c>
      <c r="AH4" s="218" t="str">
        <f t="shared" si="9"/>
        <v>Friday</v>
      </c>
      <c r="AI4" s="223" t="s">
        <v>1535</v>
      </c>
      <c r="AJ4" s="79">
        <v>44764</v>
      </c>
      <c r="AK4" s="218" t="str">
        <f t="shared" si="10"/>
        <v>Friday</v>
      </c>
      <c r="AL4" s="223" t="s">
        <v>1536</v>
      </c>
      <c r="AM4" s="79">
        <v>44676</v>
      </c>
      <c r="AN4" s="218" t="str">
        <f t="shared" si="11"/>
        <v>Monday</v>
      </c>
      <c r="AO4" s="223" t="s">
        <v>1537</v>
      </c>
      <c r="AP4" s="79">
        <v>44581</v>
      </c>
      <c r="AQ4" s="218" t="str">
        <f t="shared" si="12"/>
        <v>Thursday</v>
      </c>
      <c r="AR4" s="223" t="s">
        <v>1538</v>
      </c>
      <c r="AS4" s="79">
        <v>44490</v>
      </c>
      <c r="AT4" s="218" t="str">
        <f t="shared" si="13"/>
        <v>Thursday</v>
      </c>
      <c r="AU4" s="223" t="s">
        <v>1539</v>
      </c>
      <c r="AV4" s="79">
        <v>44399</v>
      </c>
      <c r="AW4" s="218" t="str">
        <f t="shared" si="14"/>
        <v>Thursday</v>
      </c>
      <c r="AX4" s="223" t="s">
        <v>1540</v>
      </c>
      <c r="AY4" s="79">
        <v>44320</v>
      </c>
      <c r="AZ4" s="218" t="str">
        <f t="shared" si="15"/>
        <v>Tuesday</v>
      </c>
      <c r="BA4" s="223" t="s">
        <v>1541</v>
      </c>
      <c r="BB4" s="79">
        <v>44251</v>
      </c>
      <c r="BC4" s="218" t="str">
        <f t="shared" si="16"/>
        <v>Wednesday</v>
      </c>
      <c r="BD4" s="234"/>
      <c r="BE4" s="79"/>
      <c r="BF4" s="74"/>
    </row>
    <row r="5" spans="1:58" ht="15.75" customHeight="1" x14ac:dyDescent="0.2">
      <c r="A5" s="239" t="s">
        <v>124</v>
      </c>
      <c r="B5" s="211">
        <f>COUNTIF(D2:BF25,"Monday")</f>
        <v>16</v>
      </c>
      <c r="C5" s="240">
        <f t="shared" ref="C5:C11" si="17">B5/SUM($B$5:$B$11)</f>
        <v>0.18181818181818182</v>
      </c>
      <c r="D5" s="74"/>
      <c r="E5" s="223" t="s">
        <v>1542</v>
      </c>
      <c r="F5" s="79">
        <v>45679</v>
      </c>
      <c r="G5" s="218" t="str">
        <f t="shared" si="0"/>
        <v>Wednesday</v>
      </c>
      <c r="H5" s="223" t="s">
        <v>1542</v>
      </c>
      <c r="I5" s="79">
        <v>45588</v>
      </c>
      <c r="J5" s="218" t="str">
        <f t="shared" si="1"/>
        <v>Wednesday</v>
      </c>
      <c r="K5" s="223" t="s">
        <v>1542</v>
      </c>
      <c r="L5" s="79">
        <v>45497</v>
      </c>
      <c r="M5" s="218" t="str">
        <f t="shared" si="2"/>
        <v>Wednesday</v>
      </c>
      <c r="N5" s="223" t="s">
        <v>1399</v>
      </c>
      <c r="O5" s="79">
        <v>45404</v>
      </c>
      <c r="P5" s="218" t="str">
        <f t="shared" si="3"/>
        <v>Monday</v>
      </c>
      <c r="Q5" s="223" t="s">
        <v>1399</v>
      </c>
      <c r="R5" s="79">
        <v>45313</v>
      </c>
      <c r="S5" s="218" t="str">
        <f t="shared" si="4"/>
        <v>Monday</v>
      </c>
      <c r="T5" s="223" t="s">
        <v>1399</v>
      </c>
      <c r="U5" s="79">
        <v>45222</v>
      </c>
      <c r="V5" s="218" t="str">
        <f t="shared" si="5"/>
        <v>Monday</v>
      </c>
      <c r="W5" s="223" t="s">
        <v>1399</v>
      </c>
      <c r="X5" s="79">
        <v>45131</v>
      </c>
      <c r="Y5" s="218" t="str">
        <f t="shared" si="6"/>
        <v>Monday</v>
      </c>
      <c r="Z5" s="223" t="s">
        <v>1399</v>
      </c>
      <c r="AA5" s="79">
        <v>45040</v>
      </c>
      <c r="AB5" s="218" t="str">
        <f t="shared" si="7"/>
        <v>Monday</v>
      </c>
      <c r="AC5" s="223" t="s">
        <v>1399</v>
      </c>
      <c r="AD5" s="79">
        <v>44949</v>
      </c>
      <c r="AE5" s="218" t="str">
        <f t="shared" si="8"/>
        <v>Monday</v>
      </c>
      <c r="AF5" s="223" t="s">
        <v>1399</v>
      </c>
      <c r="AG5" s="79">
        <v>44858</v>
      </c>
      <c r="AH5" s="218" t="str">
        <f t="shared" si="9"/>
        <v>Monday</v>
      </c>
      <c r="AI5" s="223" t="s">
        <v>1399</v>
      </c>
      <c r="AJ5" s="79">
        <v>44768</v>
      </c>
      <c r="AK5" s="218" t="str">
        <f t="shared" si="10"/>
        <v>Tuesday</v>
      </c>
      <c r="AL5" s="223" t="s">
        <v>1399</v>
      </c>
      <c r="AM5" s="79">
        <v>44677</v>
      </c>
      <c r="AN5" s="218" t="str">
        <f t="shared" si="11"/>
        <v>Tuesday</v>
      </c>
      <c r="AO5" s="223" t="s">
        <v>1543</v>
      </c>
      <c r="AP5" s="79">
        <v>44582</v>
      </c>
      <c r="AQ5" s="218" t="str">
        <f t="shared" si="12"/>
        <v>Friday</v>
      </c>
      <c r="AR5" s="223" t="s">
        <v>1544</v>
      </c>
      <c r="AS5" s="79">
        <v>44491</v>
      </c>
      <c r="AT5" s="218" t="str">
        <f t="shared" si="13"/>
        <v>Friday</v>
      </c>
      <c r="AU5" s="223" t="s">
        <v>1545</v>
      </c>
      <c r="AV5" s="79">
        <v>44400</v>
      </c>
      <c r="AW5" s="218" t="str">
        <f t="shared" si="14"/>
        <v>Friday</v>
      </c>
      <c r="AX5" s="223" t="s">
        <v>1546</v>
      </c>
      <c r="AY5" s="79">
        <v>44321</v>
      </c>
      <c r="AZ5" s="218" t="str">
        <f t="shared" si="15"/>
        <v>Wednesday</v>
      </c>
      <c r="BA5" s="223" t="s">
        <v>1542</v>
      </c>
      <c r="BB5" s="79">
        <v>44252</v>
      </c>
      <c r="BC5" s="218" t="str">
        <f t="shared" si="16"/>
        <v>Thursday</v>
      </c>
      <c r="BD5" s="234"/>
      <c r="BE5" s="79"/>
      <c r="BF5" s="74"/>
    </row>
    <row r="6" spans="1:58" ht="15.75" customHeight="1" x14ac:dyDescent="0.2">
      <c r="A6" s="239" t="s">
        <v>125</v>
      </c>
      <c r="B6" s="242">
        <f>COUNTIF(D2:BF25,"Tuesday")</f>
        <v>7</v>
      </c>
      <c r="C6" s="240">
        <f t="shared" si="17"/>
        <v>7.9545454545454544E-2</v>
      </c>
      <c r="D6" s="74"/>
      <c r="E6" s="74"/>
      <c r="F6" s="79"/>
      <c r="G6" s="74"/>
      <c r="H6" s="74"/>
      <c r="I6" s="79"/>
      <c r="J6" s="74"/>
      <c r="K6" s="74"/>
      <c r="L6" s="79"/>
      <c r="M6" s="74"/>
      <c r="N6" s="223" t="s">
        <v>1542</v>
      </c>
      <c r="O6" s="79">
        <v>45406</v>
      </c>
      <c r="P6" s="218" t="str">
        <f t="shared" si="3"/>
        <v>Wednesday</v>
      </c>
      <c r="Q6" s="223" t="s">
        <v>1542</v>
      </c>
      <c r="R6" s="79">
        <v>45315</v>
      </c>
      <c r="S6" s="218" t="str">
        <f t="shared" si="4"/>
        <v>Wednesday</v>
      </c>
      <c r="T6" s="223" t="s">
        <v>1542</v>
      </c>
      <c r="U6" s="79">
        <v>45224</v>
      </c>
      <c r="V6" s="218" t="str">
        <f t="shared" si="5"/>
        <v>Wednesday</v>
      </c>
      <c r="W6" s="223" t="s">
        <v>1542</v>
      </c>
      <c r="X6" s="79">
        <v>45133</v>
      </c>
      <c r="Y6" s="218" t="str">
        <f t="shared" si="6"/>
        <v>Wednesday</v>
      </c>
      <c r="Z6" s="223" t="s">
        <v>1542</v>
      </c>
      <c r="AA6" s="79">
        <v>45042</v>
      </c>
      <c r="AB6" s="218" t="str">
        <f t="shared" si="7"/>
        <v>Wednesday</v>
      </c>
      <c r="AC6" s="223" t="s">
        <v>1542</v>
      </c>
      <c r="AD6" s="79">
        <v>44951</v>
      </c>
      <c r="AE6" s="218" t="str">
        <f t="shared" si="8"/>
        <v>Wednesday</v>
      </c>
      <c r="AF6" s="223" t="s">
        <v>1542</v>
      </c>
      <c r="AG6" s="79">
        <v>44860</v>
      </c>
      <c r="AH6" s="218" t="str">
        <f t="shared" si="9"/>
        <v>Wednesday</v>
      </c>
      <c r="AI6" s="223" t="s">
        <v>1542</v>
      </c>
      <c r="AJ6" s="79">
        <v>44769</v>
      </c>
      <c r="AK6" s="218" t="str">
        <f t="shared" si="10"/>
        <v>Wednesday</v>
      </c>
      <c r="AL6" s="223" t="s">
        <v>1542</v>
      </c>
      <c r="AM6" s="79">
        <v>44861</v>
      </c>
      <c r="AN6" s="218" t="str">
        <f t="shared" si="11"/>
        <v>Thursday</v>
      </c>
      <c r="AO6" s="223" t="s">
        <v>1399</v>
      </c>
      <c r="AP6" s="79">
        <v>44586</v>
      </c>
      <c r="AQ6" s="218" t="str">
        <f t="shared" si="12"/>
        <v>Tuesday</v>
      </c>
      <c r="AR6" s="223" t="s">
        <v>1399</v>
      </c>
      <c r="AS6" s="79">
        <v>44494</v>
      </c>
      <c r="AT6" s="218" t="str">
        <f t="shared" si="13"/>
        <v>Monday</v>
      </c>
      <c r="AU6" s="223" t="s">
        <v>1399</v>
      </c>
      <c r="AV6" s="79">
        <v>44403</v>
      </c>
      <c r="AW6" s="218" t="str">
        <f t="shared" si="14"/>
        <v>Monday</v>
      </c>
      <c r="AX6" s="223" t="s">
        <v>1399</v>
      </c>
      <c r="AY6" s="79">
        <v>44322</v>
      </c>
      <c r="AZ6" s="218" t="str">
        <f t="shared" si="15"/>
        <v>Thursday</v>
      </c>
      <c r="BA6" s="223" t="s">
        <v>1547</v>
      </c>
      <c r="BB6" s="79">
        <v>44252</v>
      </c>
      <c r="BC6" s="218" t="str">
        <f t="shared" si="16"/>
        <v>Thursday</v>
      </c>
      <c r="BD6" s="234"/>
      <c r="BE6" s="79"/>
      <c r="BF6" s="74"/>
    </row>
    <row r="7" spans="1:58" ht="15.75" customHeight="1" x14ac:dyDescent="0.2">
      <c r="A7" s="239" t="s">
        <v>128</v>
      </c>
      <c r="B7" s="242">
        <f>COUNTIF(D2:BF25,"Wednesday")</f>
        <v>31</v>
      </c>
      <c r="C7" s="240">
        <f t="shared" si="17"/>
        <v>0.35227272727272729</v>
      </c>
      <c r="D7" s="74"/>
      <c r="E7" s="74"/>
      <c r="F7" s="79"/>
      <c r="G7" s="74"/>
      <c r="H7" s="74"/>
      <c r="I7" s="79"/>
      <c r="J7" s="74"/>
      <c r="K7" s="74"/>
      <c r="L7" s="79"/>
      <c r="M7" s="74"/>
      <c r="N7" s="74"/>
      <c r="O7" s="79"/>
      <c r="P7" s="74"/>
      <c r="Q7" s="74"/>
      <c r="R7" s="79"/>
      <c r="S7" s="74"/>
      <c r="T7" s="74"/>
      <c r="U7" s="79"/>
      <c r="V7" s="74"/>
      <c r="W7" s="74"/>
      <c r="X7" s="79"/>
      <c r="Y7" s="74"/>
      <c r="Z7" s="74"/>
      <c r="AA7" s="79"/>
      <c r="AB7" s="74"/>
      <c r="AC7" s="74"/>
      <c r="AD7" s="79"/>
      <c r="AE7" s="74"/>
      <c r="AF7" s="74"/>
      <c r="AG7" s="79"/>
      <c r="AH7" s="74"/>
      <c r="AI7" s="74"/>
      <c r="AJ7" s="79"/>
      <c r="AK7" s="74"/>
      <c r="AL7" s="74"/>
      <c r="AM7" s="79"/>
      <c r="AN7" s="74"/>
      <c r="AO7" s="223" t="s">
        <v>1542</v>
      </c>
      <c r="AP7" s="79">
        <v>44587</v>
      </c>
      <c r="AQ7" s="218" t="str">
        <f t="shared" si="12"/>
        <v>Wednesday</v>
      </c>
      <c r="AR7" s="223" t="s">
        <v>1542</v>
      </c>
      <c r="AS7" s="79">
        <v>44496</v>
      </c>
      <c r="AT7" s="218" t="str">
        <f t="shared" si="13"/>
        <v>Wednesday</v>
      </c>
      <c r="AU7" s="223" t="s">
        <v>1542</v>
      </c>
      <c r="AV7" s="79">
        <v>44405</v>
      </c>
      <c r="AW7" s="218" t="str">
        <f t="shared" si="14"/>
        <v>Wednesday</v>
      </c>
      <c r="AX7" s="223" t="s">
        <v>1542</v>
      </c>
      <c r="AY7" s="79">
        <v>44328</v>
      </c>
      <c r="AZ7" s="218" t="str">
        <f t="shared" si="15"/>
        <v>Wednesday</v>
      </c>
      <c r="BA7" s="223" t="s">
        <v>1548</v>
      </c>
      <c r="BB7" s="79">
        <v>44256</v>
      </c>
      <c r="BC7" s="218" t="str">
        <f t="shared" si="16"/>
        <v>Monday</v>
      </c>
      <c r="BD7" s="74"/>
      <c r="BE7" s="79"/>
      <c r="BF7" s="74"/>
    </row>
    <row r="8" spans="1:58" ht="15.75" customHeight="1" x14ac:dyDescent="0.2">
      <c r="A8" s="239" t="s">
        <v>130</v>
      </c>
      <c r="B8" s="242">
        <f>COUNTIF(D2:BF25,"Thursday")</f>
        <v>17</v>
      </c>
      <c r="C8" s="240">
        <f t="shared" si="17"/>
        <v>0.19318181818181818</v>
      </c>
      <c r="D8" s="74"/>
      <c r="E8" s="74"/>
      <c r="F8" s="79"/>
      <c r="G8" s="74"/>
      <c r="H8" s="74"/>
      <c r="I8" s="79"/>
      <c r="J8" s="74"/>
      <c r="K8" s="74"/>
      <c r="L8" s="79"/>
      <c r="M8" s="74"/>
      <c r="N8" s="74"/>
      <c r="O8" s="79"/>
      <c r="P8" s="74"/>
      <c r="Q8" s="74"/>
      <c r="R8" s="79"/>
      <c r="S8" s="74"/>
      <c r="T8" s="74"/>
      <c r="U8" s="79"/>
      <c r="V8" s="74"/>
      <c r="W8" s="74"/>
      <c r="X8" s="79"/>
      <c r="Y8" s="74"/>
      <c r="Z8" s="74"/>
      <c r="AA8" s="79"/>
      <c r="AB8" s="74"/>
      <c r="AC8" s="74"/>
      <c r="AD8" s="79"/>
      <c r="AE8" s="74"/>
      <c r="AF8" s="74"/>
      <c r="AG8" s="79"/>
      <c r="AH8" s="74"/>
      <c r="AI8" s="74"/>
      <c r="AJ8" s="79"/>
      <c r="AK8" s="74"/>
      <c r="AL8" s="74"/>
      <c r="AM8" s="79"/>
      <c r="AN8" s="74"/>
      <c r="AO8" s="74"/>
      <c r="AP8" s="79"/>
      <c r="AQ8" s="74"/>
      <c r="AR8" s="74"/>
      <c r="AS8" s="79"/>
      <c r="AT8" s="74"/>
      <c r="AU8" s="74"/>
      <c r="AV8" s="79"/>
      <c r="AW8" s="74"/>
      <c r="AX8" s="74"/>
      <c r="AY8" s="79"/>
      <c r="AZ8" s="74"/>
      <c r="BA8" s="74"/>
      <c r="BB8" s="79"/>
      <c r="BC8" s="74"/>
      <c r="BD8" s="74"/>
      <c r="BE8" s="79"/>
      <c r="BF8" s="74"/>
    </row>
    <row r="9" spans="1:58" ht="15.75" customHeight="1" x14ac:dyDescent="0.2">
      <c r="A9" s="239" t="s">
        <v>132</v>
      </c>
      <c r="B9" s="242">
        <f>COUNTIF(D2:BF25,"Friday")</f>
        <v>16</v>
      </c>
      <c r="C9" s="240">
        <f t="shared" si="17"/>
        <v>0.18181818181818182</v>
      </c>
      <c r="D9" s="74"/>
      <c r="E9" s="74"/>
      <c r="F9" s="79"/>
      <c r="G9" s="74"/>
      <c r="H9" s="74"/>
      <c r="I9" s="79"/>
      <c r="J9" s="74"/>
      <c r="K9" s="74"/>
      <c r="L9" s="79"/>
      <c r="M9" s="74"/>
      <c r="N9" s="74"/>
      <c r="O9" s="79"/>
      <c r="P9" s="74"/>
      <c r="Q9" s="74"/>
      <c r="R9" s="79"/>
      <c r="S9" s="74"/>
      <c r="T9" s="74"/>
      <c r="U9" s="79"/>
      <c r="V9" s="74"/>
      <c r="W9" s="74"/>
      <c r="X9" s="79"/>
      <c r="Y9" s="74"/>
      <c r="Z9" s="74"/>
      <c r="AA9" s="79"/>
      <c r="AB9" s="74"/>
      <c r="AC9" s="74"/>
      <c r="AD9" s="79"/>
      <c r="AE9" s="74"/>
      <c r="AF9" s="74"/>
      <c r="AG9" s="79"/>
      <c r="AH9" s="74"/>
      <c r="AI9" s="74"/>
      <c r="AJ9" s="79"/>
      <c r="AK9" s="74"/>
      <c r="AL9" s="74"/>
      <c r="AM9" s="79"/>
      <c r="AN9" s="74"/>
      <c r="AO9" s="74"/>
      <c r="AP9" s="79"/>
      <c r="AQ9" s="74"/>
      <c r="AR9" s="74"/>
      <c r="AS9" s="79"/>
      <c r="AT9" s="74"/>
      <c r="AU9" s="74"/>
      <c r="AV9" s="79"/>
      <c r="AW9" s="74"/>
      <c r="AX9" s="74"/>
      <c r="AY9" s="79"/>
      <c r="AZ9" s="74"/>
      <c r="BA9" s="74"/>
      <c r="BB9" s="79"/>
      <c r="BC9" s="74"/>
      <c r="BD9" s="74"/>
      <c r="BE9" s="79"/>
      <c r="BF9" s="74"/>
    </row>
    <row r="10" spans="1:58" ht="15.75" customHeight="1" x14ac:dyDescent="0.2">
      <c r="A10" s="239" t="s">
        <v>134</v>
      </c>
      <c r="B10" s="242">
        <f>COUNTIF(D2:BF25,"Saturday")</f>
        <v>1</v>
      </c>
      <c r="C10" s="240">
        <f t="shared" si="17"/>
        <v>1.1363636363636364E-2</v>
      </c>
      <c r="D10" s="74"/>
      <c r="E10" s="74"/>
      <c r="F10" s="79"/>
      <c r="G10" s="74"/>
      <c r="H10" s="74"/>
      <c r="I10" s="79"/>
      <c r="J10" s="74"/>
      <c r="K10" s="74"/>
      <c r="L10" s="79"/>
      <c r="M10" s="74"/>
      <c r="N10" s="74"/>
      <c r="O10" s="79"/>
      <c r="P10" s="74"/>
      <c r="Q10" s="74"/>
      <c r="R10" s="79"/>
      <c r="S10" s="74"/>
      <c r="T10" s="74"/>
      <c r="U10" s="79"/>
      <c r="V10" s="74"/>
      <c r="W10" s="74"/>
      <c r="X10" s="79"/>
      <c r="Y10" s="74"/>
      <c r="Z10" s="74"/>
      <c r="AA10" s="79"/>
      <c r="AB10" s="74"/>
      <c r="AC10" s="74"/>
      <c r="AD10" s="79"/>
      <c r="AE10" s="74"/>
      <c r="AF10" s="74"/>
      <c r="AG10" s="79"/>
      <c r="AH10" s="74"/>
      <c r="AI10" s="74"/>
      <c r="AJ10" s="79"/>
      <c r="AK10" s="74"/>
      <c r="AL10" s="74"/>
      <c r="AM10" s="79"/>
      <c r="AN10" s="74"/>
      <c r="AO10" s="74"/>
      <c r="AP10" s="79"/>
      <c r="AQ10" s="74"/>
      <c r="AR10" s="74"/>
      <c r="AS10" s="79"/>
      <c r="AT10" s="74"/>
      <c r="AU10" s="74"/>
      <c r="AV10" s="79"/>
      <c r="AW10" s="74"/>
      <c r="AX10" s="74"/>
      <c r="AY10" s="79"/>
      <c r="AZ10" s="74"/>
      <c r="BA10" s="74"/>
      <c r="BB10" s="79"/>
      <c r="BC10" s="74"/>
      <c r="BD10" s="74"/>
      <c r="BE10" s="79"/>
      <c r="BF10" s="74"/>
    </row>
    <row r="11" spans="1:58" ht="15.75" customHeight="1" x14ac:dyDescent="0.2">
      <c r="A11" s="239" t="s">
        <v>136</v>
      </c>
      <c r="B11" s="242">
        <f>COUNTIF(D2:BF25,"Sunday")</f>
        <v>0</v>
      </c>
      <c r="C11" s="240">
        <f t="shared" si="17"/>
        <v>0</v>
      </c>
      <c r="D11" s="74"/>
      <c r="E11" s="74"/>
      <c r="F11" s="79"/>
      <c r="G11" s="74"/>
      <c r="H11" s="74"/>
      <c r="I11" s="79"/>
      <c r="J11" s="74"/>
      <c r="K11" s="74"/>
      <c r="L11" s="79"/>
      <c r="M11" s="74"/>
      <c r="N11" s="74"/>
      <c r="O11" s="79"/>
      <c r="P11" s="74"/>
      <c r="Q11" s="74"/>
      <c r="R11" s="79"/>
      <c r="S11" s="74"/>
      <c r="T11" s="74"/>
      <c r="U11" s="79"/>
      <c r="V11" s="74"/>
      <c r="W11" s="74"/>
      <c r="X11" s="79"/>
      <c r="Y11" s="74"/>
      <c r="Z11" s="74"/>
      <c r="AA11" s="79"/>
      <c r="AB11" s="74"/>
      <c r="AC11" s="74"/>
      <c r="AD11" s="79"/>
      <c r="AE11" s="74"/>
      <c r="AF11" s="74"/>
      <c r="AG11" s="79"/>
      <c r="AH11" s="74"/>
      <c r="AI11" s="74"/>
      <c r="AJ11" s="79"/>
      <c r="AK11" s="74"/>
      <c r="AL11" s="74"/>
      <c r="AM11" s="79"/>
      <c r="AN11" s="74"/>
      <c r="AO11" s="74"/>
      <c r="AP11" s="79"/>
      <c r="AQ11" s="74"/>
      <c r="AR11" s="74"/>
      <c r="AS11" s="79"/>
      <c r="AT11" s="74"/>
      <c r="AU11" s="74"/>
      <c r="AV11" s="79"/>
      <c r="AW11" s="74"/>
      <c r="AX11" s="74"/>
      <c r="AY11" s="79"/>
      <c r="AZ11" s="74"/>
      <c r="BA11" s="74"/>
      <c r="BB11" s="79"/>
      <c r="BC11" s="74"/>
      <c r="BD11" s="74"/>
      <c r="BE11" s="79"/>
      <c r="BF11" s="74"/>
    </row>
    <row r="12" spans="1:58" ht="15.75" customHeight="1" x14ac:dyDescent="0.2">
      <c r="A12" s="74"/>
      <c r="B12" s="74"/>
      <c r="C12" s="74"/>
      <c r="D12" s="74"/>
      <c r="E12" s="74"/>
      <c r="F12" s="79"/>
      <c r="G12" s="74"/>
      <c r="H12" s="74"/>
      <c r="I12" s="79"/>
      <c r="J12" s="74"/>
      <c r="K12" s="74"/>
      <c r="L12" s="79"/>
      <c r="M12" s="74"/>
      <c r="N12" s="74"/>
      <c r="O12" s="79"/>
      <c r="P12" s="74"/>
      <c r="Q12" s="74"/>
      <c r="R12" s="79"/>
      <c r="S12" s="74"/>
      <c r="T12" s="74"/>
      <c r="U12" s="79"/>
      <c r="V12" s="74"/>
      <c r="W12" s="74"/>
      <c r="X12" s="79"/>
      <c r="Y12" s="74"/>
      <c r="Z12" s="74"/>
      <c r="AA12" s="79"/>
      <c r="AB12" s="74"/>
      <c r="AC12" s="74"/>
      <c r="AD12" s="79"/>
      <c r="AE12" s="74"/>
      <c r="AF12" s="74"/>
      <c r="AG12" s="79"/>
      <c r="AH12" s="74"/>
      <c r="AI12" s="74"/>
      <c r="AJ12" s="79"/>
      <c r="AK12" s="74"/>
      <c r="AL12" s="74"/>
      <c r="AM12" s="79"/>
      <c r="AN12" s="74"/>
      <c r="AO12" s="74"/>
      <c r="AP12" s="79"/>
      <c r="AQ12" s="74"/>
      <c r="AR12" s="74"/>
      <c r="AS12" s="79"/>
      <c r="AT12" s="74"/>
      <c r="AU12" s="74"/>
      <c r="AV12" s="79"/>
      <c r="AW12" s="74"/>
      <c r="AX12" s="74"/>
      <c r="AY12" s="79"/>
      <c r="AZ12" s="74"/>
      <c r="BA12" s="74"/>
      <c r="BB12" s="79"/>
      <c r="BC12" s="74"/>
      <c r="BD12" s="74"/>
      <c r="BE12" s="79"/>
      <c r="BF12" s="74"/>
    </row>
    <row r="13" spans="1:58" ht="15.75" customHeight="1" x14ac:dyDescent="0.2">
      <c r="A13" s="453" t="s">
        <v>1218</v>
      </c>
      <c r="B13" s="394"/>
      <c r="C13" s="395"/>
      <c r="D13" s="74"/>
      <c r="E13" s="74"/>
      <c r="F13" s="79"/>
      <c r="G13" s="74"/>
      <c r="H13" s="74"/>
      <c r="I13" s="79"/>
      <c r="J13" s="74"/>
      <c r="K13" s="74"/>
      <c r="L13" s="79"/>
      <c r="M13" s="74"/>
      <c r="N13" s="74"/>
      <c r="O13" s="79"/>
      <c r="P13" s="74"/>
      <c r="Q13" s="74"/>
      <c r="R13" s="79"/>
      <c r="S13" s="74"/>
      <c r="T13" s="74"/>
      <c r="U13" s="79"/>
      <c r="V13" s="74"/>
      <c r="W13" s="74"/>
      <c r="X13" s="79"/>
      <c r="Y13" s="74"/>
      <c r="Z13" s="74"/>
      <c r="AA13" s="79"/>
      <c r="AB13" s="74"/>
      <c r="AC13" s="74"/>
      <c r="AD13" s="79"/>
      <c r="AE13" s="74"/>
      <c r="AF13" s="74"/>
      <c r="AG13" s="79"/>
      <c r="AH13" s="74"/>
      <c r="AI13" s="74"/>
      <c r="AJ13" s="79"/>
      <c r="AK13" s="74"/>
      <c r="AL13" s="74"/>
      <c r="AM13" s="79"/>
      <c r="AN13" s="74"/>
      <c r="AO13" s="74"/>
      <c r="AP13" s="79"/>
      <c r="AQ13" s="74"/>
      <c r="AR13" s="74"/>
      <c r="AS13" s="79"/>
      <c r="AT13" s="74"/>
      <c r="AU13" s="74"/>
      <c r="AV13" s="79"/>
      <c r="AW13" s="74"/>
      <c r="AX13" s="74"/>
      <c r="AY13" s="79"/>
      <c r="AZ13" s="74"/>
      <c r="BA13" s="74"/>
      <c r="BB13" s="79"/>
      <c r="BC13" s="74"/>
      <c r="BD13" s="74"/>
      <c r="BE13" s="79"/>
      <c r="BF13" s="74"/>
    </row>
    <row r="14" spans="1:58" ht="15.75" customHeight="1" x14ac:dyDescent="0.2">
      <c r="A14" s="239" t="s">
        <v>124</v>
      </c>
      <c r="B14" s="211">
        <f>COUNTIF(D2:BF2,"Monday")</f>
        <v>2</v>
      </c>
      <c r="C14" s="240">
        <f t="shared" ref="C14:C19" si="18">B14/SUM($B$14:$B$20)</f>
        <v>0.1111111111111111</v>
      </c>
      <c r="D14" s="74"/>
      <c r="E14" s="74"/>
      <c r="F14" s="79"/>
      <c r="G14" s="74"/>
      <c r="H14" s="74"/>
      <c r="I14" s="79"/>
      <c r="J14" s="74"/>
      <c r="K14" s="74"/>
      <c r="L14" s="79"/>
      <c r="M14" s="74"/>
      <c r="N14" s="74"/>
      <c r="O14" s="79"/>
      <c r="P14" s="74"/>
      <c r="Q14" s="74"/>
      <c r="R14" s="79"/>
      <c r="S14" s="74"/>
      <c r="T14" s="74"/>
      <c r="U14" s="79"/>
      <c r="V14" s="74"/>
      <c r="W14" s="74"/>
      <c r="X14" s="79"/>
      <c r="Y14" s="74"/>
      <c r="Z14" s="74"/>
      <c r="AA14" s="79"/>
      <c r="AB14" s="74"/>
      <c r="AC14" s="74"/>
      <c r="AD14" s="79"/>
      <c r="AE14" s="74"/>
      <c r="AF14" s="74"/>
      <c r="AG14" s="79"/>
      <c r="AH14" s="74"/>
      <c r="AI14" s="74"/>
      <c r="AJ14" s="79"/>
      <c r="AK14" s="74"/>
      <c r="AL14" s="74"/>
      <c r="AM14" s="79"/>
      <c r="AN14" s="74"/>
      <c r="AO14" s="74"/>
      <c r="AP14" s="79"/>
      <c r="AQ14" s="74"/>
      <c r="AR14" s="74"/>
      <c r="AS14" s="79"/>
      <c r="AT14" s="74"/>
      <c r="AU14" s="74"/>
      <c r="AV14" s="79"/>
      <c r="AW14" s="74"/>
      <c r="AX14" s="74"/>
      <c r="AY14" s="79"/>
      <c r="AZ14" s="74"/>
      <c r="BA14" s="74"/>
      <c r="BB14" s="79"/>
      <c r="BC14" s="74"/>
      <c r="BD14" s="74"/>
      <c r="BE14" s="79"/>
      <c r="BF14" s="74"/>
    </row>
    <row r="15" spans="1:58" ht="15.75" customHeight="1" x14ac:dyDescent="0.2">
      <c r="A15" s="239" t="s">
        <v>125</v>
      </c>
      <c r="B15" s="242">
        <f>COUNTIF(D2:BF2,"Tuesday")</f>
        <v>3</v>
      </c>
      <c r="C15" s="240">
        <f t="shared" si="18"/>
        <v>0.16666666666666666</v>
      </c>
      <c r="D15" s="74"/>
      <c r="E15" s="74"/>
      <c r="F15" s="79"/>
      <c r="G15" s="74"/>
      <c r="H15" s="74"/>
      <c r="I15" s="79"/>
      <c r="J15" s="74"/>
      <c r="K15" s="74"/>
      <c r="L15" s="79"/>
      <c r="M15" s="74"/>
      <c r="N15" s="74"/>
      <c r="O15" s="79"/>
      <c r="P15" s="74"/>
      <c r="Q15" s="74"/>
      <c r="R15" s="79"/>
      <c r="S15" s="74"/>
      <c r="T15" s="74"/>
      <c r="U15" s="79"/>
      <c r="V15" s="74"/>
      <c r="W15" s="74"/>
      <c r="X15" s="79"/>
      <c r="Y15" s="74"/>
      <c r="Z15" s="74"/>
      <c r="AA15" s="79"/>
      <c r="AB15" s="74"/>
      <c r="AC15" s="74"/>
      <c r="AD15" s="79"/>
      <c r="AE15" s="74"/>
      <c r="AF15" s="74"/>
      <c r="AG15" s="79"/>
      <c r="AH15" s="74"/>
      <c r="AI15" s="74"/>
      <c r="AJ15" s="79"/>
      <c r="AK15" s="74"/>
      <c r="AL15" s="74"/>
      <c r="AM15" s="79"/>
      <c r="AN15" s="74"/>
      <c r="AO15" s="74"/>
      <c r="AP15" s="79"/>
      <c r="AQ15" s="74"/>
      <c r="AR15" s="74"/>
      <c r="AS15" s="79"/>
      <c r="AT15" s="74"/>
      <c r="AU15" s="74"/>
      <c r="AV15" s="79"/>
      <c r="AW15" s="74"/>
      <c r="AX15" s="74"/>
      <c r="AY15" s="79"/>
      <c r="AZ15" s="74"/>
      <c r="BA15" s="74"/>
      <c r="BB15" s="79"/>
      <c r="BC15" s="74"/>
      <c r="BD15" s="74"/>
      <c r="BE15" s="79"/>
      <c r="BF15" s="74"/>
    </row>
    <row r="16" spans="1:58" ht="15.75" customHeight="1" x14ac:dyDescent="0.2">
      <c r="A16" s="239" t="s">
        <v>128</v>
      </c>
      <c r="B16" s="242">
        <f>COUNTIF(D2:BF2,"Wednesday")</f>
        <v>9</v>
      </c>
      <c r="C16" s="240">
        <f t="shared" si="18"/>
        <v>0.5</v>
      </c>
      <c r="D16" s="74"/>
      <c r="E16" s="74"/>
      <c r="F16" s="79"/>
      <c r="G16" s="74"/>
      <c r="H16" s="74"/>
      <c r="I16" s="79"/>
      <c r="J16" s="74"/>
      <c r="K16" s="74"/>
      <c r="L16" s="79"/>
      <c r="M16" s="74"/>
      <c r="N16" s="74"/>
      <c r="O16" s="79"/>
      <c r="P16" s="74"/>
      <c r="Q16" s="74"/>
      <c r="R16" s="79"/>
      <c r="S16" s="74"/>
      <c r="T16" s="74"/>
      <c r="U16" s="79"/>
      <c r="V16" s="74"/>
      <c r="W16" s="74"/>
      <c r="X16" s="79"/>
      <c r="Y16" s="74"/>
      <c r="Z16" s="74"/>
      <c r="AA16" s="79"/>
      <c r="AB16" s="74"/>
      <c r="AC16" s="74"/>
      <c r="AD16" s="79"/>
      <c r="AE16" s="74"/>
      <c r="AF16" s="74"/>
      <c r="AG16" s="79"/>
      <c r="AH16" s="74"/>
      <c r="AI16" s="74"/>
      <c r="AJ16" s="79"/>
      <c r="AK16" s="74"/>
      <c r="AL16" s="74"/>
      <c r="AM16" s="79"/>
      <c r="AN16" s="74"/>
      <c r="AO16" s="74"/>
      <c r="AP16" s="79"/>
      <c r="AQ16" s="74"/>
      <c r="AR16" s="74"/>
      <c r="AS16" s="79"/>
      <c r="AT16" s="74"/>
      <c r="AU16" s="74"/>
      <c r="AV16" s="79"/>
      <c r="AW16" s="74"/>
      <c r="AX16" s="74"/>
      <c r="AY16" s="79"/>
      <c r="AZ16" s="74"/>
      <c r="BA16" s="74"/>
      <c r="BB16" s="79"/>
      <c r="BC16" s="74"/>
      <c r="BD16" s="74"/>
      <c r="BE16" s="79"/>
      <c r="BF16" s="74"/>
    </row>
    <row r="17" spans="1:58" ht="15.75" customHeight="1" x14ac:dyDescent="0.2">
      <c r="A17" s="239" t="s">
        <v>130</v>
      </c>
      <c r="B17" s="242">
        <f>COUNTIF(D2:BF2,"Thursday")</f>
        <v>3</v>
      </c>
      <c r="C17" s="240">
        <f t="shared" si="18"/>
        <v>0.16666666666666666</v>
      </c>
      <c r="D17" s="74"/>
      <c r="E17" s="74"/>
      <c r="F17" s="79"/>
      <c r="G17" s="74"/>
      <c r="H17" s="74"/>
      <c r="I17" s="79"/>
      <c r="J17" s="74"/>
      <c r="K17" s="74"/>
      <c r="L17" s="79"/>
      <c r="M17" s="74"/>
      <c r="N17" s="74"/>
      <c r="O17" s="79"/>
      <c r="P17" s="74"/>
      <c r="Q17" s="74"/>
      <c r="R17" s="79"/>
      <c r="S17" s="74"/>
      <c r="T17" s="74"/>
      <c r="U17" s="79"/>
      <c r="V17" s="74"/>
      <c r="W17" s="74"/>
      <c r="X17" s="79"/>
      <c r="Y17" s="74"/>
      <c r="Z17" s="74"/>
      <c r="AA17" s="79"/>
      <c r="AB17" s="74"/>
      <c r="AC17" s="74"/>
      <c r="AD17" s="79"/>
      <c r="AE17" s="74"/>
      <c r="AF17" s="74"/>
      <c r="AG17" s="79"/>
      <c r="AH17" s="74"/>
      <c r="AI17" s="74"/>
      <c r="AJ17" s="79"/>
      <c r="AK17" s="74"/>
      <c r="AL17" s="74"/>
      <c r="AM17" s="79"/>
      <c r="AN17" s="74"/>
      <c r="AO17" s="74"/>
      <c r="AP17" s="79"/>
      <c r="AQ17" s="74"/>
      <c r="AR17" s="74"/>
      <c r="AS17" s="79"/>
      <c r="AT17" s="74"/>
      <c r="AU17" s="74"/>
      <c r="AV17" s="79"/>
      <c r="AW17" s="74"/>
      <c r="AX17" s="74"/>
      <c r="AY17" s="79"/>
      <c r="AZ17" s="74"/>
      <c r="BA17" s="74"/>
      <c r="BB17" s="79"/>
      <c r="BC17" s="74"/>
      <c r="BD17" s="74"/>
      <c r="BE17" s="79"/>
      <c r="BF17" s="74"/>
    </row>
    <row r="18" spans="1:58" ht="15.75" customHeight="1" x14ac:dyDescent="0.2">
      <c r="A18" s="239" t="s">
        <v>132</v>
      </c>
      <c r="B18" s="242">
        <f>COUNTIF(D2:BF2,"Friday")</f>
        <v>0</v>
      </c>
      <c r="C18" s="240">
        <f t="shared" si="18"/>
        <v>0</v>
      </c>
      <c r="D18" s="74"/>
      <c r="E18" s="74"/>
      <c r="F18" s="79"/>
      <c r="G18" s="74"/>
      <c r="H18" s="74"/>
      <c r="I18" s="79"/>
      <c r="J18" s="74"/>
      <c r="K18" s="74"/>
      <c r="L18" s="79"/>
      <c r="M18" s="74"/>
      <c r="N18" s="74"/>
      <c r="O18" s="79"/>
      <c r="P18" s="74"/>
      <c r="Q18" s="74"/>
      <c r="R18" s="79"/>
      <c r="S18" s="74"/>
      <c r="T18" s="74"/>
      <c r="U18" s="79"/>
      <c r="V18" s="74"/>
      <c r="W18" s="74"/>
      <c r="X18" s="79"/>
      <c r="Y18" s="74"/>
      <c r="Z18" s="74"/>
      <c r="AA18" s="79"/>
      <c r="AB18" s="74"/>
      <c r="AC18" s="74"/>
      <c r="AD18" s="79"/>
      <c r="AE18" s="74"/>
      <c r="AF18" s="74"/>
      <c r="AG18" s="79"/>
      <c r="AH18" s="74"/>
      <c r="AI18" s="74"/>
      <c r="AJ18" s="79"/>
      <c r="AK18" s="74"/>
      <c r="AL18" s="74"/>
      <c r="AM18" s="79"/>
      <c r="AN18" s="74"/>
      <c r="AO18" s="74"/>
      <c r="AP18" s="79"/>
      <c r="AQ18" s="74"/>
      <c r="AR18" s="74"/>
      <c r="AS18" s="79"/>
      <c r="AT18" s="74"/>
      <c r="AU18" s="74"/>
      <c r="AV18" s="79"/>
      <c r="AW18" s="74"/>
      <c r="AX18" s="74"/>
      <c r="AY18" s="79"/>
      <c r="AZ18" s="74"/>
      <c r="BA18" s="74"/>
      <c r="BB18" s="79"/>
      <c r="BC18" s="74"/>
      <c r="BD18" s="74"/>
      <c r="BE18" s="79"/>
      <c r="BF18" s="74"/>
    </row>
    <row r="19" spans="1:58" ht="15.75" customHeight="1" x14ac:dyDescent="0.2">
      <c r="A19" s="239" t="s">
        <v>134</v>
      </c>
      <c r="B19" s="242">
        <f>COUNTIF(D2:BF2,"Saturday")</f>
        <v>1</v>
      </c>
      <c r="C19" s="240">
        <f t="shared" si="18"/>
        <v>5.5555555555555552E-2</v>
      </c>
      <c r="D19" s="74"/>
      <c r="E19" s="74"/>
      <c r="F19" s="79"/>
      <c r="G19" s="74"/>
      <c r="H19" s="74"/>
      <c r="I19" s="79"/>
      <c r="J19" s="74"/>
      <c r="K19" s="74"/>
      <c r="L19" s="79"/>
      <c r="M19" s="74"/>
      <c r="N19" s="74"/>
      <c r="O19" s="79"/>
      <c r="P19" s="74"/>
      <c r="Q19" s="74"/>
      <c r="R19" s="79"/>
      <c r="S19" s="74"/>
      <c r="T19" s="74"/>
      <c r="U19" s="79"/>
      <c r="V19" s="74"/>
      <c r="W19" s="74"/>
      <c r="X19" s="79"/>
      <c r="Y19" s="74"/>
      <c r="Z19" s="74"/>
      <c r="AA19" s="79"/>
      <c r="AB19" s="74"/>
      <c r="AC19" s="74"/>
      <c r="AD19" s="79"/>
      <c r="AE19" s="74"/>
      <c r="AF19" s="74"/>
      <c r="AG19" s="79"/>
      <c r="AH19" s="74"/>
      <c r="AI19" s="74"/>
      <c r="AJ19" s="79"/>
      <c r="AK19" s="74"/>
      <c r="AL19" s="74"/>
      <c r="AM19" s="79"/>
      <c r="AN19" s="74"/>
      <c r="AO19" s="74"/>
      <c r="AP19" s="79"/>
      <c r="AQ19" s="74"/>
      <c r="AR19" s="74"/>
      <c r="AS19" s="79"/>
      <c r="AT19" s="74"/>
      <c r="AU19" s="74"/>
      <c r="AV19" s="79"/>
      <c r="AW19" s="74"/>
      <c r="AX19" s="74"/>
      <c r="AY19" s="79"/>
      <c r="AZ19" s="74"/>
      <c r="BA19" s="74"/>
      <c r="BB19" s="79"/>
      <c r="BC19" s="74"/>
      <c r="BD19" s="74"/>
      <c r="BE19" s="79"/>
      <c r="BF19" s="74"/>
    </row>
    <row r="20" spans="1:58" ht="15.75" customHeight="1" x14ac:dyDescent="0.2">
      <c r="A20" s="239" t="s">
        <v>136</v>
      </c>
      <c r="B20" s="242">
        <f>COUNTIF(D2:BF2,"Sunday")</f>
        <v>0</v>
      </c>
      <c r="C20" s="240">
        <f>B20/SUM($B$5:$B$11)</f>
        <v>0</v>
      </c>
      <c r="D20" s="74"/>
      <c r="E20" s="74"/>
      <c r="F20" s="79"/>
      <c r="G20" s="74"/>
      <c r="H20" s="74"/>
      <c r="I20" s="79"/>
      <c r="J20" s="74"/>
      <c r="K20" s="74"/>
      <c r="L20" s="79"/>
      <c r="M20" s="74"/>
      <c r="N20" s="74"/>
      <c r="O20" s="79"/>
      <c r="P20" s="74"/>
      <c r="Q20" s="74"/>
      <c r="R20" s="79"/>
      <c r="S20" s="74"/>
      <c r="T20" s="74"/>
      <c r="U20" s="79"/>
      <c r="V20" s="74"/>
      <c r="W20" s="74"/>
      <c r="X20" s="79"/>
      <c r="Y20" s="74"/>
      <c r="Z20" s="74"/>
      <c r="AA20" s="79"/>
      <c r="AB20" s="74"/>
      <c r="AC20" s="74"/>
      <c r="AD20" s="79"/>
      <c r="AE20" s="74"/>
      <c r="AF20" s="74"/>
      <c r="AG20" s="79"/>
      <c r="AH20" s="74"/>
      <c r="AI20" s="74"/>
      <c r="AJ20" s="79"/>
      <c r="AK20" s="74"/>
      <c r="AL20" s="74"/>
      <c r="AM20" s="79"/>
      <c r="AN20" s="74"/>
      <c r="AO20" s="74"/>
      <c r="AP20" s="79"/>
      <c r="AQ20" s="74"/>
      <c r="AR20" s="74"/>
      <c r="AS20" s="79"/>
      <c r="AT20" s="74"/>
      <c r="AU20" s="74"/>
      <c r="AV20" s="79"/>
      <c r="AW20" s="74"/>
      <c r="AX20" s="74"/>
      <c r="AY20" s="79"/>
      <c r="AZ20" s="74"/>
      <c r="BA20" s="74"/>
      <c r="BB20" s="79"/>
      <c r="BC20" s="74"/>
      <c r="BD20" s="74"/>
      <c r="BE20" s="79"/>
      <c r="BF20" s="74"/>
    </row>
    <row r="21" spans="1:58" ht="15.75" customHeight="1" x14ac:dyDescent="0.2">
      <c r="A21" s="74"/>
      <c r="B21" s="79"/>
      <c r="C21" s="74"/>
      <c r="D21" s="74"/>
      <c r="E21" s="74"/>
      <c r="F21" s="79"/>
      <c r="G21" s="74"/>
      <c r="H21" s="74"/>
      <c r="I21" s="79"/>
      <c r="J21" s="74"/>
      <c r="K21" s="74"/>
      <c r="L21" s="79"/>
      <c r="M21" s="74"/>
      <c r="N21" s="74"/>
      <c r="O21" s="79"/>
      <c r="P21" s="74"/>
      <c r="Q21" s="74"/>
      <c r="R21" s="79"/>
      <c r="S21" s="74"/>
      <c r="T21" s="74"/>
      <c r="U21" s="79"/>
      <c r="V21" s="74"/>
      <c r="W21" s="74"/>
      <c r="X21" s="79"/>
      <c r="Y21" s="74"/>
      <c r="Z21" s="74"/>
      <c r="AA21" s="79"/>
      <c r="AB21" s="74"/>
      <c r="AC21" s="74"/>
      <c r="AD21" s="79"/>
      <c r="AE21" s="74"/>
      <c r="AF21" s="74"/>
      <c r="AG21" s="79"/>
      <c r="AH21" s="74"/>
      <c r="AI21" s="74"/>
      <c r="AJ21" s="79"/>
      <c r="AK21" s="74"/>
      <c r="AL21" s="74"/>
      <c r="AM21" s="79"/>
      <c r="AN21" s="74"/>
      <c r="AO21" s="74"/>
      <c r="AP21" s="79"/>
      <c r="AQ21" s="74"/>
      <c r="AR21" s="74"/>
      <c r="AS21" s="79"/>
      <c r="AT21" s="74"/>
      <c r="AU21" s="74"/>
      <c r="AV21" s="79"/>
      <c r="AW21" s="74"/>
      <c r="AX21" s="74"/>
      <c r="AY21" s="79"/>
      <c r="AZ21" s="74"/>
      <c r="BA21" s="74"/>
      <c r="BB21" s="79"/>
      <c r="BC21" s="74"/>
      <c r="BD21" s="74"/>
      <c r="BE21" s="79"/>
      <c r="BF21" s="74"/>
    </row>
    <row r="22" spans="1:58" ht="15.75" customHeight="1" x14ac:dyDescent="0.2">
      <c r="A22" s="74"/>
      <c r="B22" s="79"/>
      <c r="C22" s="74"/>
      <c r="D22" s="74"/>
      <c r="E22" s="74"/>
      <c r="F22" s="79"/>
      <c r="G22" s="74"/>
      <c r="H22" s="74"/>
      <c r="I22" s="79"/>
      <c r="J22" s="74"/>
      <c r="K22" s="74"/>
      <c r="L22" s="79"/>
      <c r="M22" s="74"/>
      <c r="N22" s="74"/>
      <c r="O22" s="79"/>
      <c r="P22" s="74"/>
      <c r="Q22" s="74"/>
      <c r="R22" s="79"/>
      <c r="S22" s="74"/>
      <c r="T22" s="74"/>
      <c r="U22" s="79"/>
      <c r="V22" s="74"/>
      <c r="W22" s="74"/>
      <c r="X22" s="79"/>
      <c r="Y22" s="74"/>
      <c r="Z22" s="74"/>
      <c r="AA22" s="79"/>
      <c r="AB22" s="74"/>
      <c r="AC22" s="74"/>
      <c r="AD22" s="79"/>
      <c r="AE22" s="74"/>
      <c r="AF22" s="74"/>
      <c r="AG22" s="79"/>
      <c r="AH22" s="74"/>
      <c r="AI22" s="74"/>
      <c r="AJ22" s="79"/>
      <c r="AK22" s="74"/>
      <c r="AL22" s="74"/>
      <c r="AM22" s="79"/>
      <c r="AN22" s="74"/>
      <c r="AO22" s="74"/>
      <c r="AP22" s="79"/>
      <c r="AQ22" s="74"/>
      <c r="AR22" s="74"/>
      <c r="AS22" s="79"/>
      <c r="AT22" s="74"/>
      <c r="AU22" s="74"/>
      <c r="AV22" s="79"/>
      <c r="AW22" s="74"/>
      <c r="AX22" s="74"/>
      <c r="AY22" s="79"/>
      <c r="AZ22" s="74"/>
      <c r="BA22" s="74"/>
      <c r="BB22" s="79"/>
      <c r="BC22" s="74"/>
      <c r="BD22" s="74"/>
      <c r="BE22" s="79"/>
      <c r="BF22" s="74"/>
    </row>
    <row r="23" spans="1:58" ht="15.75" customHeight="1" x14ac:dyDescent="0.2">
      <c r="A23" s="74"/>
      <c r="B23" s="79"/>
      <c r="C23" s="74"/>
      <c r="D23" s="74"/>
      <c r="E23" s="74"/>
      <c r="F23" s="79"/>
      <c r="G23" s="74"/>
      <c r="H23" s="74"/>
      <c r="I23" s="79"/>
      <c r="J23" s="74"/>
      <c r="K23" s="74"/>
      <c r="L23" s="79"/>
      <c r="M23" s="74"/>
      <c r="N23" s="74"/>
      <c r="O23" s="79"/>
      <c r="P23" s="74"/>
      <c r="Q23" s="74"/>
      <c r="R23" s="79"/>
      <c r="S23" s="74"/>
      <c r="T23" s="74"/>
      <c r="U23" s="79"/>
      <c r="V23" s="74"/>
      <c r="W23" s="74"/>
      <c r="X23" s="79"/>
      <c r="Y23" s="74"/>
      <c r="Z23" s="74"/>
      <c r="AA23" s="79"/>
      <c r="AB23" s="74"/>
      <c r="AC23" s="74"/>
      <c r="AD23" s="79"/>
      <c r="AE23" s="74"/>
      <c r="AF23" s="74"/>
      <c r="AG23" s="79"/>
      <c r="AH23" s="74"/>
      <c r="AI23" s="74"/>
      <c r="AJ23" s="79"/>
      <c r="AK23" s="74"/>
      <c r="AL23" s="74"/>
      <c r="AM23" s="79"/>
      <c r="AN23" s="74"/>
      <c r="AO23" s="74"/>
      <c r="AP23" s="79"/>
      <c r="AQ23" s="74"/>
      <c r="AR23" s="74"/>
      <c r="AS23" s="79"/>
      <c r="AT23" s="74"/>
      <c r="AU23" s="74"/>
      <c r="AV23" s="79"/>
      <c r="AW23" s="74"/>
      <c r="AX23" s="74"/>
      <c r="AY23" s="79"/>
      <c r="AZ23" s="74"/>
      <c r="BA23" s="74"/>
      <c r="BB23" s="79"/>
      <c r="BC23" s="74"/>
      <c r="BD23" s="74"/>
      <c r="BE23" s="79"/>
      <c r="BF23" s="74"/>
    </row>
    <row r="24" spans="1:58" ht="15.75" customHeight="1" x14ac:dyDescent="0.2">
      <c r="A24" s="74"/>
      <c r="B24" s="79"/>
      <c r="C24" s="74"/>
      <c r="D24" s="74"/>
      <c r="E24" s="74"/>
      <c r="F24" s="79"/>
      <c r="G24" s="74"/>
      <c r="H24" s="74"/>
      <c r="I24" s="79"/>
      <c r="J24" s="74"/>
      <c r="K24" s="74"/>
      <c r="L24" s="79"/>
      <c r="M24" s="74"/>
      <c r="N24" s="74"/>
      <c r="O24" s="79"/>
      <c r="P24" s="74"/>
      <c r="Q24" s="74"/>
      <c r="R24" s="79"/>
      <c r="S24" s="74"/>
      <c r="T24" s="74"/>
      <c r="U24" s="79"/>
      <c r="V24" s="74"/>
      <c r="W24" s="74"/>
      <c r="X24" s="79"/>
      <c r="Y24" s="74"/>
      <c r="Z24" s="74"/>
      <c r="AA24" s="79"/>
      <c r="AB24" s="74"/>
      <c r="AC24" s="74"/>
      <c r="AD24" s="79"/>
      <c r="AE24" s="74"/>
      <c r="AF24" s="74"/>
      <c r="AG24" s="79"/>
      <c r="AH24" s="74"/>
      <c r="AI24" s="74"/>
      <c r="AJ24" s="79"/>
      <c r="AK24" s="74"/>
      <c r="AL24" s="74"/>
      <c r="AM24" s="79"/>
      <c r="AN24" s="74"/>
      <c r="AO24" s="74"/>
      <c r="AP24" s="79"/>
      <c r="AQ24" s="74"/>
      <c r="AR24" s="74"/>
      <c r="AS24" s="79"/>
      <c r="AT24" s="74"/>
      <c r="AU24" s="74"/>
      <c r="AV24" s="79"/>
      <c r="AW24" s="74"/>
      <c r="AX24" s="74"/>
      <c r="AY24" s="79"/>
      <c r="AZ24" s="74"/>
      <c r="BA24" s="74"/>
      <c r="BB24" s="79"/>
      <c r="BC24" s="74"/>
      <c r="BD24" s="74"/>
      <c r="BE24" s="79"/>
      <c r="BF24" s="74"/>
    </row>
    <row r="25" spans="1:58" ht="15.75" customHeight="1" x14ac:dyDescent="0.2">
      <c r="A25" s="74"/>
      <c r="B25" s="79"/>
      <c r="C25" s="74"/>
      <c r="D25" s="74"/>
      <c r="E25" s="74"/>
      <c r="F25" s="79"/>
      <c r="G25" s="74"/>
      <c r="H25" s="74"/>
      <c r="I25" s="79"/>
      <c r="J25" s="74"/>
      <c r="K25" s="74"/>
      <c r="L25" s="79"/>
      <c r="M25" s="74"/>
      <c r="N25" s="74"/>
      <c r="O25" s="79"/>
      <c r="P25" s="74"/>
      <c r="Q25" s="74"/>
      <c r="R25" s="79"/>
      <c r="S25" s="74"/>
      <c r="T25" s="74"/>
      <c r="U25" s="79"/>
      <c r="V25" s="74"/>
      <c r="W25" s="74"/>
      <c r="X25" s="79"/>
      <c r="Y25" s="74"/>
      <c r="Z25" s="74"/>
      <c r="AA25" s="79"/>
      <c r="AB25" s="74"/>
      <c r="AC25" s="74"/>
      <c r="AD25" s="79"/>
      <c r="AE25" s="74"/>
      <c r="AF25" s="74"/>
      <c r="AG25" s="79"/>
      <c r="AH25" s="74"/>
      <c r="AI25" s="74"/>
      <c r="AJ25" s="79"/>
      <c r="AK25" s="74"/>
      <c r="AL25" s="74"/>
      <c r="AM25" s="79"/>
      <c r="AN25" s="74"/>
      <c r="AO25" s="74"/>
      <c r="AP25" s="79"/>
      <c r="AQ25" s="74"/>
      <c r="AR25" s="74"/>
      <c r="AS25" s="79"/>
      <c r="AT25" s="74"/>
      <c r="AU25" s="74"/>
      <c r="AV25" s="79"/>
      <c r="AW25" s="74"/>
      <c r="AX25" s="74"/>
      <c r="AY25" s="79"/>
      <c r="AZ25" s="74"/>
      <c r="BA25" s="74"/>
      <c r="BB25" s="79"/>
      <c r="BC25" s="74"/>
      <c r="BD25" s="74"/>
      <c r="BE25" s="79"/>
      <c r="BF25" s="74"/>
    </row>
  </sheetData>
  <mergeCells count="20">
    <mergeCell ref="N1:P1"/>
    <mergeCell ref="Q1:S1"/>
    <mergeCell ref="T1:V1"/>
    <mergeCell ref="W1:Y1"/>
    <mergeCell ref="A2:B3"/>
    <mergeCell ref="A13:C13"/>
    <mergeCell ref="E1:G1"/>
    <mergeCell ref="H1:J1"/>
    <mergeCell ref="K1:M1"/>
    <mergeCell ref="AU1:AW1"/>
    <mergeCell ref="AX1:AZ1"/>
    <mergeCell ref="BA1:BC1"/>
    <mergeCell ref="BD1:BF1"/>
    <mergeCell ref="Z1:AB1"/>
    <mergeCell ref="AC1:AE1"/>
    <mergeCell ref="AF1:AH1"/>
    <mergeCell ref="AI1:AK1"/>
    <mergeCell ref="AL1:AN1"/>
    <mergeCell ref="AO1:AQ1"/>
    <mergeCell ref="AR1:AT1"/>
  </mergeCells>
  <conditionalFormatting sqref="A1:BF25">
    <cfRule type="cellIs" dxfId="35" priority="1" operator="equal">
      <formula>"Monday"</formula>
    </cfRule>
    <cfRule type="cellIs" dxfId="34" priority="2" operator="equal">
      <formula>"Tuesday"</formula>
    </cfRule>
    <cfRule type="cellIs" dxfId="33" priority="3" operator="equal">
      <formula>"Wednesday"</formula>
    </cfRule>
    <cfRule type="cellIs" dxfId="32" priority="4" operator="equal">
      <formula>"Thursday"</formula>
    </cfRule>
    <cfRule type="cellIs" dxfId="31" priority="5" operator="equal">
      <formula>"Friday"</formula>
    </cfRule>
    <cfRule type="cellIs" dxfId="30" priority="6" operator="equal">
      <formula>"Saturday"</formula>
    </cfRule>
  </conditionalFormatting>
  <hyperlinks>
    <hyperlink ref="E2" r:id="rId1" xr:uid="{00000000-0004-0000-0900-000000000000}"/>
    <hyperlink ref="H2" r:id="rId2" xr:uid="{00000000-0004-0000-0900-000001000000}"/>
    <hyperlink ref="K2" r:id="rId3" xr:uid="{00000000-0004-0000-0900-000002000000}"/>
    <hyperlink ref="N2" r:id="rId4" xr:uid="{00000000-0004-0000-0900-000003000000}"/>
    <hyperlink ref="Q2" r:id="rId5" xr:uid="{00000000-0004-0000-0900-000004000000}"/>
    <hyperlink ref="T2" r:id="rId6" xr:uid="{00000000-0004-0000-0900-000005000000}"/>
    <hyperlink ref="W2" r:id="rId7" xr:uid="{00000000-0004-0000-0900-000006000000}"/>
    <hyperlink ref="Z2" r:id="rId8" xr:uid="{00000000-0004-0000-0900-000007000000}"/>
    <hyperlink ref="AC2" r:id="rId9" xr:uid="{00000000-0004-0000-0900-000008000000}"/>
    <hyperlink ref="AF2" r:id="rId10" xr:uid="{00000000-0004-0000-0900-000009000000}"/>
    <hyperlink ref="AI2" r:id="rId11" xr:uid="{00000000-0004-0000-0900-00000A000000}"/>
    <hyperlink ref="AL2" r:id="rId12" xr:uid="{00000000-0004-0000-0900-00000B000000}"/>
    <hyperlink ref="AO2" r:id="rId13" xr:uid="{00000000-0004-0000-0900-00000C000000}"/>
    <hyperlink ref="AR2" r:id="rId14" xr:uid="{00000000-0004-0000-0900-00000D000000}"/>
    <hyperlink ref="AU2" r:id="rId15" xr:uid="{00000000-0004-0000-0900-00000E000000}"/>
    <hyperlink ref="AX2" r:id="rId16" xr:uid="{00000000-0004-0000-0900-00000F000000}"/>
    <hyperlink ref="BA2" r:id="rId17" xr:uid="{00000000-0004-0000-0900-000010000000}"/>
    <hyperlink ref="BD2" r:id="rId18" xr:uid="{00000000-0004-0000-0900-000011000000}"/>
    <hyperlink ref="E3" r:id="rId19" xr:uid="{00000000-0004-0000-0900-000012000000}"/>
    <hyperlink ref="H3" r:id="rId20" xr:uid="{00000000-0004-0000-0900-000013000000}"/>
    <hyperlink ref="K3" r:id="rId21" xr:uid="{00000000-0004-0000-0900-000014000000}"/>
    <hyperlink ref="N3" r:id="rId22" xr:uid="{00000000-0004-0000-0900-000015000000}"/>
    <hyperlink ref="Q3" r:id="rId23" xr:uid="{00000000-0004-0000-0900-000016000000}"/>
    <hyperlink ref="T3" r:id="rId24" xr:uid="{00000000-0004-0000-0900-000017000000}"/>
    <hyperlink ref="W3" r:id="rId25" xr:uid="{00000000-0004-0000-0900-000018000000}"/>
    <hyperlink ref="Z3" r:id="rId26" xr:uid="{00000000-0004-0000-0900-000019000000}"/>
    <hyperlink ref="AC3" r:id="rId27" xr:uid="{00000000-0004-0000-0900-00001A000000}"/>
    <hyperlink ref="AF3" r:id="rId28" xr:uid="{00000000-0004-0000-0900-00001B000000}"/>
    <hyperlink ref="AI3" r:id="rId29" xr:uid="{00000000-0004-0000-0900-00001C000000}"/>
    <hyperlink ref="AL3" r:id="rId30" xr:uid="{00000000-0004-0000-0900-00001D000000}"/>
    <hyperlink ref="AO3" r:id="rId31" xr:uid="{00000000-0004-0000-0900-00001E000000}"/>
    <hyperlink ref="AR3" r:id="rId32" xr:uid="{00000000-0004-0000-0900-00001F000000}"/>
    <hyperlink ref="AU3" r:id="rId33" xr:uid="{00000000-0004-0000-0900-000020000000}"/>
    <hyperlink ref="AX3" r:id="rId34" xr:uid="{00000000-0004-0000-0900-000021000000}"/>
    <hyperlink ref="BA3" r:id="rId35" xr:uid="{00000000-0004-0000-0900-000022000000}"/>
    <hyperlink ref="E4" r:id="rId36" xr:uid="{00000000-0004-0000-0900-000023000000}"/>
    <hyperlink ref="H4" r:id="rId37" xr:uid="{00000000-0004-0000-0900-000024000000}"/>
    <hyperlink ref="K4" r:id="rId38" xr:uid="{00000000-0004-0000-0900-000025000000}"/>
    <hyperlink ref="N4" r:id="rId39" xr:uid="{00000000-0004-0000-0900-000026000000}"/>
    <hyperlink ref="Q4" r:id="rId40" xr:uid="{00000000-0004-0000-0900-000027000000}"/>
    <hyperlink ref="T4" r:id="rId41" xr:uid="{00000000-0004-0000-0900-000028000000}"/>
    <hyperlink ref="W4" r:id="rId42" xr:uid="{00000000-0004-0000-0900-000029000000}"/>
    <hyperlink ref="Z4" r:id="rId43" xr:uid="{00000000-0004-0000-0900-00002A000000}"/>
    <hyperlink ref="AC4" r:id="rId44" xr:uid="{00000000-0004-0000-0900-00002B000000}"/>
    <hyperlink ref="AF4" r:id="rId45" xr:uid="{00000000-0004-0000-0900-00002C000000}"/>
    <hyperlink ref="AI4" r:id="rId46" xr:uid="{00000000-0004-0000-0900-00002D000000}"/>
    <hyperlink ref="AL4" r:id="rId47" xr:uid="{00000000-0004-0000-0900-00002E000000}"/>
    <hyperlink ref="AO4" r:id="rId48" xr:uid="{00000000-0004-0000-0900-00002F000000}"/>
    <hyperlink ref="AR4" r:id="rId49" xr:uid="{00000000-0004-0000-0900-000030000000}"/>
    <hyperlink ref="AU4" r:id="rId50" xr:uid="{00000000-0004-0000-0900-000031000000}"/>
    <hyperlink ref="AX4" r:id="rId51" xr:uid="{00000000-0004-0000-0900-000032000000}"/>
    <hyperlink ref="BA4" r:id="rId52" xr:uid="{00000000-0004-0000-0900-000033000000}"/>
    <hyperlink ref="E5" r:id="rId53" xr:uid="{00000000-0004-0000-0900-000034000000}"/>
    <hyperlink ref="H5" r:id="rId54" xr:uid="{00000000-0004-0000-0900-000035000000}"/>
    <hyperlink ref="K5" r:id="rId55" xr:uid="{00000000-0004-0000-0900-000036000000}"/>
    <hyperlink ref="N5" r:id="rId56" xr:uid="{00000000-0004-0000-0900-000037000000}"/>
    <hyperlink ref="Q5" r:id="rId57" xr:uid="{00000000-0004-0000-0900-000038000000}"/>
    <hyperlink ref="T5" r:id="rId58" xr:uid="{00000000-0004-0000-0900-000039000000}"/>
    <hyperlink ref="W5" r:id="rId59" xr:uid="{00000000-0004-0000-0900-00003A000000}"/>
    <hyperlink ref="Z5" r:id="rId60" xr:uid="{00000000-0004-0000-0900-00003B000000}"/>
    <hyperlink ref="AC5" r:id="rId61" xr:uid="{00000000-0004-0000-0900-00003C000000}"/>
    <hyperlink ref="AF5" r:id="rId62" xr:uid="{00000000-0004-0000-0900-00003D000000}"/>
    <hyperlink ref="AI5" r:id="rId63" xr:uid="{00000000-0004-0000-0900-00003E000000}"/>
    <hyperlink ref="AL5" r:id="rId64" xr:uid="{00000000-0004-0000-0900-00003F000000}"/>
    <hyperlink ref="AO5" r:id="rId65" xr:uid="{00000000-0004-0000-0900-000040000000}"/>
    <hyperlink ref="AR5" r:id="rId66" xr:uid="{00000000-0004-0000-0900-000041000000}"/>
    <hyperlink ref="AU5" r:id="rId67" xr:uid="{00000000-0004-0000-0900-000042000000}"/>
    <hyperlink ref="AX5" r:id="rId68" xr:uid="{00000000-0004-0000-0900-000043000000}"/>
    <hyperlink ref="BA5" r:id="rId69" xr:uid="{00000000-0004-0000-0900-000044000000}"/>
    <hyperlink ref="N6" r:id="rId70" xr:uid="{00000000-0004-0000-0900-000045000000}"/>
    <hyperlink ref="Q6" r:id="rId71" xr:uid="{00000000-0004-0000-0900-000046000000}"/>
    <hyperlink ref="T6" r:id="rId72" xr:uid="{00000000-0004-0000-0900-000047000000}"/>
    <hyperlink ref="W6" r:id="rId73" xr:uid="{00000000-0004-0000-0900-000048000000}"/>
    <hyperlink ref="Z6" r:id="rId74" xr:uid="{00000000-0004-0000-0900-000049000000}"/>
    <hyperlink ref="AC6" r:id="rId75" xr:uid="{00000000-0004-0000-0900-00004A000000}"/>
    <hyperlink ref="AF6" r:id="rId76" xr:uid="{00000000-0004-0000-0900-00004B000000}"/>
    <hyperlink ref="AI6" r:id="rId77" xr:uid="{00000000-0004-0000-0900-00004C000000}"/>
    <hyperlink ref="AL6" r:id="rId78" xr:uid="{00000000-0004-0000-0900-00004D000000}"/>
    <hyperlink ref="AO6" r:id="rId79" xr:uid="{00000000-0004-0000-0900-00004E000000}"/>
    <hyperlink ref="AR6" r:id="rId80" xr:uid="{00000000-0004-0000-0900-00004F000000}"/>
    <hyperlink ref="AU6" r:id="rId81" xr:uid="{00000000-0004-0000-0900-000050000000}"/>
    <hyperlink ref="AX6" r:id="rId82" xr:uid="{00000000-0004-0000-0900-000051000000}"/>
    <hyperlink ref="BA6" r:id="rId83" xr:uid="{00000000-0004-0000-0900-000052000000}"/>
    <hyperlink ref="AO7" r:id="rId84" xr:uid="{00000000-0004-0000-0900-000053000000}"/>
    <hyperlink ref="AR7" r:id="rId85" xr:uid="{00000000-0004-0000-0900-000054000000}"/>
    <hyperlink ref="AU7" r:id="rId86" xr:uid="{00000000-0004-0000-0900-000055000000}"/>
    <hyperlink ref="AX7" r:id="rId87" xr:uid="{00000000-0004-0000-0900-000056000000}"/>
    <hyperlink ref="BA7" r:id="rId88" xr:uid="{00000000-0004-0000-0900-000057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IA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 x14ac:dyDescent="0.2"/>
  <cols>
    <col min="382" max="382" width="12.5703125" customWidth="1"/>
    <col min="386" max="386" width="12.5703125" customWidth="1"/>
    <col min="388" max="389" width="12.5703125" customWidth="1"/>
  </cols>
  <sheetData>
    <row r="1" spans="1:911" ht="15.75" customHeight="1" x14ac:dyDescent="0.2">
      <c r="A1" s="400" t="s">
        <v>1549</v>
      </c>
      <c r="B1" s="411" t="s">
        <v>1550</v>
      </c>
      <c r="C1" s="412"/>
      <c r="D1" s="411" t="s">
        <v>1551</v>
      </c>
      <c r="E1" s="412"/>
      <c r="F1" s="411" t="s">
        <v>1552</v>
      </c>
      <c r="G1" s="412"/>
      <c r="H1" s="411" t="s">
        <v>1553</v>
      </c>
      <c r="I1" s="412"/>
      <c r="J1" s="411" t="s">
        <v>1554</v>
      </c>
      <c r="K1" s="412"/>
      <c r="L1" s="411" t="s">
        <v>1555</v>
      </c>
      <c r="M1" s="412"/>
      <c r="N1" s="411" t="s">
        <v>1556</v>
      </c>
      <c r="O1" s="412"/>
      <c r="P1" s="411" t="s">
        <v>1557</v>
      </c>
      <c r="Q1" s="412"/>
      <c r="R1" s="411" t="s">
        <v>1558</v>
      </c>
      <c r="S1" s="412"/>
      <c r="T1" s="411" t="s">
        <v>1559</v>
      </c>
      <c r="U1" s="412"/>
      <c r="V1" s="411" t="s">
        <v>1560</v>
      </c>
      <c r="W1" s="412"/>
      <c r="X1" s="411" t="s">
        <v>1561</v>
      </c>
      <c r="Y1" s="412"/>
      <c r="Z1" s="411" t="s">
        <v>1562</v>
      </c>
      <c r="AA1" s="412"/>
      <c r="AB1" s="411" t="s">
        <v>1563</v>
      </c>
      <c r="AC1" s="412"/>
      <c r="AD1" s="410" t="s">
        <v>1564</v>
      </c>
      <c r="AE1" s="402"/>
      <c r="AF1" s="411" t="s">
        <v>1565</v>
      </c>
      <c r="AG1" s="402"/>
      <c r="AH1" s="411" t="s">
        <v>1566</v>
      </c>
      <c r="AI1" s="412"/>
      <c r="AJ1" s="410" t="s">
        <v>1567</v>
      </c>
      <c r="AK1" s="402"/>
      <c r="AL1" s="411" t="s">
        <v>1568</v>
      </c>
      <c r="AM1" s="412"/>
      <c r="AN1" s="411" t="s">
        <v>1569</v>
      </c>
      <c r="AO1" s="412"/>
      <c r="AP1" s="411" t="s">
        <v>1570</v>
      </c>
      <c r="AQ1" s="412"/>
      <c r="AR1" s="411" t="s">
        <v>1571</v>
      </c>
      <c r="AS1" s="412"/>
      <c r="AT1" s="411" t="s">
        <v>1572</v>
      </c>
      <c r="AU1" s="412"/>
      <c r="AV1" s="410" t="s">
        <v>1573</v>
      </c>
      <c r="AW1" s="402"/>
      <c r="AX1" s="411" t="s">
        <v>1574</v>
      </c>
      <c r="AY1" s="412"/>
      <c r="AZ1" s="411" t="s">
        <v>1575</v>
      </c>
      <c r="BA1" s="412"/>
      <c r="BB1" s="410" t="s">
        <v>1576</v>
      </c>
      <c r="BC1" s="402"/>
      <c r="BD1" s="411" t="s">
        <v>1577</v>
      </c>
      <c r="BE1" s="412"/>
      <c r="BF1" s="411" t="s">
        <v>1578</v>
      </c>
      <c r="BG1" s="412"/>
      <c r="BH1" s="411" t="s">
        <v>1579</v>
      </c>
      <c r="BI1" s="412"/>
      <c r="BJ1" s="411" t="s">
        <v>1580</v>
      </c>
      <c r="BK1" s="412"/>
      <c r="BL1" s="410" t="s">
        <v>1581</v>
      </c>
      <c r="BM1" s="402"/>
      <c r="BN1" s="411" t="s">
        <v>1582</v>
      </c>
      <c r="BO1" s="412"/>
      <c r="BP1" s="411" t="s">
        <v>1583</v>
      </c>
      <c r="BQ1" s="412"/>
      <c r="BR1" s="411" t="s">
        <v>1584</v>
      </c>
      <c r="BS1" s="412"/>
      <c r="BT1" s="410" t="s">
        <v>1585</v>
      </c>
      <c r="BU1" s="402"/>
      <c r="BV1" s="411" t="s">
        <v>1586</v>
      </c>
      <c r="BW1" s="412"/>
      <c r="BX1" s="410" t="s">
        <v>1587</v>
      </c>
      <c r="BY1" s="402"/>
      <c r="BZ1" s="411" t="s">
        <v>1588</v>
      </c>
      <c r="CA1" s="412"/>
      <c r="CB1" s="411" t="s">
        <v>1589</v>
      </c>
      <c r="CC1" s="412"/>
      <c r="CD1" s="411" t="s">
        <v>1590</v>
      </c>
      <c r="CE1" s="412"/>
      <c r="CF1" s="411" t="s">
        <v>1591</v>
      </c>
      <c r="CG1" s="412"/>
      <c r="CH1" s="411" t="s">
        <v>1592</v>
      </c>
      <c r="CI1" s="412"/>
      <c r="CJ1" s="411" t="s">
        <v>1593</v>
      </c>
      <c r="CK1" s="412"/>
      <c r="CL1" s="410" t="s">
        <v>1594</v>
      </c>
      <c r="CM1" s="402"/>
      <c r="CN1" s="411" t="s">
        <v>1595</v>
      </c>
      <c r="CO1" s="412"/>
      <c r="CP1" s="411" t="s">
        <v>1596</v>
      </c>
      <c r="CQ1" s="412"/>
      <c r="CR1" s="411" t="s">
        <v>1597</v>
      </c>
      <c r="CS1" s="412"/>
      <c r="CT1" s="410" t="s">
        <v>1598</v>
      </c>
      <c r="CU1" s="402"/>
      <c r="CV1" s="411" t="s">
        <v>1599</v>
      </c>
      <c r="CW1" s="412"/>
      <c r="CX1" s="411" t="s">
        <v>1600</v>
      </c>
      <c r="CY1" s="412"/>
      <c r="CZ1" s="410" t="s">
        <v>1601</v>
      </c>
      <c r="DA1" s="402"/>
      <c r="DB1" s="411" t="s">
        <v>1602</v>
      </c>
      <c r="DC1" s="412"/>
      <c r="DD1" s="411" t="s">
        <v>1603</v>
      </c>
      <c r="DE1" s="412"/>
      <c r="DF1" s="410" t="s">
        <v>1604</v>
      </c>
      <c r="DG1" s="402"/>
      <c r="DH1" s="411" t="s">
        <v>1605</v>
      </c>
      <c r="DI1" s="412"/>
      <c r="DJ1" s="411" t="s">
        <v>1606</v>
      </c>
      <c r="DK1" s="412"/>
      <c r="DL1" s="411" t="s">
        <v>1607</v>
      </c>
      <c r="DM1" s="412"/>
      <c r="DN1" s="410" t="s">
        <v>1608</v>
      </c>
      <c r="DO1" s="402"/>
      <c r="DP1" s="411" t="s">
        <v>1609</v>
      </c>
      <c r="DQ1" s="412"/>
      <c r="DR1" s="411" t="s">
        <v>1610</v>
      </c>
      <c r="DS1" s="412"/>
      <c r="DT1" s="410" t="s">
        <v>1611</v>
      </c>
      <c r="DU1" s="402"/>
      <c r="DV1" s="411" t="s">
        <v>1612</v>
      </c>
      <c r="DW1" s="412"/>
      <c r="DX1" s="411" t="s">
        <v>1613</v>
      </c>
      <c r="DY1" s="412"/>
      <c r="DZ1" s="410" t="s">
        <v>1614</v>
      </c>
      <c r="EA1" s="402"/>
      <c r="EB1" s="411" t="s">
        <v>1615</v>
      </c>
      <c r="EC1" s="412"/>
      <c r="ED1" s="410" t="s">
        <v>1616</v>
      </c>
      <c r="EE1" s="402"/>
      <c r="EF1" s="411" t="s">
        <v>1617</v>
      </c>
      <c r="EG1" s="412"/>
      <c r="EH1" s="411" t="s">
        <v>1618</v>
      </c>
      <c r="EI1" s="412"/>
      <c r="EJ1" s="411" t="s">
        <v>1619</v>
      </c>
      <c r="EK1" s="412"/>
      <c r="EL1" s="410" t="s">
        <v>1620</v>
      </c>
      <c r="EM1" s="402"/>
      <c r="EN1" s="411" t="s">
        <v>1621</v>
      </c>
      <c r="EO1" s="412"/>
      <c r="EP1" s="411" t="s">
        <v>1622</v>
      </c>
      <c r="EQ1" s="412"/>
      <c r="ER1" s="411" t="s">
        <v>1623</v>
      </c>
      <c r="ES1" s="412"/>
      <c r="ET1" s="410" t="s">
        <v>1624</v>
      </c>
      <c r="EU1" s="402"/>
      <c r="EV1" s="411" t="s">
        <v>1625</v>
      </c>
      <c r="EW1" s="412"/>
      <c r="EX1" s="411" t="s">
        <v>1626</v>
      </c>
      <c r="EY1" s="412"/>
      <c r="EZ1" s="411" t="s">
        <v>1627</v>
      </c>
      <c r="FA1" s="412"/>
      <c r="FB1" s="410" t="s">
        <v>1628</v>
      </c>
      <c r="FC1" s="402"/>
      <c r="FD1" s="411" t="s">
        <v>1629</v>
      </c>
      <c r="FE1" s="412"/>
      <c r="FF1" s="411" t="s">
        <v>1630</v>
      </c>
      <c r="FG1" s="412"/>
      <c r="FH1" s="410" t="s">
        <v>1631</v>
      </c>
      <c r="FI1" s="402"/>
      <c r="FJ1" s="411" t="s">
        <v>1632</v>
      </c>
      <c r="FK1" s="412"/>
      <c r="FL1" s="411" t="s">
        <v>1633</v>
      </c>
      <c r="FM1" s="412"/>
      <c r="FN1" s="411" t="s">
        <v>1634</v>
      </c>
      <c r="FO1" s="412"/>
      <c r="FP1" s="410" t="s">
        <v>1635</v>
      </c>
      <c r="FQ1" s="402"/>
      <c r="FR1" s="411" t="s">
        <v>1636</v>
      </c>
      <c r="FS1" s="412"/>
      <c r="FT1" s="411" t="s">
        <v>1637</v>
      </c>
      <c r="FU1" s="412"/>
      <c r="FV1" s="411" t="s">
        <v>1638</v>
      </c>
      <c r="FW1" s="412"/>
      <c r="FX1" s="410" t="s">
        <v>1639</v>
      </c>
      <c r="FY1" s="402"/>
      <c r="FZ1" s="411" t="s">
        <v>1640</v>
      </c>
      <c r="GA1" s="412"/>
      <c r="GB1" s="411" t="s">
        <v>1641</v>
      </c>
      <c r="GC1" s="412"/>
      <c r="GD1" s="410" t="s">
        <v>1642</v>
      </c>
      <c r="GE1" s="402"/>
      <c r="GF1" s="411" t="s">
        <v>1643</v>
      </c>
      <c r="GG1" s="412"/>
      <c r="GH1" s="410" t="s">
        <v>1644</v>
      </c>
      <c r="GI1" s="402"/>
      <c r="GJ1" s="411" t="s">
        <v>1645</v>
      </c>
      <c r="GK1" s="412"/>
      <c r="GL1" s="411" t="s">
        <v>1646</v>
      </c>
      <c r="GM1" s="412"/>
      <c r="GN1" s="410" t="s">
        <v>1647</v>
      </c>
      <c r="GO1" s="402"/>
      <c r="GP1" s="411" t="s">
        <v>1648</v>
      </c>
      <c r="GQ1" s="412"/>
      <c r="GR1" s="411" t="s">
        <v>1649</v>
      </c>
      <c r="GS1" s="412"/>
      <c r="GT1" s="411" t="s">
        <v>1650</v>
      </c>
      <c r="GU1" s="412"/>
      <c r="GV1" s="410" t="s">
        <v>1651</v>
      </c>
      <c r="GW1" s="402"/>
      <c r="GX1" s="411" t="s">
        <v>1652</v>
      </c>
      <c r="GY1" s="412"/>
      <c r="GZ1" s="411" t="s">
        <v>1653</v>
      </c>
      <c r="HA1" s="412"/>
      <c r="HB1" s="411" t="s">
        <v>1654</v>
      </c>
      <c r="HC1" s="412"/>
      <c r="HD1" s="411" t="s">
        <v>1655</v>
      </c>
      <c r="HE1" s="412"/>
      <c r="HF1" s="411" t="s">
        <v>1656</v>
      </c>
      <c r="HG1" s="412"/>
      <c r="HH1" s="410" t="s">
        <v>1657</v>
      </c>
      <c r="HI1" s="402"/>
      <c r="HJ1" s="411" t="s">
        <v>1658</v>
      </c>
      <c r="HK1" s="412"/>
      <c r="HL1" s="411" t="s">
        <v>1659</v>
      </c>
      <c r="HM1" s="412"/>
      <c r="HN1" s="410" t="s">
        <v>1660</v>
      </c>
      <c r="HO1" s="402"/>
      <c r="HP1" s="411" t="s">
        <v>1661</v>
      </c>
      <c r="HQ1" s="412"/>
      <c r="HR1" s="411" t="s">
        <v>1662</v>
      </c>
      <c r="HS1" s="412"/>
      <c r="HT1" s="411" t="s">
        <v>1663</v>
      </c>
      <c r="HU1" s="412"/>
      <c r="HV1" s="411" t="s">
        <v>1664</v>
      </c>
      <c r="HW1" s="412"/>
      <c r="HX1" s="410" t="s">
        <v>1665</v>
      </c>
      <c r="HY1" s="402"/>
      <c r="HZ1" s="411" t="s">
        <v>1666</v>
      </c>
      <c r="IA1" s="412"/>
      <c r="IB1" s="411" t="s">
        <v>1667</v>
      </c>
      <c r="IC1" s="412"/>
      <c r="ID1" s="411" t="s">
        <v>1668</v>
      </c>
      <c r="IE1" s="412"/>
      <c r="IF1" s="410" t="s">
        <v>1669</v>
      </c>
      <c r="IG1" s="402"/>
      <c r="IH1" s="411" t="s">
        <v>1670</v>
      </c>
      <c r="II1" s="412"/>
      <c r="IJ1" s="411" t="s">
        <v>1671</v>
      </c>
      <c r="IK1" s="412"/>
      <c r="IL1" s="411" t="s">
        <v>1672</v>
      </c>
      <c r="IM1" s="412"/>
      <c r="IN1" s="411" t="s">
        <v>1673</v>
      </c>
      <c r="IO1" s="412"/>
      <c r="IP1" s="410" t="s">
        <v>1674</v>
      </c>
      <c r="IQ1" s="402"/>
      <c r="IR1" s="411" t="s">
        <v>1675</v>
      </c>
      <c r="IS1" s="412"/>
      <c r="IT1" s="411" t="s">
        <v>1676</v>
      </c>
      <c r="IU1" s="412"/>
      <c r="IV1" s="411" t="s">
        <v>1677</v>
      </c>
      <c r="IW1" s="412"/>
      <c r="IX1" s="411" t="s">
        <v>1678</v>
      </c>
      <c r="IY1" s="412"/>
      <c r="IZ1" s="411" t="s">
        <v>1679</v>
      </c>
      <c r="JA1" s="412"/>
      <c r="JB1" s="411" t="s">
        <v>1680</v>
      </c>
      <c r="JC1" s="412"/>
      <c r="JD1" s="411" t="s">
        <v>1681</v>
      </c>
      <c r="JE1" s="412"/>
      <c r="JF1" s="410" t="s">
        <v>1682</v>
      </c>
      <c r="JG1" s="402"/>
      <c r="JH1" s="411" t="s">
        <v>1683</v>
      </c>
      <c r="JI1" s="412"/>
      <c r="JJ1" s="411" t="s">
        <v>1684</v>
      </c>
      <c r="JK1" s="412"/>
      <c r="JL1" s="411" t="s">
        <v>1685</v>
      </c>
      <c r="JM1" s="412"/>
      <c r="JN1" s="411" t="s">
        <v>1686</v>
      </c>
      <c r="JO1" s="412"/>
      <c r="JP1" s="410" t="s">
        <v>1687</v>
      </c>
      <c r="JQ1" s="402"/>
      <c r="JR1" s="411" t="s">
        <v>1688</v>
      </c>
      <c r="JS1" s="412"/>
      <c r="JT1" s="411" t="s">
        <v>1689</v>
      </c>
      <c r="JU1" s="412"/>
      <c r="JV1" s="411" t="s">
        <v>1690</v>
      </c>
      <c r="JW1" s="412"/>
      <c r="JX1" s="411" t="s">
        <v>1691</v>
      </c>
      <c r="JY1" s="412"/>
      <c r="JZ1" s="411" t="s">
        <v>1692</v>
      </c>
      <c r="KA1" s="412"/>
      <c r="KB1" s="411" t="s">
        <v>1693</v>
      </c>
      <c r="KC1" s="412"/>
      <c r="KD1" s="410" t="s">
        <v>1694</v>
      </c>
      <c r="KE1" s="402"/>
      <c r="KF1" s="411" t="s">
        <v>1695</v>
      </c>
      <c r="KG1" s="412"/>
      <c r="KH1" s="410" t="s">
        <v>1696</v>
      </c>
      <c r="KI1" s="402"/>
      <c r="KJ1" s="411" t="s">
        <v>1697</v>
      </c>
      <c r="KK1" s="412"/>
      <c r="KL1" s="411" t="s">
        <v>1698</v>
      </c>
      <c r="KM1" s="412"/>
      <c r="KN1" s="411" t="s">
        <v>1699</v>
      </c>
      <c r="KO1" s="412"/>
      <c r="KP1" s="411" t="s">
        <v>1700</v>
      </c>
      <c r="KQ1" s="412"/>
      <c r="KR1" s="411" t="s">
        <v>1701</v>
      </c>
      <c r="KS1" s="412"/>
      <c r="KT1" s="411" t="s">
        <v>1702</v>
      </c>
      <c r="KU1" s="412"/>
      <c r="KV1" s="411" t="s">
        <v>1703</v>
      </c>
      <c r="KW1" s="412"/>
      <c r="KX1" s="411" t="s">
        <v>1704</v>
      </c>
      <c r="KY1" s="412"/>
      <c r="KZ1" s="411" t="s">
        <v>1705</v>
      </c>
      <c r="LA1" s="412"/>
      <c r="LB1" s="411" t="s">
        <v>1706</v>
      </c>
      <c r="LC1" s="412"/>
      <c r="LD1" s="410" t="s">
        <v>1707</v>
      </c>
      <c r="LE1" s="402"/>
      <c r="LF1" s="411" t="s">
        <v>1708</v>
      </c>
      <c r="LG1" s="412"/>
      <c r="LH1" s="411" t="s">
        <v>1709</v>
      </c>
      <c r="LI1" s="412"/>
      <c r="LJ1" s="410" t="s">
        <v>1710</v>
      </c>
      <c r="LK1" s="402"/>
      <c r="LL1" s="411" t="s">
        <v>1711</v>
      </c>
      <c r="LM1" s="412"/>
      <c r="LN1" s="410" t="s">
        <v>1712</v>
      </c>
      <c r="LO1" s="402"/>
      <c r="LP1" s="411" t="s">
        <v>1713</v>
      </c>
      <c r="LQ1" s="412"/>
      <c r="LR1" s="411" t="s">
        <v>1714</v>
      </c>
      <c r="LS1" s="412"/>
      <c r="LT1" s="411" t="s">
        <v>1715</v>
      </c>
      <c r="LU1" s="412"/>
      <c r="LV1" s="410" t="s">
        <v>1716</v>
      </c>
      <c r="LW1" s="402"/>
      <c r="LX1" s="411" t="s">
        <v>1717</v>
      </c>
      <c r="LY1" s="412"/>
      <c r="LZ1" s="410" t="s">
        <v>1718</v>
      </c>
      <c r="MA1" s="402"/>
      <c r="MB1" s="411" t="s">
        <v>1719</v>
      </c>
      <c r="MC1" s="412"/>
      <c r="MD1" s="411" t="s">
        <v>1720</v>
      </c>
      <c r="ME1" s="412"/>
      <c r="MF1" s="411" t="s">
        <v>1721</v>
      </c>
      <c r="MG1" s="412"/>
      <c r="MH1" s="411" t="s">
        <v>1722</v>
      </c>
      <c r="MI1" s="412"/>
      <c r="MJ1" s="411" t="s">
        <v>1723</v>
      </c>
      <c r="MK1" s="412"/>
      <c r="ML1" s="410" t="s">
        <v>1724</v>
      </c>
      <c r="MM1" s="402"/>
      <c r="MN1" s="411" t="s">
        <v>1725</v>
      </c>
      <c r="MO1" s="412"/>
      <c r="MP1" s="411" t="s">
        <v>1726</v>
      </c>
      <c r="MQ1" s="412"/>
      <c r="MR1" s="411" t="s">
        <v>1727</v>
      </c>
      <c r="MS1" s="412"/>
      <c r="MT1" s="411" t="s">
        <v>1728</v>
      </c>
      <c r="MU1" s="412"/>
      <c r="MV1" s="410" t="s">
        <v>1729</v>
      </c>
      <c r="MW1" s="402"/>
      <c r="MX1" s="411" t="s">
        <v>1730</v>
      </c>
      <c r="MY1" s="412"/>
      <c r="MZ1" s="411" t="s">
        <v>1731</v>
      </c>
      <c r="NA1" s="412"/>
      <c r="NB1" s="411" t="s">
        <v>1732</v>
      </c>
      <c r="NC1" s="412"/>
      <c r="ND1" s="410" t="s">
        <v>1733</v>
      </c>
      <c r="NE1" s="402"/>
      <c r="NF1" s="411" t="s">
        <v>1734</v>
      </c>
      <c r="NG1" s="412"/>
      <c r="NH1" s="411" t="s">
        <v>1735</v>
      </c>
      <c r="NI1" s="412"/>
      <c r="NJ1" s="411" t="s">
        <v>1736</v>
      </c>
      <c r="NK1" s="412"/>
      <c r="NL1" s="410" t="s">
        <v>1737</v>
      </c>
      <c r="NM1" s="402"/>
      <c r="NN1" s="411" t="s">
        <v>1738</v>
      </c>
      <c r="NO1" s="412"/>
      <c r="NP1" s="411" t="s">
        <v>1739</v>
      </c>
      <c r="NQ1" s="412"/>
      <c r="NR1" s="410" t="s">
        <v>1740</v>
      </c>
      <c r="NS1" s="402"/>
      <c r="NT1" s="411" t="s">
        <v>1741</v>
      </c>
      <c r="NU1" s="412"/>
      <c r="NV1" s="411" t="s">
        <v>1742</v>
      </c>
      <c r="NW1" s="412"/>
      <c r="NX1" s="411" t="s">
        <v>1743</v>
      </c>
      <c r="NY1" s="412"/>
      <c r="NZ1" s="411" t="s">
        <v>1744</v>
      </c>
      <c r="OA1" s="402"/>
      <c r="OB1" s="411" t="s">
        <v>1745</v>
      </c>
      <c r="OC1" s="412"/>
      <c r="OD1" s="411" t="s">
        <v>1746</v>
      </c>
      <c r="OE1" s="412"/>
      <c r="OF1" s="410" t="s">
        <v>1747</v>
      </c>
      <c r="OG1" s="402"/>
      <c r="OH1" s="411" t="s">
        <v>1748</v>
      </c>
      <c r="OI1" s="412"/>
      <c r="OJ1" s="411" t="s">
        <v>1749</v>
      </c>
      <c r="OK1" s="412"/>
      <c r="OL1" s="411" t="s">
        <v>1750</v>
      </c>
      <c r="OM1" s="412"/>
      <c r="ON1" s="411" t="s">
        <v>1751</v>
      </c>
      <c r="OO1" s="412"/>
      <c r="OP1" s="410" t="s">
        <v>1752</v>
      </c>
      <c r="OQ1" s="402"/>
      <c r="OR1" s="411" t="s">
        <v>1753</v>
      </c>
      <c r="OS1" s="412"/>
      <c r="OT1" s="411" t="s">
        <v>1754</v>
      </c>
      <c r="OU1" s="412"/>
      <c r="OV1" s="410" t="s">
        <v>1755</v>
      </c>
      <c r="OW1" s="402"/>
      <c r="OX1" s="411" t="s">
        <v>1756</v>
      </c>
      <c r="OY1" s="412"/>
      <c r="OZ1" s="411" t="s">
        <v>1757</v>
      </c>
      <c r="PA1" s="412"/>
      <c r="PB1" s="411" t="s">
        <v>1758</v>
      </c>
      <c r="PC1" s="412"/>
      <c r="PD1" s="411" t="s">
        <v>1759</v>
      </c>
      <c r="PE1" s="412"/>
      <c r="PF1" s="411" t="s">
        <v>1760</v>
      </c>
      <c r="PG1" s="412"/>
      <c r="PH1" s="410" t="s">
        <v>1761</v>
      </c>
      <c r="PI1" s="402"/>
      <c r="PJ1" s="411" t="s">
        <v>1762</v>
      </c>
      <c r="PK1" s="412"/>
      <c r="PL1" s="410" t="s">
        <v>1763</v>
      </c>
      <c r="PM1" s="402"/>
      <c r="PN1" s="411" t="s">
        <v>1764</v>
      </c>
      <c r="PO1" s="412"/>
      <c r="PP1" s="411" t="s">
        <v>1765</v>
      </c>
      <c r="PQ1" s="412"/>
      <c r="PR1" s="410" t="s">
        <v>1766</v>
      </c>
      <c r="PS1" s="402"/>
      <c r="PT1" s="411" t="s">
        <v>1767</v>
      </c>
      <c r="PU1" s="412"/>
      <c r="PV1" s="410" t="s">
        <v>1768</v>
      </c>
      <c r="PW1" s="402"/>
      <c r="PX1" s="411" t="s">
        <v>1769</v>
      </c>
      <c r="PY1" s="412"/>
      <c r="PZ1" s="411" t="s">
        <v>1770</v>
      </c>
      <c r="QA1" s="412"/>
      <c r="QB1" s="411" t="s">
        <v>1771</v>
      </c>
      <c r="QC1" s="412"/>
      <c r="QD1" s="411" t="s">
        <v>1772</v>
      </c>
      <c r="QE1" s="412"/>
      <c r="QF1" s="411" t="s">
        <v>1773</v>
      </c>
      <c r="QG1" s="412"/>
      <c r="QH1" s="410" t="s">
        <v>1774</v>
      </c>
      <c r="QI1" s="402"/>
      <c r="QJ1" s="411" t="s">
        <v>1775</v>
      </c>
      <c r="QK1" s="412"/>
      <c r="QL1" s="411" t="s">
        <v>1776</v>
      </c>
      <c r="QM1" s="412"/>
      <c r="QN1" s="410" t="s">
        <v>1777</v>
      </c>
      <c r="QO1" s="402"/>
      <c r="QP1" s="411" t="s">
        <v>1778</v>
      </c>
      <c r="QQ1" s="412"/>
      <c r="QR1" s="411" t="s">
        <v>1779</v>
      </c>
      <c r="QS1" s="412"/>
      <c r="QT1" s="411" t="s">
        <v>1780</v>
      </c>
      <c r="QU1" s="412"/>
      <c r="QV1" s="410" t="s">
        <v>1781</v>
      </c>
      <c r="QW1" s="412"/>
      <c r="QX1" s="410" t="s">
        <v>1782</v>
      </c>
      <c r="QY1" s="402"/>
      <c r="QZ1" s="411" t="s">
        <v>1783</v>
      </c>
      <c r="RA1" s="412"/>
      <c r="RB1" s="411" t="s">
        <v>1784</v>
      </c>
      <c r="RC1" s="412"/>
      <c r="RD1" s="411" t="s">
        <v>1785</v>
      </c>
      <c r="RE1" s="412"/>
      <c r="RF1" s="411" t="s">
        <v>1786</v>
      </c>
      <c r="RG1" s="412"/>
      <c r="RH1" s="411" t="s">
        <v>1787</v>
      </c>
      <c r="RI1" s="412"/>
      <c r="RJ1" s="411" t="s">
        <v>1788</v>
      </c>
      <c r="RK1" s="412"/>
      <c r="RL1" s="410" t="s">
        <v>1789</v>
      </c>
      <c r="RM1" s="402"/>
      <c r="RN1" s="411" t="s">
        <v>1790</v>
      </c>
      <c r="RO1" s="412"/>
      <c r="RP1" s="410" t="s">
        <v>1791</v>
      </c>
      <c r="RQ1" s="402"/>
      <c r="RR1" s="411" t="s">
        <v>1792</v>
      </c>
      <c r="RS1" s="412"/>
      <c r="RT1" s="411" t="s">
        <v>1793</v>
      </c>
      <c r="RU1" s="412"/>
      <c r="RV1" s="410" t="s">
        <v>1794</v>
      </c>
      <c r="RW1" s="402"/>
      <c r="RX1" s="411" t="s">
        <v>1795</v>
      </c>
      <c r="RY1" s="412"/>
      <c r="RZ1" s="411" t="s">
        <v>1796</v>
      </c>
      <c r="SA1" s="402"/>
      <c r="SB1" s="411" t="s">
        <v>1797</v>
      </c>
      <c r="SC1" s="412"/>
      <c r="SD1" s="411" t="s">
        <v>1798</v>
      </c>
      <c r="SE1" s="412"/>
      <c r="SF1" s="411" t="s">
        <v>1799</v>
      </c>
      <c r="SG1" s="412"/>
      <c r="SH1" s="411" t="s">
        <v>1800</v>
      </c>
      <c r="SI1" s="412"/>
      <c r="SJ1" s="410" t="s">
        <v>1801</v>
      </c>
      <c r="SK1" s="402"/>
      <c r="SL1" s="411" t="s">
        <v>1802</v>
      </c>
      <c r="SM1" s="412"/>
      <c r="SN1" s="411" t="s">
        <v>1803</v>
      </c>
      <c r="SO1" s="412"/>
      <c r="SP1" s="410" t="s">
        <v>1804</v>
      </c>
      <c r="SQ1" s="402"/>
      <c r="SR1" s="411" t="s">
        <v>1805</v>
      </c>
      <c r="SS1" s="412"/>
      <c r="ST1" s="410" t="s">
        <v>1806</v>
      </c>
      <c r="SU1" s="402"/>
      <c r="SV1" s="411" t="s">
        <v>1807</v>
      </c>
      <c r="SW1" s="412"/>
      <c r="SX1" s="411" t="s">
        <v>1808</v>
      </c>
      <c r="SY1" s="412"/>
      <c r="SZ1" s="411" t="s">
        <v>1809</v>
      </c>
      <c r="TA1" s="412"/>
      <c r="TB1" s="411" t="s">
        <v>1810</v>
      </c>
      <c r="TC1" s="412"/>
      <c r="TD1" s="410" t="s">
        <v>1811</v>
      </c>
      <c r="TE1" s="402"/>
      <c r="TF1" s="411" t="s">
        <v>1812</v>
      </c>
      <c r="TG1" s="412"/>
      <c r="TH1" s="411" t="s">
        <v>1778</v>
      </c>
      <c r="TI1" s="412"/>
      <c r="TJ1" s="410" t="s">
        <v>1813</v>
      </c>
      <c r="TK1" s="402"/>
      <c r="TL1" s="411" t="s">
        <v>1814</v>
      </c>
      <c r="TM1" s="412"/>
      <c r="TN1" s="411" t="s">
        <v>1815</v>
      </c>
      <c r="TO1" s="412"/>
      <c r="TP1" s="411" t="s">
        <v>1816</v>
      </c>
      <c r="TQ1" s="412"/>
      <c r="TR1" s="411" t="s">
        <v>1817</v>
      </c>
      <c r="TS1" s="412"/>
      <c r="TT1" s="411" t="s">
        <v>1818</v>
      </c>
      <c r="TU1" s="412"/>
      <c r="TV1" s="411" t="s">
        <v>1819</v>
      </c>
      <c r="TW1" s="412"/>
      <c r="TX1" s="411" t="s">
        <v>1820</v>
      </c>
      <c r="TY1" s="412"/>
      <c r="TZ1" s="410" t="s">
        <v>1821</v>
      </c>
      <c r="UA1" s="402"/>
      <c r="UB1" s="411" t="s">
        <v>1822</v>
      </c>
      <c r="UC1" s="412"/>
      <c r="UD1" s="411" t="s">
        <v>1823</v>
      </c>
      <c r="UE1" s="412"/>
      <c r="UF1" s="411" t="s">
        <v>1824</v>
      </c>
      <c r="UG1" s="412"/>
      <c r="UH1" s="410" t="s">
        <v>1825</v>
      </c>
      <c r="UI1" s="402"/>
      <c r="UJ1" s="411" t="s">
        <v>1826</v>
      </c>
      <c r="UK1" s="412"/>
      <c r="UL1" s="411" t="s">
        <v>1827</v>
      </c>
      <c r="UM1" s="412"/>
      <c r="UN1" s="411" t="s">
        <v>1828</v>
      </c>
      <c r="UO1" s="412"/>
      <c r="UP1" s="411" t="s">
        <v>1829</v>
      </c>
      <c r="UQ1" s="412"/>
      <c r="UR1" s="410" t="s">
        <v>1830</v>
      </c>
      <c r="US1" s="402"/>
      <c r="UT1" s="411" t="s">
        <v>1831</v>
      </c>
      <c r="UU1" s="412"/>
      <c r="UV1" s="411" t="s">
        <v>1832</v>
      </c>
      <c r="UW1" s="412"/>
      <c r="UX1" s="411" t="s">
        <v>1833</v>
      </c>
      <c r="UY1" s="412"/>
      <c r="UZ1" s="410" t="s">
        <v>1834</v>
      </c>
      <c r="VA1" s="402"/>
      <c r="VB1" s="411" t="s">
        <v>1835</v>
      </c>
      <c r="VC1" s="412"/>
      <c r="VD1" s="411" t="s">
        <v>1836</v>
      </c>
      <c r="VE1" s="412"/>
      <c r="VF1" s="411" t="s">
        <v>1837</v>
      </c>
      <c r="VG1" s="412"/>
      <c r="VH1" s="410" t="s">
        <v>1838</v>
      </c>
      <c r="VI1" s="402"/>
      <c r="VJ1" s="411" t="s">
        <v>1839</v>
      </c>
      <c r="VK1" s="412"/>
      <c r="VL1" s="411" t="s">
        <v>1840</v>
      </c>
      <c r="VM1" s="412"/>
      <c r="VN1" s="410" t="s">
        <v>1841</v>
      </c>
      <c r="VO1" s="402"/>
      <c r="VP1" s="411" t="s">
        <v>1842</v>
      </c>
      <c r="VQ1" s="412"/>
      <c r="VR1" s="411" t="s">
        <v>1843</v>
      </c>
      <c r="VS1" s="412"/>
      <c r="VT1" s="411" t="s">
        <v>1844</v>
      </c>
      <c r="VU1" s="412"/>
      <c r="VV1" s="411" t="s">
        <v>1845</v>
      </c>
      <c r="VW1" s="412"/>
      <c r="VX1" s="411" t="s">
        <v>1846</v>
      </c>
      <c r="VY1" s="412"/>
      <c r="VZ1" s="410" t="s">
        <v>1847</v>
      </c>
      <c r="WA1" s="402"/>
      <c r="WB1" s="411" t="s">
        <v>1848</v>
      </c>
      <c r="WC1" s="412"/>
      <c r="WD1" s="411" t="s">
        <v>1849</v>
      </c>
      <c r="WE1" s="412"/>
      <c r="WF1" s="411" t="s">
        <v>1850</v>
      </c>
      <c r="WG1" s="412"/>
      <c r="WH1" s="411" t="s">
        <v>1851</v>
      </c>
      <c r="WI1" s="412"/>
      <c r="WJ1" s="411" t="s">
        <v>1852</v>
      </c>
      <c r="WK1" s="412"/>
      <c r="WL1" s="410" t="s">
        <v>1853</v>
      </c>
      <c r="WM1" s="402"/>
      <c r="WN1" s="411" t="s">
        <v>1854</v>
      </c>
      <c r="WO1" s="412"/>
      <c r="WP1" s="410" t="s">
        <v>1855</v>
      </c>
      <c r="WQ1" s="402"/>
      <c r="WR1" s="411" t="s">
        <v>1856</v>
      </c>
      <c r="WS1" s="402"/>
      <c r="WT1" s="411" t="s">
        <v>1857</v>
      </c>
      <c r="WU1" s="412"/>
      <c r="WV1" s="411" t="s">
        <v>1858</v>
      </c>
      <c r="WW1" s="412"/>
      <c r="WX1" s="410" t="s">
        <v>1859</v>
      </c>
      <c r="WY1" s="402"/>
      <c r="WZ1" s="411" t="s">
        <v>1860</v>
      </c>
      <c r="XA1" s="412"/>
      <c r="XB1" s="411" t="s">
        <v>1861</v>
      </c>
      <c r="XC1" s="412"/>
      <c r="XD1" s="411" t="s">
        <v>1862</v>
      </c>
      <c r="XE1" s="412"/>
      <c r="XF1" s="411" t="s">
        <v>1863</v>
      </c>
      <c r="XG1" s="412"/>
      <c r="XH1" s="410" t="s">
        <v>1864</v>
      </c>
      <c r="XI1" s="402"/>
      <c r="XJ1" s="411" t="s">
        <v>1865</v>
      </c>
      <c r="XK1" s="412"/>
      <c r="XL1" s="410" t="s">
        <v>1866</v>
      </c>
      <c r="XM1" s="402"/>
      <c r="XN1" s="411" t="s">
        <v>1867</v>
      </c>
      <c r="XO1" s="412"/>
      <c r="XP1" s="411" t="s">
        <v>1868</v>
      </c>
      <c r="XQ1" s="412"/>
      <c r="XR1" s="410" t="s">
        <v>1869</v>
      </c>
      <c r="XS1" s="402"/>
      <c r="XT1" s="411" t="s">
        <v>1870</v>
      </c>
      <c r="XU1" s="412"/>
      <c r="XV1" s="411" t="s">
        <v>1871</v>
      </c>
      <c r="XW1" s="412"/>
      <c r="XX1" s="411" t="s">
        <v>1872</v>
      </c>
      <c r="XY1" s="412"/>
      <c r="XZ1" s="410" t="s">
        <v>1873</v>
      </c>
      <c r="YA1" s="402"/>
      <c r="YB1" s="411" t="s">
        <v>1874</v>
      </c>
      <c r="YC1" s="412"/>
      <c r="YD1" s="411" t="s">
        <v>1875</v>
      </c>
      <c r="YE1" s="412"/>
      <c r="YF1" s="411" t="s">
        <v>1876</v>
      </c>
      <c r="YG1" s="412"/>
      <c r="YH1" s="411" t="s">
        <v>1877</v>
      </c>
      <c r="YI1" s="412"/>
      <c r="YJ1" s="410" t="s">
        <v>1878</v>
      </c>
      <c r="YK1" s="402"/>
      <c r="YL1" s="411" t="s">
        <v>1879</v>
      </c>
      <c r="YM1" s="412"/>
      <c r="YN1" s="411" t="s">
        <v>1880</v>
      </c>
      <c r="YO1" s="412"/>
      <c r="YP1" s="411" t="s">
        <v>1881</v>
      </c>
      <c r="YQ1" s="412"/>
      <c r="YR1" s="411" t="s">
        <v>1882</v>
      </c>
      <c r="YS1" s="412"/>
      <c r="YT1" s="410" t="s">
        <v>1883</v>
      </c>
      <c r="YU1" s="402"/>
      <c r="YV1" s="411" t="s">
        <v>1884</v>
      </c>
      <c r="YW1" s="412"/>
      <c r="YX1" s="411" t="s">
        <v>1885</v>
      </c>
      <c r="YY1" s="412"/>
      <c r="YZ1" s="410" t="s">
        <v>1886</v>
      </c>
      <c r="ZA1" s="402"/>
      <c r="ZB1" s="411" t="s">
        <v>1887</v>
      </c>
      <c r="ZC1" s="412"/>
      <c r="ZD1" s="410" t="s">
        <v>1888</v>
      </c>
      <c r="ZE1" s="402"/>
      <c r="ZF1" s="411" t="s">
        <v>1889</v>
      </c>
      <c r="ZG1" s="412"/>
      <c r="ZH1" s="411" t="s">
        <v>1890</v>
      </c>
      <c r="ZI1" s="412"/>
      <c r="ZJ1" s="411" t="s">
        <v>1891</v>
      </c>
      <c r="ZK1" s="412"/>
      <c r="ZL1" s="410" t="s">
        <v>1892</v>
      </c>
      <c r="ZM1" s="402"/>
      <c r="ZN1" s="411" t="s">
        <v>1893</v>
      </c>
      <c r="ZO1" s="412"/>
      <c r="ZP1" s="411" t="s">
        <v>1894</v>
      </c>
      <c r="ZQ1" s="412"/>
      <c r="ZR1" s="410" t="s">
        <v>1895</v>
      </c>
      <c r="ZS1" s="402"/>
      <c r="ZT1" s="411" t="s">
        <v>1896</v>
      </c>
      <c r="ZU1" s="412"/>
      <c r="ZV1" s="411" t="s">
        <v>1897</v>
      </c>
      <c r="ZW1" s="412"/>
      <c r="ZX1" s="410" t="s">
        <v>1898</v>
      </c>
      <c r="ZY1" s="402"/>
      <c r="ZZ1" s="411" t="s">
        <v>1899</v>
      </c>
      <c r="AAA1" s="412"/>
      <c r="AAB1" s="411" t="s">
        <v>1900</v>
      </c>
      <c r="AAC1" s="412"/>
      <c r="AAD1" s="411" t="s">
        <v>1901</v>
      </c>
      <c r="AAE1" s="412"/>
      <c r="AAF1" s="411" t="s">
        <v>1902</v>
      </c>
      <c r="AAG1" s="412"/>
      <c r="AAH1" s="410" t="s">
        <v>1903</v>
      </c>
      <c r="AAI1" s="402"/>
      <c r="AAJ1" s="411" t="s">
        <v>1904</v>
      </c>
      <c r="AAK1" s="412"/>
      <c r="AAL1" s="411" t="s">
        <v>1905</v>
      </c>
      <c r="AAM1" s="412"/>
      <c r="AAN1" s="411" t="s">
        <v>1906</v>
      </c>
      <c r="AAO1" s="412"/>
      <c r="AAP1" s="411" t="s">
        <v>1907</v>
      </c>
      <c r="AAQ1" s="412"/>
      <c r="AAR1" s="411" t="s">
        <v>1908</v>
      </c>
      <c r="AAS1" s="412"/>
      <c r="AAT1" s="410" t="s">
        <v>1909</v>
      </c>
      <c r="AAU1" s="402"/>
      <c r="AAV1" s="411" t="s">
        <v>1910</v>
      </c>
      <c r="AAW1" s="412"/>
      <c r="AAX1" s="410" t="s">
        <v>1911</v>
      </c>
      <c r="AAY1" s="402"/>
      <c r="AAZ1" s="411" t="s">
        <v>1912</v>
      </c>
      <c r="ABA1" s="412"/>
      <c r="ABB1" s="411" t="s">
        <v>1913</v>
      </c>
      <c r="ABC1" s="412"/>
      <c r="ABD1" s="411" t="s">
        <v>1914</v>
      </c>
      <c r="ABE1" s="412"/>
      <c r="ABF1" s="410" t="s">
        <v>1915</v>
      </c>
      <c r="ABG1" s="402"/>
      <c r="ABH1" s="411" t="s">
        <v>1916</v>
      </c>
      <c r="ABI1" s="412"/>
      <c r="ABJ1" s="411" t="s">
        <v>1917</v>
      </c>
      <c r="ABK1" s="412"/>
      <c r="ABL1" s="411" t="s">
        <v>1918</v>
      </c>
      <c r="ABM1" s="412"/>
      <c r="ABN1" s="411" t="s">
        <v>1919</v>
      </c>
      <c r="ABO1" s="412"/>
      <c r="ABP1" s="410" t="s">
        <v>1920</v>
      </c>
      <c r="ABQ1" s="402"/>
      <c r="ABR1" s="411" t="s">
        <v>1921</v>
      </c>
      <c r="ABS1" s="412"/>
      <c r="ABT1" s="411" t="s">
        <v>1922</v>
      </c>
      <c r="ABU1" s="412"/>
      <c r="ABV1" s="411" t="s">
        <v>1923</v>
      </c>
      <c r="ABW1" s="412"/>
      <c r="ABX1" s="410" t="s">
        <v>1924</v>
      </c>
      <c r="ABY1" s="402"/>
      <c r="ABZ1" s="411" t="s">
        <v>1925</v>
      </c>
      <c r="ACA1" s="412"/>
      <c r="ACB1" s="411" t="s">
        <v>1926</v>
      </c>
      <c r="ACC1" s="412"/>
      <c r="ACD1" s="411" t="s">
        <v>1927</v>
      </c>
      <c r="ACE1" s="412"/>
      <c r="ACF1" s="411" t="s">
        <v>1928</v>
      </c>
      <c r="ACG1" s="412"/>
      <c r="ACH1" s="411" t="s">
        <v>1929</v>
      </c>
      <c r="ACI1" s="412"/>
      <c r="ACJ1" s="410" t="s">
        <v>1930</v>
      </c>
      <c r="ACK1" s="402"/>
      <c r="ACL1" s="411" t="s">
        <v>1931</v>
      </c>
      <c r="ACM1" s="412"/>
      <c r="ACN1" s="410" t="s">
        <v>1932</v>
      </c>
      <c r="ACO1" s="402"/>
      <c r="ACP1" s="411" t="s">
        <v>1933</v>
      </c>
      <c r="ACQ1" s="412"/>
      <c r="ACR1" s="411" t="s">
        <v>1934</v>
      </c>
      <c r="ACS1" s="412"/>
      <c r="ACT1" s="411" t="s">
        <v>1935</v>
      </c>
      <c r="ACU1" s="412"/>
      <c r="ACV1" s="411" t="s">
        <v>1936</v>
      </c>
      <c r="ACW1" s="412"/>
      <c r="ACX1" s="410" t="s">
        <v>1937</v>
      </c>
      <c r="ACY1" s="402"/>
      <c r="ACZ1" s="411" t="s">
        <v>1938</v>
      </c>
      <c r="ADA1" s="412"/>
      <c r="ADB1" s="411" t="s">
        <v>1939</v>
      </c>
      <c r="ADC1" s="412"/>
      <c r="ADD1" s="411" t="s">
        <v>1940</v>
      </c>
      <c r="ADE1" s="412"/>
      <c r="ADF1" s="411" t="s">
        <v>1941</v>
      </c>
      <c r="ADG1" s="412"/>
      <c r="ADH1" s="411" t="s">
        <v>1942</v>
      </c>
      <c r="ADI1" s="412"/>
      <c r="ADJ1" s="411" t="s">
        <v>1943</v>
      </c>
      <c r="ADK1" s="412"/>
      <c r="ADL1" s="410" t="s">
        <v>1944</v>
      </c>
      <c r="ADM1" s="412"/>
      <c r="ADN1" s="410" t="s">
        <v>1945</v>
      </c>
      <c r="ADO1" s="412"/>
      <c r="ADP1" s="411" t="s">
        <v>1946</v>
      </c>
      <c r="ADQ1" s="412"/>
      <c r="ADR1" s="410" t="s">
        <v>1947</v>
      </c>
      <c r="ADS1" s="412"/>
      <c r="ADT1" s="411" t="s">
        <v>1948</v>
      </c>
      <c r="ADU1" s="412"/>
      <c r="ADV1" s="410" t="s">
        <v>1949</v>
      </c>
      <c r="ADW1" s="402"/>
      <c r="ADX1" s="411" t="s">
        <v>1950</v>
      </c>
      <c r="ADY1" s="412"/>
      <c r="ADZ1" s="411" t="s">
        <v>1951</v>
      </c>
      <c r="AEA1" s="412"/>
      <c r="AEB1" s="411" t="s">
        <v>1952</v>
      </c>
      <c r="AEC1" s="412"/>
      <c r="AED1" s="410" t="s">
        <v>1953</v>
      </c>
      <c r="AEE1" s="402"/>
      <c r="AEF1" s="411" t="s">
        <v>1954</v>
      </c>
      <c r="AEG1" s="412"/>
      <c r="AEH1" s="411" t="s">
        <v>1955</v>
      </c>
      <c r="AEI1" s="402"/>
      <c r="AEJ1" s="411" t="s">
        <v>1956</v>
      </c>
      <c r="AEK1" s="412"/>
      <c r="AEL1" s="411" t="s">
        <v>1957</v>
      </c>
      <c r="AEM1" s="412"/>
      <c r="AEN1" s="411" t="s">
        <v>1958</v>
      </c>
      <c r="AEO1" s="412"/>
      <c r="AEP1" s="411" t="s">
        <v>1959</v>
      </c>
      <c r="AEQ1" s="412"/>
      <c r="AER1" s="410" t="s">
        <v>1960</v>
      </c>
      <c r="AES1" s="402"/>
      <c r="AET1" s="411" t="s">
        <v>1961</v>
      </c>
      <c r="AEU1" s="412"/>
      <c r="AEV1" s="410" t="s">
        <v>1962</v>
      </c>
      <c r="AEW1" s="402"/>
      <c r="AEX1" s="411" t="s">
        <v>1963</v>
      </c>
      <c r="AEY1" s="412"/>
      <c r="AEZ1" s="411" t="s">
        <v>1964</v>
      </c>
      <c r="AFA1" s="412"/>
      <c r="AFB1" s="411" t="s">
        <v>1965</v>
      </c>
      <c r="AFC1" s="412"/>
      <c r="AFD1" s="471" t="s">
        <v>1966</v>
      </c>
      <c r="AFE1" s="412"/>
      <c r="AFF1" s="410" t="s">
        <v>1967</v>
      </c>
      <c r="AFG1" s="402"/>
      <c r="AFH1" s="411" t="s">
        <v>1968</v>
      </c>
      <c r="AFI1" s="412"/>
      <c r="AFJ1" s="410" t="s">
        <v>1969</v>
      </c>
      <c r="AFK1" s="402"/>
      <c r="AFL1" s="411" t="s">
        <v>1970</v>
      </c>
      <c r="AFM1" s="412"/>
      <c r="AFN1" s="411" t="s">
        <v>1971</v>
      </c>
      <c r="AFO1" s="412"/>
      <c r="AFP1" s="411" t="s">
        <v>1972</v>
      </c>
      <c r="AFQ1" s="412"/>
      <c r="AFR1" s="410" t="s">
        <v>1973</v>
      </c>
      <c r="AFS1" s="402"/>
      <c r="AFT1" s="411" t="s">
        <v>1974</v>
      </c>
      <c r="AFU1" s="412"/>
      <c r="AFV1" s="410" t="s">
        <v>1975</v>
      </c>
      <c r="AFW1" s="402"/>
      <c r="AFX1" s="411" t="s">
        <v>1976</v>
      </c>
      <c r="AFY1" s="402"/>
      <c r="AFZ1" s="411" t="s">
        <v>1977</v>
      </c>
      <c r="AGA1" s="412"/>
      <c r="AGB1" s="411" t="s">
        <v>1978</v>
      </c>
      <c r="AGC1" s="412"/>
      <c r="AGD1" s="410" t="s">
        <v>1979</v>
      </c>
      <c r="AGE1" s="402"/>
      <c r="AGF1" s="472" t="s">
        <v>1980</v>
      </c>
      <c r="AGG1" s="412"/>
      <c r="AGH1" s="411" t="s">
        <v>1981</v>
      </c>
      <c r="AGI1" s="412"/>
      <c r="AGJ1" s="410" t="s">
        <v>1982</v>
      </c>
      <c r="AGK1" s="402"/>
      <c r="AGL1" s="411" t="s">
        <v>1983</v>
      </c>
      <c r="AGM1" s="412"/>
      <c r="AGN1" s="411" t="s">
        <v>1984</v>
      </c>
      <c r="AGO1" s="412"/>
      <c r="AGP1" s="411" t="s">
        <v>1985</v>
      </c>
      <c r="AGQ1" s="412"/>
      <c r="AGR1" s="411" t="s">
        <v>1986</v>
      </c>
      <c r="AGS1" s="402"/>
      <c r="AGT1" s="411" t="s">
        <v>1987</v>
      </c>
      <c r="AGU1" s="412"/>
      <c r="AGV1" s="410" t="s">
        <v>1988</v>
      </c>
      <c r="AGW1" s="402"/>
      <c r="AGX1" s="411" t="s">
        <v>1989</v>
      </c>
      <c r="AGY1" s="412"/>
      <c r="AGZ1" s="411" t="s">
        <v>1990</v>
      </c>
      <c r="AHA1" s="402"/>
      <c r="AHB1" s="411" t="s">
        <v>1991</v>
      </c>
      <c r="AHC1" s="402"/>
      <c r="AHD1" s="411" t="s">
        <v>1992</v>
      </c>
      <c r="AHE1" s="412"/>
      <c r="AHF1" s="411" t="s">
        <v>1993</v>
      </c>
      <c r="AHG1" s="412"/>
      <c r="AHH1" s="411" t="s">
        <v>1994</v>
      </c>
      <c r="AHI1" s="402"/>
      <c r="AHJ1" s="411" t="s">
        <v>1995</v>
      </c>
      <c r="AHK1" s="412"/>
      <c r="AHL1" s="410" t="s">
        <v>1996</v>
      </c>
      <c r="AHM1" s="402"/>
      <c r="AHN1" s="411" t="s">
        <v>1997</v>
      </c>
      <c r="AHO1" s="412"/>
      <c r="AHP1" s="411" t="s">
        <v>1998</v>
      </c>
      <c r="AHQ1" s="412"/>
      <c r="AHR1" s="411" t="s">
        <v>1999</v>
      </c>
      <c r="AHS1" s="402"/>
      <c r="AHT1" s="411" t="s">
        <v>2000</v>
      </c>
      <c r="AHU1" s="402"/>
      <c r="AHV1" s="411" t="s">
        <v>2001</v>
      </c>
      <c r="AHW1" s="412"/>
      <c r="AHX1" s="411" t="s">
        <v>2002</v>
      </c>
      <c r="AHY1" s="412"/>
      <c r="AHZ1" s="411" t="s">
        <v>2003</v>
      </c>
      <c r="AIA1" s="412"/>
    </row>
    <row r="2" spans="1:911" ht="15.75" customHeight="1" x14ac:dyDescent="0.2">
      <c r="A2" s="398"/>
      <c r="B2" s="396"/>
      <c r="C2" s="398"/>
      <c r="D2" s="396"/>
      <c r="E2" s="398"/>
      <c r="F2" s="396"/>
      <c r="G2" s="398"/>
      <c r="H2" s="396"/>
      <c r="I2" s="398"/>
      <c r="J2" s="396"/>
      <c r="K2" s="398"/>
      <c r="L2" s="396"/>
      <c r="M2" s="398"/>
      <c r="N2" s="396"/>
      <c r="O2" s="398"/>
      <c r="P2" s="396"/>
      <c r="Q2" s="398"/>
      <c r="R2" s="396"/>
      <c r="S2" s="398"/>
      <c r="T2" s="396"/>
      <c r="U2" s="398"/>
      <c r="V2" s="396"/>
      <c r="W2" s="398"/>
      <c r="X2" s="396"/>
      <c r="Y2" s="398"/>
      <c r="Z2" s="396"/>
      <c r="AA2" s="398"/>
      <c r="AB2" s="396"/>
      <c r="AC2" s="398"/>
      <c r="AD2" s="397"/>
      <c r="AE2" s="397"/>
      <c r="AF2" s="396"/>
      <c r="AG2" s="397"/>
      <c r="AH2" s="396"/>
      <c r="AI2" s="398"/>
      <c r="AJ2" s="397"/>
      <c r="AK2" s="397"/>
      <c r="AL2" s="396"/>
      <c r="AM2" s="398"/>
      <c r="AN2" s="396"/>
      <c r="AO2" s="398"/>
      <c r="AP2" s="396"/>
      <c r="AQ2" s="398"/>
      <c r="AR2" s="396"/>
      <c r="AS2" s="398"/>
      <c r="AT2" s="396"/>
      <c r="AU2" s="398"/>
      <c r="AV2" s="397"/>
      <c r="AW2" s="397"/>
      <c r="AX2" s="396"/>
      <c r="AY2" s="398"/>
      <c r="AZ2" s="396"/>
      <c r="BA2" s="398"/>
      <c r="BB2" s="397"/>
      <c r="BC2" s="397"/>
      <c r="BD2" s="396"/>
      <c r="BE2" s="398"/>
      <c r="BF2" s="396"/>
      <c r="BG2" s="398"/>
      <c r="BH2" s="396"/>
      <c r="BI2" s="398"/>
      <c r="BJ2" s="396"/>
      <c r="BK2" s="398"/>
      <c r="BL2" s="397"/>
      <c r="BM2" s="397"/>
      <c r="BN2" s="396"/>
      <c r="BO2" s="398"/>
      <c r="BP2" s="396"/>
      <c r="BQ2" s="398"/>
      <c r="BR2" s="396"/>
      <c r="BS2" s="398"/>
      <c r="BT2" s="397"/>
      <c r="BU2" s="397"/>
      <c r="BV2" s="396"/>
      <c r="BW2" s="398"/>
      <c r="BX2" s="397"/>
      <c r="BY2" s="397"/>
      <c r="BZ2" s="396"/>
      <c r="CA2" s="398"/>
      <c r="CB2" s="396"/>
      <c r="CC2" s="398"/>
      <c r="CD2" s="396"/>
      <c r="CE2" s="398"/>
      <c r="CF2" s="396"/>
      <c r="CG2" s="398"/>
      <c r="CH2" s="396"/>
      <c r="CI2" s="398"/>
      <c r="CJ2" s="396"/>
      <c r="CK2" s="398"/>
      <c r="CL2" s="397"/>
      <c r="CM2" s="397"/>
      <c r="CN2" s="396"/>
      <c r="CO2" s="398"/>
      <c r="CP2" s="396"/>
      <c r="CQ2" s="398"/>
      <c r="CR2" s="396"/>
      <c r="CS2" s="398"/>
      <c r="CT2" s="397"/>
      <c r="CU2" s="397"/>
      <c r="CV2" s="396"/>
      <c r="CW2" s="398"/>
      <c r="CX2" s="396"/>
      <c r="CY2" s="398"/>
      <c r="CZ2" s="397"/>
      <c r="DA2" s="397"/>
      <c r="DB2" s="396"/>
      <c r="DC2" s="398"/>
      <c r="DD2" s="396"/>
      <c r="DE2" s="398"/>
      <c r="DF2" s="397"/>
      <c r="DG2" s="397"/>
      <c r="DH2" s="396"/>
      <c r="DI2" s="398"/>
      <c r="DJ2" s="396"/>
      <c r="DK2" s="398"/>
      <c r="DL2" s="396"/>
      <c r="DM2" s="398"/>
      <c r="DN2" s="397"/>
      <c r="DO2" s="397"/>
      <c r="DP2" s="396"/>
      <c r="DQ2" s="398"/>
      <c r="DR2" s="396"/>
      <c r="DS2" s="398"/>
      <c r="DT2" s="397"/>
      <c r="DU2" s="397"/>
      <c r="DV2" s="396"/>
      <c r="DW2" s="398"/>
      <c r="DX2" s="396"/>
      <c r="DY2" s="398"/>
      <c r="DZ2" s="397"/>
      <c r="EA2" s="397"/>
      <c r="EB2" s="396"/>
      <c r="EC2" s="398"/>
      <c r="ED2" s="397"/>
      <c r="EE2" s="397"/>
      <c r="EF2" s="396"/>
      <c r="EG2" s="398"/>
      <c r="EH2" s="396"/>
      <c r="EI2" s="398"/>
      <c r="EJ2" s="396"/>
      <c r="EK2" s="398"/>
      <c r="EL2" s="397"/>
      <c r="EM2" s="397"/>
      <c r="EN2" s="396"/>
      <c r="EO2" s="398"/>
      <c r="EP2" s="396"/>
      <c r="EQ2" s="398"/>
      <c r="ER2" s="396"/>
      <c r="ES2" s="398"/>
      <c r="ET2" s="397"/>
      <c r="EU2" s="397"/>
      <c r="EV2" s="396"/>
      <c r="EW2" s="398"/>
      <c r="EX2" s="396"/>
      <c r="EY2" s="398"/>
      <c r="EZ2" s="396"/>
      <c r="FA2" s="398"/>
      <c r="FB2" s="397"/>
      <c r="FC2" s="397"/>
      <c r="FD2" s="396"/>
      <c r="FE2" s="398"/>
      <c r="FF2" s="396"/>
      <c r="FG2" s="398"/>
      <c r="FH2" s="397"/>
      <c r="FI2" s="397"/>
      <c r="FJ2" s="396"/>
      <c r="FK2" s="398"/>
      <c r="FL2" s="396"/>
      <c r="FM2" s="398"/>
      <c r="FN2" s="396"/>
      <c r="FO2" s="398"/>
      <c r="FP2" s="397"/>
      <c r="FQ2" s="397"/>
      <c r="FR2" s="396"/>
      <c r="FS2" s="398"/>
      <c r="FT2" s="396"/>
      <c r="FU2" s="398"/>
      <c r="FV2" s="396"/>
      <c r="FW2" s="398"/>
      <c r="FX2" s="397"/>
      <c r="FY2" s="397"/>
      <c r="FZ2" s="396"/>
      <c r="GA2" s="398"/>
      <c r="GB2" s="396"/>
      <c r="GC2" s="398"/>
      <c r="GD2" s="397"/>
      <c r="GE2" s="397"/>
      <c r="GF2" s="396"/>
      <c r="GG2" s="398"/>
      <c r="GH2" s="397"/>
      <c r="GI2" s="397"/>
      <c r="GJ2" s="396"/>
      <c r="GK2" s="398"/>
      <c r="GL2" s="396"/>
      <c r="GM2" s="398"/>
      <c r="GN2" s="397"/>
      <c r="GO2" s="397"/>
      <c r="GP2" s="396"/>
      <c r="GQ2" s="398"/>
      <c r="GR2" s="396"/>
      <c r="GS2" s="398"/>
      <c r="GT2" s="396"/>
      <c r="GU2" s="398"/>
      <c r="GV2" s="397"/>
      <c r="GW2" s="397"/>
      <c r="GX2" s="396"/>
      <c r="GY2" s="398"/>
      <c r="GZ2" s="396"/>
      <c r="HA2" s="398"/>
      <c r="HB2" s="396"/>
      <c r="HC2" s="398"/>
      <c r="HD2" s="396"/>
      <c r="HE2" s="398"/>
      <c r="HF2" s="396"/>
      <c r="HG2" s="398"/>
      <c r="HH2" s="397"/>
      <c r="HI2" s="397"/>
      <c r="HJ2" s="396"/>
      <c r="HK2" s="398"/>
      <c r="HL2" s="396"/>
      <c r="HM2" s="398"/>
      <c r="HN2" s="397"/>
      <c r="HO2" s="397"/>
      <c r="HP2" s="396"/>
      <c r="HQ2" s="398"/>
      <c r="HR2" s="396"/>
      <c r="HS2" s="398"/>
      <c r="HT2" s="396"/>
      <c r="HU2" s="398"/>
      <c r="HV2" s="396"/>
      <c r="HW2" s="398"/>
      <c r="HX2" s="397"/>
      <c r="HY2" s="397"/>
      <c r="HZ2" s="396"/>
      <c r="IA2" s="398"/>
      <c r="IB2" s="396"/>
      <c r="IC2" s="398"/>
      <c r="ID2" s="396"/>
      <c r="IE2" s="398"/>
      <c r="IF2" s="397"/>
      <c r="IG2" s="397"/>
      <c r="IH2" s="396"/>
      <c r="II2" s="398"/>
      <c r="IJ2" s="396"/>
      <c r="IK2" s="398"/>
      <c r="IL2" s="396"/>
      <c r="IM2" s="398"/>
      <c r="IN2" s="396"/>
      <c r="IO2" s="398"/>
      <c r="IP2" s="397"/>
      <c r="IQ2" s="397"/>
      <c r="IR2" s="396"/>
      <c r="IS2" s="398"/>
      <c r="IT2" s="396"/>
      <c r="IU2" s="398"/>
      <c r="IV2" s="396"/>
      <c r="IW2" s="398"/>
      <c r="IX2" s="396"/>
      <c r="IY2" s="398"/>
      <c r="IZ2" s="396"/>
      <c r="JA2" s="398"/>
      <c r="JB2" s="396"/>
      <c r="JC2" s="398"/>
      <c r="JD2" s="396"/>
      <c r="JE2" s="398"/>
      <c r="JF2" s="397"/>
      <c r="JG2" s="397"/>
      <c r="JH2" s="396"/>
      <c r="JI2" s="398"/>
      <c r="JJ2" s="396"/>
      <c r="JK2" s="398"/>
      <c r="JL2" s="396"/>
      <c r="JM2" s="398"/>
      <c r="JN2" s="396"/>
      <c r="JO2" s="398"/>
      <c r="JP2" s="397"/>
      <c r="JQ2" s="397"/>
      <c r="JR2" s="396"/>
      <c r="JS2" s="398"/>
      <c r="JT2" s="396"/>
      <c r="JU2" s="398"/>
      <c r="JV2" s="396"/>
      <c r="JW2" s="398"/>
      <c r="JX2" s="396"/>
      <c r="JY2" s="398"/>
      <c r="JZ2" s="396"/>
      <c r="KA2" s="398"/>
      <c r="KB2" s="396"/>
      <c r="KC2" s="398"/>
      <c r="KD2" s="397"/>
      <c r="KE2" s="397"/>
      <c r="KF2" s="396"/>
      <c r="KG2" s="398"/>
      <c r="KH2" s="397"/>
      <c r="KI2" s="397"/>
      <c r="KJ2" s="396"/>
      <c r="KK2" s="398"/>
      <c r="KL2" s="396"/>
      <c r="KM2" s="398"/>
      <c r="KN2" s="396"/>
      <c r="KO2" s="398"/>
      <c r="KP2" s="396"/>
      <c r="KQ2" s="398"/>
      <c r="KR2" s="396"/>
      <c r="KS2" s="398"/>
      <c r="KT2" s="396"/>
      <c r="KU2" s="398"/>
      <c r="KV2" s="396"/>
      <c r="KW2" s="398"/>
      <c r="KX2" s="396"/>
      <c r="KY2" s="398"/>
      <c r="KZ2" s="396"/>
      <c r="LA2" s="398"/>
      <c r="LB2" s="396"/>
      <c r="LC2" s="398"/>
      <c r="LD2" s="397"/>
      <c r="LE2" s="397"/>
      <c r="LF2" s="396"/>
      <c r="LG2" s="398"/>
      <c r="LH2" s="396"/>
      <c r="LI2" s="398"/>
      <c r="LJ2" s="397"/>
      <c r="LK2" s="397"/>
      <c r="LL2" s="396"/>
      <c r="LM2" s="398"/>
      <c r="LN2" s="397"/>
      <c r="LO2" s="397"/>
      <c r="LP2" s="396"/>
      <c r="LQ2" s="398"/>
      <c r="LR2" s="396"/>
      <c r="LS2" s="398"/>
      <c r="LT2" s="396"/>
      <c r="LU2" s="398"/>
      <c r="LV2" s="397"/>
      <c r="LW2" s="397"/>
      <c r="LX2" s="396"/>
      <c r="LY2" s="398"/>
      <c r="LZ2" s="397"/>
      <c r="MA2" s="397"/>
      <c r="MB2" s="396"/>
      <c r="MC2" s="398"/>
      <c r="MD2" s="396"/>
      <c r="ME2" s="398"/>
      <c r="MF2" s="396"/>
      <c r="MG2" s="398"/>
      <c r="MH2" s="396"/>
      <c r="MI2" s="398"/>
      <c r="MJ2" s="396"/>
      <c r="MK2" s="398"/>
      <c r="ML2" s="397"/>
      <c r="MM2" s="397"/>
      <c r="MN2" s="396"/>
      <c r="MO2" s="398"/>
      <c r="MP2" s="396"/>
      <c r="MQ2" s="398"/>
      <c r="MR2" s="396"/>
      <c r="MS2" s="398"/>
      <c r="MT2" s="396"/>
      <c r="MU2" s="398"/>
      <c r="MV2" s="397"/>
      <c r="MW2" s="397"/>
      <c r="MX2" s="396"/>
      <c r="MY2" s="398"/>
      <c r="MZ2" s="396"/>
      <c r="NA2" s="398"/>
      <c r="NB2" s="396"/>
      <c r="NC2" s="398"/>
      <c r="ND2" s="397"/>
      <c r="NE2" s="397"/>
      <c r="NF2" s="396"/>
      <c r="NG2" s="398"/>
      <c r="NH2" s="396"/>
      <c r="NI2" s="398"/>
      <c r="NJ2" s="396"/>
      <c r="NK2" s="398"/>
      <c r="NL2" s="397"/>
      <c r="NM2" s="397"/>
      <c r="NN2" s="396"/>
      <c r="NO2" s="398"/>
      <c r="NP2" s="396"/>
      <c r="NQ2" s="398"/>
      <c r="NR2" s="397"/>
      <c r="NS2" s="397"/>
      <c r="NT2" s="396"/>
      <c r="NU2" s="398"/>
      <c r="NV2" s="396"/>
      <c r="NW2" s="398"/>
      <c r="NX2" s="396"/>
      <c r="NY2" s="398"/>
      <c r="NZ2" s="396"/>
      <c r="OA2" s="397"/>
      <c r="OB2" s="396"/>
      <c r="OC2" s="398"/>
      <c r="OD2" s="396"/>
      <c r="OE2" s="398"/>
      <c r="OF2" s="397"/>
      <c r="OG2" s="397"/>
      <c r="OH2" s="396"/>
      <c r="OI2" s="398"/>
      <c r="OJ2" s="396"/>
      <c r="OK2" s="398"/>
      <c r="OL2" s="396"/>
      <c r="OM2" s="398"/>
      <c r="ON2" s="396"/>
      <c r="OO2" s="398"/>
      <c r="OP2" s="397"/>
      <c r="OQ2" s="397"/>
      <c r="OR2" s="396"/>
      <c r="OS2" s="398"/>
      <c r="OT2" s="396"/>
      <c r="OU2" s="398"/>
      <c r="OV2" s="397"/>
      <c r="OW2" s="397"/>
      <c r="OX2" s="396"/>
      <c r="OY2" s="398"/>
      <c r="OZ2" s="396"/>
      <c r="PA2" s="398"/>
      <c r="PB2" s="396"/>
      <c r="PC2" s="398"/>
      <c r="PD2" s="396"/>
      <c r="PE2" s="398"/>
      <c r="PF2" s="396"/>
      <c r="PG2" s="398"/>
      <c r="PH2" s="397"/>
      <c r="PI2" s="397"/>
      <c r="PJ2" s="396"/>
      <c r="PK2" s="398"/>
      <c r="PL2" s="397"/>
      <c r="PM2" s="397"/>
      <c r="PN2" s="396"/>
      <c r="PO2" s="398"/>
      <c r="PP2" s="396"/>
      <c r="PQ2" s="398"/>
      <c r="PR2" s="397"/>
      <c r="PS2" s="397"/>
      <c r="PT2" s="396"/>
      <c r="PU2" s="398"/>
      <c r="PV2" s="397"/>
      <c r="PW2" s="397"/>
      <c r="PX2" s="396"/>
      <c r="PY2" s="398"/>
      <c r="PZ2" s="396"/>
      <c r="QA2" s="398"/>
      <c r="QB2" s="396"/>
      <c r="QC2" s="398"/>
      <c r="QD2" s="396"/>
      <c r="QE2" s="398"/>
      <c r="QF2" s="396"/>
      <c r="QG2" s="398"/>
      <c r="QH2" s="397"/>
      <c r="QI2" s="397"/>
      <c r="QJ2" s="396"/>
      <c r="QK2" s="398"/>
      <c r="QL2" s="396"/>
      <c r="QM2" s="398"/>
      <c r="QN2" s="397"/>
      <c r="QO2" s="397"/>
      <c r="QP2" s="396"/>
      <c r="QQ2" s="398"/>
      <c r="QR2" s="396"/>
      <c r="QS2" s="398"/>
      <c r="QT2" s="396"/>
      <c r="QU2" s="398"/>
      <c r="QV2" s="397"/>
      <c r="QW2" s="398"/>
      <c r="QX2" s="397"/>
      <c r="QY2" s="397"/>
      <c r="QZ2" s="396"/>
      <c r="RA2" s="398"/>
      <c r="RB2" s="396"/>
      <c r="RC2" s="398"/>
      <c r="RD2" s="396"/>
      <c r="RE2" s="398"/>
      <c r="RF2" s="396"/>
      <c r="RG2" s="398"/>
      <c r="RH2" s="396"/>
      <c r="RI2" s="398"/>
      <c r="RJ2" s="396"/>
      <c r="RK2" s="398"/>
      <c r="RL2" s="397"/>
      <c r="RM2" s="397"/>
      <c r="RN2" s="396"/>
      <c r="RO2" s="398"/>
      <c r="RP2" s="397"/>
      <c r="RQ2" s="397"/>
      <c r="RR2" s="396"/>
      <c r="RS2" s="398"/>
      <c r="RT2" s="396"/>
      <c r="RU2" s="398"/>
      <c r="RV2" s="397"/>
      <c r="RW2" s="397"/>
      <c r="RX2" s="396"/>
      <c r="RY2" s="398"/>
      <c r="RZ2" s="396"/>
      <c r="SA2" s="397"/>
      <c r="SB2" s="396"/>
      <c r="SC2" s="398"/>
      <c r="SD2" s="396"/>
      <c r="SE2" s="398"/>
      <c r="SF2" s="396"/>
      <c r="SG2" s="398"/>
      <c r="SH2" s="396"/>
      <c r="SI2" s="398"/>
      <c r="SJ2" s="397"/>
      <c r="SK2" s="397"/>
      <c r="SL2" s="396"/>
      <c r="SM2" s="398"/>
      <c r="SN2" s="396"/>
      <c r="SO2" s="398"/>
      <c r="SP2" s="397"/>
      <c r="SQ2" s="397"/>
      <c r="SR2" s="396"/>
      <c r="SS2" s="398"/>
      <c r="ST2" s="397"/>
      <c r="SU2" s="397"/>
      <c r="SV2" s="396"/>
      <c r="SW2" s="398"/>
      <c r="SX2" s="396"/>
      <c r="SY2" s="398"/>
      <c r="SZ2" s="396"/>
      <c r="TA2" s="398"/>
      <c r="TB2" s="396"/>
      <c r="TC2" s="398"/>
      <c r="TD2" s="397"/>
      <c r="TE2" s="397"/>
      <c r="TF2" s="396"/>
      <c r="TG2" s="398"/>
      <c r="TH2" s="396"/>
      <c r="TI2" s="398"/>
      <c r="TJ2" s="397"/>
      <c r="TK2" s="397"/>
      <c r="TL2" s="396"/>
      <c r="TM2" s="398"/>
      <c r="TN2" s="396"/>
      <c r="TO2" s="398"/>
      <c r="TP2" s="396"/>
      <c r="TQ2" s="398"/>
      <c r="TR2" s="396"/>
      <c r="TS2" s="398"/>
      <c r="TT2" s="396"/>
      <c r="TU2" s="398"/>
      <c r="TV2" s="396"/>
      <c r="TW2" s="398"/>
      <c r="TX2" s="396"/>
      <c r="TY2" s="398"/>
      <c r="TZ2" s="397"/>
      <c r="UA2" s="397"/>
      <c r="UB2" s="396"/>
      <c r="UC2" s="398"/>
      <c r="UD2" s="396"/>
      <c r="UE2" s="398"/>
      <c r="UF2" s="396"/>
      <c r="UG2" s="398"/>
      <c r="UH2" s="397"/>
      <c r="UI2" s="397"/>
      <c r="UJ2" s="396"/>
      <c r="UK2" s="398"/>
      <c r="UL2" s="396"/>
      <c r="UM2" s="398"/>
      <c r="UN2" s="396"/>
      <c r="UO2" s="398"/>
      <c r="UP2" s="396"/>
      <c r="UQ2" s="398"/>
      <c r="UR2" s="397"/>
      <c r="US2" s="397"/>
      <c r="UT2" s="396"/>
      <c r="UU2" s="398"/>
      <c r="UV2" s="396"/>
      <c r="UW2" s="398"/>
      <c r="UX2" s="396"/>
      <c r="UY2" s="398"/>
      <c r="UZ2" s="397"/>
      <c r="VA2" s="397"/>
      <c r="VB2" s="396"/>
      <c r="VC2" s="398"/>
      <c r="VD2" s="396"/>
      <c r="VE2" s="398"/>
      <c r="VF2" s="396"/>
      <c r="VG2" s="398"/>
      <c r="VH2" s="397"/>
      <c r="VI2" s="397"/>
      <c r="VJ2" s="396"/>
      <c r="VK2" s="398"/>
      <c r="VL2" s="396"/>
      <c r="VM2" s="398"/>
      <c r="VN2" s="397"/>
      <c r="VO2" s="397"/>
      <c r="VP2" s="396"/>
      <c r="VQ2" s="398"/>
      <c r="VR2" s="396"/>
      <c r="VS2" s="398"/>
      <c r="VT2" s="396"/>
      <c r="VU2" s="398"/>
      <c r="VV2" s="396"/>
      <c r="VW2" s="398"/>
      <c r="VX2" s="396"/>
      <c r="VY2" s="398"/>
      <c r="VZ2" s="397"/>
      <c r="WA2" s="397"/>
      <c r="WB2" s="396"/>
      <c r="WC2" s="398"/>
      <c r="WD2" s="396"/>
      <c r="WE2" s="398"/>
      <c r="WF2" s="396"/>
      <c r="WG2" s="398"/>
      <c r="WH2" s="396"/>
      <c r="WI2" s="398"/>
      <c r="WJ2" s="396"/>
      <c r="WK2" s="398"/>
      <c r="WL2" s="397"/>
      <c r="WM2" s="397"/>
      <c r="WN2" s="396"/>
      <c r="WO2" s="398"/>
      <c r="WP2" s="397"/>
      <c r="WQ2" s="397"/>
      <c r="WR2" s="396"/>
      <c r="WS2" s="397"/>
      <c r="WT2" s="396"/>
      <c r="WU2" s="398"/>
      <c r="WV2" s="396"/>
      <c r="WW2" s="398"/>
      <c r="WX2" s="397"/>
      <c r="WY2" s="397"/>
      <c r="WZ2" s="396"/>
      <c r="XA2" s="398"/>
      <c r="XB2" s="396"/>
      <c r="XC2" s="398"/>
      <c r="XD2" s="396"/>
      <c r="XE2" s="398"/>
      <c r="XF2" s="396"/>
      <c r="XG2" s="398"/>
      <c r="XH2" s="397"/>
      <c r="XI2" s="397"/>
      <c r="XJ2" s="396"/>
      <c r="XK2" s="398"/>
      <c r="XL2" s="397"/>
      <c r="XM2" s="397"/>
      <c r="XN2" s="396"/>
      <c r="XO2" s="398"/>
      <c r="XP2" s="396"/>
      <c r="XQ2" s="398"/>
      <c r="XR2" s="397"/>
      <c r="XS2" s="397"/>
      <c r="XT2" s="396"/>
      <c r="XU2" s="398"/>
      <c r="XV2" s="396"/>
      <c r="XW2" s="398"/>
      <c r="XX2" s="396"/>
      <c r="XY2" s="398"/>
      <c r="XZ2" s="397"/>
      <c r="YA2" s="397"/>
      <c r="YB2" s="396"/>
      <c r="YC2" s="398"/>
      <c r="YD2" s="396"/>
      <c r="YE2" s="398"/>
      <c r="YF2" s="396"/>
      <c r="YG2" s="398"/>
      <c r="YH2" s="396"/>
      <c r="YI2" s="398"/>
      <c r="YJ2" s="397"/>
      <c r="YK2" s="397"/>
      <c r="YL2" s="396"/>
      <c r="YM2" s="398"/>
      <c r="YN2" s="396"/>
      <c r="YO2" s="398"/>
      <c r="YP2" s="396"/>
      <c r="YQ2" s="398"/>
      <c r="YR2" s="396"/>
      <c r="YS2" s="398"/>
      <c r="YT2" s="397"/>
      <c r="YU2" s="397"/>
      <c r="YV2" s="396"/>
      <c r="YW2" s="398"/>
      <c r="YX2" s="396"/>
      <c r="YY2" s="398"/>
      <c r="YZ2" s="397"/>
      <c r="ZA2" s="397"/>
      <c r="ZB2" s="396"/>
      <c r="ZC2" s="398"/>
      <c r="ZD2" s="397"/>
      <c r="ZE2" s="397"/>
      <c r="ZF2" s="396"/>
      <c r="ZG2" s="398"/>
      <c r="ZH2" s="396"/>
      <c r="ZI2" s="398"/>
      <c r="ZJ2" s="396"/>
      <c r="ZK2" s="398"/>
      <c r="ZL2" s="397"/>
      <c r="ZM2" s="397"/>
      <c r="ZN2" s="396"/>
      <c r="ZO2" s="398"/>
      <c r="ZP2" s="396"/>
      <c r="ZQ2" s="398"/>
      <c r="ZR2" s="397"/>
      <c r="ZS2" s="397"/>
      <c r="ZT2" s="396"/>
      <c r="ZU2" s="398"/>
      <c r="ZV2" s="396"/>
      <c r="ZW2" s="398"/>
      <c r="ZX2" s="397"/>
      <c r="ZY2" s="397"/>
      <c r="ZZ2" s="396"/>
      <c r="AAA2" s="398"/>
      <c r="AAB2" s="396"/>
      <c r="AAC2" s="398"/>
      <c r="AAD2" s="396"/>
      <c r="AAE2" s="398"/>
      <c r="AAF2" s="396"/>
      <c r="AAG2" s="398"/>
      <c r="AAH2" s="397"/>
      <c r="AAI2" s="397"/>
      <c r="AAJ2" s="396"/>
      <c r="AAK2" s="398"/>
      <c r="AAL2" s="396"/>
      <c r="AAM2" s="398"/>
      <c r="AAN2" s="396"/>
      <c r="AAO2" s="398"/>
      <c r="AAP2" s="396"/>
      <c r="AAQ2" s="398"/>
      <c r="AAR2" s="396"/>
      <c r="AAS2" s="398"/>
      <c r="AAT2" s="397"/>
      <c r="AAU2" s="397"/>
      <c r="AAV2" s="396"/>
      <c r="AAW2" s="398"/>
      <c r="AAX2" s="397"/>
      <c r="AAY2" s="397"/>
      <c r="AAZ2" s="396"/>
      <c r="ABA2" s="398"/>
      <c r="ABB2" s="396"/>
      <c r="ABC2" s="398"/>
      <c r="ABD2" s="396"/>
      <c r="ABE2" s="398"/>
      <c r="ABF2" s="397"/>
      <c r="ABG2" s="397"/>
      <c r="ABH2" s="396"/>
      <c r="ABI2" s="398"/>
      <c r="ABJ2" s="396"/>
      <c r="ABK2" s="398"/>
      <c r="ABL2" s="396"/>
      <c r="ABM2" s="398"/>
      <c r="ABN2" s="396"/>
      <c r="ABO2" s="398"/>
      <c r="ABP2" s="397"/>
      <c r="ABQ2" s="397"/>
      <c r="ABR2" s="396"/>
      <c r="ABS2" s="398"/>
      <c r="ABT2" s="396"/>
      <c r="ABU2" s="398"/>
      <c r="ABV2" s="396"/>
      <c r="ABW2" s="398"/>
      <c r="ABX2" s="397"/>
      <c r="ABY2" s="397"/>
      <c r="ABZ2" s="396"/>
      <c r="ACA2" s="398"/>
      <c r="ACB2" s="396"/>
      <c r="ACC2" s="398"/>
      <c r="ACD2" s="396"/>
      <c r="ACE2" s="398"/>
      <c r="ACF2" s="396"/>
      <c r="ACG2" s="398"/>
      <c r="ACH2" s="396"/>
      <c r="ACI2" s="398"/>
      <c r="ACJ2" s="397"/>
      <c r="ACK2" s="397"/>
      <c r="ACL2" s="396"/>
      <c r="ACM2" s="398"/>
      <c r="ACN2" s="397"/>
      <c r="ACO2" s="397"/>
      <c r="ACP2" s="396"/>
      <c r="ACQ2" s="398"/>
      <c r="ACR2" s="396"/>
      <c r="ACS2" s="398"/>
      <c r="ACT2" s="396"/>
      <c r="ACU2" s="398"/>
      <c r="ACV2" s="396"/>
      <c r="ACW2" s="398"/>
      <c r="ACX2" s="397"/>
      <c r="ACY2" s="397"/>
      <c r="ACZ2" s="396"/>
      <c r="ADA2" s="398"/>
      <c r="ADB2" s="396"/>
      <c r="ADC2" s="398"/>
      <c r="ADD2" s="396"/>
      <c r="ADE2" s="398"/>
      <c r="ADF2" s="396"/>
      <c r="ADG2" s="398"/>
      <c r="ADH2" s="396"/>
      <c r="ADI2" s="398"/>
      <c r="ADJ2" s="396"/>
      <c r="ADK2" s="398"/>
      <c r="ADL2" s="397"/>
      <c r="ADM2" s="398"/>
      <c r="ADN2" s="397"/>
      <c r="ADO2" s="398"/>
      <c r="ADP2" s="396"/>
      <c r="ADQ2" s="398"/>
      <c r="ADR2" s="397"/>
      <c r="ADS2" s="398"/>
      <c r="ADT2" s="396"/>
      <c r="ADU2" s="398"/>
      <c r="ADV2" s="397"/>
      <c r="ADW2" s="397"/>
      <c r="ADX2" s="396"/>
      <c r="ADY2" s="398"/>
      <c r="ADZ2" s="396"/>
      <c r="AEA2" s="398"/>
      <c r="AEB2" s="396"/>
      <c r="AEC2" s="398"/>
      <c r="AED2" s="397"/>
      <c r="AEE2" s="397"/>
      <c r="AEF2" s="396"/>
      <c r="AEG2" s="398"/>
      <c r="AEH2" s="396"/>
      <c r="AEI2" s="397"/>
      <c r="AEJ2" s="396"/>
      <c r="AEK2" s="398"/>
      <c r="AEL2" s="396"/>
      <c r="AEM2" s="398"/>
      <c r="AEN2" s="396"/>
      <c r="AEO2" s="398"/>
      <c r="AEP2" s="396"/>
      <c r="AEQ2" s="398"/>
      <c r="AER2" s="397"/>
      <c r="AES2" s="397"/>
      <c r="AET2" s="396"/>
      <c r="AEU2" s="398"/>
      <c r="AEV2" s="397"/>
      <c r="AEW2" s="397"/>
      <c r="AEX2" s="396"/>
      <c r="AEY2" s="398"/>
      <c r="AEZ2" s="396"/>
      <c r="AFA2" s="398"/>
      <c r="AFB2" s="396"/>
      <c r="AFC2" s="398"/>
      <c r="AFD2" s="396"/>
      <c r="AFE2" s="398"/>
      <c r="AFF2" s="397"/>
      <c r="AFG2" s="397"/>
      <c r="AFH2" s="396"/>
      <c r="AFI2" s="398"/>
      <c r="AFJ2" s="397"/>
      <c r="AFK2" s="397"/>
      <c r="AFL2" s="396"/>
      <c r="AFM2" s="398"/>
      <c r="AFN2" s="396"/>
      <c r="AFO2" s="398"/>
      <c r="AFP2" s="396"/>
      <c r="AFQ2" s="398"/>
      <c r="AFR2" s="397"/>
      <c r="AFS2" s="397"/>
      <c r="AFT2" s="396"/>
      <c r="AFU2" s="398"/>
      <c r="AFV2" s="397"/>
      <c r="AFW2" s="397"/>
      <c r="AFX2" s="396"/>
      <c r="AFY2" s="397"/>
      <c r="AFZ2" s="396"/>
      <c r="AGA2" s="398"/>
      <c r="AGB2" s="396"/>
      <c r="AGC2" s="398"/>
      <c r="AGD2" s="397"/>
      <c r="AGE2" s="397"/>
      <c r="AGF2" s="396"/>
      <c r="AGG2" s="398"/>
      <c r="AGH2" s="396"/>
      <c r="AGI2" s="398"/>
      <c r="AGJ2" s="397"/>
      <c r="AGK2" s="397"/>
      <c r="AGL2" s="396"/>
      <c r="AGM2" s="398"/>
      <c r="AGN2" s="396"/>
      <c r="AGO2" s="398"/>
      <c r="AGP2" s="396"/>
      <c r="AGQ2" s="398"/>
      <c r="AGR2" s="396"/>
      <c r="AGS2" s="397"/>
      <c r="AGT2" s="396"/>
      <c r="AGU2" s="398"/>
      <c r="AGV2" s="397"/>
      <c r="AGW2" s="397"/>
      <c r="AGX2" s="396"/>
      <c r="AGY2" s="398"/>
      <c r="AGZ2" s="396"/>
      <c r="AHA2" s="397"/>
      <c r="AHB2" s="396"/>
      <c r="AHC2" s="397"/>
      <c r="AHD2" s="396"/>
      <c r="AHE2" s="398"/>
      <c r="AHF2" s="396"/>
      <c r="AHG2" s="398"/>
      <c r="AHH2" s="396"/>
      <c r="AHI2" s="397"/>
      <c r="AHJ2" s="396"/>
      <c r="AHK2" s="398"/>
      <c r="AHL2" s="397"/>
      <c r="AHM2" s="397"/>
      <c r="AHN2" s="396"/>
      <c r="AHO2" s="398"/>
      <c r="AHP2" s="396"/>
      <c r="AHQ2" s="398"/>
      <c r="AHR2" s="396"/>
      <c r="AHS2" s="397"/>
      <c r="AHT2" s="396"/>
      <c r="AHU2" s="397"/>
      <c r="AHV2" s="396"/>
      <c r="AHW2" s="398"/>
      <c r="AHX2" s="396"/>
      <c r="AHY2" s="398"/>
      <c r="AHZ2" s="396"/>
      <c r="AIA2" s="398"/>
    </row>
    <row r="3" spans="1:911" ht="15.75" customHeight="1" x14ac:dyDescent="0.2">
      <c r="A3" s="21">
        <v>2012</v>
      </c>
      <c r="B3" s="260" t="s">
        <v>22</v>
      </c>
      <c r="C3" s="21" t="s">
        <v>22</v>
      </c>
      <c r="D3" s="260" t="s">
        <v>22</v>
      </c>
      <c r="E3" s="21" t="s">
        <v>22</v>
      </c>
      <c r="F3" s="260" t="s">
        <v>22</v>
      </c>
      <c r="G3" s="21" t="s">
        <v>22</v>
      </c>
      <c r="H3" s="260" t="s">
        <v>22</v>
      </c>
      <c r="I3" s="21" t="s">
        <v>22</v>
      </c>
      <c r="J3" s="260" t="s">
        <v>22</v>
      </c>
      <c r="K3" s="21" t="s">
        <v>22</v>
      </c>
      <c r="L3" s="260" t="s">
        <v>22</v>
      </c>
      <c r="M3" s="21" t="s">
        <v>22</v>
      </c>
      <c r="N3" s="260" t="s">
        <v>22</v>
      </c>
      <c r="O3" s="21" t="s">
        <v>22</v>
      </c>
      <c r="P3" s="20" t="s">
        <v>22</v>
      </c>
      <c r="Q3" s="21" t="s">
        <v>22</v>
      </c>
      <c r="R3" s="20" t="s">
        <v>22</v>
      </c>
      <c r="S3" s="21" t="s">
        <v>22</v>
      </c>
      <c r="T3" s="260" t="s">
        <v>22</v>
      </c>
      <c r="U3" s="21" t="s">
        <v>22</v>
      </c>
      <c r="V3" s="260" t="s">
        <v>22</v>
      </c>
      <c r="W3" s="21" t="s">
        <v>22</v>
      </c>
      <c r="X3" s="260" t="s">
        <v>22</v>
      </c>
      <c r="Y3" s="21" t="s">
        <v>22</v>
      </c>
      <c r="Z3" s="260" t="s">
        <v>22</v>
      </c>
      <c r="AA3" s="21" t="s">
        <v>22</v>
      </c>
      <c r="AB3" s="260" t="s">
        <v>22</v>
      </c>
      <c r="AC3" s="21" t="s">
        <v>22</v>
      </c>
      <c r="AD3" s="261" t="s">
        <v>22</v>
      </c>
      <c r="AE3" s="19" t="s">
        <v>22</v>
      </c>
      <c r="AF3" s="260" t="s">
        <v>22</v>
      </c>
      <c r="AG3" s="19" t="s">
        <v>22</v>
      </c>
      <c r="AH3" s="260" t="s">
        <v>22</v>
      </c>
      <c r="AI3" s="21" t="s">
        <v>22</v>
      </c>
      <c r="AJ3" s="261" t="s">
        <v>22</v>
      </c>
      <c r="AK3" s="19" t="s">
        <v>22</v>
      </c>
      <c r="AL3" s="260" t="s">
        <v>22</v>
      </c>
      <c r="AM3" s="21" t="s">
        <v>22</v>
      </c>
      <c r="AN3" s="260" t="s">
        <v>22</v>
      </c>
      <c r="AO3" s="21" t="s">
        <v>22</v>
      </c>
      <c r="AP3" s="260" t="s">
        <v>22</v>
      </c>
      <c r="AQ3" s="21" t="s">
        <v>22</v>
      </c>
      <c r="AR3" s="260" t="s">
        <v>22</v>
      </c>
      <c r="AS3" s="21" t="s">
        <v>22</v>
      </c>
      <c r="AT3" s="260" t="s">
        <v>22</v>
      </c>
      <c r="AU3" s="21" t="s">
        <v>22</v>
      </c>
      <c r="AV3" s="261" t="s">
        <v>22</v>
      </c>
      <c r="AW3" s="19" t="s">
        <v>22</v>
      </c>
      <c r="AX3" s="260" t="s">
        <v>22</v>
      </c>
      <c r="AY3" s="21" t="s">
        <v>22</v>
      </c>
      <c r="AZ3" s="260" t="s">
        <v>22</v>
      </c>
      <c r="BA3" s="21" t="s">
        <v>22</v>
      </c>
      <c r="BB3" s="19" t="s">
        <v>22</v>
      </c>
      <c r="BC3" s="19" t="s">
        <v>22</v>
      </c>
      <c r="BD3" s="260" t="s">
        <v>22</v>
      </c>
      <c r="BE3" s="21" t="s">
        <v>22</v>
      </c>
      <c r="BF3" s="260" t="s">
        <v>22</v>
      </c>
      <c r="BG3" s="21" t="s">
        <v>22</v>
      </c>
      <c r="BH3" s="260" t="s">
        <v>22</v>
      </c>
      <c r="BI3" s="21" t="s">
        <v>22</v>
      </c>
      <c r="BJ3" s="260" t="s">
        <v>22</v>
      </c>
      <c r="BK3" s="21" t="s">
        <v>22</v>
      </c>
      <c r="BL3" s="19" t="s">
        <v>22</v>
      </c>
      <c r="BM3" s="19" t="s">
        <v>22</v>
      </c>
      <c r="BN3" s="260" t="s">
        <v>22</v>
      </c>
      <c r="BO3" s="21" t="s">
        <v>22</v>
      </c>
      <c r="BP3" s="260" t="s">
        <v>22</v>
      </c>
      <c r="BQ3" s="21" t="s">
        <v>22</v>
      </c>
      <c r="BR3" s="20" t="s">
        <v>22</v>
      </c>
      <c r="BS3" s="21" t="s">
        <v>22</v>
      </c>
      <c r="BT3" s="19" t="s">
        <v>22</v>
      </c>
      <c r="BU3" s="19" t="s">
        <v>22</v>
      </c>
      <c r="BV3" s="20" t="s">
        <v>22</v>
      </c>
      <c r="BW3" s="21" t="s">
        <v>22</v>
      </c>
      <c r="BX3" s="19" t="s">
        <v>22</v>
      </c>
      <c r="BY3" s="19" t="s">
        <v>22</v>
      </c>
      <c r="BZ3" s="260" t="s">
        <v>22</v>
      </c>
      <c r="CA3" s="21" t="s">
        <v>22</v>
      </c>
      <c r="CB3" s="260" t="s">
        <v>22</v>
      </c>
      <c r="CC3" s="21" t="s">
        <v>22</v>
      </c>
      <c r="CD3" s="260" t="s">
        <v>22</v>
      </c>
      <c r="CE3" s="21" t="s">
        <v>22</v>
      </c>
      <c r="CF3" s="20" t="s">
        <v>22</v>
      </c>
      <c r="CG3" s="21" t="s">
        <v>22</v>
      </c>
      <c r="CH3" s="260" t="s">
        <v>22</v>
      </c>
      <c r="CI3" s="21" t="s">
        <v>22</v>
      </c>
      <c r="CJ3" s="260" t="s">
        <v>22</v>
      </c>
      <c r="CK3" s="21" t="s">
        <v>22</v>
      </c>
      <c r="CL3" s="19" t="s">
        <v>22</v>
      </c>
      <c r="CM3" s="19" t="s">
        <v>22</v>
      </c>
      <c r="CN3" s="20" t="s">
        <v>22</v>
      </c>
      <c r="CO3" s="21" t="s">
        <v>22</v>
      </c>
      <c r="CP3" s="260" t="s">
        <v>22</v>
      </c>
      <c r="CQ3" s="21" t="s">
        <v>22</v>
      </c>
      <c r="CR3" s="260" t="s">
        <v>22</v>
      </c>
      <c r="CS3" s="21" t="s">
        <v>22</v>
      </c>
      <c r="CT3" s="19" t="s">
        <v>22</v>
      </c>
      <c r="CU3" s="19" t="s">
        <v>22</v>
      </c>
      <c r="CV3" s="260" t="s">
        <v>22</v>
      </c>
      <c r="CW3" s="21" t="s">
        <v>22</v>
      </c>
      <c r="CX3" s="20" t="s">
        <v>22</v>
      </c>
      <c r="CY3" s="21" t="s">
        <v>22</v>
      </c>
      <c r="CZ3" s="19" t="s">
        <v>22</v>
      </c>
      <c r="DA3" s="19" t="s">
        <v>22</v>
      </c>
      <c r="DB3" s="20" t="s">
        <v>22</v>
      </c>
      <c r="DC3" s="21" t="s">
        <v>22</v>
      </c>
      <c r="DD3" s="260" t="s">
        <v>22</v>
      </c>
      <c r="DE3" s="21" t="s">
        <v>22</v>
      </c>
      <c r="DF3" s="19" t="s">
        <v>22</v>
      </c>
      <c r="DG3" s="19" t="s">
        <v>22</v>
      </c>
      <c r="DH3" s="260" t="s">
        <v>22</v>
      </c>
      <c r="DI3" s="21" t="s">
        <v>22</v>
      </c>
      <c r="DJ3" s="260" t="s">
        <v>22</v>
      </c>
      <c r="DK3" s="21" t="s">
        <v>22</v>
      </c>
      <c r="DL3" s="20" t="s">
        <v>22</v>
      </c>
      <c r="DM3" s="21" t="s">
        <v>22</v>
      </c>
      <c r="DN3" s="19" t="s">
        <v>22</v>
      </c>
      <c r="DO3" s="19" t="s">
        <v>22</v>
      </c>
      <c r="DP3" s="20" t="s">
        <v>22</v>
      </c>
      <c r="DQ3" s="21" t="s">
        <v>22</v>
      </c>
      <c r="DR3" s="260" t="s">
        <v>22</v>
      </c>
      <c r="DS3" s="21" t="s">
        <v>22</v>
      </c>
      <c r="DT3" s="19" t="s">
        <v>22</v>
      </c>
      <c r="DU3" s="19" t="s">
        <v>22</v>
      </c>
      <c r="DV3" s="260" t="s">
        <v>22</v>
      </c>
      <c r="DW3" s="21" t="s">
        <v>22</v>
      </c>
      <c r="DX3" s="20" t="s">
        <v>22</v>
      </c>
      <c r="DY3" s="21" t="s">
        <v>22</v>
      </c>
      <c r="DZ3" s="19" t="s">
        <v>22</v>
      </c>
      <c r="EA3" s="19" t="s">
        <v>22</v>
      </c>
      <c r="EB3" s="20" t="s">
        <v>22</v>
      </c>
      <c r="EC3" s="21" t="s">
        <v>22</v>
      </c>
      <c r="ED3" s="19" t="s">
        <v>22</v>
      </c>
      <c r="EE3" s="19" t="s">
        <v>22</v>
      </c>
      <c r="EF3" s="260" t="s">
        <v>22</v>
      </c>
      <c r="EG3" s="21" t="s">
        <v>22</v>
      </c>
      <c r="EH3" s="20" t="s">
        <v>22</v>
      </c>
      <c r="EI3" s="21" t="s">
        <v>22</v>
      </c>
      <c r="EJ3" s="260" t="s">
        <v>22</v>
      </c>
      <c r="EK3" s="21" t="s">
        <v>22</v>
      </c>
      <c r="EL3" s="19" t="s">
        <v>22</v>
      </c>
      <c r="EM3" s="19" t="s">
        <v>22</v>
      </c>
      <c r="EN3" s="260" t="s">
        <v>22</v>
      </c>
      <c r="EO3" s="21" t="s">
        <v>22</v>
      </c>
      <c r="EP3" s="260" t="s">
        <v>22</v>
      </c>
      <c r="EQ3" s="21" t="s">
        <v>22</v>
      </c>
      <c r="ER3" s="20" t="s">
        <v>22</v>
      </c>
      <c r="ES3" s="21" t="s">
        <v>22</v>
      </c>
      <c r="ET3" s="19" t="s">
        <v>22</v>
      </c>
      <c r="EU3" s="19" t="s">
        <v>22</v>
      </c>
      <c r="EV3" s="260" t="s">
        <v>22</v>
      </c>
      <c r="EW3" s="21" t="s">
        <v>22</v>
      </c>
      <c r="EX3" s="260" t="s">
        <v>22</v>
      </c>
      <c r="EY3" s="21" t="s">
        <v>22</v>
      </c>
      <c r="EZ3" s="20" t="s">
        <v>22</v>
      </c>
      <c r="FA3" s="21" t="s">
        <v>22</v>
      </c>
      <c r="FB3" s="19" t="s">
        <v>22</v>
      </c>
      <c r="FC3" s="19" t="s">
        <v>22</v>
      </c>
      <c r="FD3" s="20" t="s">
        <v>22</v>
      </c>
      <c r="FE3" s="21" t="s">
        <v>22</v>
      </c>
      <c r="FF3" s="20" t="s">
        <v>22</v>
      </c>
      <c r="FG3" s="21" t="s">
        <v>22</v>
      </c>
      <c r="FH3" s="19" t="s">
        <v>22</v>
      </c>
      <c r="FI3" s="19" t="s">
        <v>22</v>
      </c>
      <c r="FJ3" s="260" t="s">
        <v>22</v>
      </c>
      <c r="FK3" s="21" t="s">
        <v>22</v>
      </c>
      <c r="FL3" s="20" t="s">
        <v>22</v>
      </c>
      <c r="FM3" s="21" t="s">
        <v>22</v>
      </c>
      <c r="FN3" s="260" t="s">
        <v>22</v>
      </c>
      <c r="FO3" s="21" t="s">
        <v>22</v>
      </c>
      <c r="FP3" s="19" t="s">
        <v>22</v>
      </c>
      <c r="FQ3" s="19" t="s">
        <v>22</v>
      </c>
      <c r="FR3" s="260" t="s">
        <v>22</v>
      </c>
      <c r="FS3" s="21" t="s">
        <v>22</v>
      </c>
      <c r="FT3" s="20" t="s">
        <v>22</v>
      </c>
      <c r="FU3" s="21" t="s">
        <v>22</v>
      </c>
      <c r="FV3" s="20" t="s">
        <v>22</v>
      </c>
      <c r="FW3" s="21" t="s">
        <v>22</v>
      </c>
      <c r="FX3" s="19" t="s">
        <v>22</v>
      </c>
      <c r="FY3" s="19" t="s">
        <v>22</v>
      </c>
      <c r="FZ3" s="260" t="s">
        <v>22</v>
      </c>
      <c r="GA3" s="21" t="s">
        <v>22</v>
      </c>
      <c r="GB3" s="20" t="s">
        <v>22</v>
      </c>
      <c r="GC3" s="21" t="s">
        <v>22</v>
      </c>
      <c r="GD3" s="19" t="s">
        <v>22</v>
      </c>
      <c r="GE3" s="19" t="s">
        <v>22</v>
      </c>
      <c r="GF3" s="20" t="s">
        <v>22</v>
      </c>
      <c r="GG3" s="21" t="s">
        <v>22</v>
      </c>
      <c r="GH3" s="19" t="s">
        <v>22</v>
      </c>
      <c r="GI3" s="19" t="s">
        <v>22</v>
      </c>
      <c r="GJ3" s="20" t="s">
        <v>22</v>
      </c>
      <c r="GK3" s="21" t="s">
        <v>22</v>
      </c>
      <c r="GL3" s="20" t="s">
        <v>22</v>
      </c>
      <c r="GM3" s="21" t="s">
        <v>22</v>
      </c>
      <c r="GN3" s="19" t="s">
        <v>22</v>
      </c>
      <c r="GO3" s="19" t="s">
        <v>22</v>
      </c>
      <c r="GP3" s="20" t="s">
        <v>22</v>
      </c>
      <c r="GQ3" s="21" t="s">
        <v>22</v>
      </c>
      <c r="GR3" s="260" t="s">
        <v>22</v>
      </c>
      <c r="GS3" s="21" t="s">
        <v>22</v>
      </c>
      <c r="GT3" s="20" t="s">
        <v>22</v>
      </c>
      <c r="GU3" s="21" t="s">
        <v>22</v>
      </c>
      <c r="GV3" s="19" t="s">
        <v>22</v>
      </c>
      <c r="GW3" s="19" t="s">
        <v>22</v>
      </c>
      <c r="GX3" s="260" t="s">
        <v>22</v>
      </c>
      <c r="GY3" s="21" t="s">
        <v>22</v>
      </c>
      <c r="GZ3" s="260" t="s">
        <v>22</v>
      </c>
      <c r="HA3" s="21" t="s">
        <v>22</v>
      </c>
      <c r="HB3" s="20" t="s">
        <v>22</v>
      </c>
      <c r="HC3" s="21" t="s">
        <v>22</v>
      </c>
      <c r="HD3" s="20" t="s">
        <v>22</v>
      </c>
      <c r="HE3" s="21" t="s">
        <v>22</v>
      </c>
      <c r="HF3" s="20" t="s">
        <v>22</v>
      </c>
      <c r="HG3" s="21" t="s">
        <v>22</v>
      </c>
      <c r="HH3" s="19" t="s">
        <v>22</v>
      </c>
      <c r="HI3" s="19" t="s">
        <v>22</v>
      </c>
      <c r="HJ3" s="20" t="s">
        <v>22</v>
      </c>
      <c r="HK3" s="21" t="s">
        <v>22</v>
      </c>
      <c r="HL3" s="20" t="s">
        <v>22</v>
      </c>
      <c r="HM3" s="21" t="s">
        <v>22</v>
      </c>
      <c r="HN3" s="19" t="s">
        <v>22</v>
      </c>
      <c r="HO3" s="19" t="s">
        <v>22</v>
      </c>
      <c r="HP3" s="20" t="s">
        <v>22</v>
      </c>
      <c r="HQ3" s="21" t="s">
        <v>22</v>
      </c>
      <c r="HR3" s="260" t="s">
        <v>22</v>
      </c>
      <c r="HS3" s="21" t="s">
        <v>22</v>
      </c>
      <c r="HT3" s="260" t="s">
        <v>22</v>
      </c>
      <c r="HU3" s="21" t="s">
        <v>22</v>
      </c>
      <c r="HV3" s="260" t="s">
        <v>22</v>
      </c>
      <c r="HW3" s="21" t="s">
        <v>22</v>
      </c>
      <c r="HX3" s="19" t="s">
        <v>22</v>
      </c>
      <c r="HY3" s="19" t="s">
        <v>22</v>
      </c>
      <c r="HZ3" s="260" t="s">
        <v>22</v>
      </c>
      <c r="IA3" s="21" t="s">
        <v>22</v>
      </c>
      <c r="IB3" s="20" t="s">
        <v>22</v>
      </c>
      <c r="IC3" s="21" t="s">
        <v>22</v>
      </c>
      <c r="ID3" s="20" t="s">
        <v>22</v>
      </c>
      <c r="IE3" s="21" t="s">
        <v>22</v>
      </c>
      <c r="IF3" s="19" t="s">
        <v>22</v>
      </c>
      <c r="IG3" s="19" t="s">
        <v>22</v>
      </c>
      <c r="IH3" s="260" t="s">
        <v>22</v>
      </c>
      <c r="II3" s="21" t="s">
        <v>22</v>
      </c>
      <c r="IJ3" s="20" t="s">
        <v>22</v>
      </c>
      <c r="IK3" s="21" t="s">
        <v>22</v>
      </c>
      <c r="IL3" s="20" t="s">
        <v>22</v>
      </c>
      <c r="IM3" s="21" t="s">
        <v>22</v>
      </c>
      <c r="IN3" s="260" t="s">
        <v>22</v>
      </c>
      <c r="IO3" s="21" t="s">
        <v>22</v>
      </c>
      <c r="IP3" s="19" t="s">
        <v>22</v>
      </c>
      <c r="IQ3" s="19" t="s">
        <v>22</v>
      </c>
      <c r="IR3" s="20" t="s">
        <v>22</v>
      </c>
      <c r="IS3" s="21" t="s">
        <v>22</v>
      </c>
      <c r="IT3" s="20" t="s">
        <v>22</v>
      </c>
      <c r="IU3" s="21" t="s">
        <v>22</v>
      </c>
      <c r="IV3" s="260" t="s">
        <v>22</v>
      </c>
      <c r="IW3" s="21" t="s">
        <v>22</v>
      </c>
      <c r="IX3" s="20" t="s">
        <v>22</v>
      </c>
      <c r="IY3" s="21" t="s">
        <v>22</v>
      </c>
      <c r="IZ3" s="20" t="s">
        <v>22</v>
      </c>
      <c r="JA3" s="21" t="s">
        <v>22</v>
      </c>
      <c r="JB3" s="260" t="s">
        <v>22</v>
      </c>
      <c r="JC3" s="21" t="s">
        <v>22</v>
      </c>
      <c r="JD3" s="20" t="s">
        <v>22</v>
      </c>
      <c r="JE3" s="21" t="s">
        <v>22</v>
      </c>
      <c r="JF3" s="19" t="s">
        <v>22</v>
      </c>
      <c r="JG3" s="19" t="s">
        <v>22</v>
      </c>
      <c r="JH3" s="20" t="s">
        <v>22</v>
      </c>
      <c r="JI3" s="21" t="s">
        <v>22</v>
      </c>
      <c r="JJ3" s="260" t="s">
        <v>22</v>
      </c>
      <c r="JK3" s="21" t="s">
        <v>22</v>
      </c>
      <c r="JL3" s="20" t="s">
        <v>22</v>
      </c>
      <c r="JM3" s="21" t="s">
        <v>22</v>
      </c>
      <c r="JN3" s="260" t="s">
        <v>22</v>
      </c>
      <c r="JO3" s="21" t="s">
        <v>22</v>
      </c>
      <c r="JP3" s="19" t="s">
        <v>22</v>
      </c>
      <c r="JQ3" s="19" t="s">
        <v>22</v>
      </c>
      <c r="JR3" s="260" t="s">
        <v>22</v>
      </c>
      <c r="JS3" s="21" t="s">
        <v>22</v>
      </c>
      <c r="JT3" s="260" t="s">
        <v>22</v>
      </c>
      <c r="JU3" s="21" t="s">
        <v>22</v>
      </c>
      <c r="JV3" s="20" t="s">
        <v>22</v>
      </c>
      <c r="JW3" s="21" t="s">
        <v>22</v>
      </c>
      <c r="JX3" s="20" t="s">
        <v>22</v>
      </c>
      <c r="JY3" s="21" t="s">
        <v>22</v>
      </c>
      <c r="JZ3" s="20" t="s">
        <v>22</v>
      </c>
      <c r="KA3" s="21" t="s">
        <v>22</v>
      </c>
      <c r="KB3" s="20" t="s">
        <v>22</v>
      </c>
      <c r="KC3" s="21" t="s">
        <v>22</v>
      </c>
      <c r="KD3" s="19" t="s">
        <v>22</v>
      </c>
      <c r="KE3" s="19" t="s">
        <v>22</v>
      </c>
      <c r="KF3" s="20" t="s">
        <v>22</v>
      </c>
      <c r="KG3" s="21" t="s">
        <v>22</v>
      </c>
      <c r="KH3" s="19" t="s">
        <v>22</v>
      </c>
      <c r="KI3" s="19" t="s">
        <v>22</v>
      </c>
      <c r="KJ3" s="260" t="s">
        <v>22</v>
      </c>
      <c r="KK3" s="21" t="s">
        <v>22</v>
      </c>
      <c r="KL3" s="260" t="s">
        <v>22</v>
      </c>
      <c r="KM3" s="21" t="s">
        <v>22</v>
      </c>
      <c r="KN3" s="260" t="s">
        <v>22</v>
      </c>
      <c r="KO3" s="21" t="s">
        <v>22</v>
      </c>
      <c r="KP3" s="260" t="s">
        <v>22</v>
      </c>
      <c r="KQ3" s="21" t="s">
        <v>22</v>
      </c>
      <c r="KR3" s="20" t="s">
        <v>22</v>
      </c>
      <c r="KS3" s="21" t="s">
        <v>22</v>
      </c>
      <c r="KT3" s="260" t="s">
        <v>22</v>
      </c>
      <c r="KU3" s="21" t="s">
        <v>22</v>
      </c>
      <c r="KV3" s="260" t="s">
        <v>22</v>
      </c>
      <c r="KW3" s="21" t="s">
        <v>22</v>
      </c>
      <c r="KX3" s="260" t="s">
        <v>22</v>
      </c>
      <c r="KY3" s="21" t="s">
        <v>22</v>
      </c>
      <c r="KZ3" s="260" t="s">
        <v>22</v>
      </c>
      <c r="LA3" s="21" t="s">
        <v>22</v>
      </c>
      <c r="LB3" s="20" t="s">
        <v>22</v>
      </c>
      <c r="LC3" s="21" t="s">
        <v>22</v>
      </c>
      <c r="LD3" s="19" t="s">
        <v>22</v>
      </c>
      <c r="LE3" s="19" t="s">
        <v>22</v>
      </c>
      <c r="LF3" s="20" t="s">
        <v>22</v>
      </c>
      <c r="LG3" s="21" t="s">
        <v>22</v>
      </c>
      <c r="LH3" s="260" t="s">
        <v>22</v>
      </c>
      <c r="LI3" s="21" t="s">
        <v>22</v>
      </c>
      <c r="LJ3" s="19" t="s">
        <v>22</v>
      </c>
      <c r="LK3" s="19" t="s">
        <v>22</v>
      </c>
      <c r="LL3" s="262">
        <v>41038</v>
      </c>
      <c r="LM3" s="263" t="str">
        <f t="shared" ref="LM3:LM5" si="0">CHOOSE(WEEKDAY(LL3,2),"Monday","Tuesday","Wednesday","Thursday","Friday","Saturday","Sunday")</f>
        <v>Wednesday</v>
      </c>
      <c r="LN3" s="19" t="s">
        <v>22</v>
      </c>
      <c r="LO3" s="19" t="s">
        <v>22</v>
      </c>
      <c r="LP3" s="260" t="s">
        <v>22</v>
      </c>
      <c r="LQ3" s="21" t="s">
        <v>22</v>
      </c>
      <c r="LR3" s="260" t="s">
        <v>22</v>
      </c>
      <c r="LS3" s="21" t="s">
        <v>22</v>
      </c>
      <c r="LT3" s="20" t="s">
        <v>22</v>
      </c>
      <c r="LU3" s="21" t="s">
        <v>22</v>
      </c>
      <c r="LV3" s="19" t="s">
        <v>22</v>
      </c>
      <c r="LW3" s="19" t="s">
        <v>22</v>
      </c>
      <c r="LX3" s="20" t="s">
        <v>22</v>
      </c>
      <c r="LY3" s="21" t="s">
        <v>22</v>
      </c>
      <c r="LZ3" s="19" t="s">
        <v>22</v>
      </c>
      <c r="MA3" s="19" t="s">
        <v>22</v>
      </c>
      <c r="MB3" s="20" t="s">
        <v>22</v>
      </c>
      <c r="MC3" s="21" t="s">
        <v>22</v>
      </c>
      <c r="MD3" s="260" t="s">
        <v>22</v>
      </c>
      <c r="ME3" s="21" t="s">
        <v>22</v>
      </c>
      <c r="MF3" s="20" t="s">
        <v>22</v>
      </c>
      <c r="MG3" s="21" t="s">
        <v>22</v>
      </c>
      <c r="MH3" s="20" t="s">
        <v>22</v>
      </c>
      <c r="MI3" s="21" t="s">
        <v>22</v>
      </c>
      <c r="MJ3" s="20" t="s">
        <v>22</v>
      </c>
      <c r="MK3" s="21" t="s">
        <v>22</v>
      </c>
      <c r="ML3" s="19" t="s">
        <v>22</v>
      </c>
      <c r="MM3" s="19" t="s">
        <v>22</v>
      </c>
      <c r="MN3" s="20" t="s">
        <v>22</v>
      </c>
      <c r="MO3" s="21" t="s">
        <v>22</v>
      </c>
      <c r="MP3" s="260" t="s">
        <v>22</v>
      </c>
      <c r="MQ3" s="21" t="s">
        <v>22</v>
      </c>
      <c r="MR3" s="20" t="s">
        <v>22</v>
      </c>
      <c r="MS3" s="21" t="s">
        <v>22</v>
      </c>
      <c r="MT3" s="260" t="s">
        <v>22</v>
      </c>
      <c r="MU3" s="21" t="s">
        <v>22</v>
      </c>
      <c r="MV3" s="19" t="s">
        <v>22</v>
      </c>
      <c r="MW3" s="19" t="s">
        <v>22</v>
      </c>
      <c r="MX3" s="20" t="s">
        <v>22</v>
      </c>
      <c r="MY3" s="21" t="s">
        <v>22</v>
      </c>
      <c r="MZ3" s="260" t="s">
        <v>22</v>
      </c>
      <c r="NA3" s="21" t="s">
        <v>22</v>
      </c>
      <c r="NB3" s="20" t="s">
        <v>22</v>
      </c>
      <c r="NC3" s="21" t="s">
        <v>22</v>
      </c>
      <c r="ND3" s="19" t="s">
        <v>22</v>
      </c>
      <c r="NE3" s="19" t="s">
        <v>22</v>
      </c>
      <c r="NF3" s="20" t="s">
        <v>22</v>
      </c>
      <c r="NG3" s="21" t="s">
        <v>22</v>
      </c>
      <c r="NH3" s="260" t="s">
        <v>22</v>
      </c>
      <c r="NI3" s="21" t="s">
        <v>22</v>
      </c>
      <c r="NJ3" s="20" t="s">
        <v>22</v>
      </c>
      <c r="NK3" s="21" t="s">
        <v>22</v>
      </c>
      <c r="NL3" s="19" t="s">
        <v>22</v>
      </c>
      <c r="NM3" s="19" t="s">
        <v>22</v>
      </c>
      <c r="NN3" s="260" t="s">
        <v>22</v>
      </c>
      <c r="NO3" s="21" t="s">
        <v>22</v>
      </c>
      <c r="NP3" s="20" t="s">
        <v>22</v>
      </c>
      <c r="NQ3" s="21" t="s">
        <v>22</v>
      </c>
      <c r="NR3" s="19" t="s">
        <v>22</v>
      </c>
      <c r="NS3" s="21" t="s">
        <v>22</v>
      </c>
      <c r="NT3" s="260" t="s">
        <v>22</v>
      </c>
      <c r="NU3" s="21" t="s">
        <v>22</v>
      </c>
      <c r="NV3" s="20" t="s">
        <v>22</v>
      </c>
      <c r="NW3" s="21" t="s">
        <v>22</v>
      </c>
      <c r="NX3" s="20" t="s">
        <v>22</v>
      </c>
      <c r="NY3" s="21" t="s">
        <v>22</v>
      </c>
      <c r="NZ3" s="20" t="s">
        <v>22</v>
      </c>
      <c r="OA3" s="19" t="s">
        <v>22</v>
      </c>
      <c r="OB3" s="20" t="s">
        <v>22</v>
      </c>
      <c r="OC3" s="21" t="s">
        <v>22</v>
      </c>
      <c r="OD3" s="20" t="s">
        <v>22</v>
      </c>
      <c r="OE3" s="21" t="s">
        <v>22</v>
      </c>
      <c r="OF3" s="19" t="s">
        <v>22</v>
      </c>
      <c r="OG3" s="19" t="s">
        <v>22</v>
      </c>
      <c r="OH3" s="20" t="s">
        <v>22</v>
      </c>
      <c r="OI3" s="21" t="s">
        <v>22</v>
      </c>
      <c r="OJ3" s="260" t="s">
        <v>22</v>
      </c>
      <c r="OK3" s="21" t="s">
        <v>22</v>
      </c>
      <c r="OL3" s="260" t="s">
        <v>22</v>
      </c>
      <c r="OM3" s="21" t="s">
        <v>22</v>
      </c>
      <c r="ON3" s="260" t="s">
        <v>22</v>
      </c>
      <c r="OO3" s="21" t="s">
        <v>22</v>
      </c>
      <c r="OP3" s="19" t="s">
        <v>22</v>
      </c>
      <c r="OQ3" s="19" t="s">
        <v>22</v>
      </c>
      <c r="OR3" s="20" t="s">
        <v>22</v>
      </c>
      <c r="OS3" s="21" t="s">
        <v>22</v>
      </c>
      <c r="OT3" s="260" t="s">
        <v>22</v>
      </c>
      <c r="OU3" s="21" t="s">
        <v>22</v>
      </c>
      <c r="OV3" s="19" t="s">
        <v>22</v>
      </c>
      <c r="OW3" s="19" t="s">
        <v>22</v>
      </c>
      <c r="OX3" s="260" t="s">
        <v>22</v>
      </c>
      <c r="OY3" s="21" t="s">
        <v>22</v>
      </c>
      <c r="OZ3" s="20" t="s">
        <v>22</v>
      </c>
      <c r="PA3" s="21" t="s">
        <v>22</v>
      </c>
      <c r="PB3" s="20" t="s">
        <v>22</v>
      </c>
      <c r="PC3" s="21" t="s">
        <v>22</v>
      </c>
      <c r="PD3" s="20" t="s">
        <v>22</v>
      </c>
      <c r="PE3" s="21" t="s">
        <v>22</v>
      </c>
      <c r="PF3" s="20" t="s">
        <v>22</v>
      </c>
      <c r="PG3" s="21" t="s">
        <v>22</v>
      </c>
      <c r="PH3" s="19" t="s">
        <v>22</v>
      </c>
      <c r="PI3" s="19" t="s">
        <v>22</v>
      </c>
      <c r="PJ3" s="20" t="s">
        <v>22</v>
      </c>
      <c r="PK3" s="21" t="s">
        <v>22</v>
      </c>
      <c r="PL3" s="19" t="s">
        <v>22</v>
      </c>
      <c r="PM3" s="19" t="s">
        <v>22</v>
      </c>
      <c r="PN3" s="260" t="s">
        <v>22</v>
      </c>
      <c r="PO3" s="21" t="s">
        <v>22</v>
      </c>
      <c r="PP3" s="20" t="s">
        <v>22</v>
      </c>
      <c r="PQ3" s="21" t="s">
        <v>22</v>
      </c>
      <c r="PR3" s="19" t="s">
        <v>22</v>
      </c>
      <c r="PS3" s="19" t="s">
        <v>22</v>
      </c>
      <c r="PT3" s="20" t="s">
        <v>22</v>
      </c>
      <c r="PU3" s="21" t="s">
        <v>22</v>
      </c>
      <c r="PV3" s="19" t="s">
        <v>22</v>
      </c>
      <c r="PW3" s="19" t="s">
        <v>22</v>
      </c>
      <c r="PX3" s="260" t="s">
        <v>22</v>
      </c>
      <c r="PY3" s="21" t="s">
        <v>22</v>
      </c>
      <c r="PZ3" s="20" t="s">
        <v>22</v>
      </c>
      <c r="QA3" s="21" t="s">
        <v>22</v>
      </c>
      <c r="QB3" s="260" t="s">
        <v>22</v>
      </c>
      <c r="QC3" s="21" t="s">
        <v>22</v>
      </c>
      <c r="QD3" s="260" t="s">
        <v>22</v>
      </c>
      <c r="QE3" s="21" t="s">
        <v>22</v>
      </c>
      <c r="QF3" s="20" t="s">
        <v>22</v>
      </c>
      <c r="QG3" s="21" t="s">
        <v>22</v>
      </c>
      <c r="QH3" s="19" t="s">
        <v>22</v>
      </c>
      <c r="QI3" s="19" t="s">
        <v>22</v>
      </c>
      <c r="QJ3" s="20" t="s">
        <v>22</v>
      </c>
      <c r="QK3" s="21" t="s">
        <v>22</v>
      </c>
      <c r="QL3" s="260" t="s">
        <v>22</v>
      </c>
      <c r="QM3" s="21" t="s">
        <v>22</v>
      </c>
      <c r="QN3" s="19" t="s">
        <v>22</v>
      </c>
      <c r="QO3" s="19" t="s">
        <v>22</v>
      </c>
      <c r="QP3" s="260" t="s">
        <v>22</v>
      </c>
      <c r="QQ3" s="21" t="s">
        <v>22</v>
      </c>
      <c r="QR3" s="260" t="s">
        <v>22</v>
      </c>
      <c r="QS3" s="21" t="s">
        <v>22</v>
      </c>
      <c r="QT3" s="20" t="s">
        <v>22</v>
      </c>
      <c r="QU3" s="21" t="s">
        <v>22</v>
      </c>
      <c r="QV3" s="19" t="s">
        <v>22</v>
      </c>
      <c r="QW3" s="21" t="s">
        <v>22</v>
      </c>
      <c r="QX3" s="19" t="s">
        <v>22</v>
      </c>
      <c r="QY3" s="21" t="s">
        <v>22</v>
      </c>
      <c r="QZ3" s="260" t="s">
        <v>22</v>
      </c>
      <c r="RA3" s="21" t="s">
        <v>22</v>
      </c>
      <c r="RB3" s="260" t="s">
        <v>22</v>
      </c>
      <c r="RC3" s="21" t="s">
        <v>22</v>
      </c>
      <c r="RD3" s="260" t="s">
        <v>22</v>
      </c>
      <c r="RE3" s="21" t="s">
        <v>22</v>
      </c>
      <c r="RF3" s="20" t="s">
        <v>22</v>
      </c>
      <c r="RG3" s="21" t="s">
        <v>22</v>
      </c>
      <c r="RH3" s="260" t="s">
        <v>22</v>
      </c>
      <c r="RI3" s="21" t="s">
        <v>22</v>
      </c>
      <c r="RJ3" s="20" t="s">
        <v>22</v>
      </c>
      <c r="RK3" s="21" t="s">
        <v>22</v>
      </c>
      <c r="RL3" s="19" t="s">
        <v>22</v>
      </c>
      <c r="RM3" s="19" t="s">
        <v>22</v>
      </c>
      <c r="RN3" s="20" t="s">
        <v>22</v>
      </c>
      <c r="RO3" s="21" t="s">
        <v>22</v>
      </c>
      <c r="RP3" s="19" t="s">
        <v>22</v>
      </c>
      <c r="RQ3" s="19" t="s">
        <v>22</v>
      </c>
      <c r="RR3" s="260" t="s">
        <v>22</v>
      </c>
      <c r="RS3" s="21" t="s">
        <v>22</v>
      </c>
      <c r="RT3" s="20" t="s">
        <v>22</v>
      </c>
      <c r="RU3" s="21" t="s">
        <v>22</v>
      </c>
      <c r="RV3" s="19" t="s">
        <v>22</v>
      </c>
      <c r="RW3" s="19" t="s">
        <v>22</v>
      </c>
      <c r="RX3" s="260" t="s">
        <v>22</v>
      </c>
      <c r="RY3" s="21" t="s">
        <v>22</v>
      </c>
      <c r="RZ3" s="20" t="s">
        <v>22</v>
      </c>
      <c r="SA3" s="19" t="s">
        <v>22</v>
      </c>
      <c r="SB3" s="20" t="s">
        <v>22</v>
      </c>
      <c r="SC3" s="21" t="s">
        <v>22</v>
      </c>
      <c r="SD3" s="20" t="s">
        <v>22</v>
      </c>
      <c r="SE3" s="21" t="s">
        <v>22</v>
      </c>
      <c r="SF3" s="20" t="s">
        <v>22</v>
      </c>
      <c r="SG3" s="21" t="s">
        <v>22</v>
      </c>
      <c r="SH3" s="20" t="s">
        <v>22</v>
      </c>
      <c r="SI3" s="21" t="s">
        <v>22</v>
      </c>
      <c r="SJ3" s="19" t="s">
        <v>22</v>
      </c>
      <c r="SK3" s="19" t="s">
        <v>22</v>
      </c>
      <c r="SL3" s="260" t="s">
        <v>22</v>
      </c>
      <c r="SM3" s="21" t="s">
        <v>22</v>
      </c>
      <c r="SN3" s="20" t="s">
        <v>22</v>
      </c>
      <c r="SO3" s="21" t="s">
        <v>22</v>
      </c>
      <c r="SP3" s="19" t="s">
        <v>22</v>
      </c>
      <c r="SQ3" s="19" t="s">
        <v>22</v>
      </c>
      <c r="SR3" s="20" t="s">
        <v>22</v>
      </c>
      <c r="SS3" s="21" t="s">
        <v>22</v>
      </c>
      <c r="ST3" s="19" t="s">
        <v>22</v>
      </c>
      <c r="SU3" s="19" t="s">
        <v>22</v>
      </c>
      <c r="SV3" s="20" t="s">
        <v>22</v>
      </c>
      <c r="SW3" s="21" t="s">
        <v>22</v>
      </c>
      <c r="SX3" s="260" t="s">
        <v>22</v>
      </c>
      <c r="SY3" s="21" t="s">
        <v>22</v>
      </c>
      <c r="SZ3" s="20" t="s">
        <v>22</v>
      </c>
      <c r="TA3" s="21" t="s">
        <v>22</v>
      </c>
      <c r="TB3" s="20" t="s">
        <v>22</v>
      </c>
      <c r="TC3" s="21" t="s">
        <v>22</v>
      </c>
      <c r="TD3" s="19" t="s">
        <v>22</v>
      </c>
      <c r="TE3" s="19" t="s">
        <v>22</v>
      </c>
      <c r="TF3" s="260" t="s">
        <v>22</v>
      </c>
      <c r="TG3" s="21" t="s">
        <v>22</v>
      </c>
      <c r="TH3" s="20" t="s">
        <v>22</v>
      </c>
      <c r="TI3" s="21" t="s">
        <v>22</v>
      </c>
      <c r="TJ3" s="19" t="s">
        <v>22</v>
      </c>
      <c r="TK3" s="19" t="s">
        <v>22</v>
      </c>
      <c r="TL3" s="260" t="s">
        <v>22</v>
      </c>
      <c r="TM3" s="21" t="s">
        <v>22</v>
      </c>
      <c r="TN3" s="20" t="s">
        <v>22</v>
      </c>
      <c r="TO3" s="21" t="s">
        <v>22</v>
      </c>
      <c r="TP3" s="20" t="s">
        <v>22</v>
      </c>
      <c r="TQ3" s="21" t="s">
        <v>22</v>
      </c>
      <c r="TR3" s="20" t="s">
        <v>22</v>
      </c>
      <c r="TS3" s="21" t="s">
        <v>22</v>
      </c>
      <c r="TT3" s="20" t="s">
        <v>22</v>
      </c>
      <c r="TU3" s="21" t="s">
        <v>22</v>
      </c>
      <c r="TV3" s="20" t="s">
        <v>22</v>
      </c>
      <c r="TW3" s="21" t="s">
        <v>22</v>
      </c>
      <c r="TX3" s="260" t="s">
        <v>22</v>
      </c>
      <c r="TY3" s="21" t="s">
        <v>22</v>
      </c>
      <c r="TZ3" s="19" t="s">
        <v>22</v>
      </c>
      <c r="UA3" s="19" t="s">
        <v>22</v>
      </c>
      <c r="UB3" s="20" t="s">
        <v>22</v>
      </c>
      <c r="UC3" s="21" t="s">
        <v>22</v>
      </c>
      <c r="UD3" s="20" t="s">
        <v>22</v>
      </c>
      <c r="UE3" s="21" t="s">
        <v>22</v>
      </c>
      <c r="UF3" s="20" t="s">
        <v>22</v>
      </c>
      <c r="UG3" s="21" t="s">
        <v>22</v>
      </c>
      <c r="UH3" s="19" t="s">
        <v>22</v>
      </c>
      <c r="UI3" s="19" t="s">
        <v>22</v>
      </c>
      <c r="UJ3" s="260" t="s">
        <v>22</v>
      </c>
      <c r="UK3" s="21" t="s">
        <v>22</v>
      </c>
      <c r="UL3" s="260" t="s">
        <v>22</v>
      </c>
      <c r="UM3" s="21" t="s">
        <v>22</v>
      </c>
      <c r="UN3" s="20" t="s">
        <v>22</v>
      </c>
      <c r="UO3" s="21" t="s">
        <v>22</v>
      </c>
      <c r="UP3" s="20" t="s">
        <v>22</v>
      </c>
      <c r="UQ3" s="21" t="s">
        <v>22</v>
      </c>
      <c r="UR3" s="19" t="s">
        <v>22</v>
      </c>
      <c r="US3" s="19" t="s">
        <v>22</v>
      </c>
      <c r="UT3" s="260" t="s">
        <v>22</v>
      </c>
      <c r="UU3" s="21" t="s">
        <v>22</v>
      </c>
      <c r="UV3" s="20" t="s">
        <v>22</v>
      </c>
      <c r="UW3" s="21" t="s">
        <v>22</v>
      </c>
      <c r="UX3" s="20" t="s">
        <v>22</v>
      </c>
      <c r="UY3" s="21" t="s">
        <v>22</v>
      </c>
      <c r="UZ3" s="19" t="s">
        <v>22</v>
      </c>
      <c r="VA3" s="19" t="s">
        <v>22</v>
      </c>
      <c r="VB3" s="260" t="s">
        <v>22</v>
      </c>
      <c r="VC3" s="21" t="s">
        <v>22</v>
      </c>
      <c r="VD3" s="260" t="s">
        <v>22</v>
      </c>
      <c r="VE3" s="21" t="s">
        <v>22</v>
      </c>
      <c r="VF3" s="20" t="s">
        <v>22</v>
      </c>
      <c r="VG3" s="21" t="s">
        <v>22</v>
      </c>
      <c r="VH3" s="19" t="s">
        <v>22</v>
      </c>
      <c r="VI3" s="19" t="s">
        <v>22</v>
      </c>
      <c r="VJ3" s="20" t="s">
        <v>22</v>
      </c>
      <c r="VK3" s="21" t="s">
        <v>22</v>
      </c>
      <c r="VL3" s="260" t="s">
        <v>22</v>
      </c>
      <c r="VM3" s="21" t="s">
        <v>22</v>
      </c>
      <c r="VN3" s="19" t="s">
        <v>22</v>
      </c>
      <c r="VO3" s="19" t="s">
        <v>22</v>
      </c>
      <c r="VP3" s="20" t="s">
        <v>22</v>
      </c>
      <c r="VQ3" s="21" t="s">
        <v>22</v>
      </c>
      <c r="VR3" s="260" t="s">
        <v>22</v>
      </c>
      <c r="VS3" s="21" t="s">
        <v>22</v>
      </c>
      <c r="VT3" s="20" t="s">
        <v>22</v>
      </c>
      <c r="VU3" s="21" t="s">
        <v>22</v>
      </c>
      <c r="VV3" s="260" t="s">
        <v>22</v>
      </c>
      <c r="VW3" s="21" t="s">
        <v>22</v>
      </c>
      <c r="VX3" s="20" t="s">
        <v>22</v>
      </c>
      <c r="VY3" s="21" t="s">
        <v>22</v>
      </c>
      <c r="VZ3" s="19" t="s">
        <v>22</v>
      </c>
      <c r="WA3" s="19" t="s">
        <v>22</v>
      </c>
      <c r="WB3" s="260" t="s">
        <v>22</v>
      </c>
      <c r="WC3" s="21" t="s">
        <v>22</v>
      </c>
      <c r="WD3" s="20" t="s">
        <v>22</v>
      </c>
      <c r="WE3" s="21" t="s">
        <v>22</v>
      </c>
      <c r="WF3" s="20" t="s">
        <v>22</v>
      </c>
      <c r="WG3" s="21" t="s">
        <v>22</v>
      </c>
      <c r="WH3" s="260" t="s">
        <v>22</v>
      </c>
      <c r="WI3" s="21" t="s">
        <v>22</v>
      </c>
      <c r="WJ3" s="20" t="s">
        <v>22</v>
      </c>
      <c r="WK3" s="21" t="s">
        <v>22</v>
      </c>
      <c r="WL3" s="19" t="s">
        <v>22</v>
      </c>
      <c r="WM3" s="19" t="s">
        <v>22</v>
      </c>
      <c r="WN3" s="20" t="s">
        <v>22</v>
      </c>
      <c r="WO3" s="21" t="s">
        <v>22</v>
      </c>
      <c r="WP3" s="19" t="s">
        <v>22</v>
      </c>
      <c r="WQ3" s="19" t="s">
        <v>22</v>
      </c>
      <c r="WR3" s="20" t="s">
        <v>22</v>
      </c>
      <c r="WS3" s="19" t="s">
        <v>22</v>
      </c>
      <c r="WT3" s="20" t="s">
        <v>22</v>
      </c>
      <c r="WU3" s="21" t="s">
        <v>22</v>
      </c>
      <c r="WV3" s="260" t="s">
        <v>22</v>
      </c>
      <c r="WW3" s="21" t="s">
        <v>22</v>
      </c>
      <c r="WX3" s="19" t="s">
        <v>22</v>
      </c>
      <c r="WY3" s="19" t="s">
        <v>22</v>
      </c>
      <c r="WZ3" s="260" t="s">
        <v>22</v>
      </c>
      <c r="XA3" s="21" t="s">
        <v>22</v>
      </c>
      <c r="XB3" s="20" t="s">
        <v>22</v>
      </c>
      <c r="XC3" s="21" t="s">
        <v>22</v>
      </c>
      <c r="XD3" s="260" t="s">
        <v>22</v>
      </c>
      <c r="XE3" s="21" t="s">
        <v>22</v>
      </c>
      <c r="XF3" s="20" t="s">
        <v>22</v>
      </c>
      <c r="XG3" s="21" t="s">
        <v>22</v>
      </c>
      <c r="XH3" s="19" t="s">
        <v>22</v>
      </c>
      <c r="XI3" s="19" t="s">
        <v>22</v>
      </c>
      <c r="XJ3" s="20" t="s">
        <v>22</v>
      </c>
      <c r="XK3" s="21" t="s">
        <v>22</v>
      </c>
      <c r="XL3" s="19" t="s">
        <v>22</v>
      </c>
      <c r="XM3" s="19" t="s">
        <v>22</v>
      </c>
      <c r="XN3" s="260" t="s">
        <v>22</v>
      </c>
      <c r="XO3" s="21" t="s">
        <v>22</v>
      </c>
      <c r="XP3" s="20" t="s">
        <v>22</v>
      </c>
      <c r="XQ3" s="21" t="s">
        <v>22</v>
      </c>
      <c r="XR3" s="19" t="s">
        <v>22</v>
      </c>
      <c r="XS3" s="19" t="s">
        <v>22</v>
      </c>
      <c r="XT3" s="260" t="s">
        <v>22</v>
      </c>
      <c r="XU3" s="21" t="s">
        <v>22</v>
      </c>
      <c r="XV3" s="20" t="s">
        <v>22</v>
      </c>
      <c r="XW3" s="21" t="s">
        <v>22</v>
      </c>
      <c r="XX3" s="20" t="s">
        <v>22</v>
      </c>
      <c r="XY3" s="21" t="s">
        <v>22</v>
      </c>
      <c r="XZ3" s="19" t="s">
        <v>22</v>
      </c>
      <c r="YA3" s="19" t="s">
        <v>22</v>
      </c>
      <c r="YB3" s="260" t="s">
        <v>22</v>
      </c>
      <c r="YC3" s="21" t="s">
        <v>22</v>
      </c>
      <c r="YD3" s="20" t="s">
        <v>22</v>
      </c>
      <c r="YE3" s="21" t="s">
        <v>22</v>
      </c>
      <c r="YF3" s="20" t="s">
        <v>22</v>
      </c>
      <c r="YG3" s="21" t="s">
        <v>22</v>
      </c>
      <c r="YH3" s="260" t="s">
        <v>22</v>
      </c>
      <c r="YI3" s="21" t="s">
        <v>22</v>
      </c>
      <c r="YJ3" s="19" t="s">
        <v>22</v>
      </c>
      <c r="YK3" s="19" t="s">
        <v>22</v>
      </c>
      <c r="YL3" s="20" t="s">
        <v>22</v>
      </c>
      <c r="YM3" s="21" t="s">
        <v>22</v>
      </c>
      <c r="YN3" s="20" t="s">
        <v>22</v>
      </c>
      <c r="YO3" s="21" t="s">
        <v>22</v>
      </c>
      <c r="YP3" s="20" t="s">
        <v>22</v>
      </c>
      <c r="YQ3" s="21" t="s">
        <v>22</v>
      </c>
      <c r="YR3" s="20" t="s">
        <v>22</v>
      </c>
      <c r="YS3" s="21" t="s">
        <v>22</v>
      </c>
      <c r="YT3" s="19" t="s">
        <v>22</v>
      </c>
      <c r="YU3" s="19" t="s">
        <v>22</v>
      </c>
      <c r="YV3" s="260" t="s">
        <v>22</v>
      </c>
      <c r="YW3" s="21" t="s">
        <v>22</v>
      </c>
      <c r="YX3" s="20" t="s">
        <v>22</v>
      </c>
      <c r="YY3" s="21" t="s">
        <v>22</v>
      </c>
      <c r="YZ3" s="19" t="s">
        <v>22</v>
      </c>
      <c r="ZA3" s="19" t="s">
        <v>22</v>
      </c>
      <c r="ZB3" s="20" t="s">
        <v>22</v>
      </c>
      <c r="ZC3" s="21" t="s">
        <v>22</v>
      </c>
      <c r="ZD3" s="19" t="s">
        <v>22</v>
      </c>
      <c r="ZE3" s="19" t="s">
        <v>22</v>
      </c>
      <c r="ZF3" s="260" t="s">
        <v>22</v>
      </c>
      <c r="ZG3" s="21" t="s">
        <v>22</v>
      </c>
      <c r="ZH3" s="260" t="s">
        <v>22</v>
      </c>
      <c r="ZI3" s="21" t="s">
        <v>22</v>
      </c>
      <c r="ZJ3" s="20" t="s">
        <v>22</v>
      </c>
      <c r="ZK3" s="21" t="s">
        <v>22</v>
      </c>
      <c r="ZL3" s="19" t="s">
        <v>22</v>
      </c>
      <c r="ZM3" s="19" t="s">
        <v>22</v>
      </c>
      <c r="ZN3" s="20" t="s">
        <v>22</v>
      </c>
      <c r="ZO3" s="21" t="s">
        <v>22</v>
      </c>
      <c r="ZP3" s="20" t="s">
        <v>22</v>
      </c>
      <c r="ZQ3" s="21" t="s">
        <v>22</v>
      </c>
      <c r="ZR3" s="19" t="s">
        <v>22</v>
      </c>
      <c r="ZS3" s="19" t="s">
        <v>22</v>
      </c>
      <c r="ZT3" s="20" t="s">
        <v>22</v>
      </c>
      <c r="ZU3" s="21" t="s">
        <v>22</v>
      </c>
      <c r="ZV3" s="260" t="s">
        <v>22</v>
      </c>
      <c r="ZW3" s="21" t="s">
        <v>22</v>
      </c>
      <c r="ZX3" s="19" t="s">
        <v>22</v>
      </c>
      <c r="ZY3" s="19" t="s">
        <v>22</v>
      </c>
      <c r="ZZ3" s="260" t="s">
        <v>22</v>
      </c>
      <c r="AAA3" s="21" t="s">
        <v>22</v>
      </c>
      <c r="AAB3" s="260" t="s">
        <v>22</v>
      </c>
      <c r="AAC3" s="21" t="s">
        <v>22</v>
      </c>
      <c r="AAD3" s="20" t="s">
        <v>22</v>
      </c>
      <c r="AAE3" s="21" t="s">
        <v>22</v>
      </c>
      <c r="AAF3" s="20" t="s">
        <v>22</v>
      </c>
      <c r="AAG3" s="21" t="s">
        <v>22</v>
      </c>
      <c r="AAH3" s="19" t="s">
        <v>22</v>
      </c>
      <c r="AAI3" s="19" t="s">
        <v>22</v>
      </c>
      <c r="AAJ3" s="260" t="s">
        <v>22</v>
      </c>
      <c r="AAK3" s="21" t="s">
        <v>22</v>
      </c>
      <c r="AAL3" s="260" t="s">
        <v>22</v>
      </c>
      <c r="AAM3" s="21" t="s">
        <v>22</v>
      </c>
      <c r="AAN3" s="20" t="s">
        <v>22</v>
      </c>
      <c r="AAO3" s="21" t="s">
        <v>22</v>
      </c>
      <c r="AAP3" s="260" t="s">
        <v>22</v>
      </c>
      <c r="AAQ3" s="21" t="s">
        <v>22</v>
      </c>
      <c r="AAR3" s="260" t="s">
        <v>22</v>
      </c>
      <c r="AAS3" s="21" t="s">
        <v>22</v>
      </c>
      <c r="AAT3" s="19" t="s">
        <v>22</v>
      </c>
      <c r="AAU3" s="19" t="s">
        <v>22</v>
      </c>
      <c r="AAV3" s="20" t="s">
        <v>22</v>
      </c>
      <c r="AAW3" s="21" t="s">
        <v>22</v>
      </c>
      <c r="AAX3" s="19" t="s">
        <v>22</v>
      </c>
      <c r="AAY3" s="19" t="s">
        <v>22</v>
      </c>
      <c r="AAZ3" s="260" t="s">
        <v>22</v>
      </c>
      <c r="ABA3" s="21" t="s">
        <v>22</v>
      </c>
      <c r="ABB3" s="20" t="s">
        <v>22</v>
      </c>
      <c r="ABC3" s="21" t="s">
        <v>22</v>
      </c>
      <c r="ABD3" s="20" t="s">
        <v>22</v>
      </c>
      <c r="ABE3" s="21" t="s">
        <v>22</v>
      </c>
      <c r="ABF3" s="19" t="s">
        <v>22</v>
      </c>
      <c r="ABG3" s="19" t="s">
        <v>22</v>
      </c>
      <c r="ABH3" s="260" t="s">
        <v>22</v>
      </c>
      <c r="ABI3" s="21" t="s">
        <v>22</v>
      </c>
      <c r="ABJ3" s="20" t="s">
        <v>22</v>
      </c>
      <c r="ABK3" s="21" t="s">
        <v>22</v>
      </c>
      <c r="ABL3" s="260" t="s">
        <v>22</v>
      </c>
      <c r="ABM3" s="21" t="s">
        <v>22</v>
      </c>
      <c r="ABN3" s="20" t="s">
        <v>22</v>
      </c>
      <c r="ABO3" s="21" t="s">
        <v>22</v>
      </c>
      <c r="ABP3" s="19" t="s">
        <v>22</v>
      </c>
      <c r="ABQ3" s="19" t="s">
        <v>22</v>
      </c>
      <c r="ABR3" s="20" t="s">
        <v>22</v>
      </c>
      <c r="ABS3" s="21" t="s">
        <v>22</v>
      </c>
      <c r="ABT3" s="260" t="s">
        <v>22</v>
      </c>
      <c r="ABU3" s="21" t="s">
        <v>22</v>
      </c>
      <c r="ABV3" s="20" t="s">
        <v>22</v>
      </c>
      <c r="ABW3" s="21" t="s">
        <v>22</v>
      </c>
      <c r="ABX3" s="19" t="s">
        <v>22</v>
      </c>
      <c r="ABY3" s="19" t="s">
        <v>22</v>
      </c>
      <c r="ABZ3" s="20" t="s">
        <v>22</v>
      </c>
      <c r="ACA3" s="21" t="s">
        <v>22</v>
      </c>
      <c r="ACB3" s="260" t="s">
        <v>22</v>
      </c>
      <c r="ACC3" s="21" t="s">
        <v>22</v>
      </c>
      <c r="ACD3" s="20" t="s">
        <v>22</v>
      </c>
      <c r="ACE3" s="21" t="s">
        <v>22</v>
      </c>
      <c r="ACF3" s="20" t="s">
        <v>22</v>
      </c>
      <c r="ACG3" s="21" t="s">
        <v>22</v>
      </c>
      <c r="ACH3" s="260" t="s">
        <v>22</v>
      </c>
      <c r="ACI3" s="21" t="s">
        <v>22</v>
      </c>
      <c r="ACJ3" s="19" t="s">
        <v>22</v>
      </c>
      <c r="ACK3" s="19" t="s">
        <v>22</v>
      </c>
      <c r="ACL3" s="20" t="s">
        <v>22</v>
      </c>
      <c r="ACM3" s="21" t="s">
        <v>22</v>
      </c>
      <c r="ACN3" s="19" t="s">
        <v>22</v>
      </c>
      <c r="ACO3" s="19" t="s">
        <v>22</v>
      </c>
      <c r="ACP3" s="260" t="s">
        <v>22</v>
      </c>
      <c r="ACQ3" s="21" t="s">
        <v>22</v>
      </c>
      <c r="ACR3" s="20" t="s">
        <v>22</v>
      </c>
      <c r="ACS3" s="21" t="s">
        <v>22</v>
      </c>
      <c r="ACT3" s="20" t="s">
        <v>22</v>
      </c>
      <c r="ACU3" s="21" t="s">
        <v>22</v>
      </c>
      <c r="ACV3" s="20" t="s">
        <v>22</v>
      </c>
      <c r="ACW3" s="21" t="s">
        <v>22</v>
      </c>
      <c r="ACX3" s="19" t="s">
        <v>22</v>
      </c>
      <c r="ACY3" s="19" t="s">
        <v>22</v>
      </c>
      <c r="ACZ3" s="260" t="s">
        <v>22</v>
      </c>
      <c r="ADA3" s="21" t="s">
        <v>22</v>
      </c>
      <c r="ADB3" s="260" t="s">
        <v>22</v>
      </c>
      <c r="ADC3" s="21" t="s">
        <v>22</v>
      </c>
      <c r="ADD3" s="260" t="s">
        <v>22</v>
      </c>
      <c r="ADE3" s="21" t="s">
        <v>22</v>
      </c>
      <c r="ADF3" s="20" t="s">
        <v>22</v>
      </c>
      <c r="ADG3" s="21" t="s">
        <v>22</v>
      </c>
      <c r="ADH3" s="20" t="s">
        <v>22</v>
      </c>
      <c r="ADI3" s="21" t="s">
        <v>22</v>
      </c>
      <c r="ADJ3" s="20" t="s">
        <v>22</v>
      </c>
      <c r="ADK3" s="21" t="s">
        <v>22</v>
      </c>
      <c r="ADL3" s="19" t="s">
        <v>22</v>
      </c>
      <c r="ADM3" s="21" t="s">
        <v>22</v>
      </c>
      <c r="ADN3" s="19" t="s">
        <v>22</v>
      </c>
      <c r="ADO3" s="21" t="s">
        <v>22</v>
      </c>
      <c r="ADP3" s="20" t="s">
        <v>22</v>
      </c>
      <c r="ADQ3" s="21" t="s">
        <v>22</v>
      </c>
      <c r="ADR3" s="19" t="s">
        <v>22</v>
      </c>
      <c r="ADS3" s="21" t="s">
        <v>22</v>
      </c>
      <c r="ADT3" s="20" t="s">
        <v>22</v>
      </c>
      <c r="ADU3" s="21" t="s">
        <v>22</v>
      </c>
      <c r="ADV3" s="19" t="s">
        <v>22</v>
      </c>
      <c r="ADW3" s="19" t="s">
        <v>22</v>
      </c>
      <c r="ADX3" s="20" t="s">
        <v>22</v>
      </c>
      <c r="ADY3" s="21" t="s">
        <v>22</v>
      </c>
      <c r="ADZ3" s="260" t="s">
        <v>22</v>
      </c>
      <c r="AEA3" s="21" t="s">
        <v>22</v>
      </c>
      <c r="AEB3" s="262">
        <v>41234</v>
      </c>
      <c r="AEC3" s="263" t="str">
        <f t="shared" ref="AEC3:AEC5" si="1">CHOOSE(WEEKDAY(AEB3,2),"Monday","Tuesday","Wednesday","Thursday","Friday","Saturday","Sunday")</f>
        <v>Wednesday</v>
      </c>
      <c r="AED3" s="19" t="s">
        <v>22</v>
      </c>
      <c r="AEE3" s="19" t="s">
        <v>22</v>
      </c>
      <c r="AEF3" s="20" t="s">
        <v>22</v>
      </c>
      <c r="AEG3" s="21" t="s">
        <v>22</v>
      </c>
      <c r="AEH3" s="20" t="s">
        <v>22</v>
      </c>
      <c r="AEI3" s="19" t="s">
        <v>22</v>
      </c>
      <c r="AEJ3" s="20" t="s">
        <v>22</v>
      </c>
      <c r="AEK3" s="21" t="s">
        <v>22</v>
      </c>
      <c r="AEL3" s="20" t="s">
        <v>22</v>
      </c>
      <c r="AEM3" s="21" t="s">
        <v>22</v>
      </c>
      <c r="AEN3" s="20" t="s">
        <v>22</v>
      </c>
      <c r="AEO3" s="21" t="s">
        <v>22</v>
      </c>
      <c r="AEP3" s="260" t="s">
        <v>22</v>
      </c>
      <c r="AEQ3" s="21" t="s">
        <v>22</v>
      </c>
      <c r="AER3" s="19" t="s">
        <v>22</v>
      </c>
      <c r="AES3" s="19" t="s">
        <v>22</v>
      </c>
      <c r="AET3" s="20" t="s">
        <v>22</v>
      </c>
      <c r="AEU3" s="21" t="s">
        <v>22</v>
      </c>
      <c r="AEV3" s="19" t="s">
        <v>22</v>
      </c>
      <c r="AEW3" s="19" t="s">
        <v>22</v>
      </c>
      <c r="AEX3" s="20" t="s">
        <v>22</v>
      </c>
      <c r="AEY3" s="21" t="s">
        <v>22</v>
      </c>
      <c r="AEZ3" s="260" t="s">
        <v>22</v>
      </c>
      <c r="AFA3" s="21" t="s">
        <v>22</v>
      </c>
      <c r="AFB3" s="20" t="s">
        <v>22</v>
      </c>
      <c r="AFC3" s="21" t="s">
        <v>22</v>
      </c>
      <c r="AFD3" s="20" t="s">
        <v>22</v>
      </c>
      <c r="AFE3" s="21" t="s">
        <v>22</v>
      </c>
      <c r="AFF3" s="19" t="s">
        <v>22</v>
      </c>
      <c r="AFG3" s="19" t="s">
        <v>22</v>
      </c>
      <c r="AFH3" s="20" t="s">
        <v>22</v>
      </c>
      <c r="AFI3" s="21" t="s">
        <v>22</v>
      </c>
      <c r="AFJ3" s="19" t="s">
        <v>22</v>
      </c>
      <c r="AFK3" s="19" t="s">
        <v>22</v>
      </c>
      <c r="AFL3" s="20" t="s">
        <v>22</v>
      </c>
      <c r="AFM3" s="21" t="s">
        <v>22</v>
      </c>
      <c r="AFN3" s="20" t="s">
        <v>22</v>
      </c>
      <c r="AFO3" s="21" t="s">
        <v>22</v>
      </c>
      <c r="AFP3" s="260" t="s">
        <v>22</v>
      </c>
      <c r="AFQ3" s="21" t="s">
        <v>22</v>
      </c>
      <c r="AFR3" s="19" t="s">
        <v>22</v>
      </c>
      <c r="AFS3" s="19" t="s">
        <v>22</v>
      </c>
      <c r="AFT3" s="20" t="s">
        <v>22</v>
      </c>
      <c r="AFU3" s="21" t="s">
        <v>22</v>
      </c>
      <c r="AFV3" s="19" t="s">
        <v>22</v>
      </c>
      <c r="AFW3" s="19" t="s">
        <v>22</v>
      </c>
      <c r="AFX3" s="20" t="s">
        <v>22</v>
      </c>
      <c r="AFY3" s="19" t="s">
        <v>22</v>
      </c>
      <c r="AFZ3" s="20" t="s">
        <v>22</v>
      </c>
      <c r="AGA3" s="21" t="s">
        <v>22</v>
      </c>
      <c r="AGB3" s="260" t="s">
        <v>22</v>
      </c>
      <c r="AGC3" s="21" t="s">
        <v>22</v>
      </c>
      <c r="AGD3" s="19" t="s">
        <v>22</v>
      </c>
      <c r="AGE3" s="19" t="s">
        <v>22</v>
      </c>
      <c r="AGF3" s="20" t="s">
        <v>22</v>
      </c>
      <c r="AGG3" s="21" t="s">
        <v>22</v>
      </c>
      <c r="AGH3" s="260" t="s">
        <v>22</v>
      </c>
      <c r="AGI3" s="21" t="s">
        <v>22</v>
      </c>
      <c r="AGJ3" s="19" t="s">
        <v>22</v>
      </c>
      <c r="AGK3" s="19" t="s">
        <v>22</v>
      </c>
      <c r="AGL3" s="260" t="s">
        <v>22</v>
      </c>
      <c r="AGM3" s="21" t="s">
        <v>22</v>
      </c>
      <c r="AGN3" s="260" t="s">
        <v>22</v>
      </c>
      <c r="AGO3" s="21" t="s">
        <v>22</v>
      </c>
      <c r="AGP3" s="20" t="s">
        <v>22</v>
      </c>
      <c r="AGQ3" s="21" t="s">
        <v>22</v>
      </c>
      <c r="AGR3" s="20" t="s">
        <v>22</v>
      </c>
      <c r="AGS3" s="21" t="s">
        <v>22</v>
      </c>
      <c r="AGT3" s="20" t="s">
        <v>22</v>
      </c>
      <c r="AGU3" s="21" t="s">
        <v>22</v>
      </c>
      <c r="AGV3" s="261" t="s">
        <v>22</v>
      </c>
      <c r="AGW3" s="21" t="s">
        <v>22</v>
      </c>
      <c r="AGX3" s="20" t="s">
        <v>22</v>
      </c>
      <c r="AGY3" s="21" t="s">
        <v>22</v>
      </c>
      <c r="AGZ3" s="20" t="s">
        <v>22</v>
      </c>
      <c r="AHA3" s="21" t="s">
        <v>22</v>
      </c>
      <c r="AHB3" s="20" t="s">
        <v>22</v>
      </c>
      <c r="AHC3" s="21" t="s">
        <v>22</v>
      </c>
      <c r="AHD3" s="260" t="s">
        <v>22</v>
      </c>
      <c r="AHE3" s="21" t="s">
        <v>22</v>
      </c>
      <c r="AHF3" s="20" t="s">
        <v>22</v>
      </c>
      <c r="AHG3" s="21" t="s">
        <v>22</v>
      </c>
      <c r="AHH3" s="260" t="s">
        <v>22</v>
      </c>
      <c r="AHI3" s="19" t="s">
        <v>22</v>
      </c>
      <c r="AHJ3" s="20" t="s">
        <v>22</v>
      </c>
      <c r="AHK3" s="21" t="s">
        <v>22</v>
      </c>
      <c r="AHL3" s="19" t="s">
        <v>22</v>
      </c>
      <c r="AHM3" s="21" t="s">
        <v>22</v>
      </c>
      <c r="AHN3" s="260" t="s">
        <v>22</v>
      </c>
      <c r="AHO3" s="21" t="s">
        <v>22</v>
      </c>
      <c r="AHP3" s="20" t="s">
        <v>22</v>
      </c>
      <c r="AHQ3" s="21" t="s">
        <v>22</v>
      </c>
      <c r="AHR3" s="20" t="s">
        <v>22</v>
      </c>
      <c r="AHS3" s="19" t="s">
        <v>22</v>
      </c>
      <c r="AHT3" s="20" t="s">
        <v>22</v>
      </c>
      <c r="AHU3" s="19" t="s">
        <v>22</v>
      </c>
      <c r="AHV3" s="20" t="s">
        <v>22</v>
      </c>
      <c r="AHW3" s="21" t="s">
        <v>22</v>
      </c>
      <c r="AHX3" s="20" t="s">
        <v>22</v>
      </c>
      <c r="AHY3" s="21" t="s">
        <v>22</v>
      </c>
      <c r="AHZ3" s="20" t="s">
        <v>22</v>
      </c>
      <c r="AIA3" s="21" t="s">
        <v>22</v>
      </c>
    </row>
    <row r="4" spans="1:911" ht="15.75" customHeight="1" x14ac:dyDescent="0.2">
      <c r="A4" s="101">
        <v>2013</v>
      </c>
      <c r="B4" s="8" t="s">
        <v>22</v>
      </c>
      <c r="C4" s="101" t="s">
        <v>22</v>
      </c>
      <c r="D4" s="8" t="s">
        <v>22</v>
      </c>
      <c r="E4" s="101" t="s">
        <v>22</v>
      </c>
      <c r="F4" s="8" t="s">
        <v>22</v>
      </c>
      <c r="G4" s="101" t="s">
        <v>22</v>
      </c>
      <c r="H4" s="8" t="s">
        <v>22</v>
      </c>
      <c r="I4" s="101" t="s">
        <v>22</v>
      </c>
      <c r="J4" s="8" t="s">
        <v>22</v>
      </c>
      <c r="K4" s="101" t="s">
        <v>22</v>
      </c>
      <c r="L4" s="8" t="s">
        <v>22</v>
      </c>
      <c r="M4" s="101" t="s">
        <v>22</v>
      </c>
      <c r="N4" s="8" t="s">
        <v>22</v>
      </c>
      <c r="O4" s="101" t="s">
        <v>22</v>
      </c>
      <c r="P4" s="8" t="s">
        <v>22</v>
      </c>
      <c r="Q4" s="101" t="s">
        <v>22</v>
      </c>
      <c r="R4" s="8" t="s">
        <v>22</v>
      </c>
      <c r="S4" s="101" t="s">
        <v>22</v>
      </c>
      <c r="T4" s="8" t="s">
        <v>22</v>
      </c>
      <c r="U4" s="101" t="s">
        <v>22</v>
      </c>
      <c r="V4" s="8" t="s">
        <v>22</v>
      </c>
      <c r="W4" s="101" t="s">
        <v>22</v>
      </c>
      <c r="X4" s="8" t="s">
        <v>22</v>
      </c>
      <c r="Y4" s="101" t="s">
        <v>22</v>
      </c>
      <c r="Z4" s="8" t="s">
        <v>22</v>
      </c>
      <c r="AA4" s="101" t="s">
        <v>22</v>
      </c>
      <c r="AB4" s="8" t="s">
        <v>22</v>
      </c>
      <c r="AC4" s="101" t="s">
        <v>22</v>
      </c>
      <c r="AD4" s="9" t="s">
        <v>22</v>
      </c>
      <c r="AE4" s="9" t="s">
        <v>22</v>
      </c>
      <c r="AF4" s="8" t="s">
        <v>22</v>
      </c>
      <c r="AG4" s="9" t="s">
        <v>22</v>
      </c>
      <c r="AH4" s="8" t="s">
        <v>22</v>
      </c>
      <c r="AI4" s="101" t="s">
        <v>22</v>
      </c>
      <c r="AJ4" s="9" t="s">
        <v>22</v>
      </c>
      <c r="AK4" s="9" t="s">
        <v>22</v>
      </c>
      <c r="AL4" s="8" t="s">
        <v>22</v>
      </c>
      <c r="AM4" s="101" t="s">
        <v>22</v>
      </c>
      <c r="AN4" s="8" t="s">
        <v>22</v>
      </c>
      <c r="AO4" s="101" t="s">
        <v>22</v>
      </c>
      <c r="AP4" s="8" t="s">
        <v>22</v>
      </c>
      <c r="AQ4" s="101" t="s">
        <v>22</v>
      </c>
      <c r="AR4" s="8" t="s">
        <v>22</v>
      </c>
      <c r="AS4" s="101" t="s">
        <v>22</v>
      </c>
      <c r="AT4" s="8" t="s">
        <v>22</v>
      </c>
      <c r="AU4" s="101" t="s">
        <v>22</v>
      </c>
      <c r="AV4" s="9" t="s">
        <v>22</v>
      </c>
      <c r="AW4" s="9" t="s">
        <v>22</v>
      </c>
      <c r="AX4" s="8" t="s">
        <v>22</v>
      </c>
      <c r="AY4" s="101" t="s">
        <v>22</v>
      </c>
      <c r="AZ4" s="8" t="s">
        <v>22</v>
      </c>
      <c r="BA4" s="101" t="s">
        <v>22</v>
      </c>
      <c r="BB4" s="9" t="s">
        <v>22</v>
      </c>
      <c r="BC4" s="9" t="s">
        <v>22</v>
      </c>
      <c r="BD4" s="8" t="s">
        <v>22</v>
      </c>
      <c r="BE4" s="101" t="s">
        <v>22</v>
      </c>
      <c r="BF4" s="264">
        <v>41306</v>
      </c>
      <c r="BG4" s="265" t="str">
        <f>CHOOSE(WEEKDAY(BF4,2),"Monday","Tuesday","Wednesday","Thursday","Friday","Saturday","Sunday")</f>
        <v>Friday</v>
      </c>
      <c r="BH4" s="8" t="s">
        <v>22</v>
      </c>
      <c r="BI4" s="101" t="s">
        <v>22</v>
      </c>
      <c r="BJ4" s="8" t="s">
        <v>22</v>
      </c>
      <c r="BK4" s="101" t="s">
        <v>22</v>
      </c>
      <c r="BL4" s="9" t="s">
        <v>22</v>
      </c>
      <c r="BM4" s="9" t="s">
        <v>22</v>
      </c>
      <c r="BN4" s="8" t="s">
        <v>22</v>
      </c>
      <c r="BO4" s="101" t="s">
        <v>22</v>
      </c>
      <c r="BP4" s="8" t="s">
        <v>22</v>
      </c>
      <c r="BQ4" s="101" t="s">
        <v>22</v>
      </c>
      <c r="BR4" s="8" t="s">
        <v>22</v>
      </c>
      <c r="BS4" s="101" t="s">
        <v>22</v>
      </c>
      <c r="BT4" s="9" t="s">
        <v>22</v>
      </c>
      <c r="BU4" s="9" t="s">
        <v>22</v>
      </c>
      <c r="BV4" s="8" t="s">
        <v>22</v>
      </c>
      <c r="BW4" s="101" t="s">
        <v>22</v>
      </c>
      <c r="BX4" s="9" t="s">
        <v>22</v>
      </c>
      <c r="BY4" s="9" t="s">
        <v>22</v>
      </c>
      <c r="BZ4" s="8" t="s">
        <v>22</v>
      </c>
      <c r="CA4" s="101" t="s">
        <v>22</v>
      </c>
      <c r="CB4" s="8" t="s">
        <v>22</v>
      </c>
      <c r="CC4" s="101" t="s">
        <v>22</v>
      </c>
      <c r="CD4" s="8" t="s">
        <v>22</v>
      </c>
      <c r="CE4" s="101" t="s">
        <v>22</v>
      </c>
      <c r="CF4" s="8" t="s">
        <v>22</v>
      </c>
      <c r="CG4" s="101" t="s">
        <v>22</v>
      </c>
      <c r="CH4" s="8" t="s">
        <v>22</v>
      </c>
      <c r="CI4" s="101" t="s">
        <v>22</v>
      </c>
      <c r="CJ4" s="8" t="s">
        <v>22</v>
      </c>
      <c r="CK4" s="101" t="s">
        <v>22</v>
      </c>
      <c r="CL4" s="9" t="s">
        <v>22</v>
      </c>
      <c r="CM4" s="9" t="s">
        <v>22</v>
      </c>
      <c r="CN4" s="264">
        <v>41319</v>
      </c>
      <c r="CO4" s="266" t="str">
        <f t="shared" ref="CO4:CO5" si="2">CHOOSE(WEEKDAY(CN4,2),"Monday","Tuesday","Wednesday","Thursday","Friday","Saturday","Sunday")</f>
        <v>Thursday</v>
      </c>
      <c r="CP4" s="8" t="s">
        <v>22</v>
      </c>
      <c r="CQ4" s="101" t="s">
        <v>22</v>
      </c>
      <c r="CR4" s="8" t="s">
        <v>22</v>
      </c>
      <c r="CS4" s="101" t="s">
        <v>22</v>
      </c>
      <c r="CT4" s="9" t="s">
        <v>22</v>
      </c>
      <c r="CU4" s="9" t="s">
        <v>22</v>
      </c>
      <c r="CV4" s="8" t="s">
        <v>22</v>
      </c>
      <c r="CW4" s="101" t="s">
        <v>22</v>
      </c>
      <c r="CX4" s="8" t="s">
        <v>22</v>
      </c>
      <c r="CY4" s="101" t="s">
        <v>22</v>
      </c>
      <c r="CZ4" s="9" t="s">
        <v>22</v>
      </c>
      <c r="DA4" s="9" t="s">
        <v>22</v>
      </c>
      <c r="DB4" s="8" t="s">
        <v>22</v>
      </c>
      <c r="DC4" s="101" t="s">
        <v>22</v>
      </c>
      <c r="DD4" s="8" t="s">
        <v>22</v>
      </c>
      <c r="DE4" s="101" t="s">
        <v>22</v>
      </c>
      <c r="DF4" s="9" t="s">
        <v>22</v>
      </c>
      <c r="DG4" s="9" t="s">
        <v>22</v>
      </c>
      <c r="DH4" s="8" t="s">
        <v>22</v>
      </c>
      <c r="DI4" s="101" t="s">
        <v>22</v>
      </c>
      <c r="DJ4" s="8" t="s">
        <v>22</v>
      </c>
      <c r="DK4" s="101" t="s">
        <v>22</v>
      </c>
      <c r="DL4" s="8" t="s">
        <v>22</v>
      </c>
      <c r="DM4" s="101" t="s">
        <v>22</v>
      </c>
      <c r="DN4" s="9" t="s">
        <v>22</v>
      </c>
      <c r="DO4" s="9" t="s">
        <v>22</v>
      </c>
      <c r="DP4" s="8" t="s">
        <v>22</v>
      </c>
      <c r="DQ4" s="101" t="s">
        <v>22</v>
      </c>
      <c r="DR4" s="8" t="s">
        <v>22</v>
      </c>
      <c r="DS4" s="101" t="s">
        <v>22</v>
      </c>
      <c r="DT4" s="267">
        <v>41327</v>
      </c>
      <c r="DU4" s="157" t="str">
        <f>CHOOSE(WEEKDAY(DT4,2),"Monday","Tuesday","Wednesday","Thursday","Friday","Saturday","Sunday")</f>
        <v>Friday</v>
      </c>
      <c r="DV4" s="8" t="s">
        <v>22</v>
      </c>
      <c r="DW4" s="101" t="s">
        <v>22</v>
      </c>
      <c r="DX4" s="8" t="s">
        <v>22</v>
      </c>
      <c r="DY4" s="101" t="s">
        <v>22</v>
      </c>
      <c r="DZ4" s="9" t="s">
        <v>22</v>
      </c>
      <c r="EA4" s="9" t="s">
        <v>22</v>
      </c>
      <c r="EB4" s="8" t="s">
        <v>22</v>
      </c>
      <c r="EC4" s="101" t="s">
        <v>22</v>
      </c>
      <c r="ED4" s="9" t="s">
        <v>22</v>
      </c>
      <c r="EE4" s="9" t="s">
        <v>22</v>
      </c>
      <c r="EF4" s="8" t="s">
        <v>22</v>
      </c>
      <c r="EG4" s="101" t="s">
        <v>22</v>
      </c>
      <c r="EH4" s="8" t="s">
        <v>22</v>
      </c>
      <c r="EI4" s="101" t="s">
        <v>22</v>
      </c>
      <c r="EJ4" s="8" t="s">
        <v>22</v>
      </c>
      <c r="EK4" s="101" t="s">
        <v>22</v>
      </c>
      <c r="EL4" s="267">
        <v>41334</v>
      </c>
      <c r="EM4" s="157" t="str">
        <f>CHOOSE(WEEKDAY(EL4,2),"Monday","Tuesday","Wednesday","Thursday","Friday","Saturday","Sunday")</f>
        <v>Friday</v>
      </c>
      <c r="EN4" s="8" t="s">
        <v>22</v>
      </c>
      <c r="EO4" s="101" t="s">
        <v>22</v>
      </c>
      <c r="EP4" s="8" t="s">
        <v>22</v>
      </c>
      <c r="EQ4" s="101" t="s">
        <v>22</v>
      </c>
      <c r="ER4" s="8" t="s">
        <v>22</v>
      </c>
      <c r="ES4" s="101" t="s">
        <v>22</v>
      </c>
      <c r="ET4" s="9" t="s">
        <v>22</v>
      </c>
      <c r="EU4" s="9" t="s">
        <v>22</v>
      </c>
      <c r="EV4" s="8" t="s">
        <v>22</v>
      </c>
      <c r="EW4" s="101" t="s">
        <v>22</v>
      </c>
      <c r="EX4" s="8" t="s">
        <v>22</v>
      </c>
      <c r="EY4" s="101" t="s">
        <v>22</v>
      </c>
      <c r="EZ4" s="8" t="s">
        <v>22</v>
      </c>
      <c r="FA4" s="101" t="s">
        <v>22</v>
      </c>
      <c r="FB4" s="9" t="s">
        <v>22</v>
      </c>
      <c r="FC4" s="9" t="s">
        <v>22</v>
      </c>
      <c r="FD4" s="8" t="s">
        <v>22</v>
      </c>
      <c r="FE4" s="101" t="s">
        <v>22</v>
      </c>
      <c r="FF4" s="8" t="s">
        <v>22</v>
      </c>
      <c r="FG4" s="101" t="s">
        <v>22</v>
      </c>
      <c r="FH4" s="9" t="s">
        <v>22</v>
      </c>
      <c r="FI4" s="9" t="s">
        <v>22</v>
      </c>
      <c r="FJ4" s="8" t="s">
        <v>22</v>
      </c>
      <c r="FK4" s="101" t="s">
        <v>22</v>
      </c>
      <c r="FL4" s="8" t="s">
        <v>22</v>
      </c>
      <c r="FM4" s="101" t="s">
        <v>22</v>
      </c>
      <c r="FN4" s="8" t="s">
        <v>22</v>
      </c>
      <c r="FO4" s="101" t="s">
        <v>22</v>
      </c>
      <c r="FP4" s="9" t="s">
        <v>22</v>
      </c>
      <c r="FQ4" s="9" t="s">
        <v>22</v>
      </c>
      <c r="FR4" s="8" t="s">
        <v>22</v>
      </c>
      <c r="FS4" s="101" t="s">
        <v>22</v>
      </c>
      <c r="FT4" s="8" t="s">
        <v>22</v>
      </c>
      <c r="FU4" s="101" t="s">
        <v>22</v>
      </c>
      <c r="FV4" s="8" t="s">
        <v>22</v>
      </c>
      <c r="FW4" s="101" t="s">
        <v>22</v>
      </c>
      <c r="FX4" s="9" t="s">
        <v>22</v>
      </c>
      <c r="FY4" s="9" t="s">
        <v>22</v>
      </c>
      <c r="FZ4" s="8" t="s">
        <v>22</v>
      </c>
      <c r="GA4" s="101" t="s">
        <v>22</v>
      </c>
      <c r="GB4" s="8" t="s">
        <v>22</v>
      </c>
      <c r="GC4" s="101" t="s">
        <v>22</v>
      </c>
      <c r="GD4" s="9" t="s">
        <v>22</v>
      </c>
      <c r="GE4" s="9" t="s">
        <v>22</v>
      </c>
      <c r="GF4" s="8" t="s">
        <v>22</v>
      </c>
      <c r="GG4" s="101" t="s">
        <v>22</v>
      </c>
      <c r="GH4" s="267">
        <v>41354</v>
      </c>
      <c r="GI4" s="37" t="str">
        <f t="shared" ref="GI4:GI5" si="3">CHOOSE(WEEKDAY(GH4,2),"Monday","Tuesday","Wednesday","Thursday","Friday","Saturday","Sunday")</f>
        <v>Thursday</v>
      </c>
      <c r="GJ4" s="8" t="s">
        <v>22</v>
      </c>
      <c r="GK4" s="101" t="s">
        <v>22</v>
      </c>
      <c r="GL4" s="8" t="s">
        <v>22</v>
      </c>
      <c r="GM4" s="101" t="s">
        <v>22</v>
      </c>
      <c r="GN4" s="267">
        <v>41356</v>
      </c>
      <c r="GO4" s="268" t="str">
        <f>CHOOSE(WEEKDAY(GN4,2),"Monday","Tuesday","Wednesday","Thursday","Friday","Saturday","Sunday")</f>
        <v>Saturday</v>
      </c>
      <c r="GP4" s="8" t="s">
        <v>22</v>
      </c>
      <c r="GQ4" s="101" t="s">
        <v>22</v>
      </c>
      <c r="GR4" s="8" t="s">
        <v>22</v>
      </c>
      <c r="GS4" s="101" t="s">
        <v>22</v>
      </c>
      <c r="GT4" s="8" t="s">
        <v>22</v>
      </c>
      <c r="GU4" s="101" t="s">
        <v>22</v>
      </c>
      <c r="GV4" s="9" t="s">
        <v>22</v>
      </c>
      <c r="GW4" s="9" t="s">
        <v>22</v>
      </c>
      <c r="GX4" s="8" t="s">
        <v>22</v>
      </c>
      <c r="GY4" s="101" t="s">
        <v>22</v>
      </c>
      <c r="GZ4" s="8" t="s">
        <v>22</v>
      </c>
      <c r="HA4" s="101" t="s">
        <v>22</v>
      </c>
      <c r="HB4" s="8" t="s">
        <v>22</v>
      </c>
      <c r="HC4" s="101" t="s">
        <v>22</v>
      </c>
      <c r="HD4" s="8" t="s">
        <v>22</v>
      </c>
      <c r="HE4" s="101" t="s">
        <v>22</v>
      </c>
      <c r="HF4" s="8" t="s">
        <v>22</v>
      </c>
      <c r="HG4" s="101" t="s">
        <v>22</v>
      </c>
      <c r="HH4" s="9" t="s">
        <v>22</v>
      </c>
      <c r="HI4" s="9" t="s">
        <v>22</v>
      </c>
      <c r="HJ4" s="8" t="s">
        <v>22</v>
      </c>
      <c r="HK4" s="101" t="s">
        <v>22</v>
      </c>
      <c r="HL4" s="8" t="s">
        <v>22</v>
      </c>
      <c r="HM4" s="101" t="s">
        <v>22</v>
      </c>
      <c r="HN4" s="267">
        <v>41365</v>
      </c>
      <c r="HO4" s="47" t="str">
        <f t="shared" ref="HO4:HO5" si="4">CHOOSE(WEEKDAY(HN4,2),"Monday","Tuesday","Wednesday","Thursday","Friday","Saturday","Sunday")</f>
        <v>Monday</v>
      </c>
      <c r="HP4" s="8" t="s">
        <v>22</v>
      </c>
      <c r="HQ4" s="101" t="s">
        <v>22</v>
      </c>
      <c r="HR4" s="8" t="s">
        <v>22</v>
      </c>
      <c r="HS4" s="101" t="s">
        <v>22</v>
      </c>
      <c r="HT4" s="8" t="s">
        <v>22</v>
      </c>
      <c r="HU4" s="101" t="s">
        <v>22</v>
      </c>
      <c r="HV4" s="8" t="s">
        <v>22</v>
      </c>
      <c r="HW4" s="101" t="s">
        <v>22</v>
      </c>
      <c r="HX4" s="9" t="s">
        <v>22</v>
      </c>
      <c r="HY4" s="9" t="s">
        <v>22</v>
      </c>
      <c r="HZ4" s="8" t="s">
        <v>22</v>
      </c>
      <c r="IA4" s="101" t="s">
        <v>22</v>
      </c>
      <c r="IB4" s="8" t="s">
        <v>22</v>
      </c>
      <c r="IC4" s="101" t="s">
        <v>22</v>
      </c>
      <c r="ID4" s="8" t="s">
        <v>22</v>
      </c>
      <c r="IE4" s="101" t="s">
        <v>22</v>
      </c>
      <c r="IF4" s="9" t="s">
        <v>22</v>
      </c>
      <c r="IG4" s="9" t="s">
        <v>22</v>
      </c>
      <c r="IH4" s="8" t="s">
        <v>22</v>
      </c>
      <c r="II4" s="101" t="s">
        <v>22</v>
      </c>
      <c r="IJ4" s="8" t="s">
        <v>22</v>
      </c>
      <c r="IK4" s="101" t="s">
        <v>22</v>
      </c>
      <c r="IL4" s="8" t="s">
        <v>22</v>
      </c>
      <c r="IM4" s="101" t="s">
        <v>22</v>
      </c>
      <c r="IN4" s="8" t="s">
        <v>22</v>
      </c>
      <c r="IO4" s="101" t="s">
        <v>22</v>
      </c>
      <c r="IP4" s="9" t="s">
        <v>22</v>
      </c>
      <c r="IQ4" s="9" t="s">
        <v>22</v>
      </c>
      <c r="IR4" s="8" t="s">
        <v>22</v>
      </c>
      <c r="IS4" s="101" t="s">
        <v>22</v>
      </c>
      <c r="IT4" s="8" t="s">
        <v>22</v>
      </c>
      <c r="IU4" s="101" t="s">
        <v>22</v>
      </c>
      <c r="IV4" s="8" t="s">
        <v>22</v>
      </c>
      <c r="IW4" s="101" t="s">
        <v>22</v>
      </c>
      <c r="IX4" s="8" t="s">
        <v>22</v>
      </c>
      <c r="IY4" s="101" t="s">
        <v>22</v>
      </c>
      <c r="IZ4" s="8" t="s">
        <v>22</v>
      </c>
      <c r="JA4" s="101" t="s">
        <v>22</v>
      </c>
      <c r="JB4" s="8" t="s">
        <v>22</v>
      </c>
      <c r="JC4" s="101" t="s">
        <v>22</v>
      </c>
      <c r="JD4" s="8" t="s">
        <v>22</v>
      </c>
      <c r="JE4" s="101" t="s">
        <v>22</v>
      </c>
      <c r="JF4" s="267">
        <v>41384</v>
      </c>
      <c r="JG4" s="268" t="str">
        <f>CHOOSE(WEEKDAY(JF4,2),"Monday","Tuesday","Wednesday","Thursday","Friday","Saturday","Sunday")</f>
        <v>Saturday</v>
      </c>
      <c r="JH4" s="8" t="s">
        <v>22</v>
      </c>
      <c r="JI4" s="101" t="s">
        <v>22</v>
      </c>
      <c r="JJ4" s="8" t="s">
        <v>22</v>
      </c>
      <c r="JK4" s="101" t="s">
        <v>22</v>
      </c>
      <c r="JL4" s="8" t="s">
        <v>22</v>
      </c>
      <c r="JM4" s="101" t="s">
        <v>22</v>
      </c>
      <c r="JN4" s="8" t="s">
        <v>22</v>
      </c>
      <c r="JO4" s="101" t="s">
        <v>22</v>
      </c>
      <c r="JP4" s="9" t="s">
        <v>22</v>
      </c>
      <c r="JQ4" s="9" t="s">
        <v>22</v>
      </c>
      <c r="JR4" s="8" t="s">
        <v>22</v>
      </c>
      <c r="JS4" s="101" t="s">
        <v>22</v>
      </c>
      <c r="JT4" s="8" t="s">
        <v>22</v>
      </c>
      <c r="JU4" s="101" t="s">
        <v>22</v>
      </c>
      <c r="JV4" s="8" t="s">
        <v>22</v>
      </c>
      <c r="JW4" s="101" t="s">
        <v>22</v>
      </c>
      <c r="JX4" s="8" t="s">
        <v>22</v>
      </c>
      <c r="JY4" s="101" t="s">
        <v>22</v>
      </c>
      <c r="JZ4" s="8" t="s">
        <v>22</v>
      </c>
      <c r="KA4" s="101" t="s">
        <v>22</v>
      </c>
      <c r="KB4" s="8" t="s">
        <v>22</v>
      </c>
      <c r="KC4" s="101" t="s">
        <v>22</v>
      </c>
      <c r="KD4" s="9" t="s">
        <v>22</v>
      </c>
      <c r="KE4" s="9" t="s">
        <v>22</v>
      </c>
      <c r="KF4" s="264">
        <v>41395</v>
      </c>
      <c r="KG4" s="269" t="str">
        <f>CHOOSE(WEEKDAY(KF4,2),"Monday","Tuesday","Wednesday","Thursday","Friday","Saturday","Sunday")</f>
        <v>Wednesday</v>
      </c>
      <c r="KH4" s="9" t="s">
        <v>22</v>
      </c>
      <c r="KI4" s="9" t="s">
        <v>22</v>
      </c>
      <c r="KJ4" s="8" t="s">
        <v>22</v>
      </c>
      <c r="KK4" s="101" t="s">
        <v>22</v>
      </c>
      <c r="KL4" s="8" t="s">
        <v>22</v>
      </c>
      <c r="KM4" s="101" t="s">
        <v>22</v>
      </c>
      <c r="KN4" s="8" t="s">
        <v>22</v>
      </c>
      <c r="KO4" s="101" t="s">
        <v>22</v>
      </c>
      <c r="KP4" s="8" t="s">
        <v>22</v>
      </c>
      <c r="KQ4" s="101" t="s">
        <v>22</v>
      </c>
      <c r="KR4" s="8" t="s">
        <v>22</v>
      </c>
      <c r="KS4" s="101" t="s">
        <v>22</v>
      </c>
      <c r="KT4" s="8" t="s">
        <v>22</v>
      </c>
      <c r="KU4" s="101" t="s">
        <v>22</v>
      </c>
      <c r="KV4" s="8" t="s">
        <v>22</v>
      </c>
      <c r="KW4" s="101" t="s">
        <v>22</v>
      </c>
      <c r="KX4" s="8" t="s">
        <v>22</v>
      </c>
      <c r="KY4" s="101" t="s">
        <v>22</v>
      </c>
      <c r="KZ4" s="8" t="s">
        <v>22</v>
      </c>
      <c r="LA4" s="101" t="s">
        <v>22</v>
      </c>
      <c r="LB4" s="8" t="s">
        <v>22</v>
      </c>
      <c r="LC4" s="101" t="s">
        <v>22</v>
      </c>
      <c r="LD4" s="9" t="s">
        <v>22</v>
      </c>
      <c r="LE4" s="9" t="s">
        <v>22</v>
      </c>
      <c r="LF4" s="8" t="s">
        <v>22</v>
      </c>
      <c r="LG4" s="101" t="s">
        <v>22</v>
      </c>
      <c r="LH4" s="8" t="s">
        <v>22</v>
      </c>
      <c r="LI4" s="101" t="s">
        <v>22</v>
      </c>
      <c r="LJ4" s="9" t="s">
        <v>22</v>
      </c>
      <c r="LK4" s="9" t="s">
        <v>22</v>
      </c>
      <c r="LL4" s="264">
        <v>41402</v>
      </c>
      <c r="LM4" s="269" t="str">
        <f t="shared" si="0"/>
        <v>Wednesday</v>
      </c>
      <c r="LN4" s="9" t="s">
        <v>22</v>
      </c>
      <c r="LO4" s="9" t="s">
        <v>22</v>
      </c>
      <c r="LP4" s="8" t="s">
        <v>22</v>
      </c>
      <c r="LQ4" s="101" t="s">
        <v>22</v>
      </c>
      <c r="LR4" s="8" t="s">
        <v>22</v>
      </c>
      <c r="LS4" s="101" t="s">
        <v>22</v>
      </c>
      <c r="LT4" s="8" t="s">
        <v>22</v>
      </c>
      <c r="LU4" s="101" t="s">
        <v>22</v>
      </c>
      <c r="LV4" s="9" t="s">
        <v>22</v>
      </c>
      <c r="LW4" s="9" t="s">
        <v>22</v>
      </c>
      <c r="LX4" s="8" t="s">
        <v>22</v>
      </c>
      <c r="LY4" s="101" t="s">
        <v>22</v>
      </c>
      <c r="LZ4" s="9" t="s">
        <v>22</v>
      </c>
      <c r="MA4" s="9" t="s">
        <v>22</v>
      </c>
      <c r="MB4" s="8" t="s">
        <v>22</v>
      </c>
      <c r="MC4" s="101" t="s">
        <v>22</v>
      </c>
      <c r="MD4" s="8" t="s">
        <v>22</v>
      </c>
      <c r="ME4" s="101" t="s">
        <v>22</v>
      </c>
      <c r="MF4" s="8" t="s">
        <v>22</v>
      </c>
      <c r="MG4" s="101" t="s">
        <v>22</v>
      </c>
      <c r="MH4" s="8" t="s">
        <v>22</v>
      </c>
      <c r="MI4" s="101" t="s">
        <v>22</v>
      </c>
      <c r="MJ4" s="8" t="s">
        <v>22</v>
      </c>
      <c r="MK4" s="101" t="s">
        <v>22</v>
      </c>
      <c r="ML4" s="9" t="s">
        <v>22</v>
      </c>
      <c r="MM4" s="9" t="s">
        <v>22</v>
      </c>
      <c r="MN4" s="8" t="s">
        <v>22</v>
      </c>
      <c r="MO4" s="101" t="s">
        <v>22</v>
      </c>
      <c r="MP4" s="8" t="s">
        <v>22</v>
      </c>
      <c r="MQ4" s="101" t="s">
        <v>22</v>
      </c>
      <c r="MR4" s="8" t="s">
        <v>22</v>
      </c>
      <c r="MS4" s="101" t="s">
        <v>22</v>
      </c>
      <c r="MT4" s="8" t="s">
        <v>22</v>
      </c>
      <c r="MU4" s="101" t="s">
        <v>22</v>
      </c>
      <c r="MV4" s="267">
        <v>41420</v>
      </c>
      <c r="MW4" s="9" t="str">
        <f>CHOOSE(WEEKDAY(MV4,2),"Monday","Tuesday","Wednesday","Thursday","Friday","Saturday","Sunday")</f>
        <v>Sunday</v>
      </c>
      <c r="MX4" s="8" t="s">
        <v>22</v>
      </c>
      <c r="MY4" s="101" t="s">
        <v>22</v>
      </c>
      <c r="MZ4" s="8" t="s">
        <v>22</v>
      </c>
      <c r="NA4" s="101" t="s">
        <v>22</v>
      </c>
      <c r="NB4" s="8" t="s">
        <v>22</v>
      </c>
      <c r="NC4" s="101" t="s">
        <v>22</v>
      </c>
      <c r="ND4" s="267">
        <v>41421</v>
      </c>
      <c r="NE4" s="47" t="str">
        <f t="shared" ref="NE4:NE5" si="5">CHOOSE(WEEKDAY(ND4,2),"Monday","Tuesday","Wednesday","Thursday","Friday","Saturday","Sunday")</f>
        <v>Monday</v>
      </c>
      <c r="NF4" s="8" t="s">
        <v>22</v>
      </c>
      <c r="NG4" s="101" t="s">
        <v>22</v>
      </c>
      <c r="NH4" s="8" t="s">
        <v>22</v>
      </c>
      <c r="NI4" s="101" t="s">
        <v>22</v>
      </c>
      <c r="NJ4" s="8" t="s">
        <v>22</v>
      </c>
      <c r="NK4" s="101" t="s">
        <v>22</v>
      </c>
      <c r="NL4" s="9" t="s">
        <v>22</v>
      </c>
      <c r="NM4" s="9" t="s">
        <v>22</v>
      </c>
      <c r="NN4" s="8" t="s">
        <v>22</v>
      </c>
      <c r="NO4" s="101" t="s">
        <v>22</v>
      </c>
      <c r="NP4" s="8" t="s">
        <v>22</v>
      </c>
      <c r="NQ4" s="101" t="s">
        <v>22</v>
      </c>
      <c r="NR4" s="9" t="s">
        <v>22</v>
      </c>
      <c r="NS4" s="101" t="s">
        <v>22</v>
      </c>
      <c r="NT4" s="8" t="s">
        <v>22</v>
      </c>
      <c r="NU4" s="101" t="s">
        <v>22</v>
      </c>
      <c r="NV4" s="8" t="s">
        <v>22</v>
      </c>
      <c r="NW4" s="101" t="s">
        <v>22</v>
      </c>
      <c r="NX4" s="8" t="s">
        <v>22</v>
      </c>
      <c r="NY4" s="101" t="s">
        <v>22</v>
      </c>
      <c r="NZ4" s="264">
        <v>41430</v>
      </c>
      <c r="OA4" s="34" t="str">
        <f t="shared" ref="OA4:OA5" si="6">CHOOSE(WEEKDAY(NZ4,2),"Monday","Tuesday","Wednesday","Thursday","Friday","Saturday","Sunday")</f>
        <v>Wednesday</v>
      </c>
      <c r="OB4" s="8" t="s">
        <v>22</v>
      </c>
      <c r="OC4" s="101" t="s">
        <v>22</v>
      </c>
      <c r="OD4" s="264">
        <v>41431</v>
      </c>
      <c r="OE4" s="266" t="str">
        <f t="shared" ref="OE4:OE5" si="7">CHOOSE(WEEKDAY(OD4,2),"Monday","Tuesday","Wednesday","Thursday","Friday","Saturday","Sunday")</f>
        <v>Thursday</v>
      </c>
      <c r="OF4" s="267">
        <v>41433</v>
      </c>
      <c r="OG4" s="268" t="str">
        <f t="shared" ref="OG4:OG5" si="8">CHOOSE(WEEKDAY(OF4,2),"Monday","Tuesday","Wednesday","Thursday","Friday","Saturday","Sunday")</f>
        <v>Saturday</v>
      </c>
      <c r="OH4" s="8" t="s">
        <v>22</v>
      </c>
      <c r="OI4" s="101" t="s">
        <v>22</v>
      </c>
      <c r="OJ4" s="8" t="s">
        <v>22</v>
      </c>
      <c r="OK4" s="101" t="s">
        <v>22</v>
      </c>
      <c r="OL4" s="8" t="s">
        <v>22</v>
      </c>
      <c r="OM4" s="101" t="s">
        <v>22</v>
      </c>
      <c r="ON4" s="8" t="s">
        <v>22</v>
      </c>
      <c r="OO4" s="101" t="s">
        <v>22</v>
      </c>
      <c r="OP4" s="267">
        <v>41437</v>
      </c>
      <c r="OQ4" s="34" t="str">
        <f>CHOOSE(WEEKDAY(OP4,2),"Monday","Tuesday","Wednesday","Thursday","Friday","Saturday","Sunday")</f>
        <v>Wednesday</v>
      </c>
      <c r="OR4" s="8" t="s">
        <v>22</v>
      </c>
      <c r="OS4" s="101" t="s">
        <v>22</v>
      </c>
      <c r="OT4" s="8" t="s">
        <v>22</v>
      </c>
      <c r="OU4" s="101" t="s">
        <v>22</v>
      </c>
      <c r="OV4" s="9" t="s">
        <v>22</v>
      </c>
      <c r="OW4" s="9" t="s">
        <v>22</v>
      </c>
      <c r="OX4" s="8" t="s">
        <v>22</v>
      </c>
      <c r="OY4" s="101" t="s">
        <v>22</v>
      </c>
      <c r="OZ4" s="8" t="s">
        <v>22</v>
      </c>
      <c r="PA4" s="101" t="s">
        <v>22</v>
      </c>
      <c r="PB4" s="8" t="s">
        <v>22</v>
      </c>
      <c r="PC4" s="101" t="s">
        <v>22</v>
      </c>
      <c r="PD4" s="8" t="s">
        <v>22</v>
      </c>
      <c r="PE4" s="101" t="s">
        <v>22</v>
      </c>
      <c r="PF4" s="8" t="s">
        <v>22</v>
      </c>
      <c r="PG4" s="101" t="s">
        <v>22</v>
      </c>
      <c r="PH4" s="9" t="s">
        <v>22</v>
      </c>
      <c r="PI4" s="9" t="s">
        <v>22</v>
      </c>
      <c r="PJ4" s="8" t="s">
        <v>22</v>
      </c>
      <c r="PK4" s="101" t="s">
        <v>22</v>
      </c>
      <c r="PL4" s="9" t="s">
        <v>22</v>
      </c>
      <c r="PM4" s="9" t="s">
        <v>22</v>
      </c>
      <c r="PN4" s="8" t="s">
        <v>22</v>
      </c>
      <c r="PO4" s="101" t="s">
        <v>22</v>
      </c>
      <c r="PP4" s="8" t="s">
        <v>22</v>
      </c>
      <c r="PQ4" s="101" t="s">
        <v>22</v>
      </c>
      <c r="PR4" s="9" t="s">
        <v>22</v>
      </c>
      <c r="PS4" s="9" t="s">
        <v>22</v>
      </c>
      <c r="PT4" s="8" t="s">
        <v>22</v>
      </c>
      <c r="PU4" s="101" t="s">
        <v>22</v>
      </c>
      <c r="PV4" s="9" t="s">
        <v>22</v>
      </c>
      <c r="PW4" s="9" t="s">
        <v>22</v>
      </c>
      <c r="PX4" s="8" t="s">
        <v>22</v>
      </c>
      <c r="PY4" s="101" t="s">
        <v>22</v>
      </c>
      <c r="PZ4" s="8" t="s">
        <v>22</v>
      </c>
      <c r="QA4" s="101" t="s">
        <v>22</v>
      </c>
      <c r="QB4" s="8" t="s">
        <v>22</v>
      </c>
      <c r="QC4" s="101" t="s">
        <v>22</v>
      </c>
      <c r="QD4" s="8" t="s">
        <v>22</v>
      </c>
      <c r="QE4" s="101" t="s">
        <v>22</v>
      </c>
      <c r="QF4" s="264">
        <v>41451</v>
      </c>
      <c r="QG4" s="269" t="str">
        <f>CHOOSE(WEEKDAY(QF4,2),"Monday","Tuesday","Wednesday","Thursday","Friday","Saturday","Sunday")</f>
        <v>Wednesday</v>
      </c>
      <c r="QH4" s="9" t="s">
        <v>22</v>
      </c>
      <c r="QI4" s="9" t="s">
        <v>22</v>
      </c>
      <c r="QJ4" s="8" t="s">
        <v>22</v>
      </c>
      <c r="QK4" s="101" t="s">
        <v>22</v>
      </c>
      <c r="QL4" s="8" t="s">
        <v>22</v>
      </c>
      <c r="QM4" s="101" t="s">
        <v>22</v>
      </c>
      <c r="QN4" s="9" t="s">
        <v>22</v>
      </c>
      <c r="QO4" s="9" t="s">
        <v>22</v>
      </c>
      <c r="QP4" s="8" t="s">
        <v>22</v>
      </c>
      <c r="QQ4" s="101" t="s">
        <v>22</v>
      </c>
      <c r="QR4" s="8" t="s">
        <v>22</v>
      </c>
      <c r="QS4" s="101" t="s">
        <v>22</v>
      </c>
      <c r="QT4" s="8" t="s">
        <v>22</v>
      </c>
      <c r="QU4" s="101" t="s">
        <v>22</v>
      </c>
      <c r="QV4" s="9" t="s">
        <v>22</v>
      </c>
      <c r="QW4" s="101" t="s">
        <v>22</v>
      </c>
      <c r="QX4" s="9" t="s">
        <v>22</v>
      </c>
      <c r="QY4" s="101" t="s">
        <v>22</v>
      </c>
      <c r="QZ4" s="8" t="s">
        <v>22</v>
      </c>
      <c r="RA4" s="101" t="s">
        <v>22</v>
      </c>
      <c r="RB4" s="8" t="s">
        <v>22</v>
      </c>
      <c r="RC4" s="101" t="s">
        <v>22</v>
      </c>
      <c r="RD4" s="8" t="s">
        <v>22</v>
      </c>
      <c r="RE4" s="101" t="s">
        <v>22</v>
      </c>
      <c r="RF4" s="8" t="s">
        <v>22</v>
      </c>
      <c r="RG4" s="101" t="s">
        <v>22</v>
      </c>
      <c r="RH4" s="8" t="s">
        <v>22</v>
      </c>
      <c r="RI4" s="101" t="s">
        <v>22</v>
      </c>
      <c r="RJ4" s="264">
        <v>41459</v>
      </c>
      <c r="RK4" s="266" t="str">
        <f t="shared" ref="RK4:RK5" si="9">CHOOSE(WEEKDAY(RJ4,2),"Monday","Tuesday","Wednesday","Thursday","Friday","Saturday","Sunday")</f>
        <v>Thursday</v>
      </c>
      <c r="RL4" s="9" t="s">
        <v>22</v>
      </c>
      <c r="RM4" s="9" t="s">
        <v>22</v>
      </c>
      <c r="RN4" s="8" t="s">
        <v>22</v>
      </c>
      <c r="RO4" s="101" t="s">
        <v>22</v>
      </c>
      <c r="RP4" s="264">
        <v>41464</v>
      </c>
      <c r="RQ4" s="270" t="str">
        <f>CHOOSE(WEEKDAY(RP4,2),"Monday","Tuesday","Wednesday","Thursday","Friday","Saturday","Sunday")</f>
        <v>Tuesday</v>
      </c>
      <c r="RR4" s="8" t="s">
        <v>22</v>
      </c>
      <c r="RS4" s="101" t="s">
        <v>22</v>
      </c>
      <c r="RT4" s="8" t="s">
        <v>22</v>
      </c>
      <c r="RU4" s="101" t="s">
        <v>22</v>
      </c>
      <c r="RV4" s="9" t="s">
        <v>22</v>
      </c>
      <c r="RW4" s="9" t="s">
        <v>22</v>
      </c>
      <c r="RX4" s="8" t="s">
        <v>22</v>
      </c>
      <c r="RY4" s="101" t="s">
        <v>22</v>
      </c>
      <c r="RZ4" s="8" t="s">
        <v>22</v>
      </c>
      <c r="SA4" s="9" t="s">
        <v>22</v>
      </c>
      <c r="SB4" s="8" t="s">
        <v>22</v>
      </c>
      <c r="SC4" s="101" t="s">
        <v>22</v>
      </c>
      <c r="SD4" s="264">
        <v>41467</v>
      </c>
      <c r="SE4" s="265" t="str">
        <f t="shared" ref="SE4:SE5" si="10">CHOOSE(WEEKDAY(SD4,2),"Monday","Tuesday","Wednesday","Thursday","Friday","Saturday","Sunday")</f>
        <v>Friday</v>
      </c>
      <c r="SF4" s="8" t="s">
        <v>22</v>
      </c>
      <c r="SG4" s="101" t="s">
        <v>22</v>
      </c>
      <c r="SH4" s="8" t="s">
        <v>22</v>
      </c>
      <c r="SI4" s="101" t="s">
        <v>22</v>
      </c>
      <c r="SJ4" s="9" t="s">
        <v>22</v>
      </c>
      <c r="SK4" s="9" t="s">
        <v>22</v>
      </c>
      <c r="SL4" s="8" t="s">
        <v>22</v>
      </c>
      <c r="SM4" s="101" t="s">
        <v>22</v>
      </c>
      <c r="SN4" s="8" t="s">
        <v>22</v>
      </c>
      <c r="SO4" s="101" t="s">
        <v>22</v>
      </c>
      <c r="SP4" s="9" t="s">
        <v>22</v>
      </c>
      <c r="SQ4" s="9" t="s">
        <v>22</v>
      </c>
      <c r="SR4" s="8" t="s">
        <v>22</v>
      </c>
      <c r="SS4" s="101" t="s">
        <v>22</v>
      </c>
      <c r="ST4" s="267">
        <v>41473</v>
      </c>
      <c r="SU4" s="37" t="str">
        <f>CHOOSE(WEEKDAY(ST4,2),"Monday","Tuesday","Wednesday","Thursday","Friday","Saturday","Sunday")</f>
        <v>Thursday</v>
      </c>
      <c r="SV4" s="264">
        <v>41474</v>
      </c>
      <c r="SW4" s="265" t="str">
        <f>CHOOSE(WEEKDAY(SV4,2),"Monday","Tuesday","Wednesday","Thursday","Friday","Saturday","Sunday")</f>
        <v>Friday</v>
      </c>
      <c r="SX4" s="8" t="s">
        <v>22</v>
      </c>
      <c r="SY4" s="101" t="s">
        <v>22</v>
      </c>
      <c r="SZ4" s="8" t="s">
        <v>22</v>
      </c>
      <c r="TA4" s="101" t="s">
        <v>22</v>
      </c>
      <c r="TB4" s="8" t="s">
        <v>22</v>
      </c>
      <c r="TC4" s="101" t="s">
        <v>22</v>
      </c>
      <c r="TD4" s="9" t="s">
        <v>22</v>
      </c>
      <c r="TE4" s="9" t="s">
        <v>22</v>
      </c>
      <c r="TF4" s="8" t="s">
        <v>22</v>
      </c>
      <c r="TG4" s="101" t="s">
        <v>22</v>
      </c>
      <c r="TH4" s="8" t="s">
        <v>22</v>
      </c>
      <c r="TI4" s="101" t="s">
        <v>22</v>
      </c>
      <c r="TJ4" s="9" t="s">
        <v>22</v>
      </c>
      <c r="TK4" s="9" t="s">
        <v>22</v>
      </c>
      <c r="TL4" s="8" t="s">
        <v>22</v>
      </c>
      <c r="TM4" s="101" t="s">
        <v>22</v>
      </c>
      <c r="TN4" s="8" t="s">
        <v>22</v>
      </c>
      <c r="TO4" s="101" t="s">
        <v>22</v>
      </c>
      <c r="TP4" s="8" t="s">
        <v>22</v>
      </c>
      <c r="TQ4" s="101" t="s">
        <v>22</v>
      </c>
      <c r="TR4" s="8" t="s">
        <v>22</v>
      </c>
      <c r="TS4" s="101" t="s">
        <v>22</v>
      </c>
      <c r="TT4" s="8" t="s">
        <v>22</v>
      </c>
      <c r="TU4" s="101" t="s">
        <v>22</v>
      </c>
      <c r="TV4" s="8" t="s">
        <v>22</v>
      </c>
      <c r="TW4" s="101" t="s">
        <v>22</v>
      </c>
      <c r="TX4" s="8" t="s">
        <v>22</v>
      </c>
      <c r="TY4" s="101" t="s">
        <v>22</v>
      </c>
      <c r="TZ4" s="9" t="s">
        <v>22</v>
      </c>
      <c r="UA4" s="9" t="s">
        <v>22</v>
      </c>
      <c r="UB4" s="8" t="s">
        <v>22</v>
      </c>
      <c r="UC4" s="101" t="s">
        <v>22</v>
      </c>
      <c r="UD4" s="8" t="s">
        <v>22</v>
      </c>
      <c r="UE4" s="101" t="s">
        <v>22</v>
      </c>
      <c r="UF4" s="264">
        <v>41491</v>
      </c>
      <c r="UG4" s="271" t="str">
        <f t="shared" ref="UG4:UG5" si="11">CHOOSE(WEEKDAY(UF4,2),"Monday","Tuesday","Wednesday","Thursday","Friday","Saturday","Sunday")</f>
        <v>Monday</v>
      </c>
      <c r="UH4" s="9" t="s">
        <v>22</v>
      </c>
      <c r="UI4" s="9" t="s">
        <v>22</v>
      </c>
      <c r="UJ4" s="8" t="s">
        <v>22</v>
      </c>
      <c r="UK4" s="101" t="s">
        <v>22</v>
      </c>
      <c r="UL4" s="8" t="s">
        <v>22</v>
      </c>
      <c r="UM4" s="101" t="s">
        <v>22</v>
      </c>
      <c r="UN4" s="264">
        <v>41498</v>
      </c>
      <c r="UO4" s="271" t="str">
        <f t="shared" ref="UO4:UO5" si="12">CHOOSE(WEEKDAY(UN4,2),"Monday","Tuesday","Wednesday","Thursday","Friday","Saturday","Sunday")</f>
        <v>Monday</v>
      </c>
      <c r="UP4" s="8" t="s">
        <v>22</v>
      </c>
      <c r="UQ4" s="101" t="s">
        <v>22</v>
      </c>
      <c r="UR4" s="267">
        <v>41499</v>
      </c>
      <c r="US4" s="25" t="str">
        <f>CHOOSE(WEEKDAY(UR4,2),"Monday","Tuesday","Wednesday","Thursday","Friday","Saturday","Sunday")</f>
        <v>Tuesday</v>
      </c>
      <c r="UT4" s="8" t="s">
        <v>22</v>
      </c>
      <c r="UU4" s="101" t="s">
        <v>22</v>
      </c>
      <c r="UV4" s="8" t="s">
        <v>22</v>
      </c>
      <c r="UW4" s="101" t="s">
        <v>22</v>
      </c>
      <c r="UX4" s="8" t="s">
        <v>22</v>
      </c>
      <c r="UY4" s="101" t="s">
        <v>22</v>
      </c>
      <c r="UZ4" s="9" t="s">
        <v>22</v>
      </c>
      <c r="VA4" s="9" t="s">
        <v>22</v>
      </c>
      <c r="VB4" s="8" t="s">
        <v>22</v>
      </c>
      <c r="VC4" s="101" t="s">
        <v>22</v>
      </c>
      <c r="VD4" s="8" t="s">
        <v>22</v>
      </c>
      <c r="VE4" s="101" t="s">
        <v>22</v>
      </c>
      <c r="VF4" s="8" t="s">
        <v>22</v>
      </c>
      <c r="VG4" s="101" t="s">
        <v>22</v>
      </c>
      <c r="VH4" s="9" t="s">
        <v>22</v>
      </c>
      <c r="VI4" s="9" t="s">
        <v>22</v>
      </c>
      <c r="VJ4" s="8" t="s">
        <v>22</v>
      </c>
      <c r="VK4" s="101" t="s">
        <v>22</v>
      </c>
      <c r="VL4" s="8" t="s">
        <v>22</v>
      </c>
      <c r="VM4" s="101" t="s">
        <v>22</v>
      </c>
      <c r="VN4" s="9" t="s">
        <v>22</v>
      </c>
      <c r="VO4" s="9" t="s">
        <v>22</v>
      </c>
      <c r="VP4" s="8" t="s">
        <v>22</v>
      </c>
      <c r="VQ4" s="101" t="s">
        <v>22</v>
      </c>
      <c r="VR4" s="8" t="s">
        <v>22</v>
      </c>
      <c r="VS4" s="101" t="s">
        <v>22</v>
      </c>
      <c r="VT4" s="8" t="s">
        <v>22</v>
      </c>
      <c r="VU4" s="101" t="s">
        <v>22</v>
      </c>
      <c r="VV4" s="8" t="s">
        <v>22</v>
      </c>
      <c r="VW4" s="101" t="s">
        <v>22</v>
      </c>
      <c r="VX4" s="8" t="s">
        <v>22</v>
      </c>
      <c r="VY4" s="101" t="s">
        <v>22</v>
      </c>
      <c r="VZ4" s="9" t="s">
        <v>22</v>
      </c>
      <c r="WA4" s="9" t="s">
        <v>22</v>
      </c>
      <c r="WB4" s="8" t="s">
        <v>22</v>
      </c>
      <c r="WC4" s="101" t="s">
        <v>22</v>
      </c>
      <c r="WD4" s="8" t="s">
        <v>22</v>
      </c>
      <c r="WE4" s="101" t="s">
        <v>22</v>
      </c>
      <c r="WF4" s="272" t="s">
        <v>22</v>
      </c>
      <c r="WG4" s="101" t="s">
        <v>22</v>
      </c>
      <c r="WH4" s="8" t="s">
        <v>22</v>
      </c>
      <c r="WI4" s="101" t="s">
        <v>22</v>
      </c>
      <c r="WJ4" s="8" t="s">
        <v>22</v>
      </c>
      <c r="WK4" s="101" t="s">
        <v>22</v>
      </c>
      <c r="WL4" s="267">
        <v>41519</v>
      </c>
      <c r="WM4" s="47" t="str">
        <f>CHOOSE(WEEKDAY(WL4,2),"Monday","Tuesday","Wednesday","Thursday","Friday","Saturday","Sunday")</f>
        <v>Monday</v>
      </c>
      <c r="WN4" s="8" t="s">
        <v>22</v>
      </c>
      <c r="WO4" s="101" t="s">
        <v>22</v>
      </c>
      <c r="WP4" s="9" t="s">
        <v>22</v>
      </c>
      <c r="WQ4" s="9" t="s">
        <v>22</v>
      </c>
      <c r="WR4" s="8" t="s">
        <v>22</v>
      </c>
      <c r="WS4" s="9" t="s">
        <v>22</v>
      </c>
      <c r="WT4" s="8" t="s">
        <v>22</v>
      </c>
      <c r="WU4" s="101" t="s">
        <v>22</v>
      </c>
      <c r="WV4" s="8" t="s">
        <v>22</v>
      </c>
      <c r="WW4" s="101" t="s">
        <v>22</v>
      </c>
      <c r="WX4" s="267">
        <v>41524</v>
      </c>
      <c r="WY4" s="268" t="str">
        <f>CHOOSE(WEEKDAY(WX4,2),"Monday","Tuesday","Wednesday","Thursday","Friday","Saturday","Sunday")</f>
        <v>Saturday</v>
      </c>
      <c r="WZ4" s="8" t="s">
        <v>22</v>
      </c>
      <c r="XA4" s="101" t="s">
        <v>22</v>
      </c>
      <c r="XB4" s="8" t="s">
        <v>22</v>
      </c>
      <c r="XC4" s="101" t="s">
        <v>22</v>
      </c>
      <c r="XD4" s="8" t="s">
        <v>22</v>
      </c>
      <c r="XE4" s="101" t="s">
        <v>22</v>
      </c>
      <c r="XF4" s="8" t="s">
        <v>22</v>
      </c>
      <c r="XG4" s="101" t="s">
        <v>22</v>
      </c>
      <c r="XH4" s="267">
        <v>41526</v>
      </c>
      <c r="XI4" s="47" t="str">
        <f>CHOOSE(WEEKDAY(XH4,2),"Monday","Tuesday","Wednesday","Thursday","Friday","Saturday","Sunday")</f>
        <v>Monday</v>
      </c>
      <c r="XJ4" s="264">
        <v>41527</v>
      </c>
      <c r="XK4" s="270" t="str">
        <f t="shared" ref="XK4:XK5" si="13">CHOOSE(WEEKDAY(XJ4,2),"Monday","Tuesday","Wednesday","Thursday","Friday","Saturday","Sunday")</f>
        <v>Tuesday</v>
      </c>
      <c r="XL4" s="9" t="s">
        <v>22</v>
      </c>
      <c r="XM4" s="34" t="str">
        <f>CHOOSE(WEEKDAY(XL5,2),"Monday","Tuesday","Wednesday","Thursday","Friday","Saturday","Sunday")</f>
        <v>Wednesday</v>
      </c>
      <c r="XN4" s="8" t="s">
        <v>22</v>
      </c>
      <c r="XO4" s="101" t="s">
        <v>22</v>
      </c>
      <c r="XP4" s="264">
        <v>41530</v>
      </c>
      <c r="XQ4" s="265" t="str">
        <f>CHOOSE(WEEKDAY(XP4,2),"Monday","Tuesday","Wednesday","Thursday","Friday","Saturday","Sunday")</f>
        <v>Friday</v>
      </c>
      <c r="XR4" s="9" t="s">
        <v>22</v>
      </c>
      <c r="XS4" s="9" t="s">
        <v>22</v>
      </c>
      <c r="XT4" s="8" t="s">
        <v>22</v>
      </c>
      <c r="XU4" s="101" t="s">
        <v>22</v>
      </c>
      <c r="XV4" s="264">
        <v>41532</v>
      </c>
      <c r="XW4" s="101" t="str">
        <f t="shared" ref="XW4:XW5" si="14">CHOOSE(WEEKDAY(XV4,2),"Monday","Tuesday","Wednesday","Thursday","Friday","Saturday","Sunday")</f>
        <v>Sunday</v>
      </c>
      <c r="XX4" s="8" t="s">
        <v>22</v>
      </c>
      <c r="XY4" s="101" t="s">
        <v>22</v>
      </c>
      <c r="XZ4" s="9" t="s">
        <v>22</v>
      </c>
      <c r="YA4" s="9" t="s">
        <v>22</v>
      </c>
      <c r="YB4" s="8" t="s">
        <v>22</v>
      </c>
      <c r="YC4" s="101" t="s">
        <v>22</v>
      </c>
      <c r="YD4" s="8" t="s">
        <v>22</v>
      </c>
      <c r="YE4" s="101" t="s">
        <v>22</v>
      </c>
      <c r="YF4" s="8" t="s">
        <v>22</v>
      </c>
      <c r="YG4" s="101" t="s">
        <v>22</v>
      </c>
      <c r="YH4" s="8" t="s">
        <v>22</v>
      </c>
      <c r="YI4" s="101" t="s">
        <v>22</v>
      </c>
      <c r="YJ4" s="267">
        <v>41537</v>
      </c>
      <c r="YK4" s="157" t="str">
        <f>CHOOSE(WEEKDAY(YJ4,2),"Monday","Tuesday","Wednesday","Thursday","Friday","Saturday","Sunday")</f>
        <v>Friday</v>
      </c>
      <c r="YL4" s="8" t="s">
        <v>22</v>
      </c>
      <c r="YM4" s="101" t="s">
        <v>22</v>
      </c>
      <c r="YN4" s="8" t="s">
        <v>22</v>
      </c>
      <c r="YO4" s="101" t="s">
        <v>22</v>
      </c>
      <c r="YP4" s="8" t="s">
        <v>22</v>
      </c>
      <c r="YQ4" s="101" t="s">
        <v>22</v>
      </c>
      <c r="YR4" s="8" t="s">
        <v>22</v>
      </c>
      <c r="YS4" s="101" t="s">
        <v>22</v>
      </c>
      <c r="YT4" s="9" t="s">
        <v>22</v>
      </c>
      <c r="YU4" s="9" t="s">
        <v>22</v>
      </c>
      <c r="YV4" s="8" t="s">
        <v>22</v>
      </c>
      <c r="YW4" s="101" t="s">
        <v>22</v>
      </c>
      <c r="YX4" s="264">
        <v>41541</v>
      </c>
      <c r="YY4" s="270" t="str">
        <f t="shared" ref="YY4:YY5" si="15">CHOOSE(WEEKDAY(YX4,2),"Monday","Tuesday","Wednesday","Thursday","Friday","Saturday","Sunday")</f>
        <v>Tuesday</v>
      </c>
      <c r="YZ4" s="9" t="s">
        <v>22</v>
      </c>
      <c r="ZA4" s="9" t="s">
        <v>22</v>
      </c>
      <c r="ZB4" s="8" t="s">
        <v>22</v>
      </c>
      <c r="ZC4" s="101" t="s">
        <v>22</v>
      </c>
      <c r="ZD4" s="267">
        <v>41543</v>
      </c>
      <c r="ZE4" s="37" t="str">
        <f>CHOOSE(WEEKDAY(ZD4,2),"Monday","Tuesday","Wednesday","Thursday","Friday","Saturday","Sunday")</f>
        <v>Thursday</v>
      </c>
      <c r="ZF4" s="8" t="s">
        <v>22</v>
      </c>
      <c r="ZG4" s="101" t="s">
        <v>22</v>
      </c>
      <c r="ZH4" s="8" t="s">
        <v>22</v>
      </c>
      <c r="ZI4" s="101" t="s">
        <v>22</v>
      </c>
      <c r="ZJ4" s="264">
        <v>41546</v>
      </c>
      <c r="ZK4" s="101" t="str">
        <f>CHOOSE(WEEKDAY(ZJ4,2),"Monday","Tuesday","Wednesday","Thursday","Friday","Saturday","Sunday")</f>
        <v>Sunday</v>
      </c>
      <c r="ZL4" s="267">
        <v>41548</v>
      </c>
      <c r="ZM4" s="25" t="str">
        <f t="shared" ref="ZM4:ZM5" si="16">CHOOSE(WEEKDAY(ZL4,2),"Monday","Tuesday","Wednesday","Thursday","Friday","Saturday","Sunday")</f>
        <v>Tuesday</v>
      </c>
      <c r="ZN4" s="8" t="s">
        <v>22</v>
      </c>
      <c r="ZO4" s="101" t="s">
        <v>22</v>
      </c>
      <c r="ZP4" s="8" t="s">
        <v>22</v>
      </c>
      <c r="ZQ4" s="101" t="s">
        <v>22</v>
      </c>
      <c r="ZR4" s="267">
        <v>41549</v>
      </c>
      <c r="ZS4" s="34" t="str">
        <f t="shared" ref="ZS4:ZS5" si="17">CHOOSE(WEEKDAY(ZR4,2),"Monday","Tuesday","Wednesday","Thursday","Friday","Saturday","Sunday")</f>
        <v>Wednesday</v>
      </c>
      <c r="ZT4" s="8" t="s">
        <v>22</v>
      </c>
      <c r="ZU4" s="101" t="s">
        <v>22</v>
      </c>
      <c r="ZV4" s="8" t="s">
        <v>22</v>
      </c>
      <c r="ZW4" s="101" t="s">
        <v>22</v>
      </c>
      <c r="ZX4" s="9" t="s">
        <v>22</v>
      </c>
      <c r="ZY4" s="9" t="s">
        <v>22</v>
      </c>
      <c r="ZZ4" s="8" t="s">
        <v>22</v>
      </c>
      <c r="AAA4" s="101" t="s">
        <v>22</v>
      </c>
      <c r="AAB4" s="8" t="s">
        <v>22</v>
      </c>
      <c r="AAC4" s="101" t="s">
        <v>22</v>
      </c>
      <c r="AAD4" s="8" t="s">
        <v>22</v>
      </c>
      <c r="AAE4" s="101" t="s">
        <v>22</v>
      </c>
      <c r="AAF4" s="8" t="s">
        <v>22</v>
      </c>
      <c r="AAG4" s="101" t="s">
        <v>22</v>
      </c>
      <c r="AAH4" s="9" t="s">
        <v>22</v>
      </c>
      <c r="AAI4" s="9" t="s">
        <v>22</v>
      </c>
      <c r="AAJ4" s="8" t="s">
        <v>22</v>
      </c>
      <c r="AAK4" s="101" t="s">
        <v>22</v>
      </c>
      <c r="AAL4" s="8" t="s">
        <v>22</v>
      </c>
      <c r="AAM4" s="101" t="s">
        <v>22</v>
      </c>
      <c r="AAN4" s="8" t="s">
        <v>22</v>
      </c>
      <c r="AAO4" s="101" t="s">
        <v>22</v>
      </c>
      <c r="AAP4" s="8" t="s">
        <v>22</v>
      </c>
      <c r="AAQ4" s="101" t="s">
        <v>22</v>
      </c>
      <c r="AAR4" s="8" t="s">
        <v>22</v>
      </c>
      <c r="AAS4" s="101" t="s">
        <v>22</v>
      </c>
      <c r="AAT4" s="267">
        <v>41562</v>
      </c>
      <c r="AAU4" s="25" t="str">
        <f>CHOOSE(WEEKDAY(AAT4,2),"Monday","Tuesday","Wednesday","Thursday","Friday","Saturday","Sunday")</f>
        <v>Tuesday</v>
      </c>
      <c r="AAV4" s="8" t="s">
        <v>22</v>
      </c>
      <c r="AAW4" s="101" t="s">
        <v>22</v>
      </c>
      <c r="AAX4" s="267">
        <v>41563</v>
      </c>
      <c r="AAY4" s="34" t="str">
        <f>CHOOSE(WEEKDAY(AAX4,2),"Monday","Tuesday","Wednesday","Thursday","Friday","Saturday","Sunday")</f>
        <v>Wednesday</v>
      </c>
      <c r="AAZ4" s="8" t="s">
        <v>22</v>
      </c>
      <c r="ABA4" s="101" t="s">
        <v>22</v>
      </c>
      <c r="ABB4" s="8" t="s">
        <v>22</v>
      </c>
      <c r="ABC4" s="101" t="s">
        <v>22</v>
      </c>
      <c r="ABD4" s="8" t="s">
        <v>22</v>
      </c>
      <c r="ABE4" s="101" t="s">
        <v>22</v>
      </c>
      <c r="ABF4" s="267">
        <v>41565</v>
      </c>
      <c r="ABG4" s="157" t="str">
        <f>CHOOSE(WEEKDAY(ABF4,2),"Monday","Tuesday","Wednesday","Thursday","Friday","Saturday","Sunday")</f>
        <v>Friday</v>
      </c>
      <c r="ABH4" s="8" t="s">
        <v>22</v>
      </c>
      <c r="ABI4" s="101" t="s">
        <v>22</v>
      </c>
      <c r="ABJ4" s="8" t="s">
        <v>22</v>
      </c>
      <c r="ABK4" s="101" t="s">
        <v>22</v>
      </c>
      <c r="ABL4" s="8" t="s">
        <v>22</v>
      </c>
      <c r="ABM4" s="101" t="s">
        <v>22</v>
      </c>
      <c r="ABN4" s="264">
        <v>41569</v>
      </c>
      <c r="ABO4" s="270" t="str">
        <f t="shared" ref="ABO4:ABO5" si="18">CHOOSE(WEEKDAY(ABN4,2),"Monday","Tuesday","Wednesday","Thursday","Friday","Saturday","Sunday")</f>
        <v>Tuesday</v>
      </c>
      <c r="ABP4" s="267">
        <v>41570</v>
      </c>
      <c r="ABQ4" s="34" t="str">
        <f>CHOOSE(WEEKDAY(ABP4,2),"Monday","Tuesday","Wednesday","Thursday","Friday","Saturday","Sunday")</f>
        <v>Wednesday</v>
      </c>
      <c r="ABR4" s="8" t="s">
        <v>22</v>
      </c>
      <c r="ABS4" s="101" t="s">
        <v>22</v>
      </c>
      <c r="ABT4" s="8" t="s">
        <v>22</v>
      </c>
      <c r="ABU4" s="101" t="s">
        <v>22</v>
      </c>
      <c r="ABV4" s="264">
        <v>41571</v>
      </c>
      <c r="ABW4" s="266" t="str">
        <f>CHOOSE(WEEKDAY(ABV4,2),"Monday","Tuesday","Wednesday","Thursday","Friday","Saturday","Sunday")</f>
        <v>Thursday</v>
      </c>
      <c r="ABX4" s="9" t="s">
        <v>22</v>
      </c>
      <c r="ABY4" s="9" t="s">
        <v>22</v>
      </c>
      <c r="ABZ4" s="8" t="s">
        <v>22</v>
      </c>
      <c r="ACA4" s="101" t="s">
        <v>22</v>
      </c>
      <c r="ACB4" s="8" t="s">
        <v>22</v>
      </c>
      <c r="ACC4" s="101" t="s">
        <v>22</v>
      </c>
      <c r="ACD4" s="8" t="s">
        <v>22</v>
      </c>
      <c r="ACE4" s="101" t="s">
        <v>22</v>
      </c>
      <c r="ACF4" s="8" t="s">
        <v>22</v>
      </c>
      <c r="ACG4" s="101" t="s">
        <v>22</v>
      </c>
      <c r="ACH4" s="8" t="s">
        <v>22</v>
      </c>
      <c r="ACI4" s="101" t="s">
        <v>22</v>
      </c>
      <c r="ACJ4" s="267">
        <v>41576</v>
      </c>
      <c r="ACK4" s="25" t="str">
        <f>CHOOSE(WEEKDAY(ACJ4,2),"Monday","Tuesday","Wednesday","Thursday","Friday","Saturday","Sunday")</f>
        <v>Tuesday</v>
      </c>
      <c r="ACL4" s="264">
        <v>41577</v>
      </c>
      <c r="ACM4" s="269" t="str">
        <f t="shared" ref="ACM4:ACM6" si="19">CHOOSE(WEEKDAY(ACL4,2),"Monday","Tuesday","Wednesday","Thursday","Friday","Saturday","Sunday")</f>
        <v>Wednesday</v>
      </c>
      <c r="ACN4" s="267">
        <v>41578</v>
      </c>
      <c r="ACO4" s="37" t="str">
        <f t="shared" ref="ACO4:ACO5" si="20">CHOOSE(WEEKDAY(ACN4,2),"Monday","Tuesday","Wednesday","Thursday","Friday","Saturday","Sunday")</f>
        <v>Thursday</v>
      </c>
      <c r="ACP4" s="8" t="s">
        <v>22</v>
      </c>
      <c r="ACQ4" s="101" t="s">
        <v>22</v>
      </c>
      <c r="ACR4" s="8" t="s">
        <v>22</v>
      </c>
      <c r="ACS4" s="101" t="s">
        <v>22</v>
      </c>
      <c r="ACT4" s="273">
        <v>41583</v>
      </c>
      <c r="ACU4" s="270" t="str">
        <f t="shared" ref="ACU4:ACU6" si="21">CHOOSE(WEEKDAY(ACT4,2),"Monday","Tuesday","Wednesday","Thursday","Friday","Saturday","Sunday")</f>
        <v>Tuesday</v>
      </c>
      <c r="ACV4" s="8" t="s">
        <v>22</v>
      </c>
      <c r="ACW4" s="101" t="s">
        <v>22</v>
      </c>
      <c r="ACX4" s="267">
        <v>41584</v>
      </c>
      <c r="ACY4" s="34" t="str">
        <f t="shared" ref="ACY4:ACY5" si="22">CHOOSE(WEEKDAY(ACX4,2),"Monday","Tuesday","Wednesday","Thursday","Friday","Saturday","Sunday")</f>
        <v>Wednesday</v>
      </c>
      <c r="ACZ4" s="8" t="s">
        <v>22</v>
      </c>
      <c r="ADA4" s="101" t="s">
        <v>22</v>
      </c>
      <c r="ADB4" s="8" t="s">
        <v>22</v>
      </c>
      <c r="ADC4" s="101" t="s">
        <v>22</v>
      </c>
      <c r="ADD4" s="8" t="s">
        <v>22</v>
      </c>
      <c r="ADE4" s="101" t="s">
        <v>22</v>
      </c>
      <c r="ADF4" s="8" t="s">
        <v>22</v>
      </c>
      <c r="ADG4" s="101" t="s">
        <v>22</v>
      </c>
      <c r="ADH4" s="8" t="s">
        <v>22</v>
      </c>
      <c r="ADI4" s="101" t="s">
        <v>22</v>
      </c>
      <c r="ADJ4" s="264">
        <v>41589</v>
      </c>
      <c r="ADK4" s="271" t="str">
        <f t="shared" ref="ADK4:ADK5" si="23">CHOOSE(WEEKDAY(ADJ4,2),"Monday","Tuesday","Wednesday","Thursday","Friday","Saturday","Sunday")</f>
        <v>Monday</v>
      </c>
      <c r="ADL4" s="9" t="s">
        <v>22</v>
      </c>
      <c r="ADM4" s="101" t="s">
        <v>22</v>
      </c>
      <c r="ADN4" s="9" t="s">
        <v>22</v>
      </c>
      <c r="ADO4" s="101" t="s">
        <v>22</v>
      </c>
      <c r="ADP4" s="8" t="s">
        <v>22</v>
      </c>
      <c r="ADQ4" s="101" t="s">
        <v>22</v>
      </c>
      <c r="ADR4" s="9" t="s">
        <v>22</v>
      </c>
      <c r="ADS4" s="101" t="s">
        <v>22</v>
      </c>
      <c r="ADT4" s="264">
        <v>41593</v>
      </c>
      <c r="ADU4" s="265" t="str">
        <f t="shared" ref="ADU4:ADU5" si="24">CHOOSE(WEEKDAY(ADT4,2),"Monday","Tuesday","Wednesday","Thursday","Friday","Saturday","Sunday")</f>
        <v>Friday</v>
      </c>
      <c r="ADV4" s="9" t="s">
        <v>22</v>
      </c>
      <c r="ADW4" s="9" t="s">
        <v>22</v>
      </c>
      <c r="ADX4" s="8" t="s">
        <v>22</v>
      </c>
      <c r="ADY4" s="101" t="s">
        <v>22</v>
      </c>
      <c r="ADZ4" s="8" t="s">
        <v>22</v>
      </c>
      <c r="AEA4" s="101" t="s">
        <v>22</v>
      </c>
      <c r="AEB4" s="264">
        <v>41597</v>
      </c>
      <c r="AEC4" s="270" t="str">
        <f t="shared" si="1"/>
        <v>Tuesday</v>
      </c>
      <c r="AED4" s="9" t="s">
        <v>22</v>
      </c>
      <c r="AEE4" s="9" t="s">
        <v>22</v>
      </c>
      <c r="AEF4" s="8" t="s">
        <v>22</v>
      </c>
      <c r="AEG4" s="101" t="s">
        <v>22</v>
      </c>
      <c r="AEH4" s="8" t="s">
        <v>22</v>
      </c>
      <c r="AEI4" s="9" t="s">
        <v>22</v>
      </c>
      <c r="AEJ4" s="8" t="s">
        <v>22</v>
      </c>
      <c r="AEK4" s="101" t="s">
        <v>22</v>
      </c>
      <c r="AEL4" s="8" t="s">
        <v>22</v>
      </c>
      <c r="AEM4" s="101" t="s">
        <v>22</v>
      </c>
      <c r="AEN4" s="8" t="s">
        <v>22</v>
      </c>
      <c r="AEO4" s="101" t="s">
        <v>22</v>
      </c>
      <c r="AEP4" s="8" t="s">
        <v>22</v>
      </c>
      <c r="AEQ4" s="101" t="s">
        <v>22</v>
      </c>
      <c r="AER4" s="267">
        <v>41606</v>
      </c>
      <c r="AES4" s="37" t="str">
        <f t="shared" ref="AES4:AES5" si="25">CHOOSE(WEEKDAY(AER4,2),"Monday","Tuesday","Wednesday","Thursday","Friday","Saturday","Sunday")</f>
        <v>Thursday</v>
      </c>
      <c r="AET4" s="8" t="s">
        <v>22</v>
      </c>
      <c r="AEU4" s="101" t="s">
        <v>22</v>
      </c>
      <c r="AEV4" s="9" t="s">
        <v>22</v>
      </c>
      <c r="AEW4" s="9" t="s">
        <v>22</v>
      </c>
      <c r="AEX4" s="8" t="s">
        <v>22</v>
      </c>
      <c r="AEY4" s="101" t="s">
        <v>22</v>
      </c>
      <c r="AEZ4" s="8" t="s">
        <v>22</v>
      </c>
      <c r="AFA4" s="101" t="s">
        <v>22</v>
      </c>
      <c r="AFB4" s="8" t="s">
        <v>22</v>
      </c>
      <c r="AFC4" s="101" t="s">
        <v>22</v>
      </c>
      <c r="AFD4" s="264">
        <v>41613</v>
      </c>
      <c r="AFE4" s="266" t="str">
        <f t="shared" ref="AFE4:AFE5" si="26">CHOOSE(WEEKDAY(AFD4,2),"Monday","Tuesday","Wednesday","Thursday","Friday","Saturday","Sunday")</f>
        <v>Thursday</v>
      </c>
      <c r="AFF4" s="9" t="s">
        <v>22</v>
      </c>
      <c r="AFG4" s="9" t="s">
        <v>22</v>
      </c>
      <c r="AFH4" s="8" t="s">
        <v>22</v>
      </c>
      <c r="AFI4" s="101" t="s">
        <v>22</v>
      </c>
      <c r="AFJ4" s="9" t="s">
        <v>22</v>
      </c>
      <c r="AFK4" s="9" t="s">
        <v>22</v>
      </c>
      <c r="AFL4" s="8" t="s">
        <v>22</v>
      </c>
      <c r="AFM4" s="101" t="s">
        <v>22</v>
      </c>
      <c r="AFN4" s="264">
        <v>41614</v>
      </c>
      <c r="AFO4" s="265" t="str">
        <f>CHOOSE(WEEKDAY(AFN4,2),"Monday","Tuesday","Wednesday","Thursday","Friday","Saturday","Sunday")</f>
        <v>Friday</v>
      </c>
      <c r="AFP4" s="8" t="s">
        <v>22</v>
      </c>
      <c r="AFQ4" s="101" t="s">
        <v>22</v>
      </c>
      <c r="AFR4" s="267">
        <v>41615</v>
      </c>
      <c r="AFS4" s="268" t="str">
        <f t="shared" ref="AFS4:AFS5" si="27">CHOOSE(WEEKDAY(AFR4,2),"Monday","Tuesday","Wednesday","Thursday","Friday","Saturday","Sunday")</f>
        <v>Saturday</v>
      </c>
      <c r="AFT4" s="8" t="s">
        <v>22</v>
      </c>
      <c r="AFU4" s="101" t="s">
        <v>22</v>
      </c>
      <c r="AFV4" s="267">
        <v>41616</v>
      </c>
      <c r="AFW4" s="9" t="str">
        <f>CHOOSE(WEEKDAY(AFV4,2),"Monday","Tuesday","Wednesday","Thursday","Friday","Saturday","Sunday")</f>
        <v>Sunday</v>
      </c>
      <c r="AFX4" s="8" t="s">
        <v>22</v>
      </c>
      <c r="AFY4" s="101" t="s">
        <v>22</v>
      </c>
      <c r="AFZ4" s="8" t="s">
        <v>22</v>
      </c>
      <c r="AGA4" s="101" t="s">
        <v>22</v>
      </c>
      <c r="AGB4" s="8" t="s">
        <v>22</v>
      </c>
      <c r="AGC4" s="101" t="s">
        <v>22</v>
      </c>
      <c r="AGD4" s="267">
        <v>41619</v>
      </c>
      <c r="AGE4" s="34" t="str">
        <f>CHOOSE(WEEKDAY(AGD4,2),"Monday","Tuesday","Wednesday","Thursday","Friday","Saturday","Sunday")</f>
        <v>Wednesday</v>
      </c>
      <c r="AGF4" s="8" t="s">
        <v>22</v>
      </c>
      <c r="AGG4" s="101" t="s">
        <v>22</v>
      </c>
      <c r="AGH4" s="8" t="s">
        <v>22</v>
      </c>
      <c r="AGI4" s="101" t="s">
        <v>22</v>
      </c>
      <c r="AGJ4" s="267">
        <v>41621</v>
      </c>
      <c r="AGK4" s="157" t="str">
        <f>CHOOSE(WEEKDAY(AGJ4,2),"Monday","Tuesday","Wednesday","Thursday","Friday","Saturday","Sunday")</f>
        <v>Friday</v>
      </c>
      <c r="AGL4" s="8" t="s">
        <v>22</v>
      </c>
      <c r="AGM4" s="101" t="s">
        <v>22</v>
      </c>
      <c r="AGN4" s="8" t="s">
        <v>22</v>
      </c>
      <c r="AGO4" s="101" t="s">
        <v>22</v>
      </c>
      <c r="AGP4" s="264">
        <v>41624</v>
      </c>
      <c r="AGQ4" s="271" t="str">
        <f t="shared" ref="AGQ4:AGQ5" si="28">CHOOSE(WEEKDAY(AGP4,2),"Monday","Tuesday","Wednesday","Thursday","Friday","Saturday","Sunday")</f>
        <v>Monday</v>
      </c>
      <c r="AGR4" s="264">
        <v>41625</v>
      </c>
      <c r="AGS4" s="270" t="str">
        <f>CHOOSE(WEEKDAY(AGR4,2),"Monday","Tuesday","Wednesday","Thursday","Friday","Saturday","Sunday")</f>
        <v>Tuesday</v>
      </c>
      <c r="AGT4" s="8" t="s">
        <v>22</v>
      </c>
      <c r="AGU4" s="101" t="s">
        <v>22</v>
      </c>
      <c r="AGV4" s="274" t="s">
        <v>22</v>
      </c>
      <c r="AGW4" s="101" t="s">
        <v>22</v>
      </c>
      <c r="AGX4" s="8" t="s">
        <v>22</v>
      </c>
      <c r="AGY4" s="101" t="s">
        <v>22</v>
      </c>
      <c r="AGZ4" s="8" t="s">
        <v>22</v>
      </c>
      <c r="AHA4" s="101" t="s">
        <v>22</v>
      </c>
      <c r="AHB4" s="8" t="s">
        <v>22</v>
      </c>
      <c r="AHC4" s="101" t="s">
        <v>22</v>
      </c>
      <c r="AHD4" s="8" t="s">
        <v>22</v>
      </c>
      <c r="AHE4" s="101" t="s">
        <v>22</v>
      </c>
      <c r="AHF4" s="8" t="s">
        <v>22</v>
      </c>
      <c r="AHG4" s="101" t="s">
        <v>22</v>
      </c>
      <c r="AHH4" s="264">
        <v>41632</v>
      </c>
      <c r="AHI4" s="25" t="str">
        <f t="shared" ref="AHI4:AHI5" si="29">CHOOSE(WEEKDAY(AHH4,2),"Monday","Tuesday","Wednesday","Thursday","Friday","Saturday","Sunday")</f>
        <v>Tuesday</v>
      </c>
      <c r="AHJ4" s="8" t="s">
        <v>22</v>
      </c>
      <c r="AHK4" s="101" t="s">
        <v>22</v>
      </c>
      <c r="AHL4" s="8" t="s">
        <v>22</v>
      </c>
      <c r="AHM4" s="101" t="s">
        <v>22</v>
      </c>
      <c r="AHN4" s="8" t="s">
        <v>22</v>
      </c>
      <c r="AHO4" s="101" t="s">
        <v>22</v>
      </c>
      <c r="AHP4" s="8" t="s">
        <v>22</v>
      </c>
      <c r="AHQ4" s="101" t="s">
        <v>22</v>
      </c>
      <c r="AHR4" s="8" t="s">
        <v>22</v>
      </c>
      <c r="AHS4" s="101" t="s">
        <v>22</v>
      </c>
      <c r="AHT4" s="264">
        <v>41638</v>
      </c>
      <c r="AHU4" s="47" t="str">
        <f>CHOOSE(WEEKDAY(AHT4,2),"Monday","Tuesday","Wednesday","Thursday","Friday","Saturday","Sunday")</f>
        <v>Monday</v>
      </c>
      <c r="AHV4" s="8" t="s">
        <v>22</v>
      </c>
      <c r="AHW4" s="101" t="s">
        <v>22</v>
      </c>
      <c r="AHX4" s="8" t="s">
        <v>22</v>
      </c>
      <c r="AHY4" s="101" t="s">
        <v>22</v>
      </c>
      <c r="AHZ4" s="264">
        <v>41639</v>
      </c>
      <c r="AIA4" s="270" t="str">
        <f t="shared" ref="AIA4:AIA5" si="30">CHOOSE(WEEKDAY(AHZ4,2),"Monday","Tuesday","Wednesday","Thursday","Friday","Saturday","Sunday")</f>
        <v>Tuesday</v>
      </c>
    </row>
    <row r="5" spans="1:911" ht="15.75" customHeight="1" x14ac:dyDescent="0.2">
      <c r="A5" s="473">
        <v>2014</v>
      </c>
      <c r="B5" s="476" t="s">
        <v>22</v>
      </c>
      <c r="C5" s="473" t="s">
        <v>22</v>
      </c>
      <c r="D5" s="476" t="s">
        <v>22</v>
      </c>
      <c r="E5" s="473" t="s">
        <v>22</v>
      </c>
      <c r="F5" s="480">
        <v>41643</v>
      </c>
      <c r="G5" s="492" t="str">
        <f>CHOOSE(WEEKDAY(F5,2),"Monday","Tuesday","Wednesday","Thursday","Friday","Saturday","Sunday")</f>
        <v>Saturday</v>
      </c>
      <c r="H5" s="476" t="s">
        <v>22</v>
      </c>
      <c r="I5" s="473" t="s">
        <v>22</v>
      </c>
      <c r="J5" s="476" t="s">
        <v>22</v>
      </c>
      <c r="K5" s="473" t="s">
        <v>22</v>
      </c>
      <c r="L5" s="476" t="s">
        <v>22</v>
      </c>
      <c r="M5" s="473" t="s">
        <v>22</v>
      </c>
      <c r="N5" s="476" t="s">
        <v>22</v>
      </c>
      <c r="O5" s="473" t="s">
        <v>22</v>
      </c>
      <c r="P5" s="476" t="s">
        <v>22</v>
      </c>
      <c r="Q5" s="473" t="s">
        <v>22</v>
      </c>
      <c r="R5" s="476" t="s">
        <v>22</v>
      </c>
      <c r="S5" s="473" t="s">
        <v>22</v>
      </c>
      <c r="T5" s="476" t="s">
        <v>22</v>
      </c>
      <c r="U5" s="473" t="s">
        <v>22</v>
      </c>
      <c r="V5" s="480">
        <v>41652</v>
      </c>
      <c r="W5" s="467" t="str">
        <f>CHOOSE(WEEKDAY(V5,2),"Monday","Tuesday","Wednesday","Thursday","Friday","Saturday","Sunday")</f>
        <v>Monday</v>
      </c>
      <c r="X5" s="476" t="s">
        <v>22</v>
      </c>
      <c r="Y5" s="473" t="s">
        <v>22</v>
      </c>
      <c r="Z5" s="476" t="s">
        <v>22</v>
      </c>
      <c r="AA5" s="473" t="s">
        <v>22</v>
      </c>
      <c r="AB5" s="480">
        <v>41654</v>
      </c>
      <c r="AC5" s="481" t="str">
        <f>CHOOSE(WEEKDAY(AB5,2),"Monday","Tuesday","Wednesday","Thursday","Friday","Saturday","Sunday")</f>
        <v>Wednesday</v>
      </c>
      <c r="AD5" s="474">
        <v>41655</v>
      </c>
      <c r="AE5" s="491" t="str">
        <f>CHOOSE(WEEKDAY(AD5,2),"Monday","Tuesday","Wednesday","Thursday","Friday","Saturday","Sunday")</f>
        <v>Thursday</v>
      </c>
      <c r="AF5" s="476" t="s">
        <v>22</v>
      </c>
      <c r="AG5" s="473" t="s">
        <v>22</v>
      </c>
      <c r="AH5" s="262">
        <v>41661</v>
      </c>
      <c r="AI5" s="263" t="str">
        <f t="shared" ref="AI5:AI6" si="31">CHOOSE(WEEKDAY(AH5,2),"Monday","Tuesday","Wednesday","Thursday","Friday","Saturday","Sunday")</f>
        <v>Wednesday</v>
      </c>
      <c r="AJ5" s="474">
        <v>41662</v>
      </c>
      <c r="AK5" s="491" t="str">
        <f>CHOOSE(WEEKDAY(AJ5,2),"Monday","Tuesday","Wednesday","Thursday","Friday","Saturday","Sunday")</f>
        <v>Thursday</v>
      </c>
      <c r="AL5" s="480">
        <v>41663</v>
      </c>
      <c r="AM5" s="482" t="str">
        <f>CHOOSE(WEEKDAY(AL5,2),"Monday","Tuesday","Wednesday","Thursday","Friday","Saturday","Sunday")</f>
        <v>Friday</v>
      </c>
      <c r="AN5" s="476" t="s">
        <v>22</v>
      </c>
      <c r="AO5" s="473" t="s">
        <v>22</v>
      </c>
      <c r="AP5" s="476" t="s">
        <v>22</v>
      </c>
      <c r="AQ5" s="473" t="s">
        <v>22</v>
      </c>
      <c r="AR5" s="476" t="s">
        <v>22</v>
      </c>
      <c r="AS5" s="473" t="s">
        <v>22</v>
      </c>
      <c r="AT5" s="476" t="s">
        <v>22</v>
      </c>
      <c r="AU5" s="473" t="s">
        <v>22</v>
      </c>
      <c r="AV5" s="474">
        <v>41667</v>
      </c>
      <c r="AW5" s="493" t="str">
        <f>CHOOSE(WEEKDAY(AV5,2),"Monday","Tuesday","Wednesday","Thursday","Friday","Saturday","Sunday")</f>
        <v>Tuesday</v>
      </c>
      <c r="AX5" s="476" t="s">
        <v>22</v>
      </c>
      <c r="AY5" s="473" t="s">
        <v>22</v>
      </c>
      <c r="AZ5" s="480">
        <v>41668</v>
      </c>
      <c r="BA5" s="481" t="str">
        <f>CHOOSE(WEEKDAY(AZ5,2),"Monday","Tuesday","Wednesday","Thursday","Friday","Saturday","Sunday")</f>
        <v>Wednesday</v>
      </c>
      <c r="BB5" s="426" t="s">
        <v>22</v>
      </c>
      <c r="BC5" s="426" t="s">
        <v>22</v>
      </c>
      <c r="BD5" s="476" t="s">
        <v>22</v>
      </c>
      <c r="BE5" s="473" t="s">
        <v>22</v>
      </c>
      <c r="BF5" s="476" t="s">
        <v>22</v>
      </c>
      <c r="BG5" s="473" t="s">
        <v>22</v>
      </c>
      <c r="BH5" s="476" t="s">
        <v>22</v>
      </c>
      <c r="BI5" s="473" t="s">
        <v>22</v>
      </c>
      <c r="BJ5" s="476" t="s">
        <v>22</v>
      </c>
      <c r="BK5" s="473" t="s">
        <v>22</v>
      </c>
      <c r="BL5" s="474">
        <v>41673</v>
      </c>
      <c r="BM5" s="486" t="str">
        <f>CHOOSE(WEEKDAY(BL5,2),"Monday","Tuesday","Wednesday","Thursday","Friday","Saturday","Sunday")</f>
        <v>Monday</v>
      </c>
      <c r="BN5" s="476" t="s">
        <v>22</v>
      </c>
      <c r="BO5" s="473" t="s">
        <v>22</v>
      </c>
      <c r="BP5" s="476" t="s">
        <v>22</v>
      </c>
      <c r="BQ5" s="473" t="s">
        <v>22</v>
      </c>
      <c r="BR5" s="262">
        <v>41675</v>
      </c>
      <c r="BS5" s="263" t="str">
        <f t="shared" ref="BS5:BS6" si="32">CHOOSE(WEEKDAY(BR5,2),"Monday","Tuesday","Wednesday","Thursday","Friday","Saturday","Sunday")</f>
        <v>Wednesday</v>
      </c>
      <c r="BT5" s="426" t="s">
        <v>22</v>
      </c>
      <c r="BU5" s="426" t="s">
        <v>22</v>
      </c>
      <c r="BV5" s="480">
        <v>41676</v>
      </c>
      <c r="BW5" s="484" t="str">
        <f>CHOOSE(WEEKDAY(BV5,2),"Monday","Tuesday","Wednesday","Thursday","Friday","Saturday","Sunday")</f>
        <v>Thursday</v>
      </c>
      <c r="BX5" s="426" t="s">
        <v>22</v>
      </c>
      <c r="BY5" s="426" t="s">
        <v>22</v>
      </c>
      <c r="BZ5" s="476" t="s">
        <v>22</v>
      </c>
      <c r="CA5" s="473" t="s">
        <v>22</v>
      </c>
      <c r="CB5" s="476" t="s">
        <v>22</v>
      </c>
      <c r="CC5" s="473" t="s">
        <v>22</v>
      </c>
      <c r="CD5" s="476" t="s">
        <v>22</v>
      </c>
      <c r="CE5" s="473" t="s">
        <v>22</v>
      </c>
      <c r="CF5" s="480">
        <v>41680</v>
      </c>
      <c r="CG5" s="467" t="str">
        <f>CHOOSE(WEEKDAY(CF5,2),"Monday","Tuesday","Wednesday","Thursday","Friday","Saturday","Sunday")</f>
        <v>Monday</v>
      </c>
      <c r="CH5" s="476" t="s">
        <v>22</v>
      </c>
      <c r="CI5" s="473" t="s">
        <v>22</v>
      </c>
      <c r="CJ5" s="476" t="s">
        <v>22</v>
      </c>
      <c r="CK5" s="473" t="s">
        <v>22</v>
      </c>
      <c r="CL5" s="276">
        <v>41683</v>
      </c>
      <c r="CM5" s="163" t="str">
        <f t="shared" ref="CM5:CM6" si="33">CHOOSE(WEEKDAY(CL5,2),"Monday","Tuesday","Wednesday","Thursday","Friday","Saturday","Sunday")</f>
        <v>Thursday</v>
      </c>
      <c r="CN5" s="480">
        <v>41684</v>
      </c>
      <c r="CO5" s="482" t="str">
        <f t="shared" si="2"/>
        <v>Friday</v>
      </c>
      <c r="CP5" s="476" t="s">
        <v>22</v>
      </c>
      <c r="CQ5" s="473" t="s">
        <v>22</v>
      </c>
      <c r="CR5" s="476" t="s">
        <v>22</v>
      </c>
      <c r="CS5" s="473" t="s">
        <v>22</v>
      </c>
      <c r="CT5" s="474">
        <v>41686</v>
      </c>
      <c r="CU5" s="426" t="str">
        <f>CHOOSE(WEEKDAY(CT5,2),"Monday","Tuesday","Wednesday","Thursday","Friday","Saturday","Sunday")</f>
        <v>Sunday</v>
      </c>
      <c r="CV5" s="476" t="s">
        <v>22</v>
      </c>
      <c r="CW5" s="473" t="s">
        <v>22</v>
      </c>
      <c r="CX5" s="476" t="s">
        <v>22</v>
      </c>
      <c r="CY5" s="473" t="s">
        <v>22</v>
      </c>
      <c r="CZ5" s="494" t="s">
        <v>22</v>
      </c>
      <c r="DA5" s="426" t="s">
        <v>22</v>
      </c>
      <c r="DB5" s="476" t="s">
        <v>22</v>
      </c>
      <c r="DC5" s="473" t="s">
        <v>22</v>
      </c>
      <c r="DD5" s="476" t="s">
        <v>22</v>
      </c>
      <c r="DE5" s="473" t="s">
        <v>22</v>
      </c>
      <c r="DF5" s="276">
        <v>41689</v>
      </c>
      <c r="DG5" s="168" t="str">
        <f t="shared" ref="DG5:DG6" si="34">CHOOSE(WEEKDAY(DF5,2),"Monday","Tuesday","Wednesday","Thursday","Friday","Saturday","Sunday")</f>
        <v>Wednesday</v>
      </c>
      <c r="DH5" s="476" t="s">
        <v>22</v>
      </c>
      <c r="DI5" s="473" t="s">
        <v>22</v>
      </c>
      <c r="DJ5" s="476" t="s">
        <v>22</v>
      </c>
      <c r="DK5" s="473" t="s">
        <v>22</v>
      </c>
      <c r="DL5" s="262">
        <v>41691</v>
      </c>
      <c r="DM5" s="277" t="str">
        <f t="shared" ref="DM5:DM6" si="35">CHOOSE(WEEKDAY(DL5,2),"Monday","Tuesday","Wednesday","Thursday","Friday","Saturday","Sunday")</f>
        <v>Friday</v>
      </c>
      <c r="DN5" s="474">
        <v>41691</v>
      </c>
      <c r="DO5" s="479" t="str">
        <f>CHOOSE(WEEKDAY(DN5,2),"Monday","Tuesday","Wednesday","Thursday","Friday","Saturday","Sunday")</f>
        <v>Friday</v>
      </c>
      <c r="DP5" s="476" t="s">
        <v>22</v>
      </c>
      <c r="DQ5" s="473" t="s">
        <v>22</v>
      </c>
      <c r="DR5" s="476" t="s">
        <v>22</v>
      </c>
      <c r="DS5" s="473" t="s">
        <v>22</v>
      </c>
      <c r="DT5" s="426" t="s">
        <v>22</v>
      </c>
      <c r="DU5" s="426" t="s">
        <v>22</v>
      </c>
      <c r="DV5" s="476" t="s">
        <v>22</v>
      </c>
      <c r="DW5" s="473" t="s">
        <v>22</v>
      </c>
      <c r="DX5" s="480">
        <v>41693</v>
      </c>
      <c r="DY5" s="473" t="str">
        <f>CHOOSE(WEEKDAY(DX5,2),"Monday","Tuesday","Wednesday","Thursday","Friday","Saturday","Sunday")</f>
        <v>Sunday</v>
      </c>
      <c r="DZ5" s="494" t="s">
        <v>22</v>
      </c>
      <c r="EA5" s="426" t="s">
        <v>22</v>
      </c>
      <c r="EB5" s="480">
        <v>41694</v>
      </c>
      <c r="EC5" s="467" t="str">
        <f>CHOOSE(WEEKDAY(EB5,2),"Monday","Tuesday","Wednesday","Thursday","Friday","Saturday","Sunday")</f>
        <v>Monday</v>
      </c>
      <c r="ED5" s="474">
        <v>41695</v>
      </c>
      <c r="EE5" s="493" t="str">
        <f>CHOOSE(WEEKDAY(ED5,2),"Monday","Tuesday","Wednesday","Thursday","Friday","Saturday","Sunday")</f>
        <v>Tuesday</v>
      </c>
      <c r="EF5" s="476" t="s">
        <v>22</v>
      </c>
      <c r="EG5" s="473" t="s">
        <v>22</v>
      </c>
      <c r="EH5" s="480">
        <v>41696</v>
      </c>
      <c r="EI5" s="481" t="str">
        <f>CHOOSE(WEEKDAY(EH5,2),"Monday","Tuesday","Wednesday","Thursday","Friday","Saturday","Sunday")</f>
        <v>Wednesday</v>
      </c>
      <c r="EJ5" s="476" t="s">
        <v>22</v>
      </c>
      <c r="EK5" s="473" t="s">
        <v>22</v>
      </c>
      <c r="EL5" s="426" t="s">
        <v>22</v>
      </c>
      <c r="EM5" s="426" t="s">
        <v>22</v>
      </c>
      <c r="EN5" s="476" t="s">
        <v>22</v>
      </c>
      <c r="EO5" s="473" t="s">
        <v>22</v>
      </c>
      <c r="EP5" s="476" t="s">
        <v>22</v>
      </c>
      <c r="EQ5" s="473" t="s">
        <v>22</v>
      </c>
      <c r="ER5" s="478" t="s">
        <v>22</v>
      </c>
      <c r="ES5" s="473" t="s">
        <v>22</v>
      </c>
      <c r="ET5" s="426" t="s">
        <v>22</v>
      </c>
      <c r="EU5" s="483" t="s">
        <v>22</v>
      </c>
      <c r="EV5" s="476" t="s">
        <v>22</v>
      </c>
      <c r="EW5" s="473" t="s">
        <v>22</v>
      </c>
      <c r="EX5" s="476" t="s">
        <v>22</v>
      </c>
      <c r="EY5" s="473" t="s">
        <v>22</v>
      </c>
      <c r="EZ5" s="480">
        <v>41705</v>
      </c>
      <c r="FA5" s="482" t="str">
        <f>CHOOSE(WEEKDAY(EZ5,2),"Monday","Tuesday","Wednesday","Thursday","Friday","Saturday","Sunday")</f>
        <v>Friday</v>
      </c>
      <c r="FB5" s="474">
        <v>41707</v>
      </c>
      <c r="FC5" s="426" t="str">
        <f>CHOOSE(WEEKDAY(FB5,2),"Monday","Tuesday","Wednesday","Thursday","Friday","Saturday","Sunday")</f>
        <v>Sunday</v>
      </c>
      <c r="FD5" s="476" t="s">
        <v>22</v>
      </c>
      <c r="FE5" s="477" t="s">
        <v>22</v>
      </c>
      <c r="FF5" s="478" t="s">
        <v>22</v>
      </c>
      <c r="FG5" s="473" t="s">
        <v>22</v>
      </c>
      <c r="FH5" s="474">
        <v>41708</v>
      </c>
      <c r="FI5" s="486" t="str">
        <f>CHOOSE(WEEKDAY(FH5,2),"Monday","Tuesday","Wednesday","Thursday","Friday","Saturday","Sunday")</f>
        <v>Monday</v>
      </c>
      <c r="FJ5" s="476" t="s">
        <v>22</v>
      </c>
      <c r="FK5" s="473" t="s">
        <v>22</v>
      </c>
      <c r="FL5" s="480">
        <v>41711</v>
      </c>
      <c r="FM5" s="484" t="str">
        <f>CHOOSE(WEEKDAY(FL5,2),"Monday","Tuesday","Wednesday","Thursday","Friday","Saturday","Sunday")</f>
        <v>Thursday</v>
      </c>
      <c r="FN5" s="476" t="s">
        <v>22</v>
      </c>
      <c r="FO5" s="473" t="s">
        <v>22</v>
      </c>
      <c r="FP5" s="474">
        <v>41712</v>
      </c>
      <c r="FQ5" s="479" t="str">
        <f>CHOOSE(WEEKDAY(FP5,2),"Monday","Tuesday","Wednesday","Thursday","Friday","Saturday","Sunday")</f>
        <v>Friday</v>
      </c>
      <c r="FR5" s="476" t="s">
        <v>22</v>
      </c>
      <c r="FS5" s="473" t="s">
        <v>22</v>
      </c>
      <c r="FT5" s="478" t="s">
        <v>22</v>
      </c>
      <c r="FU5" s="473" t="s">
        <v>22</v>
      </c>
      <c r="FV5" s="480">
        <v>41715</v>
      </c>
      <c r="FW5" s="467" t="str">
        <f>CHOOSE(WEEKDAY(FV5,2),"Monday","Tuesday","Wednesday","Thursday","Friday","Saturday","Sunday")</f>
        <v>Monday</v>
      </c>
      <c r="FX5" s="426" t="s">
        <v>22</v>
      </c>
      <c r="FY5" s="483" t="s">
        <v>22</v>
      </c>
      <c r="FZ5" s="476" t="s">
        <v>22</v>
      </c>
      <c r="GA5" s="473" t="s">
        <v>22</v>
      </c>
      <c r="GB5" s="476" t="s">
        <v>22</v>
      </c>
      <c r="GC5" s="473" t="s">
        <v>22</v>
      </c>
      <c r="GD5" s="474">
        <v>41718</v>
      </c>
      <c r="GE5" s="491" t="str">
        <f>CHOOSE(WEEKDAY(GD5,2),"Monday","Tuesday","Wednesday","Thursday","Friday","Saturday","Sunday")</f>
        <v>Thursday</v>
      </c>
      <c r="GF5" s="476" t="s">
        <v>22</v>
      </c>
      <c r="GG5" s="473" t="s">
        <v>22</v>
      </c>
      <c r="GH5" s="474">
        <v>41717</v>
      </c>
      <c r="GI5" s="488" t="str">
        <f t="shared" si="3"/>
        <v>Wednesday</v>
      </c>
      <c r="GJ5" s="480">
        <v>41719</v>
      </c>
      <c r="GK5" s="482" t="str">
        <f>CHOOSE(WEEKDAY(GJ5,2),"Monday","Tuesday","Wednesday","Thursday","Friday","Saturday","Sunday")</f>
        <v>Friday</v>
      </c>
      <c r="GL5" s="478" t="s">
        <v>22</v>
      </c>
      <c r="GM5" s="473" t="s">
        <v>22</v>
      </c>
      <c r="GN5" s="426" t="s">
        <v>22</v>
      </c>
      <c r="GO5" s="426" t="s">
        <v>22</v>
      </c>
      <c r="GP5" s="478" t="s">
        <v>22</v>
      </c>
      <c r="GQ5" s="473" t="s">
        <v>22</v>
      </c>
      <c r="GR5" s="476" t="s">
        <v>22</v>
      </c>
      <c r="GS5" s="473" t="s">
        <v>22</v>
      </c>
      <c r="GT5" s="480">
        <v>41722</v>
      </c>
      <c r="GU5" s="467" t="str">
        <f>CHOOSE(WEEKDAY(GT5,2),"Monday","Tuesday","Wednesday","Thursday","Friday","Saturday","Sunday")</f>
        <v>Monday</v>
      </c>
      <c r="GV5" s="474">
        <v>41723</v>
      </c>
      <c r="GW5" s="493" t="str">
        <f>CHOOSE(WEEKDAY(GV5,2),"Monday","Tuesday","Wednesday","Thursday","Friday","Saturday","Sunday")</f>
        <v>Tuesday</v>
      </c>
      <c r="GX5" s="476" t="s">
        <v>22</v>
      </c>
      <c r="GY5" s="473" t="s">
        <v>22</v>
      </c>
      <c r="GZ5" s="476" t="s">
        <v>22</v>
      </c>
      <c r="HA5" s="473" t="s">
        <v>22</v>
      </c>
      <c r="HB5" s="480">
        <v>41726</v>
      </c>
      <c r="HC5" s="482" t="str">
        <f>CHOOSE(WEEKDAY(HB5,2),"Monday","Tuesday","Wednesday","Thursday","Friday","Saturday","Sunday")</f>
        <v>Friday</v>
      </c>
      <c r="HD5" s="478" t="s">
        <v>22</v>
      </c>
      <c r="HE5" s="473" t="s">
        <v>22</v>
      </c>
      <c r="HF5" s="478" t="s">
        <v>22</v>
      </c>
      <c r="HG5" s="473" t="s">
        <v>22</v>
      </c>
      <c r="HH5" s="426" t="s">
        <v>22</v>
      </c>
      <c r="HI5" s="426" t="s">
        <v>22</v>
      </c>
      <c r="HJ5" s="478" t="s">
        <v>22</v>
      </c>
      <c r="HK5" s="473" t="s">
        <v>22</v>
      </c>
      <c r="HL5" s="480">
        <v>41729</v>
      </c>
      <c r="HM5" s="467" t="str">
        <f>CHOOSE(WEEKDAY(HL5,2),"Monday","Tuesday","Wednesday","Thursday","Friday","Saturday","Sunday")</f>
        <v>Monday</v>
      </c>
      <c r="HN5" s="474">
        <v>41730</v>
      </c>
      <c r="HO5" s="493" t="str">
        <f t="shared" si="4"/>
        <v>Tuesday</v>
      </c>
      <c r="HP5" s="480">
        <v>41730</v>
      </c>
      <c r="HQ5" s="485" t="str">
        <f>CHOOSE(WEEKDAY(HP5,2),"Monday","Tuesday","Wednesday","Thursday","Friday","Saturday","Sunday")</f>
        <v>Tuesday</v>
      </c>
      <c r="HR5" s="476" t="s">
        <v>22</v>
      </c>
      <c r="HS5" s="473" t="s">
        <v>22</v>
      </c>
      <c r="HT5" s="476" t="s">
        <v>22</v>
      </c>
      <c r="HU5" s="473" t="s">
        <v>22</v>
      </c>
      <c r="HV5" s="476" t="s">
        <v>22</v>
      </c>
      <c r="HW5" s="473" t="s">
        <v>22</v>
      </c>
      <c r="HX5" s="474">
        <v>41733</v>
      </c>
      <c r="HY5" s="479" t="str">
        <f>CHOOSE(WEEKDAY(HX5,2),"Monday","Tuesday","Wednesday","Thursday","Friday","Saturday","Sunday")</f>
        <v>Friday</v>
      </c>
      <c r="HZ5" s="476" t="s">
        <v>22</v>
      </c>
      <c r="IA5" s="473" t="s">
        <v>22</v>
      </c>
      <c r="IB5" s="478" t="s">
        <v>22</v>
      </c>
      <c r="IC5" s="473" t="s">
        <v>22</v>
      </c>
      <c r="ID5" s="480">
        <v>41736</v>
      </c>
      <c r="IE5" s="467" t="str">
        <f>CHOOSE(WEEKDAY(ID5,2),"Monday","Tuesday","Wednesday","Thursday","Friday","Saturday","Sunday")</f>
        <v>Monday</v>
      </c>
      <c r="IF5" s="474">
        <v>41737</v>
      </c>
      <c r="IG5" s="493" t="str">
        <f>CHOOSE(WEEKDAY(IF5,2),"Monday","Tuesday","Wednesday","Thursday","Friday","Saturday","Sunday")</f>
        <v>Tuesday</v>
      </c>
      <c r="IH5" s="476" t="s">
        <v>22</v>
      </c>
      <c r="II5" s="473" t="s">
        <v>22</v>
      </c>
      <c r="IJ5" s="480">
        <v>41738</v>
      </c>
      <c r="IK5" s="481" t="str">
        <f>CHOOSE(WEEKDAY(IJ5,2),"Monday","Tuesday","Wednesday","Thursday","Friday","Saturday","Sunday")</f>
        <v>Wednesday</v>
      </c>
      <c r="IL5" s="480">
        <v>41740</v>
      </c>
      <c r="IM5" s="482" t="str">
        <f>CHOOSE(WEEKDAY(IL5,2),"Monday","Tuesday","Wednesday","Thursday","Friday","Saturday","Sunday")</f>
        <v>Friday</v>
      </c>
      <c r="IN5" s="476" t="s">
        <v>22</v>
      </c>
      <c r="IO5" s="473" t="s">
        <v>22</v>
      </c>
      <c r="IP5" s="474">
        <v>41742</v>
      </c>
      <c r="IQ5" s="426" t="str">
        <f>CHOOSE(WEEKDAY(IP5,2),"Monday","Tuesday","Wednesday","Thursday","Friday","Saturday","Sunday")</f>
        <v>Sunday</v>
      </c>
      <c r="IR5" s="478" t="s">
        <v>22</v>
      </c>
      <c r="IS5" s="473" t="s">
        <v>22</v>
      </c>
      <c r="IT5" s="478" t="s">
        <v>22</v>
      </c>
      <c r="IU5" s="473" t="s">
        <v>22</v>
      </c>
      <c r="IV5" s="476" t="s">
        <v>22</v>
      </c>
      <c r="IW5" s="473" t="s">
        <v>22</v>
      </c>
      <c r="IX5" s="478" t="s">
        <v>22</v>
      </c>
      <c r="IY5" s="473" t="s">
        <v>22</v>
      </c>
      <c r="IZ5" s="480">
        <v>41747</v>
      </c>
      <c r="JA5" s="482" t="str">
        <f>CHOOSE(WEEKDAY(IZ5,2),"Monday","Tuesday","Wednesday","Thursday","Friday","Saturday","Sunday")</f>
        <v>Friday</v>
      </c>
      <c r="JB5" s="476" t="s">
        <v>22</v>
      </c>
      <c r="JC5" s="473" t="s">
        <v>22</v>
      </c>
      <c r="JD5" s="478" t="s">
        <v>22</v>
      </c>
      <c r="JE5" s="473" t="s">
        <v>22</v>
      </c>
      <c r="JF5" s="426" t="s">
        <v>22</v>
      </c>
      <c r="JG5" s="426" t="s">
        <v>22</v>
      </c>
      <c r="JH5" s="478" t="s">
        <v>22</v>
      </c>
      <c r="JI5" s="473" t="s">
        <v>22</v>
      </c>
      <c r="JJ5" s="476" t="s">
        <v>22</v>
      </c>
      <c r="JK5" s="473" t="s">
        <v>22</v>
      </c>
      <c r="JL5" s="480">
        <v>41752</v>
      </c>
      <c r="JM5" s="481" t="str">
        <f>CHOOSE(WEEKDAY(JL5,2),"Monday","Tuesday","Wednesday","Thursday","Friday","Saturday","Sunday")</f>
        <v>Wednesday</v>
      </c>
      <c r="JN5" s="476" t="s">
        <v>22</v>
      </c>
      <c r="JO5" s="473" t="s">
        <v>22</v>
      </c>
      <c r="JP5" s="483" t="s">
        <v>22</v>
      </c>
      <c r="JQ5" s="483" t="s">
        <v>22</v>
      </c>
      <c r="JR5" s="476" t="s">
        <v>22</v>
      </c>
      <c r="JS5" s="473" t="s">
        <v>22</v>
      </c>
      <c r="JT5" s="476" t="s">
        <v>22</v>
      </c>
      <c r="JU5" s="473" t="s">
        <v>22</v>
      </c>
      <c r="JV5" s="478" t="s">
        <v>22</v>
      </c>
      <c r="JW5" s="473" t="s">
        <v>22</v>
      </c>
      <c r="JX5" s="478" t="s">
        <v>22</v>
      </c>
      <c r="JY5" s="473" t="s">
        <v>22</v>
      </c>
      <c r="JZ5" s="478" t="s">
        <v>22</v>
      </c>
      <c r="KA5" s="473" t="s">
        <v>22</v>
      </c>
      <c r="KB5" s="480">
        <v>41759</v>
      </c>
      <c r="KC5" s="481" t="str">
        <f>CHOOSE(WEEKDAY(KB5,2),"Monday","Tuesday","Wednesday","Thursday","Friday","Saturday","Sunday")</f>
        <v>Wednesday</v>
      </c>
      <c r="KD5" s="474">
        <v>41759</v>
      </c>
      <c r="KE5" s="488" t="str">
        <f>CHOOSE(WEEKDAY(KD5,2),"Monday","Tuesday","Wednesday","Thursday","Friday","Saturday","Sunday")</f>
        <v>Wednesday</v>
      </c>
      <c r="KF5" s="476" t="s">
        <v>22</v>
      </c>
      <c r="KG5" s="473" t="s">
        <v>22</v>
      </c>
      <c r="KH5" s="426" t="s">
        <v>22</v>
      </c>
      <c r="KI5" s="426" t="s">
        <v>22</v>
      </c>
      <c r="KJ5" s="476" t="s">
        <v>22</v>
      </c>
      <c r="KK5" s="473" t="s">
        <v>22</v>
      </c>
      <c r="KL5" s="476" t="s">
        <v>22</v>
      </c>
      <c r="KM5" s="473" t="s">
        <v>22</v>
      </c>
      <c r="KN5" s="476" t="s">
        <v>22</v>
      </c>
      <c r="KO5" s="473" t="s">
        <v>22</v>
      </c>
      <c r="KP5" s="476" t="s">
        <v>22</v>
      </c>
      <c r="KQ5" s="473" t="s">
        <v>22</v>
      </c>
      <c r="KR5" s="480">
        <v>41762</v>
      </c>
      <c r="KS5" s="492" t="str">
        <f>CHOOSE(WEEKDAY(KR5,2),"Monday","Tuesday","Wednesday","Thursday","Friday","Saturday","Sunday")</f>
        <v>Saturday</v>
      </c>
      <c r="KT5" s="476" t="s">
        <v>22</v>
      </c>
      <c r="KU5" s="473" t="s">
        <v>22</v>
      </c>
      <c r="KV5" s="476" t="s">
        <v>22</v>
      </c>
      <c r="KW5" s="473" t="s">
        <v>22</v>
      </c>
      <c r="KX5" s="476" t="s">
        <v>22</v>
      </c>
      <c r="KY5" s="473" t="s">
        <v>22</v>
      </c>
      <c r="KZ5" s="476" t="s">
        <v>22</v>
      </c>
      <c r="LA5" s="473" t="s">
        <v>22</v>
      </c>
      <c r="LB5" s="478" t="s">
        <v>22</v>
      </c>
      <c r="LC5" s="473" t="s">
        <v>22</v>
      </c>
      <c r="LD5" s="474">
        <v>41765</v>
      </c>
      <c r="LE5" s="493" t="str">
        <f>CHOOSE(WEEKDAY(LD5,2),"Monday","Tuesday","Wednesday","Thursday","Friday","Saturday","Sunday")</f>
        <v>Tuesday</v>
      </c>
      <c r="LF5" s="480">
        <v>41766</v>
      </c>
      <c r="LG5" s="481" t="str">
        <f>CHOOSE(WEEKDAY(LF5,2),"Monday","Tuesday","Wednesday","Thursday","Friday","Saturday","Sunday")</f>
        <v>Wednesday</v>
      </c>
      <c r="LH5" s="476" t="s">
        <v>22</v>
      </c>
      <c r="LI5" s="473" t="s">
        <v>22</v>
      </c>
      <c r="LJ5" s="483" t="s">
        <v>22</v>
      </c>
      <c r="LK5" s="426" t="s">
        <v>22</v>
      </c>
      <c r="LL5" s="480">
        <v>41768</v>
      </c>
      <c r="LM5" s="482" t="str">
        <f t="shared" si="0"/>
        <v>Friday</v>
      </c>
      <c r="LN5" s="474">
        <v>41768</v>
      </c>
      <c r="LO5" s="479" t="str">
        <f>CHOOSE(WEEKDAY(LN5,2),"Monday","Tuesday","Wednesday","Thursday","Friday","Saturday","Sunday")</f>
        <v>Friday</v>
      </c>
      <c r="LP5" s="476" t="s">
        <v>22</v>
      </c>
      <c r="LQ5" s="473" t="s">
        <v>22</v>
      </c>
      <c r="LR5" s="476" t="s">
        <v>22</v>
      </c>
      <c r="LS5" s="473" t="s">
        <v>22</v>
      </c>
      <c r="LT5" s="476" t="s">
        <v>22</v>
      </c>
      <c r="LU5" s="473" t="s">
        <v>22</v>
      </c>
      <c r="LV5" s="474">
        <v>41772</v>
      </c>
      <c r="LW5" s="493" t="str">
        <f>CHOOSE(WEEKDAY(LV5,2),"Monday","Tuesday","Wednesday","Thursday","Friday","Saturday","Sunday")</f>
        <v>Tuesday</v>
      </c>
      <c r="LX5" s="480">
        <v>41773</v>
      </c>
      <c r="LY5" s="481" t="str">
        <f>CHOOSE(WEEKDAY(LX5,2),"Monday","Tuesday","Wednesday","Thursday","Friday","Saturday","Sunday")</f>
        <v>Wednesday</v>
      </c>
      <c r="LZ5" s="483" t="s">
        <v>22</v>
      </c>
      <c r="MA5" s="483" t="s">
        <v>22</v>
      </c>
      <c r="MB5" s="480">
        <v>41775</v>
      </c>
      <c r="MC5" s="482" t="str">
        <f>CHOOSE(WEEKDAY(MB5,2),"Monday","Tuesday","Wednesday","Thursday","Friday","Saturday","Sunday")</f>
        <v>Friday</v>
      </c>
      <c r="MD5" s="476" t="s">
        <v>22</v>
      </c>
      <c r="ME5" s="473" t="s">
        <v>22</v>
      </c>
      <c r="MF5" s="478" t="s">
        <v>22</v>
      </c>
      <c r="MG5" s="473" t="s">
        <v>22</v>
      </c>
      <c r="MH5" s="478" t="s">
        <v>22</v>
      </c>
      <c r="MI5" s="473" t="s">
        <v>22</v>
      </c>
      <c r="MJ5" s="478" t="s">
        <v>22</v>
      </c>
      <c r="MK5" s="473" t="s">
        <v>22</v>
      </c>
      <c r="ML5" s="474">
        <v>41779</v>
      </c>
      <c r="MM5" s="493" t="str">
        <f>CHOOSE(WEEKDAY(ML5,2),"Monday","Tuesday","Wednesday","Thursday","Friday","Saturday","Sunday")</f>
        <v>Tuesday</v>
      </c>
      <c r="MN5" s="480">
        <v>41781</v>
      </c>
      <c r="MO5" s="484" t="str">
        <f>CHOOSE(WEEKDAY(MN5,2),"Monday","Tuesday","Wednesday","Thursday","Friday","Saturday","Sunday")</f>
        <v>Thursday</v>
      </c>
      <c r="MP5" s="476" t="s">
        <v>22</v>
      </c>
      <c r="MQ5" s="473" t="s">
        <v>22</v>
      </c>
      <c r="MR5" s="478" t="s">
        <v>22</v>
      </c>
      <c r="MS5" s="473" t="s">
        <v>22</v>
      </c>
      <c r="MT5" s="476" t="s">
        <v>22</v>
      </c>
      <c r="MU5" s="473" t="s">
        <v>22</v>
      </c>
      <c r="MV5" s="426" t="s">
        <v>22</v>
      </c>
      <c r="MW5" s="426" t="s">
        <v>22</v>
      </c>
      <c r="MX5" s="476" t="s">
        <v>22</v>
      </c>
      <c r="MY5" s="473" t="s">
        <v>22</v>
      </c>
      <c r="MZ5" s="476" t="s">
        <v>22</v>
      </c>
      <c r="NA5" s="473" t="s">
        <v>22</v>
      </c>
      <c r="NB5" s="478" t="s">
        <v>22</v>
      </c>
      <c r="NC5" s="473" t="s">
        <v>22</v>
      </c>
      <c r="ND5" s="474">
        <v>41785</v>
      </c>
      <c r="NE5" s="486" t="str">
        <f t="shared" si="5"/>
        <v>Monday</v>
      </c>
      <c r="NF5" s="509" t="s">
        <v>22</v>
      </c>
      <c r="NG5" s="477" t="s">
        <v>22</v>
      </c>
      <c r="NH5" s="476" t="s">
        <v>22</v>
      </c>
      <c r="NI5" s="473" t="s">
        <v>22</v>
      </c>
      <c r="NJ5" s="478" t="s">
        <v>22</v>
      </c>
      <c r="NK5" s="473" t="s">
        <v>22</v>
      </c>
      <c r="NL5" s="474">
        <v>41787</v>
      </c>
      <c r="NM5" s="488" t="str">
        <f>CHOOSE(WEEKDAY(NL5,2),"Monday","Tuesday","Wednesday","Thursday","Friday","Saturday","Sunday")</f>
        <v>Wednesday</v>
      </c>
      <c r="NN5" s="476" t="s">
        <v>22</v>
      </c>
      <c r="NO5" s="473" t="s">
        <v>22</v>
      </c>
      <c r="NP5" s="480">
        <v>41788</v>
      </c>
      <c r="NQ5" s="484" t="str">
        <f>CHOOSE(WEEKDAY(NP5,2),"Monday","Tuesday","Wednesday","Thursday","Friday","Saturday","Sunday")</f>
        <v>Thursday</v>
      </c>
      <c r="NR5" s="483" t="s">
        <v>22</v>
      </c>
      <c r="NS5" s="477" t="s">
        <v>22</v>
      </c>
      <c r="NT5" s="476" t="s">
        <v>22</v>
      </c>
      <c r="NU5" s="473" t="s">
        <v>22</v>
      </c>
      <c r="NV5" s="478" t="s">
        <v>22</v>
      </c>
      <c r="NW5" s="473" t="s">
        <v>22</v>
      </c>
      <c r="NX5" s="478" t="s">
        <v>22</v>
      </c>
      <c r="NY5" s="473" t="s">
        <v>22</v>
      </c>
      <c r="NZ5" s="480">
        <v>41794</v>
      </c>
      <c r="OA5" s="488" t="str">
        <f t="shared" si="6"/>
        <v>Wednesday</v>
      </c>
      <c r="OB5" s="478" t="s">
        <v>22</v>
      </c>
      <c r="OC5" s="473" t="s">
        <v>22</v>
      </c>
      <c r="OD5" s="480">
        <v>41795</v>
      </c>
      <c r="OE5" s="484" t="str">
        <f t="shared" si="7"/>
        <v>Thursday</v>
      </c>
      <c r="OF5" s="474">
        <v>41799</v>
      </c>
      <c r="OG5" s="486" t="str">
        <f t="shared" si="8"/>
        <v>Monday</v>
      </c>
      <c r="OH5" s="480">
        <v>41799</v>
      </c>
      <c r="OI5" s="467" t="str">
        <f>CHOOSE(WEEKDAY(OH5,2),"Monday","Tuesday","Wednesday","Thursday","Friday","Saturday","Sunday")</f>
        <v>Monday</v>
      </c>
      <c r="OJ5" s="476" t="s">
        <v>22</v>
      </c>
      <c r="OK5" s="473" t="s">
        <v>22</v>
      </c>
      <c r="OL5" s="476" t="s">
        <v>22</v>
      </c>
      <c r="OM5" s="473" t="s">
        <v>22</v>
      </c>
      <c r="ON5" s="476" t="s">
        <v>22</v>
      </c>
      <c r="OO5" s="473" t="s">
        <v>22</v>
      </c>
      <c r="OP5" s="426" t="s">
        <v>22</v>
      </c>
      <c r="OQ5" s="426" t="s">
        <v>22</v>
      </c>
      <c r="OR5" s="476" t="s">
        <v>22</v>
      </c>
      <c r="OS5" s="477" t="s">
        <v>22</v>
      </c>
      <c r="OT5" s="476" t="s">
        <v>22</v>
      </c>
      <c r="OU5" s="473" t="s">
        <v>22</v>
      </c>
      <c r="OV5" s="474">
        <v>41803</v>
      </c>
      <c r="OW5" s="479" t="str">
        <f>CHOOSE(WEEKDAY(OV5,2),"Monday","Tuesday","Wednesday","Thursday","Friday","Saturday","Sunday")</f>
        <v>Friday</v>
      </c>
      <c r="OX5" s="476" t="s">
        <v>22</v>
      </c>
      <c r="OY5" s="473" t="s">
        <v>22</v>
      </c>
      <c r="OZ5" s="478" t="s">
        <v>22</v>
      </c>
      <c r="PA5" s="473" t="s">
        <v>22</v>
      </c>
      <c r="PB5" s="478" t="s">
        <v>22</v>
      </c>
      <c r="PC5" s="473" t="s">
        <v>22</v>
      </c>
      <c r="PD5" s="478" t="s">
        <v>22</v>
      </c>
      <c r="PE5" s="473" t="s">
        <v>22</v>
      </c>
      <c r="PF5" s="478" t="s">
        <v>22</v>
      </c>
      <c r="PG5" s="473" t="s">
        <v>22</v>
      </c>
      <c r="PH5" s="483" t="s">
        <v>22</v>
      </c>
      <c r="PI5" s="483" t="s">
        <v>22</v>
      </c>
      <c r="PJ5" s="509" t="s">
        <v>22</v>
      </c>
      <c r="PK5" s="477" t="s">
        <v>22</v>
      </c>
      <c r="PL5" s="426" t="s">
        <v>22</v>
      </c>
      <c r="PM5" s="483" t="s">
        <v>22</v>
      </c>
      <c r="PN5" s="476" t="s">
        <v>22</v>
      </c>
      <c r="PO5" s="473" t="s">
        <v>22</v>
      </c>
      <c r="PP5" s="476" t="s">
        <v>22</v>
      </c>
      <c r="PQ5" s="477" t="s">
        <v>22</v>
      </c>
      <c r="PR5" s="494" t="s">
        <v>22</v>
      </c>
      <c r="PS5" s="426" t="s">
        <v>22</v>
      </c>
      <c r="PT5" s="478" t="s">
        <v>22</v>
      </c>
      <c r="PU5" s="473" t="s">
        <v>22</v>
      </c>
      <c r="PV5" s="426" t="s">
        <v>22</v>
      </c>
      <c r="PW5" s="426" t="s">
        <v>22</v>
      </c>
      <c r="PX5" s="476" t="s">
        <v>22</v>
      </c>
      <c r="PY5" s="473" t="s">
        <v>22</v>
      </c>
      <c r="PZ5" s="478" t="s">
        <v>22</v>
      </c>
      <c r="QA5" s="473" t="s">
        <v>22</v>
      </c>
      <c r="QB5" s="476" t="s">
        <v>22</v>
      </c>
      <c r="QC5" s="473" t="s">
        <v>22</v>
      </c>
      <c r="QD5" s="476" t="s">
        <v>22</v>
      </c>
      <c r="QE5" s="473" t="s">
        <v>22</v>
      </c>
      <c r="QF5" s="476" t="s">
        <v>22</v>
      </c>
      <c r="QG5" s="473" t="s">
        <v>22</v>
      </c>
      <c r="QH5" s="426" t="s">
        <v>22</v>
      </c>
      <c r="QI5" s="483" t="s">
        <v>22</v>
      </c>
      <c r="QJ5" s="476" t="s">
        <v>22</v>
      </c>
      <c r="QK5" s="477" t="s">
        <v>22</v>
      </c>
      <c r="QL5" s="476" t="s">
        <v>22</v>
      </c>
      <c r="QM5" s="473" t="s">
        <v>22</v>
      </c>
      <c r="QN5" s="474">
        <v>41818</v>
      </c>
      <c r="QO5" s="475" t="str">
        <f>CHOOSE(WEEKDAY(QN5,2),"Monday","Tuesday","Wednesday","Thursday","Friday","Saturday","Sunday")</f>
        <v>Saturday</v>
      </c>
      <c r="QP5" s="476" t="s">
        <v>22</v>
      </c>
      <c r="QQ5" s="473" t="s">
        <v>22</v>
      </c>
      <c r="QR5" s="476" t="s">
        <v>22</v>
      </c>
      <c r="QS5" s="473" t="s">
        <v>22</v>
      </c>
      <c r="QT5" s="480">
        <v>41821</v>
      </c>
      <c r="QU5" s="485" t="str">
        <f>CHOOSE(WEEKDAY(QT5,2),"Monday","Tuesday","Wednesday","Thursday","Friday","Saturday","Sunday")</f>
        <v>Tuesday</v>
      </c>
      <c r="QV5" s="426" t="s">
        <v>22</v>
      </c>
      <c r="QW5" s="477" t="s">
        <v>22</v>
      </c>
      <c r="QX5" s="426" t="s">
        <v>22</v>
      </c>
      <c r="QY5" s="477" t="s">
        <v>22</v>
      </c>
      <c r="QZ5" s="476" t="s">
        <v>22</v>
      </c>
      <c r="RA5" s="473" t="s">
        <v>22</v>
      </c>
      <c r="RB5" s="476" t="s">
        <v>22</v>
      </c>
      <c r="RC5" s="473" t="s">
        <v>22</v>
      </c>
      <c r="RD5" s="476" t="s">
        <v>22</v>
      </c>
      <c r="RE5" s="473" t="s">
        <v>22</v>
      </c>
      <c r="RF5" s="478" t="s">
        <v>22</v>
      </c>
      <c r="RG5" s="473" t="s">
        <v>22</v>
      </c>
      <c r="RH5" s="476" t="s">
        <v>22</v>
      </c>
      <c r="RI5" s="473" t="s">
        <v>22</v>
      </c>
      <c r="RJ5" s="480">
        <v>41823</v>
      </c>
      <c r="RK5" s="484" t="str">
        <f t="shared" si="9"/>
        <v>Thursday</v>
      </c>
      <c r="RL5" s="474">
        <v>41825</v>
      </c>
      <c r="RM5" s="475" t="str">
        <f>CHOOSE(WEEKDAY(RL5,2),"Monday","Tuesday","Wednesday","Thursday","Friday","Saturday","Sunday")</f>
        <v>Saturday</v>
      </c>
      <c r="RN5" s="476" t="s">
        <v>22</v>
      </c>
      <c r="RO5" s="473" t="s">
        <v>22</v>
      </c>
      <c r="RP5" s="494" t="s">
        <v>22</v>
      </c>
      <c r="RQ5" s="426" t="s">
        <v>22</v>
      </c>
      <c r="RR5" s="476" t="s">
        <v>22</v>
      </c>
      <c r="RS5" s="473" t="s">
        <v>22</v>
      </c>
      <c r="RT5" s="478" t="s">
        <v>22</v>
      </c>
      <c r="RU5" s="473" t="s">
        <v>22</v>
      </c>
      <c r="RV5" s="426" t="s">
        <v>22</v>
      </c>
      <c r="RW5" s="483" t="s">
        <v>22</v>
      </c>
      <c r="RX5" s="476" t="s">
        <v>22</v>
      </c>
      <c r="RY5" s="473" t="s">
        <v>22</v>
      </c>
      <c r="RZ5" s="480">
        <v>41830</v>
      </c>
      <c r="SA5" s="491" t="str">
        <f>CHOOSE(WEEKDAY(RZ5,2),"Monday","Tuesday","Wednesday","Thursday","Friday","Saturday","Sunday")</f>
        <v>Thursday</v>
      </c>
      <c r="SB5" s="478" t="s">
        <v>22</v>
      </c>
      <c r="SC5" s="473" t="s">
        <v>22</v>
      </c>
      <c r="SD5" s="480">
        <v>41831</v>
      </c>
      <c r="SE5" s="482" t="str">
        <f t="shared" si="10"/>
        <v>Friday</v>
      </c>
      <c r="SF5" s="478" t="s">
        <v>22</v>
      </c>
      <c r="SG5" s="473" t="s">
        <v>22</v>
      </c>
      <c r="SH5" s="478" t="s">
        <v>22</v>
      </c>
      <c r="SI5" s="473" t="s">
        <v>22</v>
      </c>
      <c r="SJ5" s="474">
        <v>41834</v>
      </c>
      <c r="SK5" s="486" t="str">
        <f>CHOOSE(WEEKDAY(SJ5,2),"Monday","Tuesday","Wednesday","Thursday","Friday","Saturday","Sunday")</f>
        <v>Monday</v>
      </c>
      <c r="SL5" s="476" t="s">
        <v>22</v>
      </c>
      <c r="SM5" s="473" t="s">
        <v>22</v>
      </c>
      <c r="SN5" s="480">
        <v>41837</v>
      </c>
      <c r="SO5" s="484" t="str">
        <f>CHOOSE(WEEKDAY(SN5,2),"Monday","Tuesday","Wednesday","Thursday","Friday","Saturday","Sunday")</f>
        <v>Thursday</v>
      </c>
      <c r="SP5" s="474">
        <v>41837</v>
      </c>
      <c r="SQ5" s="491" t="str">
        <f>CHOOSE(WEEKDAY(SP5,2),"Monday","Tuesday","Wednesday","Thursday","Friday","Saturday","Sunday")</f>
        <v>Thursday</v>
      </c>
      <c r="SR5" s="476" t="s">
        <v>22</v>
      </c>
      <c r="SS5" s="477" t="s">
        <v>22</v>
      </c>
      <c r="ST5" s="426" t="s">
        <v>22</v>
      </c>
      <c r="SU5" s="426" t="s">
        <v>22</v>
      </c>
      <c r="SV5" s="476" t="s">
        <v>22</v>
      </c>
      <c r="SW5" s="473" t="s">
        <v>22</v>
      </c>
      <c r="SX5" s="476" t="s">
        <v>22</v>
      </c>
      <c r="SY5" s="473" t="s">
        <v>22</v>
      </c>
      <c r="SZ5" s="478" t="s">
        <v>22</v>
      </c>
      <c r="TA5" s="473" t="s">
        <v>22</v>
      </c>
      <c r="TB5" s="478" t="s">
        <v>22</v>
      </c>
      <c r="TC5" s="473" t="s">
        <v>22</v>
      </c>
      <c r="TD5" s="426" t="s">
        <v>22</v>
      </c>
      <c r="TE5" s="483" t="s">
        <v>22</v>
      </c>
      <c r="TF5" s="476" t="s">
        <v>22</v>
      </c>
      <c r="TG5" s="473" t="s">
        <v>22</v>
      </c>
      <c r="TH5" s="480">
        <v>41845</v>
      </c>
      <c r="TI5" s="482" t="str">
        <f>CHOOSE(WEEKDAY(TH5,2),"Monday","Tuesday","Wednesday","Thursday","Friday","Saturday","Sunday")</f>
        <v>Friday</v>
      </c>
      <c r="TJ5" s="474">
        <v>41847</v>
      </c>
      <c r="TK5" s="426" t="str">
        <f>CHOOSE(WEEKDAY(TJ5,2),"Monday","Tuesday","Wednesday","Thursday","Friday","Saturday","Sunday")</f>
        <v>Sunday</v>
      </c>
      <c r="TL5" s="476" t="s">
        <v>22</v>
      </c>
      <c r="TM5" s="473" t="s">
        <v>22</v>
      </c>
      <c r="TN5" s="478" t="s">
        <v>22</v>
      </c>
      <c r="TO5" s="473" t="s">
        <v>22</v>
      </c>
      <c r="TP5" s="476" t="s">
        <v>22</v>
      </c>
      <c r="TQ5" s="483" t="s">
        <v>22</v>
      </c>
      <c r="TR5" s="478" t="s">
        <v>22</v>
      </c>
      <c r="TS5" s="473" t="s">
        <v>22</v>
      </c>
      <c r="TT5" s="476" t="s">
        <v>22</v>
      </c>
      <c r="TU5" s="477" t="s">
        <v>22</v>
      </c>
      <c r="TV5" s="476" t="s">
        <v>22</v>
      </c>
      <c r="TW5" s="473" t="s">
        <v>22</v>
      </c>
      <c r="TX5" s="476" t="s">
        <v>22</v>
      </c>
      <c r="TY5" s="473" t="s">
        <v>22</v>
      </c>
      <c r="TZ5" s="510" t="s">
        <v>22</v>
      </c>
      <c r="UA5" s="426" t="s">
        <v>22</v>
      </c>
      <c r="UB5" s="478" t="s">
        <v>22</v>
      </c>
      <c r="UC5" s="473" t="s">
        <v>22</v>
      </c>
      <c r="UD5" s="478" t="s">
        <v>22</v>
      </c>
      <c r="UE5" s="473" t="s">
        <v>22</v>
      </c>
      <c r="UF5" s="480">
        <v>41856</v>
      </c>
      <c r="UG5" s="485" t="str">
        <f t="shared" si="11"/>
        <v>Tuesday</v>
      </c>
      <c r="UH5" s="474">
        <v>41857</v>
      </c>
      <c r="UI5" s="488" t="str">
        <f>CHOOSE(WEEKDAY(UH5,2),"Monday","Tuesday","Wednesday","Thursday","Friday","Saturday","Sunday")</f>
        <v>Wednesday</v>
      </c>
      <c r="UJ5" s="476" t="s">
        <v>22</v>
      </c>
      <c r="UK5" s="473" t="s">
        <v>22</v>
      </c>
      <c r="UL5" s="476" t="s">
        <v>22</v>
      </c>
      <c r="UM5" s="473" t="s">
        <v>22</v>
      </c>
      <c r="UN5" s="480">
        <v>41863</v>
      </c>
      <c r="UO5" s="485" t="str">
        <f t="shared" si="12"/>
        <v>Tuesday</v>
      </c>
      <c r="UP5" s="478" t="s">
        <v>22</v>
      </c>
      <c r="UQ5" s="473" t="s">
        <v>22</v>
      </c>
      <c r="UR5" s="426" t="s">
        <v>22</v>
      </c>
      <c r="US5" s="426" t="s">
        <v>22</v>
      </c>
      <c r="UT5" s="476" t="s">
        <v>22</v>
      </c>
      <c r="UU5" s="473" t="s">
        <v>22</v>
      </c>
      <c r="UV5" s="480">
        <v>41866</v>
      </c>
      <c r="UW5" s="482" t="str">
        <f>CHOOSE(WEEKDAY(UV5,2),"Monday","Tuesday","Wednesday","Thursday","Friday","Saturday","Sunday")</f>
        <v>Friday</v>
      </c>
      <c r="UX5" s="478" t="s">
        <v>22</v>
      </c>
      <c r="UY5" s="473" t="s">
        <v>22</v>
      </c>
      <c r="UZ5" s="426" t="s">
        <v>22</v>
      </c>
      <c r="VA5" s="483" t="s">
        <v>22</v>
      </c>
      <c r="VB5" s="476" t="s">
        <v>22</v>
      </c>
      <c r="VC5" s="473" t="s">
        <v>22</v>
      </c>
      <c r="VD5" s="476" t="s">
        <v>22</v>
      </c>
      <c r="VE5" s="473" t="s">
        <v>22</v>
      </c>
      <c r="VF5" s="480">
        <v>41869</v>
      </c>
      <c r="VG5" s="467" t="str">
        <f>CHOOSE(WEEKDAY(VF5,2),"Monday","Tuesday","Wednesday","Thursday","Friday","Saturday","Sunday")</f>
        <v>Monday</v>
      </c>
      <c r="VH5" s="474">
        <v>41871</v>
      </c>
      <c r="VI5" s="488" t="str">
        <f>CHOOSE(WEEKDAY(VH5,2),"Monday","Tuesday","Wednesday","Thursday","Friday","Saturday","Sunday")</f>
        <v>Wednesday</v>
      </c>
      <c r="VJ5" s="476" t="s">
        <v>22</v>
      </c>
      <c r="VK5" s="477" t="s">
        <v>22</v>
      </c>
      <c r="VL5" s="476" t="s">
        <v>22</v>
      </c>
      <c r="VM5" s="473" t="s">
        <v>22</v>
      </c>
      <c r="VN5" s="510" t="s">
        <v>22</v>
      </c>
      <c r="VO5" s="426" t="s">
        <v>22</v>
      </c>
      <c r="VP5" s="476" t="s">
        <v>22</v>
      </c>
      <c r="VQ5" s="477" t="s">
        <v>22</v>
      </c>
      <c r="VR5" s="476" t="s">
        <v>22</v>
      </c>
      <c r="VS5" s="473" t="s">
        <v>22</v>
      </c>
      <c r="VT5" s="478" t="s">
        <v>22</v>
      </c>
      <c r="VU5" s="473" t="s">
        <v>22</v>
      </c>
      <c r="VV5" s="476" t="s">
        <v>22</v>
      </c>
      <c r="VW5" s="473" t="s">
        <v>22</v>
      </c>
      <c r="VX5" s="478" t="s">
        <v>22</v>
      </c>
      <c r="VY5" s="473" t="s">
        <v>22</v>
      </c>
      <c r="VZ5" s="426" t="s">
        <v>22</v>
      </c>
      <c r="WA5" s="483" t="s">
        <v>22</v>
      </c>
      <c r="WB5" s="476" t="s">
        <v>22</v>
      </c>
      <c r="WC5" s="473" t="s">
        <v>22</v>
      </c>
      <c r="WD5" s="478" t="s">
        <v>22</v>
      </c>
      <c r="WE5" s="473" t="s">
        <v>22</v>
      </c>
      <c r="WF5" s="487" t="s">
        <v>22</v>
      </c>
      <c r="WG5" s="473" t="s">
        <v>22</v>
      </c>
      <c r="WH5" s="476" t="s">
        <v>22</v>
      </c>
      <c r="WI5" s="473" t="s">
        <v>22</v>
      </c>
      <c r="WJ5" s="478" t="s">
        <v>22</v>
      </c>
      <c r="WK5" s="473" t="s">
        <v>22</v>
      </c>
      <c r="WL5" s="426" t="s">
        <v>22</v>
      </c>
      <c r="WM5" s="426" t="s">
        <v>22</v>
      </c>
      <c r="WN5" s="480">
        <v>41884</v>
      </c>
      <c r="WO5" s="485" t="str">
        <f>CHOOSE(WEEKDAY(WN5,2),"Monday","Tuesday","Wednesday","Thursday","Friday","Saturday","Sunday")</f>
        <v>Tuesday</v>
      </c>
      <c r="WP5" s="511">
        <v>41885</v>
      </c>
      <c r="WQ5" s="488" t="str">
        <f>CHOOSE(WEEKDAY(WP5,2),"Monday","Tuesday","Wednesday","Thursday","Friday","Saturday","Sunday")</f>
        <v>Wednesday</v>
      </c>
      <c r="WR5" s="480">
        <v>41887</v>
      </c>
      <c r="WS5" s="479" t="str">
        <f>CHOOSE(WEEKDAY(WR5,2),"Monday","Tuesday","Wednesday","Thursday","Friday","Saturday","Sunday")</f>
        <v>Friday</v>
      </c>
      <c r="WT5" s="480">
        <v>41887</v>
      </c>
      <c r="WU5" s="482" t="str">
        <f>CHOOSE(WEEKDAY(WT5,2),"Monday","Tuesday","Wednesday","Thursday","Friday","Saturday","Sunday")</f>
        <v>Friday</v>
      </c>
      <c r="WV5" s="476" t="s">
        <v>22</v>
      </c>
      <c r="WW5" s="473" t="s">
        <v>22</v>
      </c>
      <c r="WX5" s="426" t="s">
        <v>22</v>
      </c>
      <c r="WY5" s="426" t="s">
        <v>22</v>
      </c>
      <c r="WZ5" s="476" t="s">
        <v>22</v>
      </c>
      <c r="XA5" s="473" t="s">
        <v>22</v>
      </c>
      <c r="XB5" s="476" t="s">
        <v>22</v>
      </c>
      <c r="XC5" s="477" t="s">
        <v>22</v>
      </c>
      <c r="XD5" s="476" t="s">
        <v>22</v>
      </c>
      <c r="XE5" s="473" t="s">
        <v>22</v>
      </c>
      <c r="XF5" s="478" t="s">
        <v>22</v>
      </c>
      <c r="XG5" s="473" t="s">
        <v>22</v>
      </c>
      <c r="XH5" s="426" t="s">
        <v>22</v>
      </c>
      <c r="XI5" s="426" t="s">
        <v>22</v>
      </c>
      <c r="XJ5" s="480">
        <v>41893</v>
      </c>
      <c r="XK5" s="484" t="str">
        <f t="shared" si="13"/>
        <v>Thursday</v>
      </c>
      <c r="XL5" s="474">
        <v>41892</v>
      </c>
      <c r="XM5" s="484" t="str">
        <f>CHOOSE(WEEKDAY(XL5,2),"Monday","Tuesday","Wednesday","Thursday","Friday","Saturday","Sunday")</f>
        <v>Wednesday</v>
      </c>
      <c r="XN5" s="476" t="s">
        <v>22</v>
      </c>
      <c r="XO5" s="473" t="s">
        <v>22</v>
      </c>
      <c r="XP5" s="476" t="s">
        <v>22</v>
      </c>
      <c r="XQ5" s="473" t="s">
        <v>22</v>
      </c>
      <c r="XR5" s="426" t="s">
        <v>22</v>
      </c>
      <c r="XS5" s="426" t="s">
        <v>22</v>
      </c>
      <c r="XT5" s="476" t="s">
        <v>22</v>
      </c>
      <c r="XU5" s="473" t="s">
        <v>22</v>
      </c>
      <c r="XV5" s="480">
        <v>41897</v>
      </c>
      <c r="XW5" s="467" t="str">
        <f t="shared" si="14"/>
        <v>Monday</v>
      </c>
      <c r="XX5" s="478" t="s">
        <v>22</v>
      </c>
      <c r="XY5" s="473" t="s">
        <v>22</v>
      </c>
      <c r="XZ5" s="474">
        <v>41898</v>
      </c>
      <c r="YA5" s="493" t="str">
        <f>CHOOSE(WEEKDAY(XZ5,2),"Monday","Tuesday","Wednesday","Thursday","Friday","Saturday","Sunday")</f>
        <v>Tuesday</v>
      </c>
      <c r="YB5" s="476" t="s">
        <v>22</v>
      </c>
      <c r="YC5" s="473" t="s">
        <v>22</v>
      </c>
      <c r="YD5" s="478" t="s">
        <v>22</v>
      </c>
      <c r="YE5" s="473" t="s">
        <v>22</v>
      </c>
      <c r="YF5" s="480">
        <v>41899</v>
      </c>
      <c r="YG5" s="481" t="str">
        <f>CHOOSE(WEEKDAY(YF5,2),"Monday","Tuesday","Wednesday","Thursday","Friday","Saturday","Sunday")</f>
        <v>Wednesday</v>
      </c>
      <c r="YH5" s="476" t="s">
        <v>22</v>
      </c>
      <c r="YI5" s="473" t="s">
        <v>22</v>
      </c>
      <c r="YJ5" s="426" t="s">
        <v>22</v>
      </c>
      <c r="YK5" s="426" t="s">
        <v>22</v>
      </c>
      <c r="YL5" s="480">
        <v>41902</v>
      </c>
      <c r="YM5" s="492" t="str">
        <f>CHOOSE(WEEKDAY(YL5,2),"Monday","Tuesday","Wednesday","Thursday","Friday","Saturday","Sunday")</f>
        <v>Saturday</v>
      </c>
      <c r="YN5" s="478" t="s">
        <v>22</v>
      </c>
      <c r="YO5" s="473" t="s">
        <v>22</v>
      </c>
      <c r="YP5" s="478" t="s">
        <v>22</v>
      </c>
      <c r="YQ5" s="473" t="s">
        <v>22</v>
      </c>
      <c r="YR5" s="478" t="s">
        <v>22</v>
      </c>
      <c r="YS5" s="473" t="s">
        <v>22</v>
      </c>
      <c r="YT5" s="426" t="s">
        <v>22</v>
      </c>
      <c r="YU5" s="483" t="s">
        <v>22</v>
      </c>
      <c r="YV5" s="476" t="s">
        <v>22</v>
      </c>
      <c r="YW5" s="473" t="s">
        <v>22</v>
      </c>
      <c r="YX5" s="480">
        <v>41906</v>
      </c>
      <c r="YY5" s="481" t="str">
        <f t="shared" si="15"/>
        <v>Wednesday</v>
      </c>
      <c r="YZ5" s="474">
        <v>41906</v>
      </c>
      <c r="ZA5" s="488" t="str">
        <f>CHOOSE(WEEKDAY(YZ5,2),"Monday","Tuesday","Wednesday","Thursday","Friday","Saturday","Sunday")</f>
        <v>Wednesday</v>
      </c>
      <c r="ZB5" s="476" t="s">
        <v>22</v>
      </c>
      <c r="ZC5" s="477" t="s">
        <v>22</v>
      </c>
      <c r="ZD5" s="426" t="s">
        <v>22</v>
      </c>
      <c r="ZE5" s="426" t="s">
        <v>22</v>
      </c>
      <c r="ZF5" s="476" t="s">
        <v>22</v>
      </c>
      <c r="ZG5" s="473" t="s">
        <v>22</v>
      </c>
      <c r="ZH5" s="476" t="s">
        <v>22</v>
      </c>
      <c r="ZI5" s="473" t="s">
        <v>22</v>
      </c>
      <c r="ZJ5" s="476" t="s">
        <v>22</v>
      </c>
      <c r="ZK5" s="473" t="s">
        <v>22</v>
      </c>
      <c r="ZL5" s="474">
        <v>41913</v>
      </c>
      <c r="ZM5" s="488" t="str">
        <f t="shared" si="16"/>
        <v>Wednesday</v>
      </c>
      <c r="ZN5" s="476" t="s">
        <v>22</v>
      </c>
      <c r="ZO5" s="473" t="s">
        <v>22</v>
      </c>
      <c r="ZP5" s="478" t="s">
        <v>22</v>
      </c>
      <c r="ZQ5" s="473" t="s">
        <v>22</v>
      </c>
      <c r="ZR5" s="474">
        <v>41915</v>
      </c>
      <c r="ZS5" s="479" t="str">
        <f t="shared" si="17"/>
        <v>Friday</v>
      </c>
      <c r="ZT5" s="480">
        <v>41914</v>
      </c>
      <c r="ZU5" s="484" t="str">
        <f>CHOOSE(WEEKDAY(ZT5,2),"Monday","Tuesday","Wednesday","Thursday","Friday","Saturday","Sunday")</f>
        <v>Thursday</v>
      </c>
      <c r="ZV5" s="476" t="s">
        <v>22</v>
      </c>
      <c r="ZW5" s="473" t="s">
        <v>22</v>
      </c>
      <c r="ZX5" s="474">
        <v>41916</v>
      </c>
      <c r="ZY5" s="475" t="str">
        <f>CHOOSE(WEEKDAY(ZX5,2),"Monday","Tuesday","Wednesday","Thursday","Friday","Saturday","Sunday")</f>
        <v>Saturday</v>
      </c>
      <c r="ZZ5" s="476" t="s">
        <v>22</v>
      </c>
      <c r="AAA5" s="473" t="s">
        <v>22</v>
      </c>
      <c r="AAB5" s="476" t="s">
        <v>22</v>
      </c>
      <c r="AAC5" s="473" t="s">
        <v>22</v>
      </c>
      <c r="AAD5" s="476" t="s">
        <v>22</v>
      </c>
      <c r="AAE5" s="477" t="s">
        <v>22</v>
      </c>
      <c r="AAF5" s="478" t="s">
        <v>22</v>
      </c>
      <c r="AAG5" s="473" t="s">
        <v>22</v>
      </c>
      <c r="AAH5" s="474">
        <v>41922</v>
      </c>
      <c r="AAI5" s="479" t="str">
        <f>CHOOSE(WEEKDAY(AAH5,2),"Monday","Tuesday","Wednesday","Thursday","Friday","Saturday","Sunday")</f>
        <v>Friday</v>
      </c>
      <c r="AAJ5" s="476" t="s">
        <v>22</v>
      </c>
      <c r="AAK5" s="473" t="s">
        <v>22</v>
      </c>
      <c r="AAL5" s="476" t="s">
        <v>22</v>
      </c>
      <c r="AAM5" s="473" t="s">
        <v>22</v>
      </c>
      <c r="AAN5" s="476" t="s">
        <v>22</v>
      </c>
      <c r="AAO5" s="473" t="s">
        <v>22</v>
      </c>
      <c r="AAP5" s="476" t="s">
        <v>22</v>
      </c>
      <c r="AAQ5" s="473" t="s">
        <v>22</v>
      </c>
      <c r="AAR5" s="476" t="s">
        <v>22</v>
      </c>
      <c r="AAS5" s="473" t="s">
        <v>22</v>
      </c>
      <c r="AAT5" s="426" t="s">
        <v>22</v>
      </c>
      <c r="AAU5" s="426" t="s">
        <v>22</v>
      </c>
      <c r="AAV5" s="480">
        <v>41927</v>
      </c>
      <c r="AAW5" s="481" t="str">
        <f>CHOOSE(WEEKDAY(AAV5,2),"Monday","Tuesday","Wednesday","Thursday","Friday","Saturday","Sunday")</f>
        <v>Wednesday</v>
      </c>
      <c r="AAX5" s="426" t="s">
        <v>22</v>
      </c>
      <c r="AAY5" s="426" t="s">
        <v>22</v>
      </c>
      <c r="AAZ5" s="476" t="s">
        <v>22</v>
      </c>
      <c r="ABA5" s="473" t="s">
        <v>22</v>
      </c>
      <c r="ABB5" s="478" t="s">
        <v>22</v>
      </c>
      <c r="ABC5" s="473" t="s">
        <v>22</v>
      </c>
      <c r="ABD5" s="480">
        <v>41929</v>
      </c>
      <c r="ABE5" s="482" t="str">
        <f>CHOOSE(WEEKDAY(ABD5,2),"Monday","Tuesday","Wednesday","Thursday","Friday","Saturday","Sunday")</f>
        <v>Friday</v>
      </c>
      <c r="ABF5" s="426" t="s">
        <v>22</v>
      </c>
      <c r="ABG5" s="426" t="s">
        <v>22</v>
      </c>
      <c r="ABH5" s="476" t="s">
        <v>22</v>
      </c>
      <c r="ABI5" s="473" t="s">
        <v>22</v>
      </c>
      <c r="ABJ5" s="478" t="s">
        <v>22</v>
      </c>
      <c r="ABK5" s="473" t="s">
        <v>22</v>
      </c>
      <c r="ABL5" s="476" t="s">
        <v>22</v>
      </c>
      <c r="ABM5" s="473" t="s">
        <v>22</v>
      </c>
      <c r="ABN5" s="480">
        <v>41934</v>
      </c>
      <c r="ABO5" s="481" t="str">
        <f t="shared" si="18"/>
        <v>Wednesday</v>
      </c>
      <c r="ABP5" s="426" t="s">
        <v>22</v>
      </c>
      <c r="ABQ5" s="426" t="s">
        <v>22</v>
      </c>
      <c r="ABR5" s="478" t="s">
        <v>22</v>
      </c>
      <c r="ABS5" s="473" t="s">
        <v>22</v>
      </c>
      <c r="ABT5" s="476" t="s">
        <v>22</v>
      </c>
      <c r="ABU5" s="473" t="s">
        <v>22</v>
      </c>
      <c r="ABV5" s="476" t="s">
        <v>22</v>
      </c>
      <c r="ABW5" s="473" t="s">
        <v>22</v>
      </c>
      <c r="ABX5" s="474">
        <v>41936</v>
      </c>
      <c r="ABY5" s="479" t="str">
        <f>CHOOSE(WEEKDAY(ABX5,2),"Monday","Tuesday","Wednesday","Thursday","Friday","Saturday","Sunday")</f>
        <v>Friday</v>
      </c>
      <c r="ABZ5" s="480">
        <v>41936</v>
      </c>
      <c r="ACA5" s="482" t="str">
        <f>CHOOSE(WEEKDAY(ABZ5,2),"Monday","Tuesday","Wednesday","Thursday","Friday","Saturday","Sunday")</f>
        <v>Friday</v>
      </c>
      <c r="ACB5" s="476" t="s">
        <v>22</v>
      </c>
      <c r="ACC5" s="473" t="s">
        <v>22</v>
      </c>
      <c r="ACD5" s="478" t="s">
        <v>22</v>
      </c>
      <c r="ACE5" s="473" t="s">
        <v>22</v>
      </c>
      <c r="ACF5" s="478" t="s">
        <v>22</v>
      </c>
      <c r="ACG5" s="473" t="s">
        <v>22</v>
      </c>
      <c r="ACH5" s="476" t="s">
        <v>22</v>
      </c>
      <c r="ACI5" s="473" t="s">
        <v>22</v>
      </c>
      <c r="ACJ5" s="426" t="s">
        <v>22</v>
      </c>
      <c r="ACK5" s="426" t="s">
        <v>22</v>
      </c>
      <c r="ACL5" s="262">
        <v>41707</v>
      </c>
      <c r="ACM5" s="21" t="str">
        <f t="shared" si="19"/>
        <v>Sunday</v>
      </c>
      <c r="ACN5" s="490">
        <v>41942</v>
      </c>
      <c r="ACO5" s="491" t="str">
        <f t="shared" si="20"/>
        <v>Thursday</v>
      </c>
      <c r="ACP5" s="476" t="s">
        <v>22</v>
      </c>
      <c r="ACQ5" s="473" t="s">
        <v>22</v>
      </c>
      <c r="ACR5" s="426" t="s">
        <v>22</v>
      </c>
      <c r="ACS5" s="426" t="s">
        <v>22</v>
      </c>
      <c r="ACT5" s="281">
        <v>41943</v>
      </c>
      <c r="ACU5" s="277" t="str">
        <f t="shared" si="21"/>
        <v>Friday</v>
      </c>
      <c r="ACV5" s="478" t="s">
        <v>22</v>
      </c>
      <c r="ACW5" s="473" t="s">
        <v>22</v>
      </c>
      <c r="ACX5" s="474">
        <v>41950</v>
      </c>
      <c r="ACY5" s="479" t="str">
        <f t="shared" si="22"/>
        <v>Friday</v>
      </c>
      <c r="ACZ5" s="476" t="s">
        <v>22</v>
      </c>
      <c r="ADA5" s="473" t="s">
        <v>22</v>
      </c>
      <c r="ADB5" s="476" t="s">
        <v>22</v>
      </c>
      <c r="ADC5" s="473" t="s">
        <v>22</v>
      </c>
      <c r="ADD5" s="476" t="s">
        <v>22</v>
      </c>
      <c r="ADE5" s="473" t="s">
        <v>22</v>
      </c>
      <c r="ADF5" s="478" t="s">
        <v>22</v>
      </c>
      <c r="ADG5" s="473" t="s">
        <v>22</v>
      </c>
      <c r="ADH5" s="480">
        <v>41953</v>
      </c>
      <c r="ADI5" s="467" t="str">
        <f>CHOOSE(WEEKDAY(ADH5,2),"Monday","Tuesday","Wednesday","Thursday","Friday","Saturday","Sunday")</f>
        <v>Monday</v>
      </c>
      <c r="ADJ5" s="480">
        <v>41954</v>
      </c>
      <c r="ADK5" s="485" t="str">
        <f t="shared" si="23"/>
        <v>Tuesday</v>
      </c>
      <c r="ADL5" s="474">
        <v>41954</v>
      </c>
      <c r="ADM5" s="485" t="str">
        <f>CHOOSE(WEEKDAY(ADL5,2),"Monday","Tuesday","Wednesday","Thursday","Friday","Saturday","Sunday")</f>
        <v>Tuesday</v>
      </c>
      <c r="ADN5" s="426" t="s">
        <v>22</v>
      </c>
      <c r="ADO5" s="473" t="s">
        <v>22</v>
      </c>
      <c r="ADP5" s="478" t="s">
        <v>22</v>
      </c>
      <c r="ADQ5" s="473" t="s">
        <v>22</v>
      </c>
      <c r="ADR5" s="474">
        <v>41957</v>
      </c>
      <c r="ADS5" s="482" t="str">
        <f>CHOOSE(WEEKDAY(ADR5,2),"Monday","Tuesday","Wednesday","Thursday","Friday","Saturday","Sunday")</f>
        <v>Friday</v>
      </c>
      <c r="ADT5" s="480">
        <v>41957</v>
      </c>
      <c r="ADU5" s="482" t="str">
        <f t="shared" si="24"/>
        <v>Friday</v>
      </c>
      <c r="ADV5" s="426" t="s">
        <v>22</v>
      </c>
      <c r="ADW5" s="426" t="s">
        <v>22</v>
      </c>
      <c r="ADX5" s="476" t="s">
        <v>22</v>
      </c>
      <c r="ADY5" s="477" t="s">
        <v>22</v>
      </c>
      <c r="ADZ5" s="476" t="s">
        <v>22</v>
      </c>
      <c r="AEA5" s="473" t="s">
        <v>22</v>
      </c>
      <c r="AEB5" s="480">
        <v>41962</v>
      </c>
      <c r="AEC5" s="481" t="str">
        <f t="shared" si="1"/>
        <v>Wednesday</v>
      </c>
      <c r="AED5" s="474">
        <v>41964</v>
      </c>
      <c r="AEE5" s="479" t="str">
        <f>CHOOSE(WEEKDAY(AED5,2),"Monday","Tuesday","Wednesday","Thursday","Friday","Saturday","Sunday")</f>
        <v>Friday</v>
      </c>
      <c r="AEF5" s="476" t="s">
        <v>22</v>
      </c>
      <c r="AEG5" s="477" t="s">
        <v>22</v>
      </c>
      <c r="AEH5" s="476" t="s">
        <v>22</v>
      </c>
      <c r="AEI5" s="483" t="s">
        <v>22</v>
      </c>
      <c r="AEJ5" s="476" t="s">
        <v>22</v>
      </c>
      <c r="AEK5" s="483" t="s">
        <v>22</v>
      </c>
      <c r="AEL5" s="476" t="s">
        <v>22</v>
      </c>
      <c r="AEM5" s="483" t="s">
        <v>22</v>
      </c>
      <c r="AEN5" s="480">
        <v>41970</v>
      </c>
      <c r="AEO5" s="484" t="str">
        <f>CHOOSE(WEEKDAY(AEN5,2),"Monday","Tuesday","Wednesday","Thursday","Friday","Saturday","Sunday")</f>
        <v>Thursday</v>
      </c>
      <c r="AEP5" s="476" t="s">
        <v>22</v>
      </c>
      <c r="AEQ5" s="473" t="s">
        <v>22</v>
      </c>
      <c r="AER5" s="474">
        <v>41971</v>
      </c>
      <c r="AES5" s="479" t="str">
        <f t="shared" si="25"/>
        <v>Friday</v>
      </c>
      <c r="AET5" s="480">
        <v>41971</v>
      </c>
      <c r="AEU5" s="482" t="str">
        <f>CHOOSE(WEEKDAY(AET5,2),"Monday","Tuesday","Wednesday","Thursday","Friday","Saturday","Sunday")</f>
        <v>Friday</v>
      </c>
      <c r="AEV5" s="474">
        <v>41971</v>
      </c>
      <c r="AEW5" s="479" t="str">
        <f>CHOOSE(WEEKDAY(AEV5,2),"Monday","Tuesday","Wednesday","Thursday","Friday","Saturday","Sunday")</f>
        <v>Friday</v>
      </c>
      <c r="AEX5" s="478" t="s">
        <v>22</v>
      </c>
      <c r="AEY5" s="473" t="s">
        <v>22</v>
      </c>
      <c r="AEZ5" s="476" t="s">
        <v>22</v>
      </c>
      <c r="AFA5" s="473" t="s">
        <v>22</v>
      </c>
      <c r="AFB5" s="478" t="s">
        <v>22</v>
      </c>
      <c r="AFC5" s="473" t="s">
        <v>22</v>
      </c>
      <c r="AFD5" s="480">
        <v>41968</v>
      </c>
      <c r="AFE5" s="485" t="str">
        <f t="shared" si="26"/>
        <v>Tuesday</v>
      </c>
      <c r="AFF5" s="474">
        <v>41978</v>
      </c>
      <c r="AFG5" s="479" t="str">
        <f>CHOOSE(WEEKDAY(AFF5,2),"Monday","Tuesday","Wednesday","Thursday","Friday","Saturday","Sunday")</f>
        <v>Friday</v>
      </c>
      <c r="AFH5" s="480">
        <v>41978</v>
      </c>
      <c r="AFI5" s="482" t="str">
        <f>CHOOSE(WEEKDAY(AFH5,2),"Monday","Tuesday","Wednesday","Thursday","Friday","Saturday","Sunday")</f>
        <v>Friday</v>
      </c>
      <c r="AFJ5" s="426" t="s">
        <v>22</v>
      </c>
      <c r="AFK5" s="483" t="s">
        <v>22</v>
      </c>
      <c r="AFL5" s="478" t="s">
        <v>22</v>
      </c>
      <c r="AFM5" s="473" t="s">
        <v>22</v>
      </c>
      <c r="AFN5" s="476" t="s">
        <v>22</v>
      </c>
      <c r="AFO5" s="473" t="s">
        <v>22</v>
      </c>
      <c r="AFP5" s="476" t="s">
        <v>22</v>
      </c>
      <c r="AFQ5" s="473" t="s">
        <v>22</v>
      </c>
      <c r="AFR5" s="474">
        <v>41981</v>
      </c>
      <c r="AFS5" s="486" t="str">
        <f t="shared" si="27"/>
        <v>Monday</v>
      </c>
      <c r="AFT5" s="476" t="s">
        <v>22</v>
      </c>
      <c r="AFU5" s="477" t="s">
        <v>22</v>
      </c>
      <c r="AFV5" s="426" t="s">
        <v>22</v>
      </c>
      <c r="AFW5" s="426" t="s">
        <v>22</v>
      </c>
      <c r="AFX5" s="476" t="s">
        <v>22</v>
      </c>
      <c r="AFY5" s="426" t="s">
        <v>22</v>
      </c>
      <c r="AFZ5" s="476" t="s">
        <v>22</v>
      </c>
      <c r="AGA5" s="477" t="s">
        <v>22</v>
      </c>
      <c r="AGB5" s="476" t="s">
        <v>22</v>
      </c>
      <c r="AGC5" s="473" t="s">
        <v>22</v>
      </c>
      <c r="AGD5" s="426" t="s">
        <v>22</v>
      </c>
      <c r="AGE5" s="426" t="s">
        <v>22</v>
      </c>
      <c r="AGF5" s="476" t="s">
        <v>22</v>
      </c>
      <c r="AGG5" s="477" t="s">
        <v>22</v>
      </c>
      <c r="AGH5" s="476" t="s">
        <v>22</v>
      </c>
      <c r="AGI5" s="473" t="s">
        <v>22</v>
      </c>
      <c r="AGJ5" s="426" t="s">
        <v>22</v>
      </c>
      <c r="AGK5" s="426" t="s">
        <v>22</v>
      </c>
      <c r="AGL5" s="476" t="s">
        <v>22</v>
      </c>
      <c r="AGM5" s="473" t="s">
        <v>22</v>
      </c>
      <c r="AGN5" s="476" t="s">
        <v>22</v>
      </c>
      <c r="AGO5" s="473" t="s">
        <v>22</v>
      </c>
      <c r="AGP5" s="480">
        <v>41668</v>
      </c>
      <c r="AGQ5" s="481" t="str">
        <f t="shared" si="28"/>
        <v>Wednesday</v>
      </c>
      <c r="AGR5" s="476" t="s">
        <v>22</v>
      </c>
      <c r="AGS5" s="473" t="s">
        <v>22</v>
      </c>
      <c r="AGT5" s="487" t="s">
        <v>22</v>
      </c>
      <c r="AGU5" s="473" t="s">
        <v>22</v>
      </c>
      <c r="AGV5" s="474">
        <v>41990</v>
      </c>
      <c r="AGW5" s="481" t="str">
        <f>CHOOSE(WEEKDAY(AGV5,2),"Monday","Tuesday","Wednesday","Thursday","Friday","Saturday","Sunday")</f>
        <v>Wednesday</v>
      </c>
      <c r="AGX5" s="478" t="s">
        <v>22</v>
      </c>
      <c r="AGY5" s="473" t="s">
        <v>22</v>
      </c>
      <c r="AGZ5" s="476" t="s">
        <v>22</v>
      </c>
      <c r="AHA5" s="473" t="s">
        <v>22</v>
      </c>
      <c r="AHB5" s="476" t="s">
        <v>22</v>
      </c>
      <c r="AHC5" s="477" t="s">
        <v>22</v>
      </c>
      <c r="AHD5" s="476" t="s">
        <v>22</v>
      </c>
      <c r="AHE5" s="473" t="s">
        <v>22</v>
      </c>
      <c r="AHF5" s="478" t="s">
        <v>22</v>
      </c>
      <c r="AHG5" s="473" t="s">
        <v>22</v>
      </c>
      <c r="AHH5" s="480">
        <v>41997</v>
      </c>
      <c r="AHI5" s="488" t="str">
        <f t="shared" si="29"/>
        <v>Wednesday</v>
      </c>
      <c r="AHJ5" s="476" t="s">
        <v>22</v>
      </c>
      <c r="AHK5" s="477" t="s">
        <v>22</v>
      </c>
      <c r="AHL5" s="426" t="s">
        <v>22</v>
      </c>
      <c r="AHM5" s="473" t="s">
        <v>22</v>
      </c>
      <c r="AHN5" s="476" t="s">
        <v>22</v>
      </c>
      <c r="AHO5" s="473" t="s">
        <v>22</v>
      </c>
      <c r="AHP5" s="478" t="s">
        <v>22</v>
      </c>
      <c r="AHQ5" s="473" t="s">
        <v>22</v>
      </c>
      <c r="AHR5" s="476" t="s">
        <v>22</v>
      </c>
      <c r="AHS5" s="426" t="s">
        <v>22</v>
      </c>
      <c r="AHT5" s="476" t="s">
        <v>22</v>
      </c>
      <c r="AHU5" s="426" t="s">
        <v>22</v>
      </c>
      <c r="AHV5" s="464">
        <v>42003</v>
      </c>
      <c r="AHW5" s="482" t="str">
        <f>CHOOSE(WEEKDAY(AHV5,2),"Monday","Tuesday","Wednesday","Thursday","Friday","Saturday","Sunday")</f>
        <v>Tuesday</v>
      </c>
      <c r="AHX5" s="464">
        <v>42003</v>
      </c>
      <c r="AHY5" s="482" t="str">
        <f>CHOOSE(WEEKDAY(AHX5,2),"Monday","Tuesday","Wednesday","Thursday","Friday","Saturday","Sunday")</f>
        <v>Tuesday</v>
      </c>
      <c r="AHZ5" s="480">
        <v>42003</v>
      </c>
      <c r="AIA5" s="485" t="str">
        <f t="shared" si="30"/>
        <v>Tuesday</v>
      </c>
    </row>
    <row r="6" spans="1:911" ht="15.75" customHeight="1" x14ac:dyDescent="0.2">
      <c r="A6" s="412"/>
      <c r="B6" s="417"/>
      <c r="C6" s="412"/>
      <c r="D6" s="417"/>
      <c r="E6" s="412"/>
      <c r="F6" s="417"/>
      <c r="G6" s="412"/>
      <c r="H6" s="417"/>
      <c r="I6" s="412"/>
      <c r="J6" s="417"/>
      <c r="K6" s="412"/>
      <c r="L6" s="417"/>
      <c r="M6" s="412"/>
      <c r="N6" s="417"/>
      <c r="O6" s="412"/>
      <c r="P6" s="417"/>
      <c r="Q6" s="412"/>
      <c r="R6" s="417"/>
      <c r="S6" s="412"/>
      <c r="T6" s="417"/>
      <c r="U6" s="412"/>
      <c r="V6" s="417"/>
      <c r="W6" s="412"/>
      <c r="X6" s="417"/>
      <c r="Y6" s="412"/>
      <c r="Z6" s="417"/>
      <c r="AA6" s="412"/>
      <c r="AB6" s="417"/>
      <c r="AC6" s="412"/>
      <c r="AD6" s="402"/>
      <c r="AE6" s="402"/>
      <c r="AF6" s="417"/>
      <c r="AG6" s="412"/>
      <c r="AH6" s="489">
        <v>41802</v>
      </c>
      <c r="AI6" s="484" t="str">
        <f t="shared" si="31"/>
        <v>Thursday</v>
      </c>
      <c r="AJ6" s="402"/>
      <c r="AK6" s="402"/>
      <c r="AL6" s="417"/>
      <c r="AM6" s="412"/>
      <c r="AN6" s="417"/>
      <c r="AO6" s="412"/>
      <c r="AP6" s="417"/>
      <c r="AQ6" s="412"/>
      <c r="AR6" s="417"/>
      <c r="AS6" s="412"/>
      <c r="AT6" s="417"/>
      <c r="AU6" s="412"/>
      <c r="AV6" s="402"/>
      <c r="AW6" s="402"/>
      <c r="AX6" s="417"/>
      <c r="AY6" s="412"/>
      <c r="AZ6" s="417"/>
      <c r="BA6" s="412"/>
      <c r="BB6" s="402"/>
      <c r="BC6" s="402"/>
      <c r="BD6" s="417"/>
      <c r="BE6" s="412"/>
      <c r="BF6" s="417"/>
      <c r="BG6" s="412"/>
      <c r="BH6" s="417"/>
      <c r="BI6" s="412"/>
      <c r="BJ6" s="417"/>
      <c r="BK6" s="412"/>
      <c r="BL6" s="402"/>
      <c r="BM6" s="402"/>
      <c r="BN6" s="417"/>
      <c r="BO6" s="412"/>
      <c r="BP6" s="417"/>
      <c r="BQ6" s="412"/>
      <c r="BR6" s="480">
        <v>41908</v>
      </c>
      <c r="BS6" s="482" t="str">
        <f t="shared" si="32"/>
        <v>Friday</v>
      </c>
      <c r="BT6" s="402"/>
      <c r="BU6" s="402"/>
      <c r="BV6" s="417"/>
      <c r="BW6" s="412"/>
      <c r="BX6" s="402"/>
      <c r="BY6" s="402"/>
      <c r="BZ6" s="417"/>
      <c r="CA6" s="412"/>
      <c r="CB6" s="417"/>
      <c r="CC6" s="412"/>
      <c r="CD6" s="417"/>
      <c r="CE6" s="412"/>
      <c r="CF6" s="417"/>
      <c r="CG6" s="412"/>
      <c r="CH6" s="417"/>
      <c r="CI6" s="412"/>
      <c r="CJ6" s="417"/>
      <c r="CK6" s="412"/>
      <c r="CL6" s="474">
        <v>41894</v>
      </c>
      <c r="CM6" s="479" t="str">
        <f t="shared" si="33"/>
        <v>Friday</v>
      </c>
      <c r="CN6" s="417"/>
      <c r="CO6" s="412"/>
      <c r="CP6" s="417"/>
      <c r="CQ6" s="412"/>
      <c r="CR6" s="417"/>
      <c r="CS6" s="412"/>
      <c r="CT6" s="402"/>
      <c r="CU6" s="402"/>
      <c r="CV6" s="417"/>
      <c r="CW6" s="412"/>
      <c r="CX6" s="417"/>
      <c r="CY6" s="412"/>
      <c r="CZ6" s="402"/>
      <c r="DA6" s="402"/>
      <c r="DB6" s="417"/>
      <c r="DC6" s="412"/>
      <c r="DD6" s="417"/>
      <c r="DE6" s="412"/>
      <c r="DF6" s="474">
        <v>41724</v>
      </c>
      <c r="DG6" s="488" t="str">
        <f t="shared" si="34"/>
        <v>Wednesday</v>
      </c>
      <c r="DH6" s="417"/>
      <c r="DI6" s="412"/>
      <c r="DJ6" s="417"/>
      <c r="DK6" s="412"/>
      <c r="DL6" s="480">
        <v>41901</v>
      </c>
      <c r="DM6" s="482" t="str">
        <f t="shared" si="35"/>
        <v>Friday</v>
      </c>
      <c r="DN6" s="402"/>
      <c r="DO6" s="402"/>
      <c r="DP6" s="417"/>
      <c r="DQ6" s="412"/>
      <c r="DR6" s="417"/>
      <c r="DS6" s="412"/>
      <c r="DT6" s="402"/>
      <c r="DU6" s="402"/>
      <c r="DV6" s="417"/>
      <c r="DW6" s="412"/>
      <c r="DX6" s="417"/>
      <c r="DY6" s="412"/>
      <c r="DZ6" s="402"/>
      <c r="EA6" s="402"/>
      <c r="EB6" s="417"/>
      <c r="EC6" s="412"/>
      <c r="ED6" s="402"/>
      <c r="EE6" s="402"/>
      <c r="EF6" s="417"/>
      <c r="EG6" s="412"/>
      <c r="EH6" s="417"/>
      <c r="EI6" s="412"/>
      <c r="EJ6" s="417"/>
      <c r="EK6" s="412"/>
      <c r="EL6" s="402"/>
      <c r="EM6" s="402"/>
      <c r="EN6" s="417"/>
      <c r="EO6" s="412"/>
      <c r="EP6" s="417"/>
      <c r="EQ6" s="412"/>
      <c r="ER6" s="417"/>
      <c r="ES6" s="412"/>
      <c r="ET6" s="402"/>
      <c r="EU6" s="402"/>
      <c r="EV6" s="417"/>
      <c r="EW6" s="412"/>
      <c r="EX6" s="417"/>
      <c r="EY6" s="412"/>
      <c r="EZ6" s="417"/>
      <c r="FA6" s="412"/>
      <c r="FB6" s="402"/>
      <c r="FC6" s="402"/>
      <c r="FD6" s="417"/>
      <c r="FE6" s="412"/>
      <c r="FF6" s="417"/>
      <c r="FG6" s="412"/>
      <c r="FH6" s="402"/>
      <c r="FI6" s="402"/>
      <c r="FJ6" s="417"/>
      <c r="FK6" s="412"/>
      <c r="FL6" s="417"/>
      <c r="FM6" s="412"/>
      <c r="FN6" s="417"/>
      <c r="FO6" s="412"/>
      <c r="FP6" s="402"/>
      <c r="FQ6" s="402"/>
      <c r="FR6" s="417"/>
      <c r="FS6" s="412"/>
      <c r="FT6" s="417"/>
      <c r="FU6" s="412"/>
      <c r="FV6" s="417"/>
      <c r="FW6" s="412"/>
      <c r="FX6" s="402"/>
      <c r="FY6" s="402"/>
      <c r="FZ6" s="417"/>
      <c r="GA6" s="412"/>
      <c r="GB6" s="417"/>
      <c r="GC6" s="412"/>
      <c r="GD6" s="402"/>
      <c r="GE6" s="402"/>
      <c r="GF6" s="417"/>
      <c r="GG6" s="412"/>
      <c r="GH6" s="402"/>
      <c r="GI6" s="402"/>
      <c r="GJ6" s="417"/>
      <c r="GK6" s="412"/>
      <c r="GL6" s="417"/>
      <c r="GM6" s="412"/>
      <c r="GN6" s="402"/>
      <c r="GO6" s="402"/>
      <c r="GP6" s="417"/>
      <c r="GQ6" s="412"/>
      <c r="GR6" s="417"/>
      <c r="GS6" s="412"/>
      <c r="GT6" s="417"/>
      <c r="GU6" s="412"/>
      <c r="GV6" s="402"/>
      <c r="GW6" s="402"/>
      <c r="GX6" s="417"/>
      <c r="GY6" s="412"/>
      <c r="GZ6" s="417"/>
      <c r="HA6" s="412"/>
      <c r="HB6" s="417"/>
      <c r="HC6" s="412"/>
      <c r="HD6" s="417"/>
      <c r="HE6" s="412"/>
      <c r="HF6" s="417"/>
      <c r="HG6" s="412"/>
      <c r="HH6" s="402"/>
      <c r="HI6" s="402"/>
      <c r="HJ6" s="417"/>
      <c r="HK6" s="412"/>
      <c r="HL6" s="417"/>
      <c r="HM6" s="412"/>
      <c r="HN6" s="402"/>
      <c r="HO6" s="402"/>
      <c r="HP6" s="417"/>
      <c r="HQ6" s="412"/>
      <c r="HR6" s="417"/>
      <c r="HS6" s="412"/>
      <c r="HT6" s="417"/>
      <c r="HU6" s="412"/>
      <c r="HV6" s="417"/>
      <c r="HW6" s="412"/>
      <c r="HX6" s="402"/>
      <c r="HY6" s="402"/>
      <c r="HZ6" s="417"/>
      <c r="IA6" s="412"/>
      <c r="IB6" s="417"/>
      <c r="IC6" s="412"/>
      <c r="ID6" s="417"/>
      <c r="IE6" s="412"/>
      <c r="IF6" s="402"/>
      <c r="IG6" s="402"/>
      <c r="IH6" s="417"/>
      <c r="II6" s="412"/>
      <c r="IJ6" s="417"/>
      <c r="IK6" s="412"/>
      <c r="IL6" s="417"/>
      <c r="IM6" s="412"/>
      <c r="IN6" s="417"/>
      <c r="IO6" s="412"/>
      <c r="IP6" s="402"/>
      <c r="IQ6" s="402"/>
      <c r="IR6" s="417"/>
      <c r="IS6" s="412"/>
      <c r="IT6" s="417"/>
      <c r="IU6" s="412"/>
      <c r="IV6" s="417"/>
      <c r="IW6" s="412"/>
      <c r="IX6" s="417"/>
      <c r="IY6" s="412"/>
      <c r="IZ6" s="417"/>
      <c r="JA6" s="412"/>
      <c r="JB6" s="417"/>
      <c r="JC6" s="412"/>
      <c r="JD6" s="417"/>
      <c r="JE6" s="412"/>
      <c r="JF6" s="402"/>
      <c r="JG6" s="402"/>
      <c r="JH6" s="417"/>
      <c r="JI6" s="412"/>
      <c r="JJ6" s="417"/>
      <c r="JK6" s="412"/>
      <c r="JL6" s="417"/>
      <c r="JM6" s="412"/>
      <c r="JN6" s="417"/>
      <c r="JO6" s="412"/>
      <c r="JP6" s="402"/>
      <c r="JQ6" s="402"/>
      <c r="JR6" s="417"/>
      <c r="JS6" s="412"/>
      <c r="JT6" s="417"/>
      <c r="JU6" s="412"/>
      <c r="JV6" s="417"/>
      <c r="JW6" s="412"/>
      <c r="JX6" s="417"/>
      <c r="JY6" s="412"/>
      <c r="JZ6" s="417"/>
      <c r="KA6" s="412"/>
      <c r="KB6" s="417"/>
      <c r="KC6" s="412"/>
      <c r="KD6" s="402"/>
      <c r="KE6" s="402"/>
      <c r="KF6" s="417"/>
      <c r="KG6" s="412"/>
      <c r="KH6" s="402"/>
      <c r="KI6" s="402"/>
      <c r="KJ6" s="417"/>
      <c r="KK6" s="412"/>
      <c r="KL6" s="417"/>
      <c r="KM6" s="412"/>
      <c r="KN6" s="417"/>
      <c r="KO6" s="412"/>
      <c r="KP6" s="417"/>
      <c r="KQ6" s="412"/>
      <c r="KR6" s="417"/>
      <c r="KS6" s="412"/>
      <c r="KT6" s="417"/>
      <c r="KU6" s="412"/>
      <c r="KV6" s="417"/>
      <c r="KW6" s="412"/>
      <c r="KX6" s="417"/>
      <c r="KY6" s="412"/>
      <c r="KZ6" s="417"/>
      <c r="LA6" s="412"/>
      <c r="LB6" s="417"/>
      <c r="LC6" s="412"/>
      <c r="LD6" s="402"/>
      <c r="LE6" s="402"/>
      <c r="LF6" s="417"/>
      <c r="LG6" s="412"/>
      <c r="LH6" s="417"/>
      <c r="LI6" s="412"/>
      <c r="LJ6" s="402"/>
      <c r="LK6" s="402"/>
      <c r="LL6" s="417"/>
      <c r="LM6" s="412"/>
      <c r="LN6" s="402"/>
      <c r="LO6" s="402"/>
      <c r="LP6" s="417"/>
      <c r="LQ6" s="412"/>
      <c r="LR6" s="417"/>
      <c r="LS6" s="412"/>
      <c r="LT6" s="417"/>
      <c r="LU6" s="412"/>
      <c r="LV6" s="402"/>
      <c r="LW6" s="402"/>
      <c r="LX6" s="417"/>
      <c r="LY6" s="412"/>
      <c r="LZ6" s="402"/>
      <c r="MA6" s="402"/>
      <c r="MB6" s="417"/>
      <c r="MC6" s="412"/>
      <c r="MD6" s="417"/>
      <c r="ME6" s="412"/>
      <c r="MF6" s="417"/>
      <c r="MG6" s="412"/>
      <c r="MH6" s="417"/>
      <c r="MI6" s="412"/>
      <c r="MJ6" s="417"/>
      <c r="MK6" s="412"/>
      <c r="ML6" s="402"/>
      <c r="MM6" s="402"/>
      <c r="MN6" s="417"/>
      <c r="MO6" s="412"/>
      <c r="MP6" s="417"/>
      <c r="MQ6" s="412"/>
      <c r="MR6" s="417"/>
      <c r="MS6" s="412"/>
      <c r="MT6" s="417"/>
      <c r="MU6" s="412"/>
      <c r="MV6" s="402"/>
      <c r="MW6" s="402"/>
      <c r="MX6" s="417"/>
      <c r="MY6" s="412"/>
      <c r="MZ6" s="417"/>
      <c r="NA6" s="412"/>
      <c r="NB6" s="417"/>
      <c r="NC6" s="412"/>
      <c r="ND6" s="402"/>
      <c r="NE6" s="402"/>
      <c r="NF6" s="417"/>
      <c r="NG6" s="412"/>
      <c r="NH6" s="417"/>
      <c r="NI6" s="412"/>
      <c r="NJ6" s="417"/>
      <c r="NK6" s="412"/>
      <c r="NL6" s="402"/>
      <c r="NM6" s="402"/>
      <c r="NN6" s="417"/>
      <c r="NO6" s="412"/>
      <c r="NP6" s="417"/>
      <c r="NQ6" s="412"/>
      <c r="NR6" s="402"/>
      <c r="NS6" s="412"/>
      <c r="NT6" s="417"/>
      <c r="NU6" s="412"/>
      <c r="NV6" s="417"/>
      <c r="NW6" s="412"/>
      <c r="NX6" s="417"/>
      <c r="NY6" s="412"/>
      <c r="NZ6" s="417"/>
      <c r="OA6" s="402"/>
      <c r="OB6" s="417"/>
      <c r="OC6" s="412"/>
      <c r="OD6" s="417"/>
      <c r="OE6" s="412"/>
      <c r="OF6" s="402"/>
      <c r="OG6" s="402"/>
      <c r="OH6" s="417"/>
      <c r="OI6" s="412"/>
      <c r="OJ6" s="417"/>
      <c r="OK6" s="412"/>
      <c r="OL6" s="417"/>
      <c r="OM6" s="412"/>
      <c r="ON6" s="417"/>
      <c r="OO6" s="412"/>
      <c r="OP6" s="402"/>
      <c r="OQ6" s="402"/>
      <c r="OR6" s="417"/>
      <c r="OS6" s="412"/>
      <c r="OT6" s="417"/>
      <c r="OU6" s="412"/>
      <c r="OV6" s="402"/>
      <c r="OW6" s="402"/>
      <c r="OX6" s="417"/>
      <c r="OY6" s="412"/>
      <c r="OZ6" s="417"/>
      <c r="PA6" s="412"/>
      <c r="PB6" s="417"/>
      <c r="PC6" s="412"/>
      <c r="PD6" s="417"/>
      <c r="PE6" s="412"/>
      <c r="PF6" s="417"/>
      <c r="PG6" s="412"/>
      <c r="PH6" s="402"/>
      <c r="PI6" s="402"/>
      <c r="PJ6" s="417"/>
      <c r="PK6" s="412"/>
      <c r="PL6" s="402"/>
      <c r="PM6" s="402"/>
      <c r="PN6" s="417"/>
      <c r="PO6" s="412"/>
      <c r="PP6" s="417"/>
      <c r="PQ6" s="412"/>
      <c r="PR6" s="402"/>
      <c r="PS6" s="402"/>
      <c r="PT6" s="417"/>
      <c r="PU6" s="412"/>
      <c r="PV6" s="402"/>
      <c r="PW6" s="402"/>
      <c r="PX6" s="417"/>
      <c r="PY6" s="412"/>
      <c r="PZ6" s="417"/>
      <c r="QA6" s="412"/>
      <c r="QB6" s="417"/>
      <c r="QC6" s="412"/>
      <c r="QD6" s="417"/>
      <c r="QE6" s="412"/>
      <c r="QF6" s="417"/>
      <c r="QG6" s="412"/>
      <c r="QH6" s="402"/>
      <c r="QI6" s="402"/>
      <c r="QJ6" s="417"/>
      <c r="QK6" s="412"/>
      <c r="QL6" s="417"/>
      <c r="QM6" s="412"/>
      <c r="QN6" s="402"/>
      <c r="QO6" s="402"/>
      <c r="QP6" s="417"/>
      <c r="QQ6" s="412"/>
      <c r="QR6" s="417"/>
      <c r="QS6" s="412"/>
      <c r="QT6" s="417"/>
      <c r="QU6" s="412"/>
      <c r="QV6" s="402"/>
      <c r="QW6" s="412"/>
      <c r="QX6" s="402"/>
      <c r="QY6" s="412"/>
      <c r="QZ6" s="417"/>
      <c r="RA6" s="412"/>
      <c r="RB6" s="417"/>
      <c r="RC6" s="412"/>
      <c r="RD6" s="417"/>
      <c r="RE6" s="412"/>
      <c r="RF6" s="417"/>
      <c r="RG6" s="412"/>
      <c r="RH6" s="417"/>
      <c r="RI6" s="412"/>
      <c r="RJ6" s="417"/>
      <c r="RK6" s="412"/>
      <c r="RL6" s="402"/>
      <c r="RM6" s="402"/>
      <c r="RN6" s="417"/>
      <c r="RO6" s="412"/>
      <c r="RP6" s="402"/>
      <c r="RQ6" s="402"/>
      <c r="RR6" s="417"/>
      <c r="RS6" s="412"/>
      <c r="RT6" s="417"/>
      <c r="RU6" s="412"/>
      <c r="RV6" s="402"/>
      <c r="RW6" s="402"/>
      <c r="RX6" s="417"/>
      <c r="RY6" s="412"/>
      <c r="RZ6" s="417"/>
      <c r="SA6" s="402"/>
      <c r="SB6" s="417"/>
      <c r="SC6" s="412"/>
      <c r="SD6" s="417"/>
      <c r="SE6" s="412"/>
      <c r="SF6" s="417"/>
      <c r="SG6" s="412"/>
      <c r="SH6" s="417"/>
      <c r="SI6" s="412"/>
      <c r="SJ6" s="402"/>
      <c r="SK6" s="402"/>
      <c r="SL6" s="417"/>
      <c r="SM6" s="412"/>
      <c r="SN6" s="417"/>
      <c r="SO6" s="412"/>
      <c r="SP6" s="402"/>
      <c r="SQ6" s="402"/>
      <c r="SR6" s="417"/>
      <c r="SS6" s="412"/>
      <c r="ST6" s="402"/>
      <c r="SU6" s="402"/>
      <c r="SV6" s="417"/>
      <c r="SW6" s="412"/>
      <c r="SX6" s="417"/>
      <c r="SY6" s="412"/>
      <c r="SZ6" s="417"/>
      <c r="TA6" s="412"/>
      <c r="TB6" s="417"/>
      <c r="TC6" s="412"/>
      <c r="TD6" s="402"/>
      <c r="TE6" s="402"/>
      <c r="TF6" s="417"/>
      <c r="TG6" s="412"/>
      <c r="TH6" s="417"/>
      <c r="TI6" s="412"/>
      <c r="TJ6" s="402"/>
      <c r="TK6" s="402"/>
      <c r="TL6" s="417"/>
      <c r="TM6" s="412"/>
      <c r="TN6" s="417"/>
      <c r="TO6" s="412"/>
      <c r="TP6" s="417"/>
      <c r="TQ6" s="402"/>
      <c r="TR6" s="417"/>
      <c r="TS6" s="412"/>
      <c r="TT6" s="417"/>
      <c r="TU6" s="412"/>
      <c r="TV6" s="417"/>
      <c r="TW6" s="412"/>
      <c r="TX6" s="417"/>
      <c r="TY6" s="412"/>
      <c r="TZ6" s="402"/>
      <c r="UA6" s="402"/>
      <c r="UB6" s="417"/>
      <c r="UC6" s="412"/>
      <c r="UD6" s="417"/>
      <c r="UE6" s="412"/>
      <c r="UF6" s="417"/>
      <c r="UG6" s="412"/>
      <c r="UH6" s="402"/>
      <c r="UI6" s="402"/>
      <c r="UJ6" s="417"/>
      <c r="UK6" s="412"/>
      <c r="UL6" s="417"/>
      <c r="UM6" s="412"/>
      <c r="UN6" s="417"/>
      <c r="UO6" s="412"/>
      <c r="UP6" s="417"/>
      <c r="UQ6" s="412"/>
      <c r="UR6" s="402"/>
      <c r="US6" s="402"/>
      <c r="UT6" s="417"/>
      <c r="UU6" s="412"/>
      <c r="UV6" s="417"/>
      <c r="UW6" s="412"/>
      <c r="UX6" s="417"/>
      <c r="UY6" s="412"/>
      <c r="UZ6" s="402"/>
      <c r="VA6" s="402"/>
      <c r="VB6" s="417"/>
      <c r="VC6" s="412"/>
      <c r="VD6" s="417"/>
      <c r="VE6" s="412"/>
      <c r="VF6" s="417"/>
      <c r="VG6" s="412"/>
      <c r="VH6" s="402"/>
      <c r="VI6" s="402"/>
      <c r="VJ6" s="417"/>
      <c r="VK6" s="412"/>
      <c r="VL6" s="417"/>
      <c r="VM6" s="412"/>
      <c r="VN6" s="402"/>
      <c r="VO6" s="402"/>
      <c r="VP6" s="417"/>
      <c r="VQ6" s="412"/>
      <c r="VR6" s="417"/>
      <c r="VS6" s="412"/>
      <c r="VT6" s="417"/>
      <c r="VU6" s="412"/>
      <c r="VV6" s="417"/>
      <c r="VW6" s="412"/>
      <c r="VX6" s="417"/>
      <c r="VY6" s="412"/>
      <c r="VZ6" s="402"/>
      <c r="WA6" s="402"/>
      <c r="WB6" s="417"/>
      <c r="WC6" s="412"/>
      <c r="WD6" s="417"/>
      <c r="WE6" s="412"/>
      <c r="WF6" s="417"/>
      <c r="WG6" s="412"/>
      <c r="WH6" s="417"/>
      <c r="WI6" s="412"/>
      <c r="WJ6" s="417"/>
      <c r="WK6" s="412"/>
      <c r="WL6" s="402"/>
      <c r="WM6" s="402"/>
      <c r="WN6" s="417"/>
      <c r="WO6" s="412"/>
      <c r="WP6" s="402"/>
      <c r="WQ6" s="402"/>
      <c r="WR6" s="417"/>
      <c r="WS6" s="402"/>
      <c r="WT6" s="417"/>
      <c r="WU6" s="412"/>
      <c r="WV6" s="417"/>
      <c r="WW6" s="412"/>
      <c r="WX6" s="402"/>
      <c r="WY6" s="402"/>
      <c r="WZ6" s="417"/>
      <c r="XA6" s="412"/>
      <c r="XB6" s="417"/>
      <c r="XC6" s="412"/>
      <c r="XD6" s="417"/>
      <c r="XE6" s="412"/>
      <c r="XF6" s="417"/>
      <c r="XG6" s="412"/>
      <c r="XH6" s="402"/>
      <c r="XI6" s="402"/>
      <c r="XJ6" s="417"/>
      <c r="XK6" s="412"/>
      <c r="XL6" s="402"/>
      <c r="XM6" s="412"/>
      <c r="XN6" s="417"/>
      <c r="XO6" s="412"/>
      <c r="XP6" s="417"/>
      <c r="XQ6" s="412"/>
      <c r="XR6" s="402"/>
      <c r="XS6" s="402"/>
      <c r="XT6" s="417"/>
      <c r="XU6" s="412"/>
      <c r="XV6" s="417"/>
      <c r="XW6" s="412"/>
      <c r="XX6" s="417"/>
      <c r="XY6" s="412"/>
      <c r="XZ6" s="402"/>
      <c r="YA6" s="402"/>
      <c r="YB6" s="417"/>
      <c r="YC6" s="412"/>
      <c r="YD6" s="417"/>
      <c r="YE6" s="412"/>
      <c r="YF6" s="417"/>
      <c r="YG6" s="412"/>
      <c r="YH6" s="417"/>
      <c r="YI6" s="412"/>
      <c r="YJ6" s="402"/>
      <c r="YK6" s="402"/>
      <c r="YL6" s="417"/>
      <c r="YM6" s="412"/>
      <c r="YN6" s="417"/>
      <c r="YO6" s="412"/>
      <c r="YP6" s="417"/>
      <c r="YQ6" s="412"/>
      <c r="YR6" s="417"/>
      <c r="YS6" s="412"/>
      <c r="YT6" s="402"/>
      <c r="YU6" s="402"/>
      <c r="YV6" s="417"/>
      <c r="YW6" s="412"/>
      <c r="YX6" s="417"/>
      <c r="YY6" s="412"/>
      <c r="YZ6" s="402"/>
      <c r="ZA6" s="402"/>
      <c r="ZB6" s="417"/>
      <c r="ZC6" s="412"/>
      <c r="ZD6" s="402"/>
      <c r="ZE6" s="402"/>
      <c r="ZF6" s="417"/>
      <c r="ZG6" s="412"/>
      <c r="ZH6" s="417"/>
      <c r="ZI6" s="412"/>
      <c r="ZJ6" s="417"/>
      <c r="ZK6" s="412"/>
      <c r="ZL6" s="402"/>
      <c r="ZM6" s="402"/>
      <c r="ZN6" s="417"/>
      <c r="ZO6" s="412"/>
      <c r="ZP6" s="417"/>
      <c r="ZQ6" s="412"/>
      <c r="ZR6" s="402"/>
      <c r="ZS6" s="402"/>
      <c r="ZT6" s="417"/>
      <c r="ZU6" s="412"/>
      <c r="ZV6" s="417"/>
      <c r="ZW6" s="412"/>
      <c r="ZX6" s="402"/>
      <c r="ZY6" s="402"/>
      <c r="ZZ6" s="417"/>
      <c r="AAA6" s="412"/>
      <c r="AAB6" s="417"/>
      <c r="AAC6" s="412"/>
      <c r="AAD6" s="417"/>
      <c r="AAE6" s="412"/>
      <c r="AAF6" s="417"/>
      <c r="AAG6" s="412"/>
      <c r="AAH6" s="402"/>
      <c r="AAI6" s="402"/>
      <c r="AAJ6" s="417"/>
      <c r="AAK6" s="412"/>
      <c r="AAL6" s="417"/>
      <c r="AAM6" s="412"/>
      <c r="AAN6" s="417"/>
      <c r="AAO6" s="412"/>
      <c r="AAP6" s="417"/>
      <c r="AAQ6" s="412"/>
      <c r="AAR6" s="417"/>
      <c r="AAS6" s="412"/>
      <c r="AAT6" s="402"/>
      <c r="AAU6" s="402"/>
      <c r="AAV6" s="417"/>
      <c r="AAW6" s="412"/>
      <c r="AAX6" s="402"/>
      <c r="AAY6" s="402"/>
      <c r="AAZ6" s="417"/>
      <c r="ABA6" s="412"/>
      <c r="ABB6" s="417"/>
      <c r="ABC6" s="412"/>
      <c r="ABD6" s="417"/>
      <c r="ABE6" s="412"/>
      <c r="ABF6" s="402"/>
      <c r="ABG6" s="402"/>
      <c r="ABH6" s="417"/>
      <c r="ABI6" s="412"/>
      <c r="ABJ6" s="417"/>
      <c r="ABK6" s="412"/>
      <c r="ABL6" s="417"/>
      <c r="ABM6" s="412"/>
      <c r="ABN6" s="417"/>
      <c r="ABO6" s="412"/>
      <c r="ABP6" s="402"/>
      <c r="ABQ6" s="402"/>
      <c r="ABR6" s="417"/>
      <c r="ABS6" s="412"/>
      <c r="ABT6" s="417"/>
      <c r="ABU6" s="412"/>
      <c r="ABV6" s="417"/>
      <c r="ABW6" s="412"/>
      <c r="ABX6" s="402"/>
      <c r="ABY6" s="402"/>
      <c r="ABZ6" s="417"/>
      <c r="ACA6" s="412"/>
      <c r="ACB6" s="417"/>
      <c r="ACC6" s="412"/>
      <c r="ACD6" s="417"/>
      <c r="ACE6" s="412"/>
      <c r="ACF6" s="417"/>
      <c r="ACG6" s="412"/>
      <c r="ACH6" s="417"/>
      <c r="ACI6" s="412"/>
      <c r="ACJ6" s="402"/>
      <c r="ACK6" s="402"/>
      <c r="ACL6" s="480">
        <v>41767</v>
      </c>
      <c r="ACM6" s="484" t="str">
        <f t="shared" si="19"/>
        <v>Thursday</v>
      </c>
      <c r="ACN6" s="402"/>
      <c r="ACO6" s="402"/>
      <c r="ACP6" s="417"/>
      <c r="ACQ6" s="412"/>
      <c r="ACR6" s="402"/>
      <c r="ACS6" s="402"/>
      <c r="ACT6" s="489">
        <v>41943</v>
      </c>
      <c r="ACU6" s="484" t="str">
        <f t="shared" si="21"/>
        <v>Friday</v>
      </c>
      <c r="ACV6" s="417"/>
      <c r="ACW6" s="412"/>
      <c r="ACX6" s="402"/>
      <c r="ACY6" s="402"/>
      <c r="ACZ6" s="417"/>
      <c r="ADA6" s="412"/>
      <c r="ADB6" s="417"/>
      <c r="ADC6" s="412"/>
      <c r="ADD6" s="417"/>
      <c r="ADE6" s="412"/>
      <c r="ADF6" s="417"/>
      <c r="ADG6" s="412"/>
      <c r="ADH6" s="417"/>
      <c r="ADI6" s="412"/>
      <c r="ADJ6" s="417"/>
      <c r="ADK6" s="412"/>
      <c r="ADL6" s="402"/>
      <c r="ADM6" s="412"/>
      <c r="ADN6" s="402"/>
      <c r="ADO6" s="412"/>
      <c r="ADP6" s="417"/>
      <c r="ADQ6" s="412"/>
      <c r="ADR6" s="402"/>
      <c r="ADS6" s="412"/>
      <c r="ADT6" s="417"/>
      <c r="ADU6" s="412"/>
      <c r="ADV6" s="402"/>
      <c r="ADW6" s="402"/>
      <c r="ADX6" s="417"/>
      <c r="ADY6" s="412"/>
      <c r="ADZ6" s="417"/>
      <c r="AEA6" s="412"/>
      <c r="AEB6" s="417"/>
      <c r="AEC6" s="412"/>
      <c r="AED6" s="402"/>
      <c r="AEE6" s="402"/>
      <c r="AEF6" s="417"/>
      <c r="AEG6" s="412"/>
      <c r="AEH6" s="417"/>
      <c r="AEI6" s="402"/>
      <c r="AEJ6" s="417"/>
      <c r="AEK6" s="402"/>
      <c r="AEL6" s="417"/>
      <c r="AEM6" s="402"/>
      <c r="AEN6" s="417"/>
      <c r="AEO6" s="412"/>
      <c r="AEP6" s="417"/>
      <c r="AEQ6" s="412"/>
      <c r="AER6" s="402"/>
      <c r="AES6" s="402"/>
      <c r="AET6" s="417"/>
      <c r="AEU6" s="412"/>
      <c r="AEV6" s="402"/>
      <c r="AEW6" s="402"/>
      <c r="AEX6" s="417"/>
      <c r="AEY6" s="412"/>
      <c r="AEZ6" s="417"/>
      <c r="AFA6" s="412"/>
      <c r="AFB6" s="417"/>
      <c r="AFC6" s="412"/>
      <c r="AFD6" s="417"/>
      <c r="AFE6" s="412"/>
      <c r="AFF6" s="402"/>
      <c r="AFG6" s="402"/>
      <c r="AFH6" s="417"/>
      <c r="AFI6" s="412"/>
      <c r="AFJ6" s="402"/>
      <c r="AFK6" s="402"/>
      <c r="AFL6" s="417"/>
      <c r="AFM6" s="412"/>
      <c r="AFN6" s="417"/>
      <c r="AFO6" s="412"/>
      <c r="AFP6" s="417"/>
      <c r="AFQ6" s="412"/>
      <c r="AFR6" s="402"/>
      <c r="AFS6" s="402"/>
      <c r="AFT6" s="417"/>
      <c r="AFU6" s="412"/>
      <c r="AFV6" s="402"/>
      <c r="AFW6" s="402"/>
      <c r="AFX6" s="417"/>
      <c r="AFY6" s="402"/>
      <c r="AFZ6" s="417"/>
      <c r="AGA6" s="412"/>
      <c r="AGB6" s="417"/>
      <c r="AGC6" s="412"/>
      <c r="AGD6" s="402"/>
      <c r="AGE6" s="402"/>
      <c r="AGF6" s="417"/>
      <c r="AGG6" s="412"/>
      <c r="AGH6" s="417"/>
      <c r="AGI6" s="412"/>
      <c r="AGJ6" s="402"/>
      <c r="AGK6" s="402"/>
      <c r="AGL6" s="417"/>
      <c r="AGM6" s="412"/>
      <c r="AGN6" s="417"/>
      <c r="AGO6" s="412"/>
      <c r="AGP6" s="417"/>
      <c r="AGQ6" s="412"/>
      <c r="AGR6" s="417"/>
      <c r="AGS6" s="412"/>
      <c r="AGT6" s="417"/>
      <c r="AGU6" s="412"/>
      <c r="AGV6" s="402"/>
      <c r="AGW6" s="412"/>
      <c r="AGX6" s="417"/>
      <c r="AGY6" s="412"/>
      <c r="AGZ6" s="417"/>
      <c r="AHA6" s="412"/>
      <c r="AHB6" s="417"/>
      <c r="AHC6" s="412"/>
      <c r="AHD6" s="417"/>
      <c r="AHE6" s="412"/>
      <c r="AHF6" s="417"/>
      <c r="AHG6" s="412"/>
      <c r="AHH6" s="417"/>
      <c r="AHI6" s="402"/>
      <c r="AHJ6" s="417"/>
      <c r="AHK6" s="412"/>
      <c r="AHL6" s="402"/>
      <c r="AHM6" s="412"/>
      <c r="AHN6" s="417"/>
      <c r="AHO6" s="412"/>
      <c r="AHP6" s="417"/>
      <c r="AHQ6" s="412"/>
      <c r="AHR6" s="417"/>
      <c r="AHS6" s="402"/>
      <c r="AHT6" s="417"/>
      <c r="AHU6" s="402"/>
      <c r="AHV6" s="417"/>
      <c r="AHW6" s="412"/>
      <c r="AHX6" s="417"/>
      <c r="AHY6" s="412"/>
      <c r="AHZ6" s="417"/>
      <c r="AIA6" s="412"/>
    </row>
    <row r="7" spans="1:911" ht="15.75" customHeight="1" x14ac:dyDescent="0.2">
      <c r="A7" s="412"/>
      <c r="B7" s="417"/>
      <c r="C7" s="412"/>
      <c r="D7" s="417"/>
      <c r="E7" s="412"/>
      <c r="F7" s="417"/>
      <c r="G7" s="412"/>
      <c r="H7" s="417"/>
      <c r="I7" s="412"/>
      <c r="J7" s="417"/>
      <c r="K7" s="412"/>
      <c r="L7" s="417"/>
      <c r="M7" s="412"/>
      <c r="N7" s="417"/>
      <c r="O7" s="412"/>
      <c r="P7" s="417"/>
      <c r="Q7" s="412"/>
      <c r="R7" s="417"/>
      <c r="S7" s="412"/>
      <c r="T7" s="417"/>
      <c r="U7" s="412"/>
      <c r="V7" s="417"/>
      <c r="W7" s="412"/>
      <c r="X7" s="417"/>
      <c r="Y7" s="412"/>
      <c r="Z7" s="417"/>
      <c r="AA7" s="412"/>
      <c r="AB7" s="417"/>
      <c r="AC7" s="412"/>
      <c r="AD7" s="402"/>
      <c r="AE7" s="402"/>
      <c r="AF7" s="417"/>
      <c r="AG7" s="412"/>
      <c r="AH7" s="417"/>
      <c r="AI7" s="412"/>
      <c r="AJ7" s="402"/>
      <c r="AK7" s="402"/>
      <c r="AL7" s="417"/>
      <c r="AM7" s="412"/>
      <c r="AN7" s="417"/>
      <c r="AO7" s="412"/>
      <c r="AP7" s="417"/>
      <c r="AQ7" s="412"/>
      <c r="AR7" s="417"/>
      <c r="AS7" s="412"/>
      <c r="AT7" s="417"/>
      <c r="AU7" s="412"/>
      <c r="AV7" s="402"/>
      <c r="AW7" s="402"/>
      <c r="AX7" s="417"/>
      <c r="AY7" s="412"/>
      <c r="AZ7" s="417"/>
      <c r="BA7" s="412"/>
      <c r="BB7" s="402"/>
      <c r="BC7" s="402"/>
      <c r="BD7" s="417"/>
      <c r="BE7" s="412"/>
      <c r="BF7" s="417"/>
      <c r="BG7" s="412"/>
      <c r="BH7" s="417"/>
      <c r="BI7" s="412"/>
      <c r="BJ7" s="417"/>
      <c r="BK7" s="412"/>
      <c r="BL7" s="402"/>
      <c r="BM7" s="402"/>
      <c r="BN7" s="417"/>
      <c r="BO7" s="412"/>
      <c r="BP7" s="417"/>
      <c r="BQ7" s="412"/>
      <c r="BR7" s="417"/>
      <c r="BS7" s="412"/>
      <c r="BT7" s="402"/>
      <c r="BU7" s="402"/>
      <c r="BV7" s="417"/>
      <c r="BW7" s="412"/>
      <c r="BX7" s="402"/>
      <c r="BY7" s="402"/>
      <c r="BZ7" s="417"/>
      <c r="CA7" s="412"/>
      <c r="CB7" s="417"/>
      <c r="CC7" s="412"/>
      <c r="CD7" s="417"/>
      <c r="CE7" s="412"/>
      <c r="CF7" s="417"/>
      <c r="CG7" s="412"/>
      <c r="CH7" s="417"/>
      <c r="CI7" s="412"/>
      <c r="CJ7" s="417"/>
      <c r="CK7" s="412"/>
      <c r="CL7" s="402"/>
      <c r="CM7" s="402"/>
      <c r="CN7" s="417"/>
      <c r="CO7" s="412"/>
      <c r="CP7" s="417"/>
      <c r="CQ7" s="412"/>
      <c r="CR7" s="417"/>
      <c r="CS7" s="412"/>
      <c r="CT7" s="402"/>
      <c r="CU7" s="402"/>
      <c r="CV7" s="417"/>
      <c r="CW7" s="412"/>
      <c r="CX7" s="417"/>
      <c r="CY7" s="412"/>
      <c r="CZ7" s="402"/>
      <c r="DA7" s="402"/>
      <c r="DB7" s="417"/>
      <c r="DC7" s="412"/>
      <c r="DD7" s="417"/>
      <c r="DE7" s="412"/>
      <c r="DF7" s="402"/>
      <c r="DG7" s="402"/>
      <c r="DH7" s="417"/>
      <c r="DI7" s="412"/>
      <c r="DJ7" s="417"/>
      <c r="DK7" s="412"/>
      <c r="DL7" s="417"/>
      <c r="DM7" s="412"/>
      <c r="DN7" s="402"/>
      <c r="DO7" s="402"/>
      <c r="DP7" s="417"/>
      <c r="DQ7" s="412"/>
      <c r="DR7" s="417"/>
      <c r="DS7" s="412"/>
      <c r="DT7" s="402"/>
      <c r="DU7" s="402"/>
      <c r="DV7" s="417"/>
      <c r="DW7" s="412"/>
      <c r="DX7" s="417"/>
      <c r="DY7" s="412"/>
      <c r="DZ7" s="402"/>
      <c r="EA7" s="402"/>
      <c r="EB7" s="417"/>
      <c r="EC7" s="412"/>
      <c r="ED7" s="402"/>
      <c r="EE7" s="402"/>
      <c r="EF7" s="417"/>
      <c r="EG7" s="412"/>
      <c r="EH7" s="417"/>
      <c r="EI7" s="412"/>
      <c r="EJ7" s="417"/>
      <c r="EK7" s="412"/>
      <c r="EL7" s="402"/>
      <c r="EM7" s="402"/>
      <c r="EN7" s="417"/>
      <c r="EO7" s="412"/>
      <c r="EP7" s="417"/>
      <c r="EQ7" s="412"/>
      <c r="ER7" s="417"/>
      <c r="ES7" s="412"/>
      <c r="ET7" s="402"/>
      <c r="EU7" s="402"/>
      <c r="EV7" s="417"/>
      <c r="EW7" s="412"/>
      <c r="EX7" s="417"/>
      <c r="EY7" s="412"/>
      <c r="EZ7" s="417"/>
      <c r="FA7" s="412"/>
      <c r="FB7" s="402"/>
      <c r="FC7" s="402"/>
      <c r="FD7" s="417"/>
      <c r="FE7" s="412"/>
      <c r="FF7" s="417"/>
      <c r="FG7" s="412"/>
      <c r="FH7" s="402"/>
      <c r="FI7" s="402"/>
      <c r="FJ7" s="417"/>
      <c r="FK7" s="412"/>
      <c r="FL7" s="417"/>
      <c r="FM7" s="412"/>
      <c r="FN7" s="417"/>
      <c r="FO7" s="412"/>
      <c r="FP7" s="402"/>
      <c r="FQ7" s="402"/>
      <c r="FR7" s="417"/>
      <c r="FS7" s="412"/>
      <c r="FT7" s="417"/>
      <c r="FU7" s="412"/>
      <c r="FV7" s="417"/>
      <c r="FW7" s="412"/>
      <c r="FX7" s="402"/>
      <c r="FY7" s="402"/>
      <c r="FZ7" s="417"/>
      <c r="GA7" s="412"/>
      <c r="GB7" s="417"/>
      <c r="GC7" s="412"/>
      <c r="GD7" s="402"/>
      <c r="GE7" s="402"/>
      <c r="GF7" s="417"/>
      <c r="GG7" s="412"/>
      <c r="GH7" s="402"/>
      <c r="GI7" s="402"/>
      <c r="GJ7" s="417"/>
      <c r="GK7" s="412"/>
      <c r="GL7" s="417"/>
      <c r="GM7" s="412"/>
      <c r="GN7" s="402"/>
      <c r="GO7" s="402"/>
      <c r="GP7" s="417"/>
      <c r="GQ7" s="412"/>
      <c r="GR7" s="417"/>
      <c r="GS7" s="412"/>
      <c r="GT7" s="417"/>
      <c r="GU7" s="412"/>
      <c r="GV7" s="402"/>
      <c r="GW7" s="402"/>
      <c r="GX7" s="417"/>
      <c r="GY7" s="412"/>
      <c r="GZ7" s="417"/>
      <c r="HA7" s="412"/>
      <c r="HB7" s="417"/>
      <c r="HC7" s="412"/>
      <c r="HD7" s="417"/>
      <c r="HE7" s="412"/>
      <c r="HF7" s="417"/>
      <c r="HG7" s="412"/>
      <c r="HH7" s="402"/>
      <c r="HI7" s="402"/>
      <c r="HJ7" s="417"/>
      <c r="HK7" s="412"/>
      <c r="HL7" s="417"/>
      <c r="HM7" s="412"/>
      <c r="HN7" s="402"/>
      <c r="HO7" s="402"/>
      <c r="HP7" s="417"/>
      <c r="HQ7" s="412"/>
      <c r="HR7" s="417"/>
      <c r="HS7" s="412"/>
      <c r="HT7" s="417"/>
      <c r="HU7" s="412"/>
      <c r="HV7" s="417"/>
      <c r="HW7" s="412"/>
      <c r="HX7" s="402"/>
      <c r="HY7" s="402"/>
      <c r="HZ7" s="417"/>
      <c r="IA7" s="412"/>
      <c r="IB7" s="417"/>
      <c r="IC7" s="412"/>
      <c r="ID7" s="417"/>
      <c r="IE7" s="412"/>
      <c r="IF7" s="402"/>
      <c r="IG7" s="402"/>
      <c r="IH7" s="417"/>
      <c r="II7" s="412"/>
      <c r="IJ7" s="417"/>
      <c r="IK7" s="412"/>
      <c r="IL7" s="417"/>
      <c r="IM7" s="412"/>
      <c r="IN7" s="417"/>
      <c r="IO7" s="412"/>
      <c r="IP7" s="402"/>
      <c r="IQ7" s="402"/>
      <c r="IR7" s="417"/>
      <c r="IS7" s="412"/>
      <c r="IT7" s="417"/>
      <c r="IU7" s="412"/>
      <c r="IV7" s="417"/>
      <c r="IW7" s="412"/>
      <c r="IX7" s="417"/>
      <c r="IY7" s="412"/>
      <c r="IZ7" s="417"/>
      <c r="JA7" s="412"/>
      <c r="JB7" s="417"/>
      <c r="JC7" s="412"/>
      <c r="JD7" s="417"/>
      <c r="JE7" s="412"/>
      <c r="JF7" s="402"/>
      <c r="JG7" s="402"/>
      <c r="JH7" s="417"/>
      <c r="JI7" s="412"/>
      <c r="JJ7" s="417"/>
      <c r="JK7" s="412"/>
      <c r="JL7" s="417"/>
      <c r="JM7" s="412"/>
      <c r="JN7" s="417"/>
      <c r="JO7" s="412"/>
      <c r="JP7" s="402"/>
      <c r="JQ7" s="402"/>
      <c r="JR7" s="417"/>
      <c r="JS7" s="412"/>
      <c r="JT7" s="417"/>
      <c r="JU7" s="412"/>
      <c r="JV7" s="417"/>
      <c r="JW7" s="412"/>
      <c r="JX7" s="417"/>
      <c r="JY7" s="412"/>
      <c r="JZ7" s="417"/>
      <c r="KA7" s="412"/>
      <c r="KB7" s="417"/>
      <c r="KC7" s="412"/>
      <c r="KD7" s="402"/>
      <c r="KE7" s="402"/>
      <c r="KF7" s="417"/>
      <c r="KG7" s="412"/>
      <c r="KH7" s="402"/>
      <c r="KI7" s="402"/>
      <c r="KJ7" s="417"/>
      <c r="KK7" s="412"/>
      <c r="KL7" s="417"/>
      <c r="KM7" s="412"/>
      <c r="KN7" s="417"/>
      <c r="KO7" s="412"/>
      <c r="KP7" s="417"/>
      <c r="KQ7" s="412"/>
      <c r="KR7" s="417"/>
      <c r="KS7" s="412"/>
      <c r="KT7" s="417"/>
      <c r="KU7" s="412"/>
      <c r="KV7" s="417"/>
      <c r="KW7" s="412"/>
      <c r="KX7" s="417"/>
      <c r="KY7" s="412"/>
      <c r="KZ7" s="417"/>
      <c r="LA7" s="412"/>
      <c r="LB7" s="417"/>
      <c r="LC7" s="412"/>
      <c r="LD7" s="402"/>
      <c r="LE7" s="402"/>
      <c r="LF7" s="417"/>
      <c r="LG7" s="412"/>
      <c r="LH7" s="417"/>
      <c r="LI7" s="412"/>
      <c r="LJ7" s="402"/>
      <c r="LK7" s="402"/>
      <c r="LL7" s="417"/>
      <c r="LM7" s="412"/>
      <c r="LN7" s="402"/>
      <c r="LO7" s="402"/>
      <c r="LP7" s="417"/>
      <c r="LQ7" s="412"/>
      <c r="LR7" s="417"/>
      <c r="LS7" s="412"/>
      <c r="LT7" s="417"/>
      <c r="LU7" s="412"/>
      <c r="LV7" s="402"/>
      <c r="LW7" s="402"/>
      <c r="LX7" s="417"/>
      <c r="LY7" s="412"/>
      <c r="LZ7" s="402"/>
      <c r="MA7" s="402"/>
      <c r="MB7" s="417"/>
      <c r="MC7" s="412"/>
      <c r="MD7" s="417"/>
      <c r="ME7" s="412"/>
      <c r="MF7" s="417"/>
      <c r="MG7" s="412"/>
      <c r="MH7" s="417"/>
      <c r="MI7" s="412"/>
      <c r="MJ7" s="417"/>
      <c r="MK7" s="412"/>
      <c r="ML7" s="402"/>
      <c r="MM7" s="402"/>
      <c r="MN7" s="417"/>
      <c r="MO7" s="412"/>
      <c r="MP7" s="417"/>
      <c r="MQ7" s="412"/>
      <c r="MR7" s="417"/>
      <c r="MS7" s="412"/>
      <c r="MT7" s="417"/>
      <c r="MU7" s="412"/>
      <c r="MV7" s="402"/>
      <c r="MW7" s="402"/>
      <c r="MX7" s="417"/>
      <c r="MY7" s="412"/>
      <c r="MZ7" s="417"/>
      <c r="NA7" s="412"/>
      <c r="NB7" s="417"/>
      <c r="NC7" s="412"/>
      <c r="ND7" s="402"/>
      <c r="NE7" s="402"/>
      <c r="NF7" s="417"/>
      <c r="NG7" s="412"/>
      <c r="NH7" s="417"/>
      <c r="NI7" s="412"/>
      <c r="NJ7" s="417"/>
      <c r="NK7" s="412"/>
      <c r="NL7" s="402"/>
      <c r="NM7" s="402"/>
      <c r="NN7" s="417"/>
      <c r="NO7" s="412"/>
      <c r="NP7" s="417"/>
      <c r="NQ7" s="412"/>
      <c r="NR7" s="402"/>
      <c r="NS7" s="412"/>
      <c r="NT7" s="417"/>
      <c r="NU7" s="412"/>
      <c r="NV7" s="417"/>
      <c r="NW7" s="412"/>
      <c r="NX7" s="417"/>
      <c r="NY7" s="412"/>
      <c r="NZ7" s="417"/>
      <c r="OA7" s="402"/>
      <c r="OB7" s="417"/>
      <c r="OC7" s="412"/>
      <c r="OD7" s="417"/>
      <c r="OE7" s="412"/>
      <c r="OF7" s="402"/>
      <c r="OG7" s="402"/>
      <c r="OH7" s="417"/>
      <c r="OI7" s="412"/>
      <c r="OJ7" s="417"/>
      <c r="OK7" s="412"/>
      <c r="OL7" s="417"/>
      <c r="OM7" s="412"/>
      <c r="ON7" s="417"/>
      <c r="OO7" s="412"/>
      <c r="OP7" s="402"/>
      <c r="OQ7" s="402"/>
      <c r="OR7" s="417"/>
      <c r="OS7" s="412"/>
      <c r="OT7" s="417"/>
      <c r="OU7" s="412"/>
      <c r="OV7" s="402"/>
      <c r="OW7" s="402"/>
      <c r="OX7" s="417"/>
      <c r="OY7" s="412"/>
      <c r="OZ7" s="417"/>
      <c r="PA7" s="412"/>
      <c r="PB7" s="417"/>
      <c r="PC7" s="412"/>
      <c r="PD7" s="417"/>
      <c r="PE7" s="412"/>
      <c r="PF7" s="417"/>
      <c r="PG7" s="412"/>
      <c r="PH7" s="402"/>
      <c r="PI7" s="402"/>
      <c r="PJ7" s="417"/>
      <c r="PK7" s="412"/>
      <c r="PL7" s="402"/>
      <c r="PM7" s="402"/>
      <c r="PN7" s="417"/>
      <c r="PO7" s="412"/>
      <c r="PP7" s="417"/>
      <c r="PQ7" s="412"/>
      <c r="PR7" s="402"/>
      <c r="PS7" s="402"/>
      <c r="PT7" s="417"/>
      <c r="PU7" s="412"/>
      <c r="PV7" s="402"/>
      <c r="PW7" s="402"/>
      <c r="PX7" s="417"/>
      <c r="PY7" s="412"/>
      <c r="PZ7" s="417"/>
      <c r="QA7" s="412"/>
      <c r="QB7" s="417"/>
      <c r="QC7" s="412"/>
      <c r="QD7" s="417"/>
      <c r="QE7" s="412"/>
      <c r="QF7" s="417"/>
      <c r="QG7" s="412"/>
      <c r="QH7" s="402"/>
      <c r="QI7" s="402"/>
      <c r="QJ7" s="417"/>
      <c r="QK7" s="412"/>
      <c r="QL7" s="417"/>
      <c r="QM7" s="412"/>
      <c r="QN7" s="402"/>
      <c r="QO7" s="402"/>
      <c r="QP7" s="417"/>
      <c r="QQ7" s="412"/>
      <c r="QR7" s="417"/>
      <c r="QS7" s="412"/>
      <c r="QT7" s="417"/>
      <c r="QU7" s="412"/>
      <c r="QV7" s="402"/>
      <c r="QW7" s="412"/>
      <c r="QX7" s="402"/>
      <c r="QY7" s="412"/>
      <c r="QZ7" s="417"/>
      <c r="RA7" s="412"/>
      <c r="RB7" s="417"/>
      <c r="RC7" s="412"/>
      <c r="RD7" s="417"/>
      <c r="RE7" s="412"/>
      <c r="RF7" s="417"/>
      <c r="RG7" s="412"/>
      <c r="RH7" s="417"/>
      <c r="RI7" s="412"/>
      <c r="RJ7" s="417"/>
      <c r="RK7" s="412"/>
      <c r="RL7" s="402"/>
      <c r="RM7" s="402"/>
      <c r="RN7" s="417"/>
      <c r="RO7" s="412"/>
      <c r="RP7" s="402"/>
      <c r="RQ7" s="402"/>
      <c r="RR7" s="417"/>
      <c r="RS7" s="412"/>
      <c r="RT7" s="417"/>
      <c r="RU7" s="412"/>
      <c r="RV7" s="402"/>
      <c r="RW7" s="402"/>
      <c r="RX7" s="417"/>
      <c r="RY7" s="412"/>
      <c r="RZ7" s="417"/>
      <c r="SA7" s="402"/>
      <c r="SB7" s="417"/>
      <c r="SC7" s="412"/>
      <c r="SD7" s="417"/>
      <c r="SE7" s="412"/>
      <c r="SF7" s="417"/>
      <c r="SG7" s="412"/>
      <c r="SH7" s="417"/>
      <c r="SI7" s="412"/>
      <c r="SJ7" s="402"/>
      <c r="SK7" s="402"/>
      <c r="SL7" s="417"/>
      <c r="SM7" s="412"/>
      <c r="SN7" s="417"/>
      <c r="SO7" s="412"/>
      <c r="SP7" s="402"/>
      <c r="SQ7" s="402"/>
      <c r="SR7" s="417"/>
      <c r="SS7" s="412"/>
      <c r="ST7" s="402"/>
      <c r="SU7" s="402"/>
      <c r="SV7" s="417"/>
      <c r="SW7" s="412"/>
      <c r="SX7" s="417"/>
      <c r="SY7" s="412"/>
      <c r="SZ7" s="417"/>
      <c r="TA7" s="412"/>
      <c r="TB7" s="417"/>
      <c r="TC7" s="412"/>
      <c r="TD7" s="402"/>
      <c r="TE7" s="402"/>
      <c r="TF7" s="417"/>
      <c r="TG7" s="412"/>
      <c r="TH7" s="417"/>
      <c r="TI7" s="412"/>
      <c r="TJ7" s="402"/>
      <c r="TK7" s="402"/>
      <c r="TL7" s="417"/>
      <c r="TM7" s="412"/>
      <c r="TN7" s="417"/>
      <c r="TO7" s="412"/>
      <c r="TP7" s="417"/>
      <c r="TQ7" s="402"/>
      <c r="TR7" s="417"/>
      <c r="TS7" s="412"/>
      <c r="TT7" s="417"/>
      <c r="TU7" s="412"/>
      <c r="TV7" s="417"/>
      <c r="TW7" s="412"/>
      <c r="TX7" s="417"/>
      <c r="TY7" s="412"/>
      <c r="TZ7" s="402"/>
      <c r="UA7" s="402"/>
      <c r="UB7" s="417"/>
      <c r="UC7" s="412"/>
      <c r="UD7" s="417"/>
      <c r="UE7" s="412"/>
      <c r="UF7" s="417"/>
      <c r="UG7" s="412"/>
      <c r="UH7" s="402"/>
      <c r="UI7" s="402"/>
      <c r="UJ7" s="417"/>
      <c r="UK7" s="412"/>
      <c r="UL7" s="417"/>
      <c r="UM7" s="412"/>
      <c r="UN7" s="417"/>
      <c r="UO7" s="412"/>
      <c r="UP7" s="417"/>
      <c r="UQ7" s="412"/>
      <c r="UR7" s="402"/>
      <c r="US7" s="402"/>
      <c r="UT7" s="417"/>
      <c r="UU7" s="412"/>
      <c r="UV7" s="417"/>
      <c r="UW7" s="412"/>
      <c r="UX7" s="417"/>
      <c r="UY7" s="412"/>
      <c r="UZ7" s="402"/>
      <c r="VA7" s="402"/>
      <c r="VB7" s="417"/>
      <c r="VC7" s="412"/>
      <c r="VD7" s="417"/>
      <c r="VE7" s="412"/>
      <c r="VF7" s="417"/>
      <c r="VG7" s="412"/>
      <c r="VH7" s="402"/>
      <c r="VI7" s="402"/>
      <c r="VJ7" s="417"/>
      <c r="VK7" s="412"/>
      <c r="VL7" s="417"/>
      <c r="VM7" s="412"/>
      <c r="VN7" s="402"/>
      <c r="VO7" s="402"/>
      <c r="VP7" s="417"/>
      <c r="VQ7" s="412"/>
      <c r="VR7" s="417"/>
      <c r="VS7" s="412"/>
      <c r="VT7" s="417"/>
      <c r="VU7" s="412"/>
      <c r="VV7" s="417"/>
      <c r="VW7" s="412"/>
      <c r="VX7" s="417"/>
      <c r="VY7" s="412"/>
      <c r="VZ7" s="402"/>
      <c r="WA7" s="402"/>
      <c r="WB7" s="417"/>
      <c r="WC7" s="412"/>
      <c r="WD7" s="417"/>
      <c r="WE7" s="412"/>
      <c r="WF7" s="417"/>
      <c r="WG7" s="412"/>
      <c r="WH7" s="417"/>
      <c r="WI7" s="412"/>
      <c r="WJ7" s="417"/>
      <c r="WK7" s="412"/>
      <c r="WL7" s="402"/>
      <c r="WM7" s="402"/>
      <c r="WN7" s="417"/>
      <c r="WO7" s="412"/>
      <c r="WP7" s="402"/>
      <c r="WQ7" s="402"/>
      <c r="WR7" s="417"/>
      <c r="WS7" s="402"/>
      <c r="WT7" s="417"/>
      <c r="WU7" s="412"/>
      <c r="WV7" s="417"/>
      <c r="WW7" s="412"/>
      <c r="WX7" s="402"/>
      <c r="WY7" s="402"/>
      <c r="WZ7" s="417"/>
      <c r="XA7" s="412"/>
      <c r="XB7" s="417"/>
      <c r="XC7" s="412"/>
      <c r="XD7" s="417"/>
      <c r="XE7" s="412"/>
      <c r="XF7" s="417"/>
      <c r="XG7" s="412"/>
      <c r="XH7" s="402"/>
      <c r="XI7" s="402"/>
      <c r="XJ7" s="417"/>
      <c r="XK7" s="412"/>
      <c r="XL7" s="402"/>
      <c r="XM7" s="412"/>
      <c r="XN7" s="417"/>
      <c r="XO7" s="412"/>
      <c r="XP7" s="417"/>
      <c r="XQ7" s="412"/>
      <c r="XR7" s="402"/>
      <c r="XS7" s="402"/>
      <c r="XT7" s="417"/>
      <c r="XU7" s="412"/>
      <c r="XV7" s="417"/>
      <c r="XW7" s="412"/>
      <c r="XX7" s="417"/>
      <c r="XY7" s="412"/>
      <c r="XZ7" s="402"/>
      <c r="YA7" s="402"/>
      <c r="YB7" s="417"/>
      <c r="YC7" s="412"/>
      <c r="YD7" s="417"/>
      <c r="YE7" s="412"/>
      <c r="YF7" s="417"/>
      <c r="YG7" s="412"/>
      <c r="YH7" s="417"/>
      <c r="YI7" s="412"/>
      <c r="YJ7" s="402"/>
      <c r="YK7" s="402"/>
      <c r="YL7" s="417"/>
      <c r="YM7" s="412"/>
      <c r="YN7" s="417"/>
      <c r="YO7" s="412"/>
      <c r="YP7" s="417"/>
      <c r="YQ7" s="412"/>
      <c r="YR7" s="417"/>
      <c r="YS7" s="412"/>
      <c r="YT7" s="402"/>
      <c r="YU7" s="402"/>
      <c r="YV7" s="417"/>
      <c r="YW7" s="412"/>
      <c r="YX7" s="417"/>
      <c r="YY7" s="412"/>
      <c r="YZ7" s="402"/>
      <c r="ZA7" s="402"/>
      <c r="ZB7" s="417"/>
      <c r="ZC7" s="412"/>
      <c r="ZD7" s="402"/>
      <c r="ZE7" s="402"/>
      <c r="ZF7" s="417"/>
      <c r="ZG7" s="412"/>
      <c r="ZH7" s="417"/>
      <c r="ZI7" s="412"/>
      <c r="ZJ7" s="417"/>
      <c r="ZK7" s="412"/>
      <c r="ZL7" s="402"/>
      <c r="ZM7" s="402"/>
      <c r="ZN7" s="417"/>
      <c r="ZO7" s="412"/>
      <c r="ZP7" s="417"/>
      <c r="ZQ7" s="412"/>
      <c r="ZR7" s="402"/>
      <c r="ZS7" s="402"/>
      <c r="ZT7" s="417"/>
      <c r="ZU7" s="412"/>
      <c r="ZV7" s="417"/>
      <c r="ZW7" s="412"/>
      <c r="ZX7" s="402"/>
      <c r="ZY7" s="402"/>
      <c r="ZZ7" s="417"/>
      <c r="AAA7" s="412"/>
      <c r="AAB7" s="417"/>
      <c r="AAC7" s="412"/>
      <c r="AAD7" s="417"/>
      <c r="AAE7" s="412"/>
      <c r="AAF7" s="417"/>
      <c r="AAG7" s="412"/>
      <c r="AAH7" s="402"/>
      <c r="AAI7" s="402"/>
      <c r="AAJ7" s="417"/>
      <c r="AAK7" s="412"/>
      <c r="AAL7" s="417"/>
      <c r="AAM7" s="412"/>
      <c r="AAN7" s="417"/>
      <c r="AAO7" s="412"/>
      <c r="AAP7" s="417"/>
      <c r="AAQ7" s="412"/>
      <c r="AAR7" s="417"/>
      <c r="AAS7" s="412"/>
      <c r="AAT7" s="402"/>
      <c r="AAU7" s="402"/>
      <c r="AAV7" s="417"/>
      <c r="AAW7" s="412"/>
      <c r="AAX7" s="402"/>
      <c r="AAY7" s="402"/>
      <c r="AAZ7" s="417"/>
      <c r="ABA7" s="412"/>
      <c r="ABB7" s="417"/>
      <c r="ABC7" s="412"/>
      <c r="ABD7" s="417"/>
      <c r="ABE7" s="412"/>
      <c r="ABF7" s="402"/>
      <c r="ABG7" s="402"/>
      <c r="ABH7" s="417"/>
      <c r="ABI7" s="412"/>
      <c r="ABJ7" s="417"/>
      <c r="ABK7" s="412"/>
      <c r="ABL7" s="417"/>
      <c r="ABM7" s="412"/>
      <c r="ABN7" s="417"/>
      <c r="ABO7" s="412"/>
      <c r="ABP7" s="402"/>
      <c r="ABQ7" s="402"/>
      <c r="ABR7" s="417"/>
      <c r="ABS7" s="412"/>
      <c r="ABT7" s="417"/>
      <c r="ABU7" s="412"/>
      <c r="ABV7" s="417"/>
      <c r="ABW7" s="412"/>
      <c r="ABX7" s="402"/>
      <c r="ABY7" s="402"/>
      <c r="ABZ7" s="417"/>
      <c r="ACA7" s="412"/>
      <c r="ACB7" s="417"/>
      <c r="ACC7" s="412"/>
      <c r="ACD7" s="417"/>
      <c r="ACE7" s="412"/>
      <c r="ACF7" s="417"/>
      <c r="ACG7" s="412"/>
      <c r="ACH7" s="417"/>
      <c r="ACI7" s="412"/>
      <c r="ACJ7" s="402"/>
      <c r="ACK7" s="402"/>
      <c r="ACL7" s="417"/>
      <c r="ACM7" s="412"/>
      <c r="ACN7" s="402"/>
      <c r="ACO7" s="402"/>
      <c r="ACP7" s="417"/>
      <c r="ACQ7" s="412"/>
      <c r="ACR7" s="402"/>
      <c r="ACS7" s="402"/>
      <c r="ACT7" s="417"/>
      <c r="ACU7" s="412"/>
      <c r="ACV7" s="417"/>
      <c r="ACW7" s="412"/>
      <c r="ACX7" s="402"/>
      <c r="ACY7" s="402"/>
      <c r="ACZ7" s="417"/>
      <c r="ADA7" s="412"/>
      <c r="ADB7" s="417"/>
      <c r="ADC7" s="412"/>
      <c r="ADD7" s="417"/>
      <c r="ADE7" s="412"/>
      <c r="ADF7" s="417"/>
      <c r="ADG7" s="412"/>
      <c r="ADH7" s="417"/>
      <c r="ADI7" s="412"/>
      <c r="ADJ7" s="417"/>
      <c r="ADK7" s="412"/>
      <c r="ADL7" s="402"/>
      <c r="ADM7" s="412"/>
      <c r="ADN7" s="402"/>
      <c r="ADO7" s="412"/>
      <c r="ADP7" s="417"/>
      <c r="ADQ7" s="412"/>
      <c r="ADR7" s="402"/>
      <c r="ADS7" s="412"/>
      <c r="ADT7" s="417"/>
      <c r="ADU7" s="412"/>
      <c r="ADV7" s="402"/>
      <c r="ADW7" s="402"/>
      <c r="ADX7" s="417"/>
      <c r="ADY7" s="412"/>
      <c r="ADZ7" s="417"/>
      <c r="AEA7" s="412"/>
      <c r="AEB7" s="417"/>
      <c r="AEC7" s="412"/>
      <c r="AED7" s="402"/>
      <c r="AEE7" s="402"/>
      <c r="AEF7" s="417"/>
      <c r="AEG7" s="412"/>
      <c r="AEH7" s="417"/>
      <c r="AEI7" s="402"/>
      <c r="AEJ7" s="417"/>
      <c r="AEK7" s="402"/>
      <c r="AEL7" s="417"/>
      <c r="AEM7" s="402"/>
      <c r="AEN7" s="417"/>
      <c r="AEO7" s="412"/>
      <c r="AEP7" s="417"/>
      <c r="AEQ7" s="412"/>
      <c r="AER7" s="402"/>
      <c r="AES7" s="402"/>
      <c r="AET7" s="417"/>
      <c r="AEU7" s="412"/>
      <c r="AEV7" s="402"/>
      <c r="AEW7" s="402"/>
      <c r="AEX7" s="417"/>
      <c r="AEY7" s="412"/>
      <c r="AEZ7" s="417"/>
      <c r="AFA7" s="412"/>
      <c r="AFB7" s="417"/>
      <c r="AFC7" s="412"/>
      <c r="AFD7" s="417"/>
      <c r="AFE7" s="412"/>
      <c r="AFF7" s="402"/>
      <c r="AFG7" s="402"/>
      <c r="AFH7" s="417"/>
      <c r="AFI7" s="412"/>
      <c r="AFJ7" s="402"/>
      <c r="AFK7" s="402"/>
      <c r="AFL7" s="417"/>
      <c r="AFM7" s="412"/>
      <c r="AFN7" s="417"/>
      <c r="AFO7" s="412"/>
      <c r="AFP7" s="417"/>
      <c r="AFQ7" s="412"/>
      <c r="AFR7" s="402"/>
      <c r="AFS7" s="402"/>
      <c r="AFT7" s="417"/>
      <c r="AFU7" s="412"/>
      <c r="AFV7" s="402"/>
      <c r="AFW7" s="402"/>
      <c r="AFX7" s="417"/>
      <c r="AFY7" s="402"/>
      <c r="AFZ7" s="417"/>
      <c r="AGA7" s="412"/>
      <c r="AGB7" s="417"/>
      <c r="AGC7" s="412"/>
      <c r="AGD7" s="402"/>
      <c r="AGE7" s="402"/>
      <c r="AGF7" s="417"/>
      <c r="AGG7" s="412"/>
      <c r="AGH7" s="417"/>
      <c r="AGI7" s="412"/>
      <c r="AGJ7" s="402"/>
      <c r="AGK7" s="402"/>
      <c r="AGL7" s="417"/>
      <c r="AGM7" s="412"/>
      <c r="AGN7" s="417"/>
      <c r="AGO7" s="412"/>
      <c r="AGP7" s="417"/>
      <c r="AGQ7" s="412"/>
      <c r="AGR7" s="417"/>
      <c r="AGS7" s="412"/>
      <c r="AGT7" s="417"/>
      <c r="AGU7" s="412"/>
      <c r="AGV7" s="402"/>
      <c r="AGW7" s="412"/>
      <c r="AGX7" s="417"/>
      <c r="AGY7" s="412"/>
      <c r="AGZ7" s="417"/>
      <c r="AHA7" s="412"/>
      <c r="AHB7" s="417"/>
      <c r="AHC7" s="412"/>
      <c r="AHD7" s="417"/>
      <c r="AHE7" s="412"/>
      <c r="AHF7" s="417"/>
      <c r="AHG7" s="412"/>
      <c r="AHH7" s="417"/>
      <c r="AHI7" s="402"/>
      <c r="AHJ7" s="417"/>
      <c r="AHK7" s="412"/>
      <c r="AHL7" s="402"/>
      <c r="AHM7" s="412"/>
      <c r="AHN7" s="417"/>
      <c r="AHO7" s="412"/>
      <c r="AHP7" s="417"/>
      <c r="AHQ7" s="412"/>
      <c r="AHR7" s="417"/>
      <c r="AHS7" s="402"/>
      <c r="AHT7" s="417"/>
      <c r="AHU7" s="402"/>
      <c r="AHV7" s="417"/>
      <c r="AHW7" s="412"/>
      <c r="AHX7" s="417"/>
      <c r="AHY7" s="412"/>
      <c r="AHZ7" s="417"/>
      <c r="AIA7" s="412"/>
    </row>
    <row r="8" spans="1:911" ht="15.75" customHeight="1" x14ac:dyDescent="0.2">
      <c r="A8" s="456">
        <v>2015</v>
      </c>
      <c r="B8" s="432" t="s">
        <v>22</v>
      </c>
      <c r="C8" s="456" t="s">
        <v>22</v>
      </c>
      <c r="D8" s="432" t="s">
        <v>22</v>
      </c>
      <c r="E8" s="456" t="s">
        <v>22</v>
      </c>
      <c r="F8" s="432" t="s">
        <v>22</v>
      </c>
      <c r="G8" s="456" t="s">
        <v>22</v>
      </c>
      <c r="H8" s="432" t="s">
        <v>22</v>
      </c>
      <c r="I8" s="456" t="s">
        <v>22</v>
      </c>
      <c r="J8" s="432" t="s">
        <v>22</v>
      </c>
      <c r="K8" s="456" t="s">
        <v>22</v>
      </c>
      <c r="L8" s="432" t="s">
        <v>22</v>
      </c>
      <c r="M8" s="456" t="s">
        <v>22</v>
      </c>
      <c r="N8" s="432" t="s">
        <v>22</v>
      </c>
      <c r="O8" s="456" t="s">
        <v>22</v>
      </c>
      <c r="P8" s="495">
        <v>42014</v>
      </c>
      <c r="Q8" s="499" t="str">
        <f>CHOOSE(WEEKDAY(P8,2),"Monday","Tuesday","Wednesday","Thursday","Friday","Saturday","Sunday")</f>
        <v>Saturday</v>
      </c>
      <c r="R8" s="495">
        <v>42014</v>
      </c>
      <c r="S8" s="499" t="str">
        <f>CHOOSE(WEEKDAY(R8,2),"Monday","Tuesday","Wednesday","Thursday","Friday","Saturday","Sunday")</f>
        <v>Saturday</v>
      </c>
      <c r="T8" s="432" t="s">
        <v>22</v>
      </c>
      <c r="U8" s="456" t="s">
        <v>22</v>
      </c>
      <c r="V8" s="432" t="s">
        <v>22</v>
      </c>
      <c r="W8" s="456" t="s">
        <v>22</v>
      </c>
      <c r="X8" s="432" t="s">
        <v>22</v>
      </c>
      <c r="Y8" s="456" t="s">
        <v>22</v>
      </c>
      <c r="Z8" s="432" t="s">
        <v>22</v>
      </c>
      <c r="AA8" s="456" t="s">
        <v>22</v>
      </c>
      <c r="AB8" s="432" t="s">
        <v>22</v>
      </c>
      <c r="AC8" s="456" t="s">
        <v>22</v>
      </c>
      <c r="AD8" s="425" t="s">
        <v>22</v>
      </c>
      <c r="AE8" s="425" t="s">
        <v>22</v>
      </c>
      <c r="AF8" s="432" t="s">
        <v>22</v>
      </c>
      <c r="AG8" s="425" t="s">
        <v>22</v>
      </c>
      <c r="AH8" s="283">
        <v>42205</v>
      </c>
      <c r="AI8" s="285" t="str">
        <f t="shared" ref="AI8:AI14" si="36">CHOOSE(WEEKDAY(AH8,2),"Monday","Tuesday","Wednesday","Thursday","Friday","Saturday","Sunday")</f>
        <v>Monday</v>
      </c>
      <c r="AJ8" s="425" t="s">
        <v>22</v>
      </c>
      <c r="AK8" s="425" t="s">
        <v>22</v>
      </c>
      <c r="AL8" s="432" t="s">
        <v>22</v>
      </c>
      <c r="AM8" s="456" t="s">
        <v>22</v>
      </c>
      <c r="AN8" s="432" t="s">
        <v>22</v>
      </c>
      <c r="AO8" s="456" t="s">
        <v>22</v>
      </c>
      <c r="AP8" s="432" t="s">
        <v>22</v>
      </c>
      <c r="AQ8" s="456" t="s">
        <v>22</v>
      </c>
      <c r="AR8" s="432" t="s">
        <v>22</v>
      </c>
      <c r="AS8" s="456" t="s">
        <v>22</v>
      </c>
      <c r="AT8" s="432" t="s">
        <v>22</v>
      </c>
      <c r="AU8" s="456" t="s">
        <v>22</v>
      </c>
      <c r="AV8" s="425" t="s">
        <v>22</v>
      </c>
      <c r="AW8" s="425" t="s">
        <v>22</v>
      </c>
      <c r="AX8" s="432" t="s">
        <v>22</v>
      </c>
      <c r="AY8" s="456" t="s">
        <v>22</v>
      </c>
      <c r="AZ8" s="432" t="s">
        <v>22</v>
      </c>
      <c r="BA8" s="456" t="s">
        <v>22</v>
      </c>
      <c r="BB8" s="497">
        <v>42034</v>
      </c>
      <c r="BC8" s="500" t="str">
        <f>CHOOSE(WEEKDAY(BB8,2),"Monday","Tuesday","Wednesday","Thursday","Friday","Saturday","Sunday")</f>
        <v>Friday</v>
      </c>
      <c r="BD8" s="432" t="s">
        <v>22</v>
      </c>
      <c r="BE8" s="456" t="s">
        <v>22</v>
      </c>
      <c r="BF8" s="495">
        <v>42037</v>
      </c>
      <c r="BG8" s="501" t="str">
        <f>CHOOSE(WEEKDAY(BF8,2),"Monday","Tuesday","Wednesday","Thursday","Friday","Saturday","Sunday")</f>
        <v>Monday</v>
      </c>
      <c r="BH8" s="432" t="s">
        <v>22</v>
      </c>
      <c r="BI8" s="456" t="s">
        <v>22</v>
      </c>
      <c r="BJ8" s="432" t="s">
        <v>22</v>
      </c>
      <c r="BK8" s="456" t="s">
        <v>22</v>
      </c>
      <c r="BL8" s="425" t="s">
        <v>22</v>
      </c>
      <c r="BM8" s="425" t="s">
        <v>22</v>
      </c>
      <c r="BN8" s="432" t="s">
        <v>22</v>
      </c>
      <c r="BO8" s="456" t="s">
        <v>22</v>
      </c>
      <c r="BP8" s="432" t="s">
        <v>22</v>
      </c>
      <c r="BQ8" s="456" t="s">
        <v>22</v>
      </c>
      <c r="BR8" s="495">
        <v>42279</v>
      </c>
      <c r="BS8" s="502" t="str">
        <f>CHOOSE(WEEKDAY(BR8,2),"Monday","Tuesday","Wednesday","Thursday","Friday","Saturday","Sunday")</f>
        <v>Friday</v>
      </c>
      <c r="BT8" s="425" t="s">
        <v>22</v>
      </c>
      <c r="BU8" s="425" t="s">
        <v>22</v>
      </c>
      <c r="BV8" s="432" t="s">
        <v>22</v>
      </c>
      <c r="BW8" s="456" t="s">
        <v>22</v>
      </c>
      <c r="BX8" s="497">
        <v>42042</v>
      </c>
      <c r="BY8" s="503" t="str">
        <f>CHOOSE(WEEKDAY(BX8,2),"Monday","Tuesday","Wednesday","Thursday","Friday","Saturday","Sunday")</f>
        <v>Saturday</v>
      </c>
      <c r="BZ8" s="432" t="s">
        <v>22</v>
      </c>
      <c r="CA8" s="456" t="s">
        <v>22</v>
      </c>
      <c r="CB8" s="432" t="s">
        <v>22</v>
      </c>
      <c r="CC8" s="456" t="s">
        <v>22</v>
      </c>
      <c r="CD8" s="432" t="s">
        <v>22</v>
      </c>
      <c r="CE8" s="456" t="s">
        <v>22</v>
      </c>
      <c r="CF8" s="432" t="s">
        <v>22</v>
      </c>
      <c r="CG8" s="456" t="s">
        <v>22</v>
      </c>
      <c r="CH8" s="432" t="s">
        <v>22</v>
      </c>
      <c r="CI8" s="456" t="s">
        <v>22</v>
      </c>
      <c r="CJ8" s="432" t="s">
        <v>22</v>
      </c>
      <c r="CK8" s="456" t="s">
        <v>22</v>
      </c>
      <c r="CL8" s="425" t="s">
        <v>22</v>
      </c>
      <c r="CM8" s="425" t="s">
        <v>22</v>
      </c>
      <c r="CN8" s="495">
        <v>42049</v>
      </c>
      <c r="CO8" s="499" t="str">
        <f>CHOOSE(WEEKDAY(CN8,2),"Monday","Tuesday","Wednesday","Thursday","Friday","Saturday","Sunday")</f>
        <v>Saturday</v>
      </c>
      <c r="CP8" s="432" t="s">
        <v>22</v>
      </c>
      <c r="CQ8" s="456" t="s">
        <v>22</v>
      </c>
      <c r="CR8" s="432" t="s">
        <v>22</v>
      </c>
      <c r="CS8" s="456" t="s">
        <v>22</v>
      </c>
      <c r="CT8" s="425" t="s">
        <v>22</v>
      </c>
      <c r="CU8" s="425" t="s">
        <v>22</v>
      </c>
      <c r="CV8" s="432" t="s">
        <v>22</v>
      </c>
      <c r="CW8" s="456" t="s">
        <v>22</v>
      </c>
      <c r="CX8" s="495">
        <v>42052</v>
      </c>
      <c r="CY8" s="496" t="str">
        <f>CHOOSE(WEEKDAY(CX8,2),"Monday","Tuesday","Wednesday","Thursday","Friday","Saturday","Sunday")</f>
        <v>Tuesday</v>
      </c>
      <c r="CZ8" s="425" t="s">
        <v>22</v>
      </c>
      <c r="DA8" s="425" t="s">
        <v>22</v>
      </c>
      <c r="DB8" s="432" t="s">
        <v>22</v>
      </c>
      <c r="DC8" s="456" t="s">
        <v>22</v>
      </c>
      <c r="DD8" s="432" t="s">
        <v>22</v>
      </c>
      <c r="DE8" s="456" t="s">
        <v>22</v>
      </c>
      <c r="DF8" s="497">
        <v>42058</v>
      </c>
      <c r="DG8" s="498" t="str">
        <f>CHOOSE(WEEKDAY(DF8,2),"Monday","Tuesday","Wednesday","Thursday","Friday","Saturday","Sunday")</f>
        <v>Monday</v>
      </c>
      <c r="DH8" s="432" t="s">
        <v>22</v>
      </c>
      <c r="DI8" s="456" t="s">
        <v>22</v>
      </c>
      <c r="DJ8" s="432" t="s">
        <v>22</v>
      </c>
      <c r="DK8" s="456" t="s">
        <v>22</v>
      </c>
      <c r="DL8" s="432" t="s">
        <v>22</v>
      </c>
      <c r="DM8" s="456" t="s">
        <v>22</v>
      </c>
      <c r="DN8" s="425" t="s">
        <v>22</v>
      </c>
      <c r="DO8" s="425" t="s">
        <v>22</v>
      </c>
      <c r="DP8" s="495">
        <v>42056</v>
      </c>
      <c r="DQ8" s="499" t="str">
        <f>CHOOSE(WEEKDAY(DP8,2),"Monday","Tuesday","Wednesday","Thursday","Friday","Saturday","Sunday")</f>
        <v>Saturday</v>
      </c>
      <c r="DR8" s="432" t="s">
        <v>22</v>
      </c>
      <c r="DS8" s="456" t="s">
        <v>22</v>
      </c>
      <c r="DT8" s="425" t="s">
        <v>22</v>
      </c>
      <c r="DU8" s="425" t="s">
        <v>22</v>
      </c>
      <c r="DV8" s="432" t="s">
        <v>22</v>
      </c>
      <c r="DW8" s="456" t="s">
        <v>22</v>
      </c>
      <c r="DX8" s="432" t="s">
        <v>22</v>
      </c>
      <c r="DY8" s="456" t="s">
        <v>22</v>
      </c>
      <c r="DZ8" s="425" t="s">
        <v>22</v>
      </c>
      <c r="EA8" s="425" t="s">
        <v>22</v>
      </c>
      <c r="EB8" s="432" t="s">
        <v>22</v>
      </c>
      <c r="EC8" s="456" t="s">
        <v>22</v>
      </c>
      <c r="ED8" s="425" t="s">
        <v>22</v>
      </c>
      <c r="EE8" s="425" t="s">
        <v>22</v>
      </c>
      <c r="EF8" s="432" t="s">
        <v>22</v>
      </c>
      <c r="EG8" s="456" t="s">
        <v>22</v>
      </c>
      <c r="EH8" s="432" t="s">
        <v>22</v>
      </c>
      <c r="EI8" s="456" t="s">
        <v>22</v>
      </c>
      <c r="EJ8" s="432" t="s">
        <v>22</v>
      </c>
      <c r="EK8" s="456" t="s">
        <v>22</v>
      </c>
      <c r="EL8" s="497">
        <v>42321</v>
      </c>
      <c r="EM8" s="502" t="str">
        <f>CHOOSE(WEEKDAY(EL8,2),"Monday","Tuesday","Wednesday","Thursday","Friday","Saturday","Sunday")</f>
        <v>Friday</v>
      </c>
      <c r="EN8" s="432" t="s">
        <v>22</v>
      </c>
      <c r="EO8" s="456" t="s">
        <v>22</v>
      </c>
      <c r="EP8" s="432" t="s">
        <v>22</v>
      </c>
      <c r="EQ8" s="456" t="s">
        <v>22</v>
      </c>
      <c r="ER8" s="425" t="s">
        <v>22</v>
      </c>
      <c r="ES8" s="456" t="s">
        <v>22</v>
      </c>
      <c r="ET8" s="425" t="s">
        <v>22</v>
      </c>
      <c r="EU8" s="504" t="s">
        <v>22</v>
      </c>
      <c r="EV8" s="432" t="s">
        <v>22</v>
      </c>
      <c r="EW8" s="456" t="s">
        <v>22</v>
      </c>
      <c r="EX8" s="432" t="s">
        <v>22</v>
      </c>
      <c r="EY8" s="456" t="s">
        <v>22</v>
      </c>
      <c r="EZ8" s="495">
        <v>42071</v>
      </c>
      <c r="FA8" s="456" t="str">
        <f>CHOOSE(WEEKDAY(EZ8,2),"Monday","Tuesday","Wednesday","Thursday","Friday","Saturday","Sunday")</f>
        <v>Sunday</v>
      </c>
      <c r="FB8" s="425" t="s">
        <v>22</v>
      </c>
      <c r="FC8" s="425" t="s">
        <v>22</v>
      </c>
      <c r="FD8" s="432" t="s">
        <v>22</v>
      </c>
      <c r="FE8" s="505" t="s">
        <v>22</v>
      </c>
      <c r="FF8" s="425" t="s">
        <v>22</v>
      </c>
      <c r="FG8" s="456" t="s">
        <v>22</v>
      </c>
      <c r="FH8" s="425" t="s">
        <v>22</v>
      </c>
      <c r="FI8" s="425" t="s">
        <v>22</v>
      </c>
      <c r="FJ8" s="432" t="s">
        <v>22</v>
      </c>
      <c r="FK8" s="456" t="s">
        <v>22</v>
      </c>
      <c r="FL8" s="432" t="s">
        <v>22</v>
      </c>
      <c r="FM8" s="456" t="s">
        <v>22</v>
      </c>
      <c r="FN8" s="432" t="s">
        <v>22</v>
      </c>
      <c r="FO8" s="456" t="s">
        <v>22</v>
      </c>
      <c r="FP8" s="425" t="s">
        <v>22</v>
      </c>
      <c r="FQ8" s="425" t="s">
        <v>22</v>
      </c>
      <c r="FR8" s="432" t="s">
        <v>22</v>
      </c>
      <c r="FS8" s="456" t="s">
        <v>22</v>
      </c>
      <c r="FT8" s="432" t="s">
        <v>22</v>
      </c>
      <c r="FU8" s="456" t="s">
        <v>22</v>
      </c>
      <c r="FV8" s="495">
        <v>42080</v>
      </c>
      <c r="FW8" s="496" t="str">
        <f>CHOOSE(WEEKDAY(FV8,2),"Monday","Tuesday","Wednesday","Thursday","Friday","Saturday","Sunday")</f>
        <v>Tuesday</v>
      </c>
      <c r="FX8" s="425" t="s">
        <v>22</v>
      </c>
      <c r="FY8" s="504" t="s">
        <v>22</v>
      </c>
      <c r="FZ8" s="432" t="s">
        <v>22</v>
      </c>
      <c r="GA8" s="456" t="s">
        <v>22</v>
      </c>
      <c r="GB8" s="432" t="s">
        <v>22</v>
      </c>
      <c r="GC8" s="456" t="s">
        <v>22</v>
      </c>
      <c r="GD8" s="425" t="s">
        <v>22</v>
      </c>
      <c r="GE8" s="425" t="s">
        <v>22</v>
      </c>
      <c r="GF8" s="495">
        <v>42083</v>
      </c>
      <c r="GG8" s="502" t="str">
        <f>CHOOSE(WEEKDAY(GF8,2),"Monday","Tuesday","Wednesday","Thursday","Friday","Saturday","Sunday")</f>
        <v>Friday</v>
      </c>
      <c r="GH8" s="286">
        <v>42069</v>
      </c>
      <c r="GI8" s="287" t="str">
        <f t="shared" ref="GI8:GI9" si="37">CHOOSE(WEEKDAY(GH8,2),"Monday","Tuesday","Wednesday","Thursday","Friday","Saturday","Sunday")</f>
        <v>Friday</v>
      </c>
      <c r="GJ8" s="432" t="s">
        <v>22</v>
      </c>
      <c r="GK8" s="456" t="s">
        <v>22</v>
      </c>
      <c r="GL8" s="432" t="s">
        <v>22</v>
      </c>
      <c r="GM8" s="456" t="s">
        <v>22</v>
      </c>
      <c r="GN8" s="425" t="s">
        <v>22</v>
      </c>
      <c r="GO8" s="425" t="s">
        <v>22</v>
      </c>
      <c r="GP8" s="432" t="s">
        <v>22</v>
      </c>
      <c r="GQ8" s="456" t="s">
        <v>22</v>
      </c>
      <c r="GR8" s="432" t="s">
        <v>22</v>
      </c>
      <c r="GS8" s="456" t="s">
        <v>22</v>
      </c>
      <c r="GT8" s="432" t="s">
        <v>22</v>
      </c>
      <c r="GU8" s="456" t="s">
        <v>22</v>
      </c>
      <c r="GV8" s="425" t="s">
        <v>22</v>
      </c>
      <c r="GW8" s="425" t="s">
        <v>22</v>
      </c>
      <c r="GX8" s="432" t="s">
        <v>22</v>
      </c>
      <c r="GY8" s="456" t="s">
        <v>22</v>
      </c>
      <c r="GZ8" s="432" t="s">
        <v>22</v>
      </c>
      <c r="HA8" s="456" t="s">
        <v>22</v>
      </c>
      <c r="HB8" s="432" t="s">
        <v>22</v>
      </c>
      <c r="HC8" s="456" t="s">
        <v>22</v>
      </c>
      <c r="HD8" s="432" t="s">
        <v>22</v>
      </c>
      <c r="HE8" s="456" t="s">
        <v>22</v>
      </c>
      <c r="HF8" s="432" t="s">
        <v>22</v>
      </c>
      <c r="HG8" s="456" t="s">
        <v>22</v>
      </c>
      <c r="HH8" s="497">
        <v>42093</v>
      </c>
      <c r="HI8" s="498" t="str">
        <f>CHOOSE(WEEKDAY(HH8,2),"Monday","Tuesday","Wednesday","Thursday","Friday","Saturday","Sunday")</f>
        <v>Monday</v>
      </c>
      <c r="HJ8" s="432" t="s">
        <v>22</v>
      </c>
      <c r="HK8" s="456" t="s">
        <v>22</v>
      </c>
      <c r="HL8" s="432" t="s">
        <v>22</v>
      </c>
      <c r="HM8" s="456" t="s">
        <v>22</v>
      </c>
      <c r="HN8" s="286">
        <v>42095</v>
      </c>
      <c r="HO8" s="290" t="str">
        <f t="shared" ref="HO8:HO10" si="38">CHOOSE(WEEKDAY(HN8,2),"Monday","Tuesday","Wednesday","Thursday","Friday","Saturday","Sunday")</f>
        <v>Wednesday</v>
      </c>
      <c r="HP8" s="432" t="s">
        <v>22</v>
      </c>
      <c r="HQ8" s="456" t="s">
        <v>22</v>
      </c>
      <c r="HR8" s="432" t="s">
        <v>22</v>
      </c>
      <c r="HS8" s="456" t="s">
        <v>22</v>
      </c>
      <c r="HT8" s="432" t="s">
        <v>22</v>
      </c>
      <c r="HU8" s="456" t="s">
        <v>22</v>
      </c>
      <c r="HV8" s="432" t="s">
        <v>22</v>
      </c>
      <c r="HW8" s="456" t="s">
        <v>22</v>
      </c>
      <c r="HX8" s="425" t="s">
        <v>22</v>
      </c>
      <c r="HY8" s="425" t="s">
        <v>22</v>
      </c>
      <c r="HZ8" s="432" t="s">
        <v>22</v>
      </c>
      <c r="IA8" s="456" t="s">
        <v>22</v>
      </c>
      <c r="IB8" s="432" t="s">
        <v>22</v>
      </c>
      <c r="IC8" s="456" t="s">
        <v>22</v>
      </c>
      <c r="ID8" s="432" t="s">
        <v>22</v>
      </c>
      <c r="IE8" s="456" t="s">
        <v>22</v>
      </c>
      <c r="IF8" s="425" t="s">
        <v>22</v>
      </c>
      <c r="IG8" s="425" t="s">
        <v>22</v>
      </c>
      <c r="IH8" s="432" t="s">
        <v>22</v>
      </c>
      <c r="II8" s="456" t="s">
        <v>22</v>
      </c>
      <c r="IJ8" s="432" t="s">
        <v>22</v>
      </c>
      <c r="IK8" s="456" t="s">
        <v>22</v>
      </c>
      <c r="IL8" s="432" t="s">
        <v>22</v>
      </c>
      <c r="IM8" s="456" t="s">
        <v>22</v>
      </c>
      <c r="IN8" s="432" t="s">
        <v>22</v>
      </c>
      <c r="IO8" s="456" t="s">
        <v>22</v>
      </c>
      <c r="IP8" s="425" t="s">
        <v>22</v>
      </c>
      <c r="IQ8" s="425" t="s">
        <v>22</v>
      </c>
      <c r="IR8" s="432" t="s">
        <v>22</v>
      </c>
      <c r="IS8" s="456" t="s">
        <v>22</v>
      </c>
      <c r="IT8" s="432" t="s">
        <v>22</v>
      </c>
      <c r="IU8" s="456" t="s">
        <v>22</v>
      </c>
      <c r="IV8" s="432" t="s">
        <v>22</v>
      </c>
      <c r="IW8" s="456" t="s">
        <v>22</v>
      </c>
      <c r="IX8" s="432" t="s">
        <v>22</v>
      </c>
      <c r="IY8" s="456" t="s">
        <v>22</v>
      </c>
      <c r="IZ8" s="512">
        <v>42098</v>
      </c>
      <c r="JA8" s="499" t="str">
        <f>CHOOSE(WEEKDAY(IZ8,2),"Monday","Tuesday","Wednesday","Thursday","Friday","Saturday","Sunday")</f>
        <v>Saturday</v>
      </c>
      <c r="JB8" s="432" t="s">
        <v>22</v>
      </c>
      <c r="JC8" s="456" t="s">
        <v>22</v>
      </c>
      <c r="JD8" s="432" t="s">
        <v>22</v>
      </c>
      <c r="JE8" s="456" t="s">
        <v>22</v>
      </c>
      <c r="JF8" s="425" t="s">
        <v>22</v>
      </c>
      <c r="JG8" s="425" t="s">
        <v>22</v>
      </c>
      <c r="JH8" s="432" t="s">
        <v>22</v>
      </c>
      <c r="JI8" s="456" t="s">
        <v>22</v>
      </c>
      <c r="JJ8" s="432" t="s">
        <v>22</v>
      </c>
      <c r="JK8" s="456" t="s">
        <v>22</v>
      </c>
      <c r="JL8" s="432" t="s">
        <v>22</v>
      </c>
      <c r="JM8" s="456" t="s">
        <v>22</v>
      </c>
      <c r="JN8" s="432" t="s">
        <v>22</v>
      </c>
      <c r="JO8" s="456" t="s">
        <v>22</v>
      </c>
      <c r="JP8" s="497">
        <v>42118</v>
      </c>
      <c r="JQ8" s="500" t="str">
        <f>CHOOSE(WEEKDAY(JP8,2),"Monday","Tuesday","Wednesday","Thursday","Friday","Saturday","Sunday")</f>
        <v>Friday</v>
      </c>
      <c r="JR8" s="432" t="s">
        <v>22</v>
      </c>
      <c r="JS8" s="456" t="s">
        <v>22</v>
      </c>
      <c r="JT8" s="432" t="s">
        <v>22</v>
      </c>
      <c r="JU8" s="456" t="s">
        <v>22</v>
      </c>
      <c r="JV8" s="432" t="s">
        <v>22</v>
      </c>
      <c r="JW8" s="456" t="s">
        <v>22</v>
      </c>
      <c r="JX8" s="432" t="s">
        <v>22</v>
      </c>
      <c r="JY8" s="456" t="s">
        <v>22</v>
      </c>
      <c r="JZ8" s="432" t="s">
        <v>22</v>
      </c>
      <c r="KA8" s="456" t="s">
        <v>22</v>
      </c>
      <c r="KB8" s="432" t="s">
        <v>22</v>
      </c>
      <c r="KC8" s="456" t="s">
        <v>22</v>
      </c>
      <c r="KD8" s="497">
        <v>42125</v>
      </c>
      <c r="KE8" s="500" t="str">
        <f>CHOOSE(WEEKDAY(KD8,2),"Monday","Tuesday","Wednesday","Thursday","Friday","Saturday","Sunday")</f>
        <v>Friday</v>
      </c>
      <c r="KF8" s="432" t="s">
        <v>22</v>
      </c>
      <c r="KG8" s="456" t="s">
        <v>22</v>
      </c>
      <c r="KH8" s="425" t="s">
        <v>22</v>
      </c>
      <c r="KI8" s="425" t="s">
        <v>22</v>
      </c>
      <c r="KJ8" s="432" t="s">
        <v>22</v>
      </c>
      <c r="KK8" s="456" t="s">
        <v>22</v>
      </c>
      <c r="KL8" s="432" t="s">
        <v>22</v>
      </c>
      <c r="KM8" s="456" t="s">
        <v>22</v>
      </c>
      <c r="KN8" s="432" t="s">
        <v>22</v>
      </c>
      <c r="KO8" s="456" t="s">
        <v>22</v>
      </c>
      <c r="KP8" s="432" t="s">
        <v>22</v>
      </c>
      <c r="KQ8" s="456" t="s">
        <v>22</v>
      </c>
      <c r="KR8" s="432" t="s">
        <v>22</v>
      </c>
      <c r="KS8" s="456" t="s">
        <v>22</v>
      </c>
      <c r="KT8" s="432" t="s">
        <v>22</v>
      </c>
      <c r="KU8" s="456" t="s">
        <v>22</v>
      </c>
      <c r="KV8" s="432" t="s">
        <v>22</v>
      </c>
      <c r="KW8" s="456" t="s">
        <v>22</v>
      </c>
      <c r="KX8" s="432" t="s">
        <v>22</v>
      </c>
      <c r="KY8" s="456" t="s">
        <v>22</v>
      </c>
      <c r="KZ8" s="432" t="s">
        <v>22</v>
      </c>
      <c r="LA8" s="456" t="s">
        <v>22</v>
      </c>
      <c r="LB8" s="432" t="s">
        <v>22</v>
      </c>
      <c r="LC8" s="456" t="s">
        <v>22</v>
      </c>
      <c r="LD8" s="425" t="s">
        <v>22</v>
      </c>
      <c r="LE8" s="425" t="s">
        <v>22</v>
      </c>
      <c r="LF8" s="432" t="s">
        <v>22</v>
      </c>
      <c r="LG8" s="456" t="s">
        <v>22</v>
      </c>
      <c r="LH8" s="432" t="s">
        <v>22</v>
      </c>
      <c r="LI8" s="456" t="s">
        <v>22</v>
      </c>
      <c r="LJ8" s="497">
        <v>41768</v>
      </c>
      <c r="LK8" s="500" t="str">
        <f>CHOOSE(WEEKDAY(LJ8,2),"Monday","Tuesday","Wednesday","Thursday","Friday","Saturday","Sunday")</f>
        <v>Friday</v>
      </c>
      <c r="LL8" s="495">
        <v>42132</v>
      </c>
      <c r="LM8" s="502" t="str">
        <f>CHOOSE(WEEKDAY(LL8,2),"Monday","Tuesday","Wednesday","Thursday","Friday","Saturday","Sunday")</f>
        <v>Friday</v>
      </c>
      <c r="LN8" s="425" t="s">
        <v>22</v>
      </c>
      <c r="LO8" s="425" t="s">
        <v>22</v>
      </c>
      <c r="LP8" s="432" t="s">
        <v>22</v>
      </c>
      <c r="LQ8" s="456" t="s">
        <v>22</v>
      </c>
      <c r="LR8" s="432" t="s">
        <v>22</v>
      </c>
      <c r="LS8" s="456" t="s">
        <v>22</v>
      </c>
      <c r="LT8" s="432" t="s">
        <v>22</v>
      </c>
      <c r="LU8" s="456" t="s">
        <v>22</v>
      </c>
      <c r="LV8" s="425" t="s">
        <v>22</v>
      </c>
      <c r="LW8" s="425" t="s">
        <v>22</v>
      </c>
      <c r="LX8" s="432" t="s">
        <v>22</v>
      </c>
      <c r="LY8" s="456" t="s">
        <v>22</v>
      </c>
      <c r="LZ8" s="497">
        <v>42139</v>
      </c>
      <c r="MA8" s="500" t="str">
        <f>CHOOSE(WEEKDAY(LZ8,2),"Monday","Tuesday","Wednesday","Thursday","Friday","Saturday","Sunday")</f>
        <v>Friday</v>
      </c>
      <c r="MB8" s="432" t="s">
        <v>22</v>
      </c>
      <c r="MC8" s="456" t="s">
        <v>22</v>
      </c>
      <c r="MD8" s="432" t="s">
        <v>22</v>
      </c>
      <c r="ME8" s="456" t="s">
        <v>22</v>
      </c>
      <c r="MF8" s="432" t="s">
        <v>22</v>
      </c>
      <c r="MG8" s="456" t="s">
        <v>22</v>
      </c>
      <c r="MH8" s="432" t="s">
        <v>22</v>
      </c>
      <c r="MI8" s="456" t="s">
        <v>22</v>
      </c>
      <c r="MJ8" s="432" t="s">
        <v>22</v>
      </c>
      <c r="MK8" s="456" t="s">
        <v>22</v>
      </c>
      <c r="ML8" s="425" t="s">
        <v>22</v>
      </c>
      <c r="MM8" s="425" t="s">
        <v>22</v>
      </c>
      <c r="MN8" s="432" t="s">
        <v>22</v>
      </c>
      <c r="MO8" s="456" t="s">
        <v>22</v>
      </c>
      <c r="MP8" s="432" t="s">
        <v>22</v>
      </c>
      <c r="MQ8" s="456" t="s">
        <v>22</v>
      </c>
      <c r="MR8" s="432" t="s">
        <v>22</v>
      </c>
      <c r="MS8" s="456" t="s">
        <v>22</v>
      </c>
      <c r="MT8" s="432" t="s">
        <v>22</v>
      </c>
      <c r="MU8" s="456" t="s">
        <v>22</v>
      </c>
      <c r="MV8" s="497">
        <v>42146</v>
      </c>
      <c r="MW8" s="500" t="str">
        <f>CHOOSE(WEEKDAY(MV8,2),"Monday","Tuesday","Wednesday","Thursday","Friday","Saturday","Sunday")</f>
        <v>Friday</v>
      </c>
      <c r="MX8" s="432" t="s">
        <v>22</v>
      </c>
      <c r="MY8" s="456" t="s">
        <v>22</v>
      </c>
      <c r="MZ8" s="432" t="s">
        <v>22</v>
      </c>
      <c r="NA8" s="456" t="s">
        <v>22</v>
      </c>
      <c r="NB8" s="432" t="s">
        <v>22</v>
      </c>
      <c r="NC8" s="456" t="s">
        <v>22</v>
      </c>
      <c r="ND8" s="497">
        <v>42149</v>
      </c>
      <c r="NE8" s="498" t="str">
        <f>CHOOSE(WEEKDAY(ND8,2),"Monday","Tuesday","Wednesday","Thursday","Friday","Saturday","Sunday")</f>
        <v>Monday</v>
      </c>
      <c r="NF8" s="283">
        <v>42151</v>
      </c>
      <c r="NG8" s="292" t="str">
        <f t="shared" ref="NG8:NG11" si="39">CHOOSE(WEEKDAY(NF8,2),"Monday","Tuesday","Wednesday","Thursday","Friday","Saturday","Sunday")</f>
        <v>Wednesday</v>
      </c>
      <c r="NH8" s="432" t="s">
        <v>22</v>
      </c>
      <c r="NI8" s="456" t="s">
        <v>22</v>
      </c>
      <c r="NJ8" s="432" t="s">
        <v>22</v>
      </c>
      <c r="NK8" s="456" t="s">
        <v>22</v>
      </c>
      <c r="NL8" s="425" t="s">
        <v>22</v>
      </c>
      <c r="NM8" s="425" t="s">
        <v>22</v>
      </c>
      <c r="NN8" s="432" t="s">
        <v>22</v>
      </c>
      <c r="NO8" s="456" t="s">
        <v>22</v>
      </c>
      <c r="NP8" s="495">
        <v>42097</v>
      </c>
      <c r="NQ8" s="502" t="str">
        <f>CHOOSE(WEEKDAY(NP8,2),"Monday","Tuesday","Wednesday","Thursday","Friday","Saturday","Sunday")</f>
        <v>Friday</v>
      </c>
      <c r="NR8" s="497">
        <v>42153</v>
      </c>
      <c r="NS8" s="502" t="str">
        <f>CHOOSE(WEEKDAY(NR8,2),"Monday","Tuesday","Wednesday","Thursday","Friday","Saturday","Sunday")</f>
        <v>Friday</v>
      </c>
      <c r="NT8" s="432" t="s">
        <v>22</v>
      </c>
      <c r="NU8" s="456" t="s">
        <v>22</v>
      </c>
      <c r="NV8" s="432" t="s">
        <v>22</v>
      </c>
      <c r="NW8" s="456" t="s">
        <v>22</v>
      </c>
      <c r="NX8" s="432" t="s">
        <v>22</v>
      </c>
      <c r="NY8" s="456" t="s">
        <v>22</v>
      </c>
      <c r="NZ8" s="432" t="s">
        <v>22</v>
      </c>
      <c r="OA8" s="425" t="s">
        <v>22</v>
      </c>
      <c r="OB8" s="432" t="s">
        <v>22</v>
      </c>
      <c r="OC8" s="456" t="s">
        <v>22</v>
      </c>
      <c r="OD8" s="495">
        <v>42159</v>
      </c>
      <c r="OE8" s="508" t="str">
        <f>CHOOSE(WEEKDAY(OD8,2),"Monday","Tuesday","Wednesday","Thursday","Friday","Saturday","Sunday")</f>
        <v>Thursday</v>
      </c>
      <c r="OF8" s="425" t="s">
        <v>22</v>
      </c>
      <c r="OG8" s="425" t="s">
        <v>22</v>
      </c>
      <c r="OH8" s="432" t="s">
        <v>22</v>
      </c>
      <c r="OI8" s="456" t="s">
        <v>22</v>
      </c>
      <c r="OJ8" s="432" t="s">
        <v>22</v>
      </c>
      <c r="OK8" s="456" t="s">
        <v>22</v>
      </c>
      <c r="OL8" s="432" t="s">
        <v>22</v>
      </c>
      <c r="OM8" s="456" t="s">
        <v>22</v>
      </c>
      <c r="ON8" s="432" t="s">
        <v>22</v>
      </c>
      <c r="OO8" s="456" t="s">
        <v>22</v>
      </c>
      <c r="OP8" s="497">
        <v>42167</v>
      </c>
      <c r="OQ8" s="500" t="str">
        <f>CHOOSE(WEEKDAY(OP8,2),"Monday","Tuesday","Wednesday","Thursday","Friday","Saturday","Sunday")</f>
        <v>Friday</v>
      </c>
      <c r="OR8" s="495">
        <v>42167</v>
      </c>
      <c r="OS8" s="502" t="str">
        <f>CHOOSE(WEEKDAY(OR8,2),"Monday","Tuesday","Wednesday","Thursday","Friday","Saturday","Sunday")</f>
        <v>Friday</v>
      </c>
      <c r="OT8" s="432" t="s">
        <v>22</v>
      </c>
      <c r="OU8" s="456" t="s">
        <v>22</v>
      </c>
      <c r="OV8" s="425" t="s">
        <v>22</v>
      </c>
      <c r="OW8" s="425" t="s">
        <v>22</v>
      </c>
      <c r="OX8" s="432" t="s">
        <v>22</v>
      </c>
      <c r="OY8" s="456" t="s">
        <v>22</v>
      </c>
      <c r="OZ8" s="432" t="s">
        <v>22</v>
      </c>
      <c r="PA8" s="456" t="s">
        <v>22</v>
      </c>
      <c r="PB8" s="432" t="s">
        <v>22</v>
      </c>
      <c r="PC8" s="456" t="s">
        <v>22</v>
      </c>
      <c r="PD8" s="432" t="s">
        <v>22</v>
      </c>
      <c r="PE8" s="456" t="s">
        <v>22</v>
      </c>
      <c r="PF8" s="432" t="s">
        <v>22</v>
      </c>
      <c r="PG8" s="456" t="s">
        <v>22</v>
      </c>
      <c r="PH8" s="497">
        <v>42173</v>
      </c>
      <c r="PI8" s="513" t="str">
        <f>CHOOSE(WEEKDAY(PH8,2),"Monday","Tuesday","Wednesday","Thursday","Friday","Saturday","Sunday")</f>
        <v>Thursday</v>
      </c>
      <c r="PJ8" s="495">
        <v>42174</v>
      </c>
      <c r="PK8" s="502" t="str">
        <f>CHOOSE(WEEKDAY(PJ8,2),"Monday","Tuesday","Wednesday","Thursday","Friday","Saturday","Sunday")</f>
        <v>Friday</v>
      </c>
      <c r="PL8" s="497">
        <v>42174</v>
      </c>
      <c r="PM8" s="500" t="str">
        <f>CHOOSE(WEEKDAY(PL8,2),"Monday","Tuesday","Wednesday","Thursday","Friday","Saturday","Sunday")</f>
        <v>Friday</v>
      </c>
      <c r="PN8" s="432" t="s">
        <v>22</v>
      </c>
      <c r="PO8" s="456" t="s">
        <v>22</v>
      </c>
      <c r="PP8" s="506">
        <v>42176</v>
      </c>
      <c r="PQ8" s="456" t="str">
        <f>CHOOSE(WEEKDAY(PP8,2),"Monday","Tuesday","Wednesday","Thursday","Friday","Saturday","Sunday")</f>
        <v>Sunday</v>
      </c>
      <c r="PR8" s="425" t="s">
        <v>22</v>
      </c>
      <c r="PS8" s="425" t="s">
        <v>22</v>
      </c>
      <c r="PT8" s="432" t="s">
        <v>22</v>
      </c>
      <c r="PU8" s="456" t="s">
        <v>22</v>
      </c>
      <c r="PV8" s="425" t="s">
        <v>22</v>
      </c>
      <c r="PW8" s="425" t="s">
        <v>22</v>
      </c>
      <c r="PX8" s="432" t="s">
        <v>22</v>
      </c>
      <c r="PY8" s="456" t="s">
        <v>22</v>
      </c>
      <c r="PZ8" s="432" t="s">
        <v>22</v>
      </c>
      <c r="QA8" s="456" t="s">
        <v>22</v>
      </c>
      <c r="QB8" s="432" t="s">
        <v>22</v>
      </c>
      <c r="QC8" s="456" t="s">
        <v>22</v>
      </c>
      <c r="QD8" s="432" t="s">
        <v>22</v>
      </c>
      <c r="QE8" s="456" t="s">
        <v>22</v>
      </c>
      <c r="QF8" s="495">
        <v>42216</v>
      </c>
      <c r="QG8" s="502" t="str">
        <f>CHOOSE(WEEKDAY(QF8,2),"Monday","Tuesday","Wednesday","Thursday","Friday","Saturday","Sunday")</f>
        <v>Friday</v>
      </c>
      <c r="QH8" s="497">
        <v>42181</v>
      </c>
      <c r="QI8" s="500" t="str">
        <f>CHOOSE(WEEKDAY(QH8,2),"Monday","Tuesday","Wednesday","Thursday","Friday","Saturday","Sunday")</f>
        <v>Friday</v>
      </c>
      <c r="QJ8" s="432" t="s">
        <v>22</v>
      </c>
      <c r="QK8" s="505" t="s">
        <v>22</v>
      </c>
      <c r="QL8" s="432" t="s">
        <v>22</v>
      </c>
      <c r="QM8" s="456" t="s">
        <v>22</v>
      </c>
      <c r="QN8" s="425" t="s">
        <v>22</v>
      </c>
      <c r="QO8" s="425" t="s">
        <v>22</v>
      </c>
      <c r="QP8" s="432" t="s">
        <v>22</v>
      </c>
      <c r="QQ8" s="456" t="s">
        <v>22</v>
      </c>
      <c r="QR8" s="432" t="s">
        <v>22</v>
      </c>
      <c r="QS8" s="456" t="s">
        <v>22</v>
      </c>
      <c r="QT8" s="432" t="s">
        <v>22</v>
      </c>
      <c r="QU8" s="456" t="s">
        <v>22</v>
      </c>
      <c r="QV8" s="425" t="s">
        <v>22</v>
      </c>
      <c r="QW8" s="505" t="s">
        <v>22</v>
      </c>
      <c r="QX8" s="425" t="s">
        <v>22</v>
      </c>
      <c r="QY8" s="505" t="s">
        <v>22</v>
      </c>
      <c r="QZ8" s="432" t="s">
        <v>22</v>
      </c>
      <c r="RA8" s="456" t="s">
        <v>22</v>
      </c>
      <c r="RB8" s="432" t="s">
        <v>22</v>
      </c>
      <c r="RC8" s="456" t="s">
        <v>22</v>
      </c>
      <c r="RD8" s="432" t="s">
        <v>22</v>
      </c>
      <c r="RE8" s="456" t="s">
        <v>22</v>
      </c>
      <c r="RF8" s="432" t="s">
        <v>22</v>
      </c>
      <c r="RG8" s="456" t="s">
        <v>22</v>
      </c>
      <c r="RH8" s="432" t="s">
        <v>22</v>
      </c>
      <c r="RI8" s="456" t="s">
        <v>22</v>
      </c>
      <c r="RJ8" s="495">
        <v>42189</v>
      </c>
      <c r="RK8" s="499" t="str">
        <f>CHOOSE(WEEKDAY(RJ8,2),"Monday","Tuesday","Wednesday","Thursday","Friday","Saturday","Sunday")</f>
        <v>Saturday</v>
      </c>
      <c r="RL8" s="497">
        <v>42188</v>
      </c>
      <c r="RM8" s="500" t="str">
        <f>CHOOSE(WEEKDAY(RL8,2),"Monday","Tuesday","Wednesday","Thursday","Friday","Saturday","Sunday")</f>
        <v>Friday</v>
      </c>
      <c r="RN8" s="432" t="s">
        <v>22</v>
      </c>
      <c r="RO8" s="456" t="s">
        <v>22</v>
      </c>
      <c r="RP8" s="425" t="s">
        <v>22</v>
      </c>
      <c r="RQ8" s="425" t="s">
        <v>22</v>
      </c>
      <c r="RR8" s="432" t="s">
        <v>22</v>
      </c>
      <c r="RS8" s="456" t="s">
        <v>22</v>
      </c>
      <c r="RT8" s="432" t="s">
        <v>22</v>
      </c>
      <c r="RU8" s="456" t="s">
        <v>22</v>
      </c>
      <c r="RV8" s="425" t="s">
        <v>22</v>
      </c>
      <c r="RW8" s="504" t="s">
        <v>22</v>
      </c>
      <c r="RX8" s="432" t="s">
        <v>22</v>
      </c>
      <c r="RY8" s="456" t="s">
        <v>22</v>
      </c>
      <c r="RZ8" s="495">
        <v>42195</v>
      </c>
      <c r="SA8" s="500" t="str">
        <f>CHOOSE(WEEKDAY(RZ8,2),"Monday","Tuesday","Wednesday","Thursday","Friday","Saturday","Sunday")</f>
        <v>Friday</v>
      </c>
      <c r="SB8" s="432" t="s">
        <v>22</v>
      </c>
      <c r="SC8" s="456" t="s">
        <v>22</v>
      </c>
      <c r="SD8" s="432" t="s">
        <v>22</v>
      </c>
      <c r="SE8" s="456" t="s">
        <v>22</v>
      </c>
      <c r="SF8" s="432" t="s">
        <v>22</v>
      </c>
      <c r="SG8" s="456" t="s">
        <v>22</v>
      </c>
      <c r="SH8" s="432" t="s">
        <v>22</v>
      </c>
      <c r="SI8" s="456" t="s">
        <v>22</v>
      </c>
      <c r="SJ8" s="425" t="s">
        <v>22</v>
      </c>
      <c r="SK8" s="425" t="s">
        <v>22</v>
      </c>
      <c r="SL8" s="432" t="s">
        <v>22</v>
      </c>
      <c r="SM8" s="456" t="s">
        <v>22</v>
      </c>
      <c r="SN8" s="432" t="s">
        <v>22</v>
      </c>
      <c r="SO8" s="456" t="s">
        <v>22</v>
      </c>
      <c r="SP8" s="497">
        <v>42205</v>
      </c>
      <c r="SQ8" s="498" t="str">
        <f>CHOOSE(WEEKDAY(SP8,2),"Monday","Tuesday","Wednesday","Thursday","Friday","Saturday","Sunday")</f>
        <v>Monday</v>
      </c>
      <c r="SR8" s="495">
        <v>42202</v>
      </c>
      <c r="SS8" s="502" t="str">
        <f>CHOOSE(WEEKDAY(SR8,2),"Monday","Tuesday","Wednesday","Thursday","Friday","Saturday","Sunday")</f>
        <v>Friday</v>
      </c>
      <c r="ST8" s="425" t="s">
        <v>22</v>
      </c>
      <c r="SU8" s="425" t="s">
        <v>22</v>
      </c>
      <c r="SV8" s="432" t="s">
        <v>22</v>
      </c>
      <c r="SW8" s="456" t="s">
        <v>22</v>
      </c>
      <c r="SX8" s="432" t="s">
        <v>22</v>
      </c>
      <c r="SY8" s="456" t="s">
        <v>22</v>
      </c>
      <c r="SZ8" s="432" t="s">
        <v>22</v>
      </c>
      <c r="TA8" s="456" t="s">
        <v>22</v>
      </c>
      <c r="TB8" s="432" t="s">
        <v>22</v>
      </c>
      <c r="TC8" s="456" t="s">
        <v>22</v>
      </c>
      <c r="TD8" s="497">
        <v>42209</v>
      </c>
      <c r="TE8" s="500" t="str">
        <f>CHOOSE(WEEKDAY(TD8,2),"Monday","Tuesday","Wednesday","Thursday","Friday","Saturday","Sunday")</f>
        <v>Friday</v>
      </c>
      <c r="TF8" s="432" t="s">
        <v>22</v>
      </c>
      <c r="TG8" s="456" t="s">
        <v>22</v>
      </c>
      <c r="TH8" s="432" t="s">
        <v>22</v>
      </c>
      <c r="TI8" s="456" t="s">
        <v>22</v>
      </c>
      <c r="TJ8" s="425" t="s">
        <v>22</v>
      </c>
      <c r="TK8" s="425" t="s">
        <v>22</v>
      </c>
      <c r="TL8" s="432" t="s">
        <v>22</v>
      </c>
      <c r="TM8" s="456" t="s">
        <v>22</v>
      </c>
      <c r="TN8" s="432" t="s">
        <v>22</v>
      </c>
      <c r="TO8" s="456" t="s">
        <v>22</v>
      </c>
      <c r="TP8" s="432" t="s">
        <v>22</v>
      </c>
      <c r="TQ8" s="456" t="s">
        <v>22</v>
      </c>
      <c r="TR8" s="432" t="s">
        <v>22</v>
      </c>
      <c r="TS8" s="456" t="s">
        <v>22</v>
      </c>
      <c r="TT8" s="432" t="s">
        <v>22</v>
      </c>
      <c r="TU8" s="505" t="s">
        <v>22</v>
      </c>
      <c r="TV8" s="432" t="s">
        <v>22</v>
      </c>
      <c r="TW8" s="456" t="s">
        <v>22</v>
      </c>
      <c r="TX8" s="432" t="s">
        <v>22</v>
      </c>
      <c r="TY8" s="456" t="s">
        <v>22</v>
      </c>
      <c r="TZ8" s="425" t="s">
        <v>22</v>
      </c>
      <c r="UA8" s="425" t="s">
        <v>22</v>
      </c>
      <c r="UB8" s="432" t="s">
        <v>22</v>
      </c>
      <c r="UC8" s="456" t="s">
        <v>22</v>
      </c>
      <c r="UD8" s="432" t="s">
        <v>22</v>
      </c>
      <c r="UE8" s="456" t="s">
        <v>22</v>
      </c>
      <c r="UF8" s="432" t="s">
        <v>22</v>
      </c>
      <c r="UG8" s="456" t="s">
        <v>22</v>
      </c>
      <c r="UH8" s="425" t="s">
        <v>22</v>
      </c>
      <c r="UI8" s="425" t="s">
        <v>22</v>
      </c>
      <c r="UJ8" s="432" t="s">
        <v>22</v>
      </c>
      <c r="UK8" s="456" t="s">
        <v>22</v>
      </c>
      <c r="UL8" s="432" t="s">
        <v>22</v>
      </c>
      <c r="UM8" s="456" t="s">
        <v>22</v>
      </c>
      <c r="UN8" s="495">
        <v>42228</v>
      </c>
      <c r="UO8" s="507" t="str">
        <f>CHOOSE(WEEKDAY(UN8,2),"Monday","Tuesday","Wednesday","Thursday","Friday","Saturday","Sunday")</f>
        <v>Wednesday</v>
      </c>
      <c r="UP8" s="432" t="s">
        <v>22</v>
      </c>
      <c r="UQ8" s="456" t="s">
        <v>22</v>
      </c>
      <c r="UR8" s="425" t="s">
        <v>22</v>
      </c>
      <c r="US8" s="425" t="s">
        <v>22</v>
      </c>
      <c r="UT8" s="432" t="s">
        <v>22</v>
      </c>
      <c r="UU8" s="456" t="s">
        <v>22</v>
      </c>
      <c r="UV8" s="432" t="s">
        <v>22</v>
      </c>
      <c r="UW8" s="456" t="s">
        <v>22</v>
      </c>
      <c r="UX8" s="432" t="s">
        <v>22</v>
      </c>
      <c r="UY8" s="456" t="s">
        <v>22</v>
      </c>
      <c r="UZ8" s="425" t="s">
        <v>22</v>
      </c>
      <c r="VA8" s="504" t="s">
        <v>22</v>
      </c>
      <c r="VB8" s="432" t="s">
        <v>22</v>
      </c>
      <c r="VC8" s="456" t="s">
        <v>22</v>
      </c>
      <c r="VD8" s="432" t="s">
        <v>22</v>
      </c>
      <c r="VE8" s="456" t="s">
        <v>22</v>
      </c>
      <c r="VF8" s="495">
        <v>42234</v>
      </c>
      <c r="VG8" s="496" t="str">
        <f>CHOOSE(WEEKDAY(VF8,2),"Monday","Tuesday","Wednesday","Thursday","Friday","Saturday","Sunday")</f>
        <v>Tuesday</v>
      </c>
      <c r="VH8" s="425" t="s">
        <v>22</v>
      </c>
      <c r="VI8" s="425" t="s">
        <v>22</v>
      </c>
      <c r="VJ8" s="506">
        <v>42237</v>
      </c>
      <c r="VK8" s="502" t="str">
        <f>CHOOSE(WEEKDAY(VJ8,2),"Monday","Tuesday","Wednesday","Thursday","Friday","Saturday","Sunday")</f>
        <v>Friday</v>
      </c>
      <c r="VL8" s="432" t="s">
        <v>22</v>
      </c>
      <c r="VM8" s="456" t="s">
        <v>22</v>
      </c>
      <c r="VN8" s="425" t="s">
        <v>22</v>
      </c>
      <c r="VO8" s="425" t="s">
        <v>22</v>
      </c>
      <c r="VP8" s="432" t="s">
        <v>22</v>
      </c>
      <c r="VQ8" s="505" t="s">
        <v>22</v>
      </c>
      <c r="VR8" s="432" t="s">
        <v>22</v>
      </c>
      <c r="VS8" s="456" t="s">
        <v>22</v>
      </c>
      <c r="VT8" s="432" t="s">
        <v>22</v>
      </c>
      <c r="VU8" s="456" t="s">
        <v>22</v>
      </c>
      <c r="VV8" s="432" t="s">
        <v>22</v>
      </c>
      <c r="VW8" s="456" t="s">
        <v>22</v>
      </c>
      <c r="VX8" s="432" t="s">
        <v>22</v>
      </c>
      <c r="VY8" s="456" t="s">
        <v>22</v>
      </c>
      <c r="VZ8" s="497">
        <v>42244</v>
      </c>
      <c r="WA8" s="500" t="str">
        <f>CHOOSE(WEEKDAY(VZ8,2),"Monday","Tuesday","Wednesday","Thursday","Friday","Saturday","Sunday")</f>
        <v>Friday</v>
      </c>
      <c r="WB8" s="432" t="s">
        <v>22</v>
      </c>
      <c r="WC8" s="456" t="s">
        <v>22</v>
      </c>
      <c r="WD8" s="432" t="s">
        <v>22</v>
      </c>
      <c r="WE8" s="456" t="s">
        <v>22</v>
      </c>
      <c r="WF8" s="432" t="s">
        <v>22</v>
      </c>
      <c r="WG8" s="456" t="s">
        <v>22</v>
      </c>
      <c r="WH8" s="432" t="s">
        <v>22</v>
      </c>
      <c r="WI8" s="456" t="s">
        <v>22</v>
      </c>
      <c r="WJ8" s="432" t="s">
        <v>22</v>
      </c>
      <c r="WK8" s="456" t="s">
        <v>22</v>
      </c>
      <c r="WL8" s="286">
        <v>42249</v>
      </c>
      <c r="WM8" s="290" t="str">
        <f t="shared" ref="WM8:WM9" si="40">CHOOSE(WEEKDAY(WL8,2),"Monday","Tuesday","Wednesday","Thursday","Friday","Saturday","Sunday")</f>
        <v>Wednesday</v>
      </c>
      <c r="WN8" s="432" t="s">
        <v>22</v>
      </c>
      <c r="WO8" s="456" t="s">
        <v>22</v>
      </c>
      <c r="WP8" s="425" t="s">
        <v>22</v>
      </c>
      <c r="WQ8" s="425" t="s">
        <v>22</v>
      </c>
      <c r="WR8" s="432" t="s">
        <v>22</v>
      </c>
      <c r="WS8" s="456" t="s">
        <v>22</v>
      </c>
      <c r="WT8" s="432" t="s">
        <v>22</v>
      </c>
      <c r="WU8" s="456" t="s">
        <v>22</v>
      </c>
      <c r="WV8" s="432" t="s">
        <v>22</v>
      </c>
      <c r="WW8" s="456" t="s">
        <v>22</v>
      </c>
      <c r="WX8" s="497">
        <v>42258</v>
      </c>
      <c r="WY8" s="500" t="str">
        <f>CHOOSE(WEEKDAY(WX8,2),"Monday","Tuesday","Wednesday","Thursday","Friday","Saturday","Sunday")</f>
        <v>Friday</v>
      </c>
      <c r="WZ8" s="432" t="s">
        <v>22</v>
      </c>
      <c r="XA8" s="456" t="s">
        <v>22</v>
      </c>
      <c r="XB8" s="495">
        <v>42255</v>
      </c>
      <c r="XC8" s="496" t="str">
        <f>CHOOSE(WEEKDAY(XB8,2),"Monday","Tuesday","Wednesday","Thursday","Friday","Saturday","Sunday")</f>
        <v>Tuesday</v>
      </c>
      <c r="XD8" s="432" t="s">
        <v>22</v>
      </c>
      <c r="XE8" s="456" t="s">
        <v>22</v>
      </c>
      <c r="XF8" s="432" t="s">
        <v>22</v>
      </c>
      <c r="XG8" s="456" t="s">
        <v>22</v>
      </c>
      <c r="XH8" s="425" t="s">
        <v>22</v>
      </c>
      <c r="XI8" s="425" t="s">
        <v>22</v>
      </c>
      <c r="XJ8" s="432" t="s">
        <v>22</v>
      </c>
      <c r="XK8" s="456" t="s">
        <v>22</v>
      </c>
      <c r="XL8" s="425" t="s">
        <v>22</v>
      </c>
      <c r="XM8" s="425" t="s">
        <v>22</v>
      </c>
      <c r="XN8" s="432" t="s">
        <v>22</v>
      </c>
      <c r="XO8" s="456" t="s">
        <v>22</v>
      </c>
      <c r="XP8" s="432" t="s">
        <v>22</v>
      </c>
      <c r="XQ8" s="456" t="s">
        <v>22</v>
      </c>
      <c r="XR8" s="425" t="s">
        <v>22</v>
      </c>
      <c r="XS8" s="425" t="s">
        <v>22</v>
      </c>
      <c r="XT8" s="432" t="s">
        <v>22</v>
      </c>
      <c r="XU8" s="456" t="s">
        <v>22</v>
      </c>
      <c r="XV8" s="495">
        <v>42265</v>
      </c>
      <c r="XW8" s="502" t="str">
        <f>CHOOSE(WEEKDAY(XV8,2),"Monday","Tuesday","Wednesday","Thursday","Friday","Saturday","Sunday")</f>
        <v>Friday</v>
      </c>
      <c r="XX8" s="432" t="s">
        <v>22</v>
      </c>
      <c r="XY8" s="456" t="s">
        <v>22</v>
      </c>
      <c r="XZ8" s="425" t="s">
        <v>22</v>
      </c>
      <c r="YA8" s="425" t="s">
        <v>22</v>
      </c>
      <c r="YB8" s="432" t="s">
        <v>22</v>
      </c>
      <c r="YC8" s="456" t="s">
        <v>22</v>
      </c>
      <c r="YD8" s="432" t="s">
        <v>22</v>
      </c>
      <c r="YE8" s="456" t="s">
        <v>22</v>
      </c>
      <c r="YF8" s="495">
        <v>42265</v>
      </c>
      <c r="YG8" s="502" t="str">
        <f>CHOOSE(WEEKDAY(YF8,2),"Monday","Tuesday","Wednesday","Thursday","Friday","Saturday","Sunday")</f>
        <v>Friday</v>
      </c>
      <c r="YH8" s="432" t="s">
        <v>22</v>
      </c>
      <c r="YI8" s="456" t="s">
        <v>22</v>
      </c>
      <c r="YJ8" s="425" t="s">
        <v>22</v>
      </c>
      <c r="YK8" s="425" t="s">
        <v>22</v>
      </c>
      <c r="YL8" s="432" t="s">
        <v>22</v>
      </c>
      <c r="YM8" s="456" t="s">
        <v>22</v>
      </c>
      <c r="YN8" s="432" t="s">
        <v>22</v>
      </c>
      <c r="YO8" s="456" t="s">
        <v>22</v>
      </c>
      <c r="YP8" s="432" t="s">
        <v>22</v>
      </c>
      <c r="YQ8" s="456" t="s">
        <v>22</v>
      </c>
      <c r="YR8" s="432" t="s">
        <v>22</v>
      </c>
      <c r="YS8" s="456" t="s">
        <v>22</v>
      </c>
      <c r="YT8" s="425" t="s">
        <v>22</v>
      </c>
      <c r="YU8" s="504" t="s">
        <v>22</v>
      </c>
      <c r="YV8" s="432" t="s">
        <v>22</v>
      </c>
      <c r="YW8" s="456" t="s">
        <v>22</v>
      </c>
      <c r="YX8" s="432" t="s">
        <v>22</v>
      </c>
      <c r="YY8" s="456" t="s">
        <v>22</v>
      </c>
      <c r="YZ8" s="425" t="s">
        <v>22</v>
      </c>
      <c r="ZA8" s="425" t="s">
        <v>22</v>
      </c>
      <c r="ZB8" s="495">
        <v>42272</v>
      </c>
      <c r="ZC8" s="502" t="str">
        <f>CHOOSE(WEEKDAY(ZB8,2),"Monday","Tuesday","Wednesday","Thursday","Friday","Saturday","Sunday")</f>
        <v>Friday</v>
      </c>
      <c r="ZD8" s="425" t="s">
        <v>22</v>
      </c>
      <c r="ZE8" s="425" t="s">
        <v>22</v>
      </c>
      <c r="ZF8" s="432" t="s">
        <v>22</v>
      </c>
      <c r="ZG8" s="456" t="s">
        <v>22</v>
      </c>
      <c r="ZH8" s="432" t="s">
        <v>22</v>
      </c>
      <c r="ZI8" s="456" t="s">
        <v>22</v>
      </c>
      <c r="ZJ8" s="432" t="s">
        <v>22</v>
      </c>
      <c r="ZK8" s="456" t="s">
        <v>22</v>
      </c>
      <c r="ZL8" s="425" t="s">
        <v>22</v>
      </c>
      <c r="ZM8" s="425" t="s">
        <v>22</v>
      </c>
      <c r="ZN8" s="432" t="s">
        <v>22</v>
      </c>
      <c r="ZO8" s="456" t="s">
        <v>22</v>
      </c>
      <c r="ZP8" s="432" t="s">
        <v>22</v>
      </c>
      <c r="ZQ8" s="456" t="s">
        <v>22</v>
      </c>
      <c r="ZR8" s="497">
        <v>42279</v>
      </c>
      <c r="ZS8" s="500" t="str">
        <f>CHOOSE(WEEKDAY(ZR8,2),"Monday","Tuesday","Wednesday","Thursday","Friday","Saturday","Sunday")</f>
        <v>Friday</v>
      </c>
      <c r="ZT8" s="432" t="s">
        <v>22</v>
      </c>
      <c r="ZU8" s="456" t="s">
        <v>22</v>
      </c>
      <c r="ZV8" s="432" t="s">
        <v>22</v>
      </c>
      <c r="ZW8" s="456" t="s">
        <v>22</v>
      </c>
      <c r="ZX8" s="425" t="s">
        <v>22</v>
      </c>
      <c r="ZY8" s="425" t="s">
        <v>22</v>
      </c>
      <c r="ZZ8" s="432" t="s">
        <v>22</v>
      </c>
      <c r="AAA8" s="456" t="s">
        <v>22</v>
      </c>
      <c r="AAB8" s="432" t="s">
        <v>22</v>
      </c>
      <c r="AAC8" s="456" t="s">
        <v>22</v>
      </c>
      <c r="AAD8" s="495">
        <v>42286</v>
      </c>
      <c r="AAE8" s="502" t="str">
        <f>CHOOSE(WEEKDAY(AAD8,2),"Monday","Tuesday","Wednesday","Thursday","Friday","Saturday","Sunday")</f>
        <v>Friday</v>
      </c>
      <c r="AAF8" s="432" t="s">
        <v>22</v>
      </c>
      <c r="AAG8" s="456" t="s">
        <v>22</v>
      </c>
      <c r="AAH8" s="425" t="s">
        <v>22</v>
      </c>
      <c r="AAI8" s="425" t="s">
        <v>22</v>
      </c>
      <c r="AAJ8" s="432" t="s">
        <v>22</v>
      </c>
      <c r="AAK8" s="456" t="s">
        <v>22</v>
      </c>
      <c r="AAL8" s="432" t="s">
        <v>22</v>
      </c>
      <c r="AAM8" s="456" t="s">
        <v>22</v>
      </c>
      <c r="AAN8" s="432" t="s">
        <v>22</v>
      </c>
      <c r="AAO8" s="456" t="s">
        <v>22</v>
      </c>
      <c r="AAP8" s="432" t="s">
        <v>22</v>
      </c>
      <c r="AAQ8" s="456" t="s">
        <v>22</v>
      </c>
      <c r="AAR8" s="432" t="s">
        <v>22</v>
      </c>
      <c r="AAS8" s="456" t="s">
        <v>22</v>
      </c>
      <c r="AAT8" s="425" t="s">
        <v>22</v>
      </c>
      <c r="AAU8" s="425" t="s">
        <v>22</v>
      </c>
      <c r="AAV8" s="432" t="s">
        <v>22</v>
      </c>
      <c r="AAW8" s="456" t="s">
        <v>22</v>
      </c>
      <c r="AAX8" s="425" t="s">
        <v>22</v>
      </c>
      <c r="AAY8" s="425" t="s">
        <v>22</v>
      </c>
      <c r="AAZ8" s="432" t="s">
        <v>22</v>
      </c>
      <c r="ABA8" s="456" t="s">
        <v>22</v>
      </c>
      <c r="ABB8" s="432" t="s">
        <v>22</v>
      </c>
      <c r="ABC8" s="456" t="s">
        <v>22</v>
      </c>
      <c r="ABD8" s="495">
        <v>42207</v>
      </c>
      <c r="ABE8" s="507" t="str">
        <f>CHOOSE(WEEKDAY(ABD8,2),"Monday","Tuesday","Wednesday","Thursday","Friday","Saturday","Sunday")</f>
        <v>Wednesday</v>
      </c>
      <c r="ABF8" s="425" t="s">
        <v>22</v>
      </c>
      <c r="ABG8" s="425" t="s">
        <v>22</v>
      </c>
      <c r="ABH8" s="432" t="s">
        <v>22</v>
      </c>
      <c r="ABI8" s="456" t="s">
        <v>22</v>
      </c>
      <c r="ABJ8" s="432" t="s">
        <v>22</v>
      </c>
      <c r="ABK8" s="456" t="s">
        <v>22</v>
      </c>
      <c r="ABL8" s="432" t="s">
        <v>22</v>
      </c>
      <c r="ABM8" s="456" t="s">
        <v>22</v>
      </c>
      <c r="ABN8" s="432" t="s">
        <v>22</v>
      </c>
      <c r="ABO8" s="456" t="s">
        <v>22</v>
      </c>
      <c r="ABP8" s="425" t="s">
        <v>22</v>
      </c>
      <c r="ABQ8" s="425" t="s">
        <v>22</v>
      </c>
      <c r="ABR8" s="432" t="s">
        <v>22</v>
      </c>
      <c r="ABS8" s="456" t="s">
        <v>22</v>
      </c>
      <c r="ABT8" s="432" t="s">
        <v>22</v>
      </c>
      <c r="ABU8" s="456" t="s">
        <v>22</v>
      </c>
      <c r="ABV8" s="432" t="s">
        <v>22</v>
      </c>
      <c r="ABW8" s="456" t="s">
        <v>22</v>
      </c>
      <c r="ABX8" s="425" t="s">
        <v>22</v>
      </c>
      <c r="ABY8" s="425" t="s">
        <v>22</v>
      </c>
      <c r="ABZ8" s="432" t="s">
        <v>22</v>
      </c>
      <c r="ACA8" s="456" t="s">
        <v>22</v>
      </c>
      <c r="ACB8" s="432" t="s">
        <v>22</v>
      </c>
      <c r="ACC8" s="456" t="s">
        <v>22</v>
      </c>
      <c r="ACD8" s="432" t="s">
        <v>22</v>
      </c>
      <c r="ACE8" s="456" t="s">
        <v>22</v>
      </c>
      <c r="ACF8" s="432" t="s">
        <v>22</v>
      </c>
      <c r="ACG8" s="456" t="s">
        <v>22</v>
      </c>
      <c r="ACH8" s="432" t="s">
        <v>22</v>
      </c>
      <c r="ACI8" s="456" t="s">
        <v>22</v>
      </c>
      <c r="ACJ8" s="425" t="s">
        <v>22</v>
      </c>
      <c r="ACK8" s="425" t="s">
        <v>22</v>
      </c>
      <c r="ACL8" s="432" t="s">
        <v>22</v>
      </c>
      <c r="ACM8" s="456" t="s">
        <v>22</v>
      </c>
      <c r="ACN8" s="497">
        <v>42307</v>
      </c>
      <c r="ACO8" s="500" t="str">
        <f>CHOOSE(WEEKDAY(ACN8,2),"Monday","Tuesday","Wednesday","Thursday","Friday","Saturday","Sunday")</f>
        <v>Friday</v>
      </c>
      <c r="ACP8" s="432" t="s">
        <v>22</v>
      </c>
      <c r="ACQ8" s="456" t="s">
        <v>22</v>
      </c>
      <c r="ACR8" s="432" t="s">
        <v>22</v>
      </c>
      <c r="ACS8" s="456" t="s">
        <v>22</v>
      </c>
      <c r="ACT8" s="293">
        <v>42306</v>
      </c>
      <c r="ACU8" s="288" t="str">
        <f t="shared" ref="ACU8:ACU11" si="41">CHOOSE(WEEKDAY(ACT8,2),"Monday","Tuesday","Wednesday","Thursday","Friday","Saturday","Sunday")</f>
        <v>Thursday</v>
      </c>
      <c r="ACV8" s="432" t="s">
        <v>22</v>
      </c>
      <c r="ACW8" s="456" t="s">
        <v>22</v>
      </c>
      <c r="ACX8" s="425" t="s">
        <v>22</v>
      </c>
      <c r="ACY8" s="425" t="s">
        <v>22</v>
      </c>
      <c r="ACZ8" s="432" t="s">
        <v>22</v>
      </c>
      <c r="ADA8" s="456" t="s">
        <v>22</v>
      </c>
      <c r="ADB8" s="432" t="s">
        <v>22</v>
      </c>
      <c r="ADC8" s="456" t="s">
        <v>22</v>
      </c>
      <c r="ADD8" s="432" t="s">
        <v>22</v>
      </c>
      <c r="ADE8" s="456" t="s">
        <v>22</v>
      </c>
      <c r="ADF8" s="432" t="s">
        <v>22</v>
      </c>
      <c r="ADG8" s="456" t="s">
        <v>22</v>
      </c>
      <c r="ADH8" s="432" t="s">
        <v>22</v>
      </c>
      <c r="ADI8" s="456" t="s">
        <v>22</v>
      </c>
      <c r="ADJ8" s="432" t="s">
        <v>22</v>
      </c>
      <c r="ADK8" s="456" t="s">
        <v>22</v>
      </c>
      <c r="ADL8" s="425" t="s">
        <v>22</v>
      </c>
      <c r="ADM8" s="456" t="s">
        <v>22</v>
      </c>
      <c r="ADN8" s="425" t="s">
        <v>22</v>
      </c>
      <c r="ADO8" s="456" t="s">
        <v>22</v>
      </c>
      <c r="ADP8" s="432" t="s">
        <v>22</v>
      </c>
      <c r="ADQ8" s="456" t="s">
        <v>22</v>
      </c>
      <c r="ADR8" s="425" t="s">
        <v>22</v>
      </c>
      <c r="ADS8" s="456" t="s">
        <v>22</v>
      </c>
      <c r="ADT8" s="432" t="s">
        <v>22</v>
      </c>
      <c r="ADU8" s="456" t="s">
        <v>22</v>
      </c>
      <c r="ADV8" s="425" t="s">
        <v>22</v>
      </c>
      <c r="ADW8" s="425" t="s">
        <v>22</v>
      </c>
      <c r="ADX8" s="432" t="s">
        <v>22</v>
      </c>
      <c r="ADY8" s="505" t="s">
        <v>22</v>
      </c>
      <c r="ADZ8" s="432" t="s">
        <v>22</v>
      </c>
      <c r="AEA8" s="456" t="s">
        <v>22</v>
      </c>
      <c r="AEB8" s="432" t="s">
        <v>22</v>
      </c>
      <c r="AEC8" s="456" t="s">
        <v>22</v>
      </c>
      <c r="AED8" s="425" t="s">
        <v>22</v>
      </c>
      <c r="AEE8" s="425" t="s">
        <v>22</v>
      </c>
      <c r="AEF8" s="495">
        <v>42331</v>
      </c>
      <c r="AEG8" s="501" t="str">
        <f>CHOOSE(WEEKDAY(AEF8,2),"Monday","Tuesday","Wednesday","Thursday","Friday","Saturday","Sunday")</f>
        <v>Monday</v>
      </c>
      <c r="AEH8" s="432" t="s">
        <v>22</v>
      </c>
      <c r="AEI8" s="504" t="s">
        <v>22</v>
      </c>
      <c r="AEJ8" s="432" t="s">
        <v>22</v>
      </c>
      <c r="AEK8" s="456" t="s">
        <v>22</v>
      </c>
      <c r="AEL8" s="432" t="s">
        <v>22</v>
      </c>
      <c r="AEM8" s="456" t="s">
        <v>22</v>
      </c>
      <c r="AEN8" s="432" t="s">
        <v>22</v>
      </c>
      <c r="AEO8" s="456" t="s">
        <v>22</v>
      </c>
      <c r="AEP8" s="432" t="s">
        <v>22</v>
      </c>
      <c r="AEQ8" s="456" t="s">
        <v>22</v>
      </c>
      <c r="AER8" s="425" t="s">
        <v>22</v>
      </c>
      <c r="AES8" s="425" t="s">
        <v>22</v>
      </c>
      <c r="AET8" s="432" t="s">
        <v>22</v>
      </c>
      <c r="AEU8" s="456" t="s">
        <v>22</v>
      </c>
      <c r="AEV8" s="425" t="s">
        <v>22</v>
      </c>
      <c r="AEW8" s="425" t="s">
        <v>22</v>
      </c>
      <c r="AEX8" s="432" t="s">
        <v>22</v>
      </c>
      <c r="AEY8" s="456" t="s">
        <v>22</v>
      </c>
      <c r="AEZ8" s="432" t="s">
        <v>22</v>
      </c>
      <c r="AFA8" s="456" t="s">
        <v>22</v>
      </c>
      <c r="AFB8" s="432" t="s">
        <v>22</v>
      </c>
      <c r="AFC8" s="456" t="s">
        <v>22</v>
      </c>
      <c r="AFD8" s="432" t="s">
        <v>22</v>
      </c>
      <c r="AFE8" s="456" t="s">
        <v>22</v>
      </c>
      <c r="AFF8" s="425" t="s">
        <v>22</v>
      </c>
      <c r="AFG8" s="425" t="s">
        <v>22</v>
      </c>
      <c r="AFH8" s="432" t="s">
        <v>22</v>
      </c>
      <c r="AFI8" s="456" t="s">
        <v>22</v>
      </c>
      <c r="AFJ8" s="497">
        <v>42343</v>
      </c>
      <c r="AFK8" s="503" t="str">
        <f>CHOOSE(WEEKDAY(AFJ8,2),"Monday","Tuesday","Wednesday","Thursday","Friday","Saturday","Sunday")</f>
        <v>Saturday</v>
      </c>
      <c r="AFL8" s="432" t="s">
        <v>22</v>
      </c>
      <c r="AFM8" s="456" t="s">
        <v>22</v>
      </c>
      <c r="AFN8" s="495">
        <v>42006</v>
      </c>
      <c r="AFO8" s="502" t="str">
        <f>CHOOSE(WEEKDAY(AFN8,2),"Monday","Tuesday","Wednesday","Thursday","Friday","Saturday","Sunday")</f>
        <v>Friday</v>
      </c>
      <c r="AFP8" s="432" t="s">
        <v>22</v>
      </c>
      <c r="AFQ8" s="456" t="s">
        <v>22</v>
      </c>
      <c r="AFR8" s="497">
        <v>42345</v>
      </c>
      <c r="AFS8" s="498" t="str">
        <f>CHOOSE(WEEKDAY(AFR8,2),"Monday","Tuesday","Wednesday","Thursday","Friday","Saturday","Sunday")</f>
        <v>Monday</v>
      </c>
      <c r="AFT8" s="432" t="s">
        <v>22</v>
      </c>
      <c r="AFU8" s="505" t="s">
        <v>22</v>
      </c>
      <c r="AFV8" s="425" t="s">
        <v>22</v>
      </c>
      <c r="AFW8" s="425" t="s">
        <v>22</v>
      </c>
      <c r="AFX8" s="432" t="s">
        <v>22</v>
      </c>
      <c r="AFY8" s="425" t="s">
        <v>22</v>
      </c>
      <c r="AFZ8" s="495">
        <v>42348</v>
      </c>
      <c r="AGA8" s="508" t="str">
        <f>CHOOSE(WEEKDAY(AFZ8,2),"Monday","Tuesday","Wednesday","Thursday","Friday","Saturday","Sunday")</f>
        <v>Thursday</v>
      </c>
      <c r="AGB8" s="432" t="s">
        <v>22</v>
      </c>
      <c r="AGC8" s="456" t="s">
        <v>22</v>
      </c>
      <c r="AGD8" s="425" t="s">
        <v>22</v>
      </c>
      <c r="AGE8" s="425" t="s">
        <v>22</v>
      </c>
      <c r="AGF8" s="495">
        <v>42349</v>
      </c>
      <c r="AGG8" s="502" t="str">
        <f>CHOOSE(WEEKDAY(AGF8,2),"Monday","Tuesday","Wednesday","Thursday","Friday","Saturday","Sunday")</f>
        <v>Friday</v>
      </c>
      <c r="AGH8" s="432" t="s">
        <v>22</v>
      </c>
      <c r="AGI8" s="456" t="s">
        <v>22</v>
      </c>
      <c r="AGJ8" s="425" t="s">
        <v>22</v>
      </c>
      <c r="AGK8" s="425" t="s">
        <v>22</v>
      </c>
      <c r="AGL8" s="432" t="s">
        <v>22</v>
      </c>
      <c r="AGM8" s="456" t="s">
        <v>22</v>
      </c>
      <c r="AGN8" s="432" t="s">
        <v>22</v>
      </c>
      <c r="AGO8" s="456" t="s">
        <v>22</v>
      </c>
      <c r="AGP8" s="432" t="s">
        <v>22</v>
      </c>
      <c r="AGQ8" s="456" t="s">
        <v>22</v>
      </c>
      <c r="AGR8" s="432" t="s">
        <v>22</v>
      </c>
      <c r="AGS8" s="456" t="s">
        <v>22</v>
      </c>
      <c r="AGT8" s="432" t="s">
        <v>22</v>
      </c>
      <c r="AGU8" s="456" t="s">
        <v>22</v>
      </c>
      <c r="AGV8" s="286">
        <v>42023</v>
      </c>
      <c r="AGW8" s="285" t="str">
        <f t="shared" ref="AGW8:AGW10" si="42">CHOOSE(WEEKDAY(AGV8,2),"Monday","Tuesday","Wednesday","Thursday","Friday","Saturday","Sunday")</f>
        <v>Monday</v>
      </c>
      <c r="AGX8" s="432" t="s">
        <v>22</v>
      </c>
      <c r="AGY8" s="456" t="s">
        <v>22</v>
      </c>
      <c r="AGZ8" s="432" t="s">
        <v>22</v>
      </c>
      <c r="AHA8" s="456" t="s">
        <v>22</v>
      </c>
      <c r="AHB8" s="432" t="s">
        <v>22</v>
      </c>
      <c r="AHC8" s="505" t="s">
        <v>22</v>
      </c>
      <c r="AHD8" s="432" t="s">
        <v>22</v>
      </c>
      <c r="AHE8" s="456" t="s">
        <v>22</v>
      </c>
      <c r="AHF8" s="432" t="s">
        <v>22</v>
      </c>
      <c r="AHG8" s="456" t="s">
        <v>22</v>
      </c>
      <c r="AHH8" s="432" t="s">
        <v>22</v>
      </c>
      <c r="AHI8" s="425" t="s">
        <v>22</v>
      </c>
      <c r="AHJ8" s="495">
        <v>42363</v>
      </c>
      <c r="AHK8" s="502" t="str">
        <f>CHOOSE(WEEKDAY(AHJ8,2),"Monday","Tuesday","Wednesday","Thursday","Friday","Saturday","Sunday")</f>
        <v>Friday</v>
      </c>
      <c r="AHL8" s="425" t="s">
        <v>22</v>
      </c>
      <c r="AHM8" s="456" t="s">
        <v>22</v>
      </c>
      <c r="AHN8" s="432" t="s">
        <v>22</v>
      </c>
      <c r="AHO8" s="456" t="s">
        <v>22</v>
      </c>
      <c r="AHP8" s="432" t="s">
        <v>22</v>
      </c>
      <c r="AHQ8" s="456" t="s">
        <v>22</v>
      </c>
      <c r="AHR8" s="432" t="s">
        <v>22</v>
      </c>
      <c r="AHS8" s="425" t="s">
        <v>22</v>
      </c>
      <c r="AHT8" s="432" t="s">
        <v>22</v>
      </c>
      <c r="AHU8" s="425" t="s">
        <v>22</v>
      </c>
      <c r="AHV8" s="495">
        <v>42355</v>
      </c>
      <c r="AHW8" s="508" t="str">
        <f>CHOOSE(WEEKDAY(AHV8,2),"Monday","Tuesday","Wednesday","Thursday","Friday","Saturday","Sunday")</f>
        <v>Thursday</v>
      </c>
      <c r="AHX8" s="506">
        <v>42362</v>
      </c>
      <c r="AHY8" s="508" t="str">
        <f>CHOOSE(WEEKDAY(AHX8,2),"Monday","Tuesday","Wednesday","Thursday","Friday","Saturday","Sunday")</f>
        <v>Thursday</v>
      </c>
      <c r="AHZ8" s="495">
        <v>42369</v>
      </c>
      <c r="AIA8" s="508" t="str">
        <f>CHOOSE(WEEKDAY(AHZ8,2),"Monday","Tuesday","Wednesday","Thursday","Friday","Saturday","Sunday")</f>
        <v>Thursday</v>
      </c>
    </row>
    <row r="9" spans="1:911" ht="15.75" customHeight="1" x14ac:dyDescent="0.2">
      <c r="A9" s="398"/>
      <c r="B9" s="396"/>
      <c r="C9" s="398"/>
      <c r="D9" s="396"/>
      <c r="E9" s="398"/>
      <c r="F9" s="396"/>
      <c r="G9" s="398"/>
      <c r="H9" s="396"/>
      <c r="I9" s="398"/>
      <c r="J9" s="396"/>
      <c r="K9" s="398"/>
      <c r="L9" s="396"/>
      <c r="M9" s="398"/>
      <c r="N9" s="396"/>
      <c r="O9" s="398"/>
      <c r="P9" s="396"/>
      <c r="Q9" s="398"/>
      <c r="R9" s="396"/>
      <c r="S9" s="398"/>
      <c r="T9" s="396"/>
      <c r="U9" s="398"/>
      <c r="V9" s="396"/>
      <c r="W9" s="398"/>
      <c r="X9" s="396"/>
      <c r="Y9" s="398"/>
      <c r="Z9" s="396"/>
      <c r="AA9" s="398"/>
      <c r="AB9" s="396"/>
      <c r="AC9" s="398"/>
      <c r="AD9" s="397"/>
      <c r="AE9" s="397"/>
      <c r="AF9" s="396"/>
      <c r="AG9" s="397"/>
      <c r="AH9" s="294">
        <v>42315</v>
      </c>
      <c r="AI9" s="295" t="str">
        <f t="shared" si="36"/>
        <v>Saturday</v>
      </c>
      <c r="AJ9" s="397"/>
      <c r="AK9" s="397"/>
      <c r="AL9" s="396"/>
      <c r="AM9" s="398"/>
      <c r="AN9" s="396"/>
      <c r="AO9" s="398"/>
      <c r="AP9" s="396"/>
      <c r="AQ9" s="398"/>
      <c r="AR9" s="396"/>
      <c r="AS9" s="398"/>
      <c r="AT9" s="396"/>
      <c r="AU9" s="398"/>
      <c r="AV9" s="397"/>
      <c r="AW9" s="397"/>
      <c r="AX9" s="396"/>
      <c r="AY9" s="398"/>
      <c r="AZ9" s="396"/>
      <c r="BA9" s="398"/>
      <c r="BB9" s="397"/>
      <c r="BC9" s="397"/>
      <c r="BD9" s="396"/>
      <c r="BE9" s="398"/>
      <c r="BF9" s="396"/>
      <c r="BG9" s="398"/>
      <c r="BH9" s="396"/>
      <c r="BI9" s="398"/>
      <c r="BJ9" s="396"/>
      <c r="BK9" s="398"/>
      <c r="BL9" s="397"/>
      <c r="BM9" s="397"/>
      <c r="BN9" s="396"/>
      <c r="BO9" s="398"/>
      <c r="BP9" s="396"/>
      <c r="BQ9" s="398"/>
      <c r="BR9" s="396"/>
      <c r="BS9" s="398"/>
      <c r="BT9" s="397"/>
      <c r="BU9" s="397"/>
      <c r="BV9" s="396"/>
      <c r="BW9" s="398"/>
      <c r="BX9" s="397"/>
      <c r="BY9" s="397"/>
      <c r="BZ9" s="396"/>
      <c r="CA9" s="398"/>
      <c r="CB9" s="396"/>
      <c r="CC9" s="398"/>
      <c r="CD9" s="396"/>
      <c r="CE9" s="398"/>
      <c r="CF9" s="396"/>
      <c r="CG9" s="398"/>
      <c r="CH9" s="396"/>
      <c r="CI9" s="398"/>
      <c r="CJ9" s="396"/>
      <c r="CK9" s="398"/>
      <c r="CL9" s="397"/>
      <c r="CM9" s="397"/>
      <c r="CN9" s="396"/>
      <c r="CO9" s="398"/>
      <c r="CP9" s="396"/>
      <c r="CQ9" s="398"/>
      <c r="CR9" s="396"/>
      <c r="CS9" s="398"/>
      <c r="CT9" s="397"/>
      <c r="CU9" s="397"/>
      <c r="CV9" s="396"/>
      <c r="CW9" s="398"/>
      <c r="CX9" s="396"/>
      <c r="CY9" s="398"/>
      <c r="CZ9" s="397"/>
      <c r="DA9" s="397"/>
      <c r="DB9" s="396"/>
      <c r="DC9" s="398"/>
      <c r="DD9" s="396"/>
      <c r="DE9" s="398"/>
      <c r="DF9" s="397"/>
      <c r="DG9" s="397"/>
      <c r="DH9" s="396"/>
      <c r="DI9" s="398"/>
      <c r="DJ9" s="396"/>
      <c r="DK9" s="398"/>
      <c r="DL9" s="396"/>
      <c r="DM9" s="398"/>
      <c r="DN9" s="397"/>
      <c r="DO9" s="397"/>
      <c r="DP9" s="396"/>
      <c r="DQ9" s="398"/>
      <c r="DR9" s="396"/>
      <c r="DS9" s="398"/>
      <c r="DT9" s="397"/>
      <c r="DU9" s="397"/>
      <c r="DV9" s="396"/>
      <c r="DW9" s="398"/>
      <c r="DX9" s="396"/>
      <c r="DY9" s="398"/>
      <c r="DZ9" s="397"/>
      <c r="EA9" s="397"/>
      <c r="EB9" s="396"/>
      <c r="EC9" s="398"/>
      <c r="ED9" s="397"/>
      <c r="EE9" s="397"/>
      <c r="EF9" s="396"/>
      <c r="EG9" s="398"/>
      <c r="EH9" s="396"/>
      <c r="EI9" s="398"/>
      <c r="EJ9" s="396"/>
      <c r="EK9" s="398"/>
      <c r="EL9" s="397"/>
      <c r="EM9" s="398"/>
      <c r="EN9" s="396"/>
      <c r="EO9" s="398"/>
      <c r="EP9" s="396"/>
      <c r="EQ9" s="398"/>
      <c r="ER9" s="397"/>
      <c r="ES9" s="398"/>
      <c r="ET9" s="397"/>
      <c r="EU9" s="397"/>
      <c r="EV9" s="396"/>
      <c r="EW9" s="398"/>
      <c r="EX9" s="396"/>
      <c r="EY9" s="398"/>
      <c r="EZ9" s="396"/>
      <c r="FA9" s="398"/>
      <c r="FB9" s="397"/>
      <c r="FC9" s="397"/>
      <c r="FD9" s="396"/>
      <c r="FE9" s="398"/>
      <c r="FF9" s="397"/>
      <c r="FG9" s="398"/>
      <c r="FH9" s="397"/>
      <c r="FI9" s="397"/>
      <c r="FJ9" s="396"/>
      <c r="FK9" s="398"/>
      <c r="FL9" s="396"/>
      <c r="FM9" s="398"/>
      <c r="FN9" s="396"/>
      <c r="FO9" s="398"/>
      <c r="FP9" s="397"/>
      <c r="FQ9" s="397"/>
      <c r="FR9" s="396"/>
      <c r="FS9" s="398"/>
      <c r="FT9" s="396"/>
      <c r="FU9" s="398"/>
      <c r="FV9" s="396"/>
      <c r="FW9" s="398"/>
      <c r="FX9" s="397"/>
      <c r="FY9" s="397"/>
      <c r="FZ9" s="396"/>
      <c r="GA9" s="398"/>
      <c r="GB9" s="396"/>
      <c r="GC9" s="398"/>
      <c r="GD9" s="397"/>
      <c r="GE9" s="397"/>
      <c r="GF9" s="396"/>
      <c r="GG9" s="398"/>
      <c r="GH9" s="296">
        <v>42069</v>
      </c>
      <c r="GI9" s="297" t="str">
        <f t="shared" si="37"/>
        <v>Friday</v>
      </c>
      <c r="GJ9" s="396"/>
      <c r="GK9" s="398"/>
      <c r="GL9" s="396"/>
      <c r="GM9" s="398"/>
      <c r="GN9" s="397"/>
      <c r="GO9" s="397"/>
      <c r="GP9" s="396"/>
      <c r="GQ9" s="398"/>
      <c r="GR9" s="396"/>
      <c r="GS9" s="398"/>
      <c r="GT9" s="396"/>
      <c r="GU9" s="398"/>
      <c r="GV9" s="397"/>
      <c r="GW9" s="397"/>
      <c r="GX9" s="396"/>
      <c r="GY9" s="398"/>
      <c r="GZ9" s="396"/>
      <c r="HA9" s="398"/>
      <c r="HB9" s="396"/>
      <c r="HC9" s="398"/>
      <c r="HD9" s="396"/>
      <c r="HE9" s="398"/>
      <c r="HF9" s="396"/>
      <c r="HG9" s="398"/>
      <c r="HH9" s="397"/>
      <c r="HI9" s="397"/>
      <c r="HJ9" s="396"/>
      <c r="HK9" s="398"/>
      <c r="HL9" s="396"/>
      <c r="HM9" s="398"/>
      <c r="HN9" s="296">
        <v>42095</v>
      </c>
      <c r="HO9" s="298" t="str">
        <f t="shared" si="38"/>
        <v>Wednesday</v>
      </c>
      <c r="HP9" s="396"/>
      <c r="HQ9" s="398"/>
      <c r="HR9" s="396"/>
      <c r="HS9" s="398"/>
      <c r="HT9" s="396"/>
      <c r="HU9" s="398"/>
      <c r="HV9" s="396"/>
      <c r="HW9" s="398"/>
      <c r="HX9" s="397"/>
      <c r="HY9" s="397"/>
      <c r="HZ9" s="396"/>
      <c r="IA9" s="398"/>
      <c r="IB9" s="396"/>
      <c r="IC9" s="398"/>
      <c r="ID9" s="396"/>
      <c r="IE9" s="398"/>
      <c r="IF9" s="397"/>
      <c r="IG9" s="397"/>
      <c r="IH9" s="396"/>
      <c r="II9" s="398"/>
      <c r="IJ9" s="396"/>
      <c r="IK9" s="398"/>
      <c r="IL9" s="396"/>
      <c r="IM9" s="398"/>
      <c r="IN9" s="396"/>
      <c r="IO9" s="398"/>
      <c r="IP9" s="397"/>
      <c r="IQ9" s="397"/>
      <c r="IR9" s="396"/>
      <c r="IS9" s="398"/>
      <c r="IT9" s="396"/>
      <c r="IU9" s="398"/>
      <c r="IV9" s="396"/>
      <c r="IW9" s="398"/>
      <c r="IX9" s="396"/>
      <c r="IY9" s="398"/>
      <c r="IZ9" s="396"/>
      <c r="JA9" s="398"/>
      <c r="JB9" s="396"/>
      <c r="JC9" s="398"/>
      <c r="JD9" s="396"/>
      <c r="JE9" s="398"/>
      <c r="JF9" s="397"/>
      <c r="JG9" s="397"/>
      <c r="JH9" s="396"/>
      <c r="JI9" s="398"/>
      <c r="JJ9" s="396"/>
      <c r="JK9" s="398"/>
      <c r="JL9" s="396"/>
      <c r="JM9" s="398"/>
      <c r="JN9" s="396"/>
      <c r="JO9" s="398"/>
      <c r="JP9" s="397"/>
      <c r="JQ9" s="397"/>
      <c r="JR9" s="396"/>
      <c r="JS9" s="398"/>
      <c r="JT9" s="396"/>
      <c r="JU9" s="398"/>
      <c r="JV9" s="396"/>
      <c r="JW9" s="398"/>
      <c r="JX9" s="396"/>
      <c r="JY9" s="398"/>
      <c r="JZ9" s="396"/>
      <c r="KA9" s="398"/>
      <c r="KB9" s="396"/>
      <c r="KC9" s="398"/>
      <c r="KD9" s="397"/>
      <c r="KE9" s="397"/>
      <c r="KF9" s="396"/>
      <c r="KG9" s="398"/>
      <c r="KH9" s="397"/>
      <c r="KI9" s="397"/>
      <c r="KJ9" s="396"/>
      <c r="KK9" s="398"/>
      <c r="KL9" s="396"/>
      <c r="KM9" s="398"/>
      <c r="KN9" s="396"/>
      <c r="KO9" s="398"/>
      <c r="KP9" s="396"/>
      <c r="KQ9" s="398"/>
      <c r="KR9" s="396"/>
      <c r="KS9" s="398"/>
      <c r="KT9" s="396"/>
      <c r="KU9" s="398"/>
      <c r="KV9" s="396"/>
      <c r="KW9" s="398"/>
      <c r="KX9" s="396"/>
      <c r="KY9" s="398"/>
      <c r="KZ9" s="396"/>
      <c r="LA9" s="398"/>
      <c r="LB9" s="396"/>
      <c r="LC9" s="398"/>
      <c r="LD9" s="397"/>
      <c r="LE9" s="397"/>
      <c r="LF9" s="396"/>
      <c r="LG9" s="398"/>
      <c r="LH9" s="396"/>
      <c r="LI9" s="398"/>
      <c r="LJ9" s="397"/>
      <c r="LK9" s="397"/>
      <c r="LL9" s="396"/>
      <c r="LM9" s="398"/>
      <c r="LN9" s="397"/>
      <c r="LO9" s="397"/>
      <c r="LP9" s="396"/>
      <c r="LQ9" s="398"/>
      <c r="LR9" s="396"/>
      <c r="LS9" s="398"/>
      <c r="LT9" s="396"/>
      <c r="LU9" s="398"/>
      <c r="LV9" s="397"/>
      <c r="LW9" s="397"/>
      <c r="LX9" s="396"/>
      <c r="LY9" s="398"/>
      <c r="LZ9" s="397"/>
      <c r="MA9" s="397"/>
      <c r="MB9" s="396"/>
      <c r="MC9" s="398"/>
      <c r="MD9" s="396"/>
      <c r="ME9" s="398"/>
      <c r="MF9" s="396"/>
      <c r="MG9" s="398"/>
      <c r="MH9" s="396"/>
      <c r="MI9" s="398"/>
      <c r="MJ9" s="396"/>
      <c r="MK9" s="398"/>
      <c r="ML9" s="397"/>
      <c r="MM9" s="397"/>
      <c r="MN9" s="396"/>
      <c r="MO9" s="398"/>
      <c r="MP9" s="396"/>
      <c r="MQ9" s="398"/>
      <c r="MR9" s="396"/>
      <c r="MS9" s="398"/>
      <c r="MT9" s="396"/>
      <c r="MU9" s="398"/>
      <c r="MV9" s="397"/>
      <c r="MW9" s="397"/>
      <c r="MX9" s="396"/>
      <c r="MY9" s="398"/>
      <c r="MZ9" s="396"/>
      <c r="NA9" s="398"/>
      <c r="NB9" s="396"/>
      <c r="NC9" s="398"/>
      <c r="ND9" s="397"/>
      <c r="NE9" s="397"/>
      <c r="NF9" s="294">
        <v>42349</v>
      </c>
      <c r="NG9" s="299" t="str">
        <f t="shared" si="39"/>
        <v>Friday</v>
      </c>
      <c r="NH9" s="396"/>
      <c r="NI9" s="398"/>
      <c r="NJ9" s="396"/>
      <c r="NK9" s="398"/>
      <c r="NL9" s="397"/>
      <c r="NM9" s="397"/>
      <c r="NN9" s="396"/>
      <c r="NO9" s="398"/>
      <c r="NP9" s="396"/>
      <c r="NQ9" s="398"/>
      <c r="NR9" s="397"/>
      <c r="NS9" s="398"/>
      <c r="NT9" s="396"/>
      <c r="NU9" s="398"/>
      <c r="NV9" s="396"/>
      <c r="NW9" s="398"/>
      <c r="NX9" s="396"/>
      <c r="NY9" s="398"/>
      <c r="NZ9" s="396"/>
      <c r="OA9" s="397"/>
      <c r="OB9" s="396"/>
      <c r="OC9" s="398"/>
      <c r="OD9" s="396"/>
      <c r="OE9" s="398"/>
      <c r="OF9" s="397"/>
      <c r="OG9" s="397"/>
      <c r="OH9" s="396"/>
      <c r="OI9" s="398"/>
      <c r="OJ9" s="396"/>
      <c r="OK9" s="398"/>
      <c r="OL9" s="396"/>
      <c r="OM9" s="398"/>
      <c r="ON9" s="396"/>
      <c r="OO9" s="398"/>
      <c r="OP9" s="397"/>
      <c r="OQ9" s="397"/>
      <c r="OR9" s="396"/>
      <c r="OS9" s="398"/>
      <c r="OT9" s="396"/>
      <c r="OU9" s="398"/>
      <c r="OV9" s="397"/>
      <c r="OW9" s="397"/>
      <c r="OX9" s="396"/>
      <c r="OY9" s="398"/>
      <c r="OZ9" s="396"/>
      <c r="PA9" s="398"/>
      <c r="PB9" s="396"/>
      <c r="PC9" s="398"/>
      <c r="PD9" s="396"/>
      <c r="PE9" s="398"/>
      <c r="PF9" s="396"/>
      <c r="PG9" s="398"/>
      <c r="PH9" s="397"/>
      <c r="PI9" s="397"/>
      <c r="PJ9" s="396"/>
      <c r="PK9" s="398"/>
      <c r="PL9" s="397"/>
      <c r="PM9" s="397"/>
      <c r="PN9" s="396"/>
      <c r="PO9" s="398"/>
      <c r="PP9" s="396"/>
      <c r="PQ9" s="398"/>
      <c r="PR9" s="397"/>
      <c r="PS9" s="397"/>
      <c r="PT9" s="396"/>
      <c r="PU9" s="398"/>
      <c r="PV9" s="397"/>
      <c r="PW9" s="397"/>
      <c r="PX9" s="396"/>
      <c r="PY9" s="398"/>
      <c r="PZ9" s="396"/>
      <c r="QA9" s="398"/>
      <c r="QB9" s="396"/>
      <c r="QC9" s="398"/>
      <c r="QD9" s="396"/>
      <c r="QE9" s="398"/>
      <c r="QF9" s="396"/>
      <c r="QG9" s="398"/>
      <c r="QH9" s="397"/>
      <c r="QI9" s="397"/>
      <c r="QJ9" s="396"/>
      <c r="QK9" s="398"/>
      <c r="QL9" s="396"/>
      <c r="QM9" s="398"/>
      <c r="QN9" s="397"/>
      <c r="QO9" s="397"/>
      <c r="QP9" s="396"/>
      <c r="QQ9" s="398"/>
      <c r="QR9" s="396"/>
      <c r="QS9" s="398"/>
      <c r="QT9" s="396"/>
      <c r="QU9" s="398"/>
      <c r="QV9" s="397"/>
      <c r="QW9" s="398"/>
      <c r="QX9" s="397"/>
      <c r="QY9" s="398"/>
      <c r="QZ9" s="396"/>
      <c r="RA9" s="398"/>
      <c r="RB9" s="396"/>
      <c r="RC9" s="398"/>
      <c r="RD9" s="396"/>
      <c r="RE9" s="398"/>
      <c r="RF9" s="396"/>
      <c r="RG9" s="398"/>
      <c r="RH9" s="396"/>
      <c r="RI9" s="398"/>
      <c r="RJ9" s="396"/>
      <c r="RK9" s="398"/>
      <c r="RL9" s="397"/>
      <c r="RM9" s="397"/>
      <c r="RN9" s="396"/>
      <c r="RO9" s="398"/>
      <c r="RP9" s="397"/>
      <c r="RQ9" s="397"/>
      <c r="RR9" s="396"/>
      <c r="RS9" s="398"/>
      <c r="RT9" s="396"/>
      <c r="RU9" s="398"/>
      <c r="RV9" s="397"/>
      <c r="RW9" s="397"/>
      <c r="RX9" s="396"/>
      <c r="RY9" s="398"/>
      <c r="RZ9" s="396"/>
      <c r="SA9" s="397"/>
      <c r="SB9" s="396"/>
      <c r="SC9" s="398"/>
      <c r="SD9" s="396"/>
      <c r="SE9" s="398"/>
      <c r="SF9" s="396"/>
      <c r="SG9" s="398"/>
      <c r="SH9" s="396"/>
      <c r="SI9" s="398"/>
      <c r="SJ9" s="397"/>
      <c r="SK9" s="397"/>
      <c r="SL9" s="396"/>
      <c r="SM9" s="398"/>
      <c r="SN9" s="396"/>
      <c r="SO9" s="398"/>
      <c r="SP9" s="397"/>
      <c r="SQ9" s="397"/>
      <c r="SR9" s="396"/>
      <c r="SS9" s="398"/>
      <c r="ST9" s="397"/>
      <c r="SU9" s="397"/>
      <c r="SV9" s="396"/>
      <c r="SW9" s="398"/>
      <c r="SX9" s="396"/>
      <c r="SY9" s="398"/>
      <c r="SZ9" s="396"/>
      <c r="TA9" s="398"/>
      <c r="TB9" s="396"/>
      <c r="TC9" s="398"/>
      <c r="TD9" s="397"/>
      <c r="TE9" s="397"/>
      <c r="TF9" s="396"/>
      <c r="TG9" s="398"/>
      <c r="TH9" s="396"/>
      <c r="TI9" s="398"/>
      <c r="TJ9" s="397"/>
      <c r="TK9" s="397"/>
      <c r="TL9" s="396"/>
      <c r="TM9" s="398"/>
      <c r="TN9" s="396"/>
      <c r="TO9" s="398"/>
      <c r="TP9" s="396"/>
      <c r="TQ9" s="398"/>
      <c r="TR9" s="396"/>
      <c r="TS9" s="398"/>
      <c r="TT9" s="396"/>
      <c r="TU9" s="398"/>
      <c r="TV9" s="396"/>
      <c r="TW9" s="398"/>
      <c r="TX9" s="396"/>
      <c r="TY9" s="398"/>
      <c r="TZ9" s="397"/>
      <c r="UA9" s="397"/>
      <c r="UB9" s="396"/>
      <c r="UC9" s="398"/>
      <c r="UD9" s="396"/>
      <c r="UE9" s="398"/>
      <c r="UF9" s="396"/>
      <c r="UG9" s="398"/>
      <c r="UH9" s="397"/>
      <c r="UI9" s="397"/>
      <c r="UJ9" s="396"/>
      <c r="UK9" s="398"/>
      <c r="UL9" s="396"/>
      <c r="UM9" s="398"/>
      <c r="UN9" s="396"/>
      <c r="UO9" s="398"/>
      <c r="UP9" s="396"/>
      <c r="UQ9" s="398"/>
      <c r="UR9" s="397"/>
      <c r="US9" s="397"/>
      <c r="UT9" s="396"/>
      <c r="UU9" s="398"/>
      <c r="UV9" s="396"/>
      <c r="UW9" s="398"/>
      <c r="UX9" s="396"/>
      <c r="UY9" s="398"/>
      <c r="UZ9" s="397"/>
      <c r="VA9" s="397"/>
      <c r="VB9" s="396"/>
      <c r="VC9" s="398"/>
      <c r="VD9" s="396"/>
      <c r="VE9" s="398"/>
      <c r="VF9" s="396"/>
      <c r="VG9" s="398"/>
      <c r="VH9" s="397"/>
      <c r="VI9" s="397"/>
      <c r="VJ9" s="396"/>
      <c r="VK9" s="398"/>
      <c r="VL9" s="396"/>
      <c r="VM9" s="398"/>
      <c r="VN9" s="397"/>
      <c r="VO9" s="397"/>
      <c r="VP9" s="396"/>
      <c r="VQ9" s="398"/>
      <c r="VR9" s="396"/>
      <c r="VS9" s="398"/>
      <c r="VT9" s="396"/>
      <c r="VU9" s="398"/>
      <c r="VV9" s="396"/>
      <c r="VW9" s="398"/>
      <c r="VX9" s="396"/>
      <c r="VY9" s="398"/>
      <c r="VZ9" s="397"/>
      <c r="WA9" s="397"/>
      <c r="WB9" s="396"/>
      <c r="WC9" s="398"/>
      <c r="WD9" s="396"/>
      <c r="WE9" s="398"/>
      <c r="WF9" s="396"/>
      <c r="WG9" s="398"/>
      <c r="WH9" s="396"/>
      <c r="WI9" s="398"/>
      <c r="WJ9" s="396"/>
      <c r="WK9" s="398"/>
      <c r="WL9" s="300">
        <v>42251</v>
      </c>
      <c r="WM9" s="298" t="str">
        <f t="shared" si="40"/>
        <v>Friday</v>
      </c>
      <c r="WN9" s="396"/>
      <c r="WO9" s="398"/>
      <c r="WP9" s="397"/>
      <c r="WQ9" s="397"/>
      <c r="WR9" s="396"/>
      <c r="WS9" s="398"/>
      <c r="WT9" s="396"/>
      <c r="WU9" s="398"/>
      <c r="WV9" s="396"/>
      <c r="WW9" s="398"/>
      <c r="WX9" s="397"/>
      <c r="WY9" s="397"/>
      <c r="WZ9" s="396"/>
      <c r="XA9" s="398"/>
      <c r="XB9" s="396"/>
      <c r="XC9" s="398"/>
      <c r="XD9" s="396"/>
      <c r="XE9" s="398"/>
      <c r="XF9" s="396"/>
      <c r="XG9" s="398"/>
      <c r="XH9" s="397"/>
      <c r="XI9" s="397"/>
      <c r="XJ9" s="396"/>
      <c r="XK9" s="398"/>
      <c r="XL9" s="397"/>
      <c r="XM9" s="397"/>
      <c r="XN9" s="396"/>
      <c r="XO9" s="398"/>
      <c r="XP9" s="396"/>
      <c r="XQ9" s="398"/>
      <c r="XR9" s="397"/>
      <c r="XS9" s="397"/>
      <c r="XT9" s="396"/>
      <c r="XU9" s="398"/>
      <c r="XV9" s="396"/>
      <c r="XW9" s="398"/>
      <c r="XX9" s="396"/>
      <c r="XY9" s="398"/>
      <c r="XZ9" s="397"/>
      <c r="YA9" s="397"/>
      <c r="YB9" s="396"/>
      <c r="YC9" s="398"/>
      <c r="YD9" s="396"/>
      <c r="YE9" s="398"/>
      <c r="YF9" s="396"/>
      <c r="YG9" s="398"/>
      <c r="YH9" s="396"/>
      <c r="YI9" s="398"/>
      <c r="YJ9" s="397"/>
      <c r="YK9" s="397"/>
      <c r="YL9" s="396"/>
      <c r="YM9" s="398"/>
      <c r="YN9" s="396"/>
      <c r="YO9" s="398"/>
      <c r="YP9" s="396"/>
      <c r="YQ9" s="398"/>
      <c r="YR9" s="396"/>
      <c r="YS9" s="398"/>
      <c r="YT9" s="397"/>
      <c r="YU9" s="397"/>
      <c r="YV9" s="396"/>
      <c r="YW9" s="398"/>
      <c r="YX9" s="396"/>
      <c r="YY9" s="398"/>
      <c r="YZ9" s="397"/>
      <c r="ZA9" s="397"/>
      <c r="ZB9" s="396"/>
      <c r="ZC9" s="398"/>
      <c r="ZD9" s="397"/>
      <c r="ZE9" s="397"/>
      <c r="ZF9" s="396"/>
      <c r="ZG9" s="398"/>
      <c r="ZH9" s="396"/>
      <c r="ZI9" s="398"/>
      <c r="ZJ9" s="396"/>
      <c r="ZK9" s="398"/>
      <c r="ZL9" s="397"/>
      <c r="ZM9" s="397"/>
      <c r="ZN9" s="396"/>
      <c r="ZO9" s="398"/>
      <c r="ZP9" s="396"/>
      <c r="ZQ9" s="398"/>
      <c r="ZR9" s="397"/>
      <c r="ZS9" s="397"/>
      <c r="ZT9" s="396"/>
      <c r="ZU9" s="398"/>
      <c r="ZV9" s="396"/>
      <c r="ZW9" s="398"/>
      <c r="ZX9" s="397"/>
      <c r="ZY9" s="397"/>
      <c r="ZZ9" s="396"/>
      <c r="AAA9" s="398"/>
      <c r="AAB9" s="396"/>
      <c r="AAC9" s="398"/>
      <c r="AAD9" s="396"/>
      <c r="AAE9" s="398"/>
      <c r="AAF9" s="396"/>
      <c r="AAG9" s="398"/>
      <c r="AAH9" s="397"/>
      <c r="AAI9" s="397"/>
      <c r="AAJ9" s="396"/>
      <c r="AAK9" s="398"/>
      <c r="AAL9" s="396"/>
      <c r="AAM9" s="398"/>
      <c r="AAN9" s="396"/>
      <c r="AAO9" s="398"/>
      <c r="AAP9" s="396"/>
      <c r="AAQ9" s="398"/>
      <c r="AAR9" s="396"/>
      <c r="AAS9" s="398"/>
      <c r="AAT9" s="397"/>
      <c r="AAU9" s="397"/>
      <c r="AAV9" s="396"/>
      <c r="AAW9" s="398"/>
      <c r="AAX9" s="397"/>
      <c r="AAY9" s="397"/>
      <c r="AAZ9" s="396"/>
      <c r="ABA9" s="398"/>
      <c r="ABB9" s="396"/>
      <c r="ABC9" s="398"/>
      <c r="ABD9" s="396"/>
      <c r="ABE9" s="398"/>
      <c r="ABF9" s="397"/>
      <c r="ABG9" s="397"/>
      <c r="ABH9" s="396"/>
      <c r="ABI9" s="398"/>
      <c r="ABJ9" s="396"/>
      <c r="ABK9" s="398"/>
      <c r="ABL9" s="396"/>
      <c r="ABM9" s="398"/>
      <c r="ABN9" s="396"/>
      <c r="ABO9" s="398"/>
      <c r="ABP9" s="397"/>
      <c r="ABQ9" s="397"/>
      <c r="ABR9" s="396"/>
      <c r="ABS9" s="398"/>
      <c r="ABT9" s="396"/>
      <c r="ABU9" s="398"/>
      <c r="ABV9" s="396"/>
      <c r="ABW9" s="398"/>
      <c r="ABX9" s="397"/>
      <c r="ABY9" s="397"/>
      <c r="ABZ9" s="396"/>
      <c r="ACA9" s="398"/>
      <c r="ACB9" s="396"/>
      <c r="ACC9" s="398"/>
      <c r="ACD9" s="396"/>
      <c r="ACE9" s="398"/>
      <c r="ACF9" s="396"/>
      <c r="ACG9" s="398"/>
      <c r="ACH9" s="396"/>
      <c r="ACI9" s="398"/>
      <c r="ACJ9" s="397"/>
      <c r="ACK9" s="397"/>
      <c r="ACL9" s="396"/>
      <c r="ACM9" s="398"/>
      <c r="ACN9" s="397"/>
      <c r="ACO9" s="397"/>
      <c r="ACP9" s="396"/>
      <c r="ACQ9" s="398"/>
      <c r="ACR9" s="396"/>
      <c r="ACS9" s="398"/>
      <c r="ACT9" s="301">
        <v>42307</v>
      </c>
      <c r="ACU9" s="299" t="str">
        <f t="shared" si="41"/>
        <v>Friday</v>
      </c>
      <c r="ACV9" s="396"/>
      <c r="ACW9" s="398"/>
      <c r="ACX9" s="397"/>
      <c r="ACY9" s="397"/>
      <c r="ACZ9" s="396"/>
      <c r="ADA9" s="398"/>
      <c r="ADB9" s="396"/>
      <c r="ADC9" s="398"/>
      <c r="ADD9" s="396"/>
      <c r="ADE9" s="398"/>
      <c r="ADF9" s="396"/>
      <c r="ADG9" s="398"/>
      <c r="ADH9" s="396"/>
      <c r="ADI9" s="398"/>
      <c r="ADJ9" s="396"/>
      <c r="ADK9" s="398"/>
      <c r="ADL9" s="397"/>
      <c r="ADM9" s="398"/>
      <c r="ADN9" s="397"/>
      <c r="ADO9" s="398"/>
      <c r="ADP9" s="396"/>
      <c r="ADQ9" s="398"/>
      <c r="ADR9" s="397"/>
      <c r="ADS9" s="398"/>
      <c r="ADT9" s="396"/>
      <c r="ADU9" s="398"/>
      <c r="ADV9" s="397"/>
      <c r="ADW9" s="397"/>
      <c r="ADX9" s="396"/>
      <c r="ADY9" s="398"/>
      <c r="ADZ9" s="396"/>
      <c r="AEA9" s="398"/>
      <c r="AEB9" s="396"/>
      <c r="AEC9" s="398"/>
      <c r="AED9" s="397"/>
      <c r="AEE9" s="397"/>
      <c r="AEF9" s="396"/>
      <c r="AEG9" s="398"/>
      <c r="AEH9" s="396"/>
      <c r="AEI9" s="397"/>
      <c r="AEJ9" s="396"/>
      <c r="AEK9" s="398"/>
      <c r="AEL9" s="396"/>
      <c r="AEM9" s="398"/>
      <c r="AEN9" s="396"/>
      <c r="AEO9" s="398"/>
      <c r="AEP9" s="396"/>
      <c r="AEQ9" s="398"/>
      <c r="AER9" s="397"/>
      <c r="AES9" s="397"/>
      <c r="AET9" s="396"/>
      <c r="AEU9" s="398"/>
      <c r="AEV9" s="397"/>
      <c r="AEW9" s="397"/>
      <c r="AEX9" s="396"/>
      <c r="AEY9" s="398"/>
      <c r="AEZ9" s="396"/>
      <c r="AFA9" s="398"/>
      <c r="AFB9" s="396"/>
      <c r="AFC9" s="398"/>
      <c r="AFD9" s="396"/>
      <c r="AFE9" s="398"/>
      <c r="AFF9" s="397"/>
      <c r="AFG9" s="397"/>
      <c r="AFH9" s="396"/>
      <c r="AFI9" s="398"/>
      <c r="AFJ9" s="397"/>
      <c r="AFK9" s="397"/>
      <c r="AFL9" s="396"/>
      <c r="AFM9" s="398"/>
      <c r="AFN9" s="396"/>
      <c r="AFO9" s="398"/>
      <c r="AFP9" s="396"/>
      <c r="AFQ9" s="398"/>
      <c r="AFR9" s="397"/>
      <c r="AFS9" s="397"/>
      <c r="AFT9" s="396"/>
      <c r="AFU9" s="398"/>
      <c r="AFV9" s="397"/>
      <c r="AFW9" s="397"/>
      <c r="AFX9" s="396"/>
      <c r="AFY9" s="397"/>
      <c r="AFZ9" s="396"/>
      <c r="AGA9" s="398"/>
      <c r="AGB9" s="396"/>
      <c r="AGC9" s="398"/>
      <c r="AGD9" s="397"/>
      <c r="AGE9" s="397"/>
      <c r="AGF9" s="396"/>
      <c r="AGG9" s="398"/>
      <c r="AGH9" s="396"/>
      <c r="AGI9" s="398"/>
      <c r="AGJ9" s="397"/>
      <c r="AGK9" s="397"/>
      <c r="AGL9" s="396"/>
      <c r="AGM9" s="398"/>
      <c r="AGN9" s="396"/>
      <c r="AGO9" s="398"/>
      <c r="AGP9" s="396"/>
      <c r="AGQ9" s="398"/>
      <c r="AGR9" s="396"/>
      <c r="AGS9" s="398"/>
      <c r="AGT9" s="396"/>
      <c r="AGU9" s="398"/>
      <c r="AGV9" s="296">
        <v>42102</v>
      </c>
      <c r="AGW9" s="302" t="str">
        <f t="shared" si="42"/>
        <v>Wednesday</v>
      </c>
      <c r="AGX9" s="396"/>
      <c r="AGY9" s="398"/>
      <c r="AGZ9" s="396"/>
      <c r="AHA9" s="398"/>
      <c r="AHB9" s="396"/>
      <c r="AHC9" s="398"/>
      <c r="AHD9" s="396"/>
      <c r="AHE9" s="398"/>
      <c r="AHF9" s="396"/>
      <c r="AHG9" s="398"/>
      <c r="AHH9" s="396"/>
      <c r="AHI9" s="397"/>
      <c r="AHJ9" s="396"/>
      <c r="AHK9" s="398"/>
      <c r="AHL9" s="397"/>
      <c r="AHM9" s="398"/>
      <c r="AHN9" s="396"/>
      <c r="AHO9" s="398"/>
      <c r="AHP9" s="396"/>
      <c r="AHQ9" s="398"/>
      <c r="AHR9" s="396"/>
      <c r="AHS9" s="397"/>
      <c r="AHT9" s="396"/>
      <c r="AHU9" s="397"/>
      <c r="AHV9" s="396"/>
      <c r="AHW9" s="398"/>
      <c r="AHX9" s="396"/>
      <c r="AHY9" s="398"/>
      <c r="AHZ9" s="396"/>
      <c r="AIA9" s="398"/>
    </row>
    <row r="10" spans="1:911" ht="15.75" customHeight="1" x14ac:dyDescent="0.2">
      <c r="A10" s="473">
        <v>2016</v>
      </c>
      <c r="B10" s="476" t="s">
        <v>22</v>
      </c>
      <c r="C10" s="473" t="s">
        <v>22</v>
      </c>
      <c r="D10" s="476" t="s">
        <v>22</v>
      </c>
      <c r="E10" s="473" t="s">
        <v>22</v>
      </c>
      <c r="F10" s="476" t="s">
        <v>22</v>
      </c>
      <c r="G10" s="473" t="s">
        <v>22</v>
      </c>
      <c r="H10" s="476" t="s">
        <v>22</v>
      </c>
      <c r="I10" s="473" t="s">
        <v>22</v>
      </c>
      <c r="J10" s="476" t="s">
        <v>22</v>
      </c>
      <c r="K10" s="473" t="s">
        <v>22</v>
      </c>
      <c r="L10" s="476" t="s">
        <v>22</v>
      </c>
      <c r="M10" s="473" t="s">
        <v>22</v>
      </c>
      <c r="N10" s="476" t="s">
        <v>22</v>
      </c>
      <c r="O10" s="473" t="s">
        <v>22</v>
      </c>
      <c r="P10" s="480">
        <v>42378</v>
      </c>
      <c r="Q10" s="492" t="str">
        <f>CHOOSE(WEEKDAY(P10,2),"Monday","Tuesday","Wednesday","Thursday","Friday","Saturday","Sunday")</f>
        <v>Saturday</v>
      </c>
      <c r="R10" s="480">
        <v>42386</v>
      </c>
      <c r="S10" s="473" t="str">
        <f>CHOOSE(WEEKDAY(R10,2),"Monday","Tuesday","Wednesday","Thursday","Friday","Saturday","Sunday")</f>
        <v>Sunday</v>
      </c>
      <c r="T10" s="476" t="s">
        <v>22</v>
      </c>
      <c r="U10" s="473" t="s">
        <v>22</v>
      </c>
      <c r="V10" s="476" t="s">
        <v>22</v>
      </c>
      <c r="W10" s="473" t="s">
        <v>22</v>
      </c>
      <c r="X10" s="476" t="s">
        <v>22</v>
      </c>
      <c r="Y10" s="473" t="s">
        <v>22</v>
      </c>
      <c r="Z10" s="476" t="s">
        <v>22</v>
      </c>
      <c r="AA10" s="473" t="s">
        <v>22</v>
      </c>
      <c r="AB10" s="476" t="s">
        <v>22</v>
      </c>
      <c r="AC10" s="473" t="s">
        <v>22</v>
      </c>
      <c r="AD10" s="426" t="s">
        <v>22</v>
      </c>
      <c r="AE10" s="426" t="s">
        <v>22</v>
      </c>
      <c r="AF10" s="476" t="s">
        <v>22</v>
      </c>
      <c r="AG10" s="426" t="s">
        <v>22</v>
      </c>
      <c r="AH10" s="262">
        <v>42503</v>
      </c>
      <c r="AI10" s="277" t="str">
        <f t="shared" si="36"/>
        <v>Friday</v>
      </c>
      <c r="AJ10" s="426" t="s">
        <v>22</v>
      </c>
      <c r="AK10" s="426" t="s">
        <v>22</v>
      </c>
      <c r="AL10" s="476" t="s">
        <v>22</v>
      </c>
      <c r="AM10" s="473" t="s">
        <v>22</v>
      </c>
      <c r="AN10" s="476" t="s">
        <v>22</v>
      </c>
      <c r="AO10" s="473" t="s">
        <v>22</v>
      </c>
      <c r="AP10" s="476" t="s">
        <v>22</v>
      </c>
      <c r="AQ10" s="473" t="s">
        <v>22</v>
      </c>
      <c r="AR10" s="476" t="s">
        <v>22</v>
      </c>
      <c r="AS10" s="473" t="s">
        <v>22</v>
      </c>
      <c r="AT10" s="476" t="s">
        <v>22</v>
      </c>
      <c r="AU10" s="473" t="s">
        <v>22</v>
      </c>
      <c r="AV10" s="426" t="s">
        <v>22</v>
      </c>
      <c r="AW10" s="426" t="s">
        <v>22</v>
      </c>
      <c r="AX10" s="476" t="s">
        <v>22</v>
      </c>
      <c r="AY10" s="473" t="s">
        <v>22</v>
      </c>
      <c r="AZ10" s="476" t="s">
        <v>22</v>
      </c>
      <c r="BA10" s="473" t="s">
        <v>22</v>
      </c>
      <c r="BB10" s="426" t="s">
        <v>22</v>
      </c>
      <c r="BC10" s="426" t="s">
        <v>22</v>
      </c>
      <c r="BD10" s="476" t="s">
        <v>22</v>
      </c>
      <c r="BE10" s="473" t="s">
        <v>22</v>
      </c>
      <c r="BF10" s="476" t="s">
        <v>22</v>
      </c>
      <c r="BG10" s="473" t="s">
        <v>22</v>
      </c>
      <c r="BH10" s="476" t="s">
        <v>22</v>
      </c>
      <c r="BI10" s="473" t="s">
        <v>22</v>
      </c>
      <c r="BJ10" s="476" t="s">
        <v>22</v>
      </c>
      <c r="BK10" s="473" t="s">
        <v>22</v>
      </c>
      <c r="BL10" s="426" t="s">
        <v>22</v>
      </c>
      <c r="BM10" s="426" t="s">
        <v>22</v>
      </c>
      <c r="BN10" s="476" t="s">
        <v>22</v>
      </c>
      <c r="BO10" s="473" t="s">
        <v>22</v>
      </c>
      <c r="BP10" s="476" t="s">
        <v>22</v>
      </c>
      <c r="BQ10" s="473" t="s">
        <v>22</v>
      </c>
      <c r="BR10" s="262">
        <v>42468</v>
      </c>
      <c r="BS10" s="277" t="str">
        <f t="shared" ref="BS10:BS11" si="43">CHOOSE(WEEKDAY(BR10,2),"Monday","Tuesday","Wednesday","Thursday","Friday","Saturday","Sunday")</f>
        <v>Friday</v>
      </c>
      <c r="BT10" s="426" t="s">
        <v>22</v>
      </c>
      <c r="BU10" s="426" t="s">
        <v>22</v>
      </c>
      <c r="BV10" s="480">
        <v>42382</v>
      </c>
      <c r="BW10" s="481" t="str">
        <f>CHOOSE(WEEKDAY(BV10,2),"Monday","Tuesday","Wednesday","Thursday","Friday","Saturday","Sunday")</f>
        <v>Wednesday</v>
      </c>
      <c r="BX10" s="426" t="s">
        <v>22</v>
      </c>
      <c r="BY10" s="426" t="s">
        <v>22</v>
      </c>
      <c r="BZ10" s="476" t="s">
        <v>22</v>
      </c>
      <c r="CA10" s="473" t="s">
        <v>22</v>
      </c>
      <c r="CB10" s="476" t="s">
        <v>22</v>
      </c>
      <c r="CC10" s="473" t="s">
        <v>22</v>
      </c>
      <c r="CD10" s="476" t="s">
        <v>22</v>
      </c>
      <c r="CE10" s="473" t="s">
        <v>22</v>
      </c>
      <c r="CF10" s="476" t="s">
        <v>22</v>
      </c>
      <c r="CG10" s="473" t="s">
        <v>22</v>
      </c>
      <c r="CH10" s="476" t="s">
        <v>22</v>
      </c>
      <c r="CI10" s="473" t="s">
        <v>22</v>
      </c>
      <c r="CJ10" s="476" t="s">
        <v>22</v>
      </c>
      <c r="CK10" s="473" t="s">
        <v>22</v>
      </c>
      <c r="CL10" s="426" t="s">
        <v>22</v>
      </c>
      <c r="CM10" s="426" t="s">
        <v>22</v>
      </c>
      <c r="CN10" s="480">
        <v>42413</v>
      </c>
      <c r="CO10" s="492" t="str">
        <f>CHOOSE(WEEKDAY(CN10,2),"Monday","Tuesday","Wednesday","Thursday","Friday","Saturday","Sunday")</f>
        <v>Saturday</v>
      </c>
      <c r="CP10" s="476" t="s">
        <v>22</v>
      </c>
      <c r="CQ10" s="473" t="s">
        <v>22</v>
      </c>
      <c r="CR10" s="476" t="s">
        <v>22</v>
      </c>
      <c r="CS10" s="473" t="s">
        <v>22</v>
      </c>
      <c r="CT10" s="426" t="s">
        <v>22</v>
      </c>
      <c r="CU10" s="426" t="s">
        <v>22</v>
      </c>
      <c r="CV10" s="476" t="s">
        <v>22</v>
      </c>
      <c r="CW10" s="473" t="s">
        <v>22</v>
      </c>
      <c r="CX10" s="476" t="s">
        <v>22</v>
      </c>
      <c r="CY10" s="473" t="s">
        <v>22</v>
      </c>
      <c r="CZ10" s="426" t="s">
        <v>22</v>
      </c>
      <c r="DA10" s="426" t="s">
        <v>22</v>
      </c>
      <c r="DB10" s="476" t="s">
        <v>22</v>
      </c>
      <c r="DC10" s="473" t="s">
        <v>22</v>
      </c>
      <c r="DD10" s="476" t="s">
        <v>22</v>
      </c>
      <c r="DE10" s="473" t="s">
        <v>22</v>
      </c>
      <c r="DF10" s="474">
        <v>42685</v>
      </c>
      <c r="DG10" s="479" t="str">
        <f>CHOOSE(WEEKDAY(DF10,2),"Monday","Tuesday","Wednesday","Thursday","Friday","Saturday","Sunday")</f>
        <v>Friday</v>
      </c>
      <c r="DH10" s="476" t="s">
        <v>22</v>
      </c>
      <c r="DI10" s="473" t="s">
        <v>22</v>
      </c>
      <c r="DJ10" s="476" t="s">
        <v>22</v>
      </c>
      <c r="DK10" s="473" t="s">
        <v>22</v>
      </c>
      <c r="DL10" s="476" t="s">
        <v>22</v>
      </c>
      <c r="DM10" s="473" t="s">
        <v>22</v>
      </c>
      <c r="DN10" s="426" t="s">
        <v>22</v>
      </c>
      <c r="DO10" s="426" t="s">
        <v>22</v>
      </c>
      <c r="DP10" s="476" t="s">
        <v>22</v>
      </c>
      <c r="DQ10" s="473" t="s">
        <v>22</v>
      </c>
      <c r="DR10" s="476" t="s">
        <v>22</v>
      </c>
      <c r="DS10" s="473" t="s">
        <v>22</v>
      </c>
      <c r="DT10" s="474">
        <v>42420</v>
      </c>
      <c r="DU10" s="475" t="str">
        <f>CHOOSE(WEEKDAY(DT10,2),"Monday","Tuesday","Wednesday","Thursday","Friday","Saturday","Sunday")</f>
        <v>Saturday</v>
      </c>
      <c r="DV10" s="476" t="s">
        <v>22</v>
      </c>
      <c r="DW10" s="473" t="s">
        <v>22</v>
      </c>
      <c r="DX10" s="476" t="s">
        <v>22</v>
      </c>
      <c r="DY10" s="473" t="s">
        <v>22</v>
      </c>
      <c r="DZ10" s="426" t="s">
        <v>22</v>
      </c>
      <c r="EA10" s="426" t="s">
        <v>22</v>
      </c>
      <c r="EB10" s="476" t="s">
        <v>22</v>
      </c>
      <c r="EC10" s="473" t="s">
        <v>22</v>
      </c>
      <c r="ED10" s="426" t="s">
        <v>22</v>
      </c>
      <c r="EE10" s="426" t="s">
        <v>22</v>
      </c>
      <c r="EF10" s="476" t="s">
        <v>22</v>
      </c>
      <c r="EG10" s="473" t="s">
        <v>22</v>
      </c>
      <c r="EH10" s="476" t="s">
        <v>22</v>
      </c>
      <c r="EI10" s="473" t="s">
        <v>22</v>
      </c>
      <c r="EJ10" s="476" t="s">
        <v>22</v>
      </c>
      <c r="EK10" s="473" t="s">
        <v>22</v>
      </c>
      <c r="EL10" s="426" t="s">
        <v>22</v>
      </c>
      <c r="EM10" s="426" t="s">
        <v>22</v>
      </c>
      <c r="EN10" s="476" t="s">
        <v>22</v>
      </c>
      <c r="EO10" s="473" t="s">
        <v>22</v>
      </c>
      <c r="EP10" s="476" t="s">
        <v>22</v>
      </c>
      <c r="EQ10" s="473" t="s">
        <v>22</v>
      </c>
      <c r="ER10" s="476" t="s">
        <v>22</v>
      </c>
      <c r="ES10" s="473" t="s">
        <v>22</v>
      </c>
      <c r="ET10" s="474">
        <v>42433</v>
      </c>
      <c r="EU10" s="479" t="str">
        <f>CHOOSE(WEEKDAY(ET10,2),"Monday","Tuesday","Wednesday","Thursday","Friday","Saturday","Sunday")</f>
        <v>Friday</v>
      </c>
      <c r="EV10" s="476" t="s">
        <v>22</v>
      </c>
      <c r="EW10" s="473" t="s">
        <v>22</v>
      </c>
      <c r="EX10" s="476" t="s">
        <v>22</v>
      </c>
      <c r="EY10" s="473" t="s">
        <v>22</v>
      </c>
      <c r="EZ10" s="476" t="s">
        <v>22</v>
      </c>
      <c r="FA10" s="473" t="s">
        <v>22</v>
      </c>
      <c r="FB10" s="426" t="s">
        <v>22</v>
      </c>
      <c r="FC10" s="426" t="s">
        <v>22</v>
      </c>
      <c r="FD10" s="480">
        <v>42438</v>
      </c>
      <c r="FE10" s="481" t="str">
        <f>CHOOSE(WEEKDAY(FD10,2),"Monday","Tuesday","Wednesday","Thursday","Friday","Saturday","Sunday")</f>
        <v>Wednesday</v>
      </c>
      <c r="FF10" s="476" t="s">
        <v>22</v>
      </c>
      <c r="FG10" s="473" t="s">
        <v>22</v>
      </c>
      <c r="FH10" s="426" t="s">
        <v>22</v>
      </c>
      <c r="FI10" s="426" t="s">
        <v>22</v>
      </c>
      <c r="FJ10" s="476" t="s">
        <v>22</v>
      </c>
      <c r="FK10" s="473" t="s">
        <v>22</v>
      </c>
      <c r="FL10" s="476" t="s">
        <v>22</v>
      </c>
      <c r="FM10" s="473" t="s">
        <v>22</v>
      </c>
      <c r="FN10" s="476" t="s">
        <v>22</v>
      </c>
      <c r="FO10" s="473" t="s">
        <v>22</v>
      </c>
      <c r="FP10" s="426" t="s">
        <v>22</v>
      </c>
      <c r="FQ10" s="426" t="s">
        <v>22</v>
      </c>
      <c r="FR10" s="476" t="s">
        <v>22</v>
      </c>
      <c r="FS10" s="473" t="s">
        <v>22</v>
      </c>
      <c r="FT10" s="476" t="s">
        <v>22</v>
      </c>
      <c r="FU10" s="473" t="s">
        <v>22</v>
      </c>
      <c r="FV10" s="480">
        <v>42446</v>
      </c>
      <c r="FW10" s="484" t="str">
        <f>CHOOSE(WEEKDAY(FV10,2),"Monday","Tuesday","Wednesday","Thursday","Friday","Saturday","Sunday")</f>
        <v>Thursday</v>
      </c>
      <c r="FX10" s="474">
        <v>42447</v>
      </c>
      <c r="FY10" s="479" t="str">
        <f>CHOOSE(WEEKDAY(FX10,2),"Monday","Tuesday","Wednesday","Thursday","Friday","Saturday","Sunday")</f>
        <v>Friday</v>
      </c>
      <c r="FZ10" s="476" t="s">
        <v>22</v>
      </c>
      <c r="GA10" s="473" t="s">
        <v>22</v>
      </c>
      <c r="GB10" s="476" t="s">
        <v>22</v>
      </c>
      <c r="GC10" s="473" t="s">
        <v>22</v>
      </c>
      <c r="GD10" s="426" t="s">
        <v>22</v>
      </c>
      <c r="GE10" s="426" t="s">
        <v>22</v>
      </c>
      <c r="GF10" s="480">
        <v>42636</v>
      </c>
      <c r="GG10" s="482" t="str">
        <f>CHOOSE(WEEKDAY(GF10,2),"Monday","Tuesday","Wednesday","Thursday","Friday","Saturday","Sunday")</f>
        <v>Friday</v>
      </c>
      <c r="GH10" s="426" t="s">
        <v>22</v>
      </c>
      <c r="GI10" s="426" t="s">
        <v>22</v>
      </c>
      <c r="GJ10" s="476" t="s">
        <v>22</v>
      </c>
      <c r="GK10" s="473" t="s">
        <v>22</v>
      </c>
      <c r="GL10" s="476" t="s">
        <v>22</v>
      </c>
      <c r="GM10" s="473" t="s">
        <v>22</v>
      </c>
      <c r="GN10" s="426" t="s">
        <v>22</v>
      </c>
      <c r="GO10" s="426" t="s">
        <v>22</v>
      </c>
      <c r="GP10" s="476" t="s">
        <v>22</v>
      </c>
      <c r="GQ10" s="473" t="s">
        <v>22</v>
      </c>
      <c r="GR10" s="476" t="s">
        <v>22</v>
      </c>
      <c r="GS10" s="473" t="s">
        <v>22</v>
      </c>
      <c r="GT10" s="476" t="s">
        <v>22</v>
      </c>
      <c r="GU10" s="473" t="s">
        <v>22</v>
      </c>
      <c r="GV10" s="426" t="s">
        <v>22</v>
      </c>
      <c r="GW10" s="426" t="s">
        <v>22</v>
      </c>
      <c r="GX10" s="476" t="s">
        <v>22</v>
      </c>
      <c r="GY10" s="473" t="s">
        <v>22</v>
      </c>
      <c r="GZ10" s="476" t="s">
        <v>22</v>
      </c>
      <c r="HA10" s="473" t="s">
        <v>22</v>
      </c>
      <c r="HB10" s="476" t="s">
        <v>22</v>
      </c>
      <c r="HC10" s="473" t="s">
        <v>22</v>
      </c>
      <c r="HD10" s="476" t="s">
        <v>22</v>
      </c>
      <c r="HE10" s="473" t="s">
        <v>22</v>
      </c>
      <c r="HF10" s="476" t="s">
        <v>22</v>
      </c>
      <c r="HG10" s="473" t="s">
        <v>22</v>
      </c>
      <c r="HH10" s="426" t="s">
        <v>22</v>
      </c>
      <c r="HI10" s="426" t="s">
        <v>22</v>
      </c>
      <c r="HJ10" s="476" t="s">
        <v>22</v>
      </c>
      <c r="HK10" s="473" t="s">
        <v>22</v>
      </c>
      <c r="HL10" s="476" t="s">
        <v>22</v>
      </c>
      <c r="HM10" s="473" t="s">
        <v>22</v>
      </c>
      <c r="HN10" s="474">
        <v>42461</v>
      </c>
      <c r="HO10" s="479" t="str">
        <f t="shared" si="38"/>
        <v>Friday</v>
      </c>
      <c r="HP10" s="476" t="s">
        <v>22</v>
      </c>
      <c r="HQ10" s="473" t="s">
        <v>22</v>
      </c>
      <c r="HR10" s="476" t="s">
        <v>22</v>
      </c>
      <c r="HS10" s="473" t="s">
        <v>22</v>
      </c>
      <c r="HT10" s="476" t="s">
        <v>22</v>
      </c>
      <c r="HU10" s="473" t="s">
        <v>22</v>
      </c>
      <c r="HV10" s="476" t="s">
        <v>22</v>
      </c>
      <c r="HW10" s="473" t="s">
        <v>22</v>
      </c>
      <c r="HX10" s="426" t="s">
        <v>22</v>
      </c>
      <c r="HY10" s="426" t="s">
        <v>22</v>
      </c>
      <c r="HZ10" s="476" t="s">
        <v>22</v>
      </c>
      <c r="IA10" s="473" t="s">
        <v>22</v>
      </c>
      <c r="IB10" s="476" t="s">
        <v>22</v>
      </c>
      <c r="IC10" s="473" t="s">
        <v>22</v>
      </c>
      <c r="ID10" s="476" t="s">
        <v>22</v>
      </c>
      <c r="IE10" s="473" t="s">
        <v>22</v>
      </c>
      <c r="IF10" s="426" t="s">
        <v>22</v>
      </c>
      <c r="IG10" s="426" t="s">
        <v>22</v>
      </c>
      <c r="IH10" s="476" t="s">
        <v>22</v>
      </c>
      <c r="II10" s="473" t="s">
        <v>22</v>
      </c>
      <c r="IJ10" s="476" t="s">
        <v>22</v>
      </c>
      <c r="IK10" s="473" t="s">
        <v>22</v>
      </c>
      <c r="IL10" s="480">
        <v>42471</v>
      </c>
      <c r="IM10" s="467" t="str">
        <f>CHOOSE(WEEKDAY(IL10,2),"Monday","Tuesday","Wednesday","Thursday","Friday","Saturday","Sunday")</f>
        <v>Monday</v>
      </c>
      <c r="IN10" s="476" t="s">
        <v>22</v>
      </c>
      <c r="IO10" s="473" t="s">
        <v>22</v>
      </c>
      <c r="IP10" s="426" t="s">
        <v>22</v>
      </c>
      <c r="IQ10" s="426" t="s">
        <v>22</v>
      </c>
      <c r="IR10" s="476" t="s">
        <v>22</v>
      </c>
      <c r="IS10" s="473" t="s">
        <v>22</v>
      </c>
      <c r="IT10" s="476" t="s">
        <v>22</v>
      </c>
      <c r="IU10" s="473" t="s">
        <v>22</v>
      </c>
      <c r="IV10" s="476" t="s">
        <v>22</v>
      </c>
      <c r="IW10" s="473" t="s">
        <v>22</v>
      </c>
      <c r="IX10" s="476" t="s">
        <v>22</v>
      </c>
      <c r="IY10" s="473" t="s">
        <v>22</v>
      </c>
      <c r="IZ10" s="476" t="s">
        <v>22</v>
      </c>
      <c r="JA10" s="473" t="s">
        <v>22</v>
      </c>
      <c r="JB10" s="476" t="s">
        <v>22</v>
      </c>
      <c r="JC10" s="473" t="s">
        <v>22</v>
      </c>
      <c r="JD10" s="476" t="s">
        <v>22</v>
      </c>
      <c r="JE10" s="473" t="s">
        <v>22</v>
      </c>
      <c r="JF10" s="426" t="s">
        <v>22</v>
      </c>
      <c r="JG10" s="426" t="s">
        <v>22</v>
      </c>
      <c r="JH10" s="476" t="s">
        <v>22</v>
      </c>
      <c r="JI10" s="473" t="s">
        <v>22</v>
      </c>
      <c r="JJ10" s="476" t="s">
        <v>22</v>
      </c>
      <c r="JK10" s="473" t="s">
        <v>22</v>
      </c>
      <c r="JL10" s="476" t="s">
        <v>22</v>
      </c>
      <c r="JM10" s="473" t="s">
        <v>22</v>
      </c>
      <c r="JN10" s="476" t="s">
        <v>22</v>
      </c>
      <c r="JO10" s="473" t="s">
        <v>22</v>
      </c>
      <c r="JP10" s="426" t="s">
        <v>22</v>
      </c>
      <c r="JQ10" s="426" t="s">
        <v>22</v>
      </c>
      <c r="JR10" s="476" t="s">
        <v>22</v>
      </c>
      <c r="JS10" s="473" t="s">
        <v>22</v>
      </c>
      <c r="JT10" s="476" t="s">
        <v>22</v>
      </c>
      <c r="JU10" s="473" t="s">
        <v>22</v>
      </c>
      <c r="JV10" s="476" t="s">
        <v>22</v>
      </c>
      <c r="JW10" s="473" t="s">
        <v>22</v>
      </c>
      <c r="JX10" s="476" t="s">
        <v>22</v>
      </c>
      <c r="JY10" s="473" t="s">
        <v>22</v>
      </c>
      <c r="JZ10" s="476" t="s">
        <v>22</v>
      </c>
      <c r="KA10" s="473" t="s">
        <v>22</v>
      </c>
      <c r="KB10" s="476" t="s">
        <v>22</v>
      </c>
      <c r="KC10" s="473" t="s">
        <v>22</v>
      </c>
      <c r="KD10" s="426" t="s">
        <v>22</v>
      </c>
      <c r="KE10" s="426" t="s">
        <v>22</v>
      </c>
      <c r="KF10" s="476" t="s">
        <v>22</v>
      </c>
      <c r="KG10" s="473" t="s">
        <v>22</v>
      </c>
      <c r="KH10" s="426" t="s">
        <v>22</v>
      </c>
      <c r="KI10" s="426" t="s">
        <v>22</v>
      </c>
      <c r="KJ10" s="476" t="s">
        <v>22</v>
      </c>
      <c r="KK10" s="473" t="s">
        <v>22</v>
      </c>
      <c r="KL10" s="476" t="s">
        <v>22</v>
      </c>
      <c r="KM10" s="473" t="s">
        <v>22</v>
      </c>
      <c r="KN10" s="476" t="s">
        <v>22</v>
      </c>
      <c r="KO10" s="473" t="s">
        <v>22</v>
      </c>
      <c r="KP10" s="476" t="s">
        <v>22</v>
      </c>
      <c r="KQ10" s="473" t="s">
        <v>22</v>
      </c>
      <c r="KR10" s="476" t="s">
        <v>22</v>
      </c>
      <c r="KS10" s="473" t="s">
        <v>22</v>
      </c>
      <c r="KT10" s="476" t="s">
        <v>22</v>
      </c>
      <c r="KU10" s="473" t="s">
        <v>22</v>
      </c>
      <c r="KV10" s="476" t="s">
        <v>22</v>
      </c>
      <c r="KW10" s="473" t="s">
        <v>22</v>
      </c>
      <c r="KX10" s="476" t="s">
        <v>22</v>
      </c>
      <c r="KY10" s="473" t="s">
        <v>22</v>
      </c>
      <c r="KZ10" s="476" t="s">
        <v>22</v>
      </c>
      <c r="LA10" s="473" t="s">
        <v>22</v>
      </c>
      <c r="LB10" s="476" t="s">
        <v>22</v>
      </c>
      <c r="LC10" s="473" t="s">
        <v>22</v>
      </c>
      <c r="LD10" s="426" t="s">
        <v>22</v>
      </c>
      <c r="LE10" s="426" t="s">
        <v>22</v>
      </c>
      <c r="LF10" s="476" t="s">
        <v>22</v>
      </c>
      <c r="LG10" s="473" t="s">
        <v>22</v>
      </c>
      <c r="LH10" s="476" t="s">
        <v>22</v>
      </c>
      <c r="LI10" s="473" t="s">
        <v>22</v>
      </c>
      <c r="LJ10" s="474">
        <v>42499</v>
      </c>
      <c r="LK10" s="486" t="str">
        <f>CHOOSE(WEEKDAY(LJ10,2),"Monday","Tuesday","Wednesday","Thursday","Friday","Saturday","Sunday")</f>
        <v>Monday</v>
      </c>
      <c r="LL10" s="489">
        <v>42496</v>
      </c>
      <c r="LM10" s="473" t="str">
        <f>CHOOSE(WEEKDAY(LL10,2),"Monday","Tuesday","Wednesday","Thursday","Friday","Saturday","Sunday")</f>
        <v>Friday</v>
      </c>
      <c r="LN10" s="426" t="s">
        <v>22</v>
      </c>
      <c r="LO10" s="426" t="s">
        <v>22</v>
      </c>
      <c r="LP10" s="476" t="s">
        <v>22</v>
      </c>
      <c r="LQ10" s="473" t="s">
        <v>22</v>
      </c>
      <c r="LR10" s="476" t="s">
        <v>22</v>
      </c>
      <c r="LS10" s="473" t="s">
        <v>22</v>
      </c>
      <c r="LT10" s="476" t="s">
        <v>22</v>
      </c>
      <c r="LU10" s="473" t="s">
        <v>22</v>
      </c>
      <c r="LV10" s="426" t="s">
        <v>22</v>
      </c>
      <c r="LW10" s="426" t="s">
        <v>22</v>
      </c>
      <c r="LX10" s="476" t="s">
        <v>22</v>
      </c>
      <c r="LY10" s="473" t="s">
        <v>22</v>
      </c>
      <c r="LZ10" s="474">
        <v>42650</v>
      </c>
      <c r="MA10" s="479" t="str">
        <f>CHOOSE(WEEKDAY(LZ10,2),"Monday","Tuesday","Wednesday","Thursday","Friday","Saturday","Sunday")</f>
        <v>Friday</v>
      </c>
      <c r="MB10" s="476" t="s">
        <v>22</v>
      </c>
      <c r="MC10" s="473" t="s">
        <v>22</v>
      </c>
      <c r="MD10" s="476" t="s">
        <v>22</v>
      </c>
      <c r="ME10" s="473" t="s">
        <v>22</v>
      </c>
      <c r="MF10" s="476" t="s">
        <v>22</v>
      </c>
      <c r="MG10" s="473" t="s">
        <v>22</v>
      </c>
      <c r="MH10" s="476" t="s">
        <v>22</v>
      </c>
      <c r="MI10" s="473" t="s">
        <v>22</v>
      </c>
      <c r="MJ10" s="476" t="s">
        <v>22</v>
      </c>
      <c r="MK10" s="473" t="s">
        <v>22</v>
      </c>
      <c r="ML10" s="426" t="s">
        <v>22</v>
      </c>
      <c r="MM10" s="426" t="s">
        <v>22</v>
      </c>
      <c r="MN10" s="476" t="s">
        <v>22</v>
      </c>
      <c r="MO10" s="473" t="s">
        <v>22</v>
      </c>
      <c r="MP10" s="476" t="s">
        <v>22</v>
      </c>
      <c r="MQ10" s="473" t="s">
        <v>22</v>
      </c>
      <c r="MR10" s="476" t="s">
        <v>22</v>
      </c>
      <c r="MS10" s="473" t="s">
        <v>22</v>
      </c>
      <c r="MT10" s="476" t="s">
        <v>22</v>
      </c>
      <c r="MU10" s="473" t="s">
        <v>22</v>
      </c>
      <c r="MV10" s="426" t="s">
        <v>22</v>
      </c>
      <c r="MW10" s="426" t="s">
        <v>22</v>
      </c>
      <c r="MX10" s="476" t="s">
        <v>22</v>
      </c>
      <c r="MY10" s="473" t="s">
        <v>22</v>
      </c>
      <c r="MZ10" s="476" t="s">
        <v>22</v>
      </c>
      <c r="NA10" s="473" t="s">
        <v>22</v>
      </c>
      <c r="NB10" s="476" t="s">
        <v>22</v>
      </c>
      <c r="NC10" s="473" t="s">
        <v>22</v>
      </c>
      <c r="ND10" s="426" t="s">
        <v>22</v>
      </c>
      <c r="NE10" s="426" t="s">
        <v>22</v>
      </c>
      <c r="NF10" s="262">
        <v>42377</v>
      </c>
      <c r="NG10" s="277" t="str">
        <f t="shared" si="39"/>
        <v>Friday</v>
      </c>
      <c r="NH10" s="476" t="s">
        <v>22</v>
      </c>
      <c r="NI10" s="473" t="s">
        <v>22</v>
      </c>
      <c r="NJ10" s="476" t="s">
        <v>22</v>
      </c>
      <c r="NK10" s="473" t="s">
        <v>22</v>
      </c>
      <c r="NL10" s="426" t="s">
        <v>22</v>
      </c>
      <c r="NM10" s="426" t="s">
        <v>22</v>
      </c>
      <c r="NN10" s="476" t="s">
        <v>22</v>
      </c>
      <c r="NO10" s="473" t="s">
        <v>22</v>
      </c>
      <c r="NP10" s="476" t="s">
        <v>22</v>
      </c>
      <c r="NQ10" s="473" t="s">
        <v>22</v>
      </c>
      <c r="NR10" s="426" t="s">
        <v>22</v>
      </c>
      <c r="NS10" s="473" t="s">
        <v>22</v>
      </c>
      <c r="NT10" s="476" t="s">
        <v>22</v>
      </c>
      <c r="NU10" s="473" t="s">
        <v>22</v>
      </c>
      <c r="NV10" s="476" t="s">
        <v>22</v>
      </c>
      <c r="NW10" s="473" t="s">
        <v>22</v>
      </c>
      <c r="NX10" s="476" t="s">
        <v>22</v>
      </c>
      <c r="NY10" s="473" t="s">
        <v>22</v>
      </c>
      <c r="NZ10" s="476" t="s">
        <v>22</v>
      </c>
      <c r="OA10" s="426" t="s">
        <v>22</v>
      </c>
      <c r="OB10" s="476" t="s">
        <v>22</v>
      </c>
      <c r="OC10" s="473" t="s">
        <v>22</v>
      </c>
      <c r="OD10" s="464">
        <v>42524</v>
      </c>
      <c r="OE10" s="482" t="str">
        <f>CHOOSE(WEEKDAY(OD10,2),"Monday","Tuesday","Wednesday","Thursday","Friday","Saturday","Sunday")</f>
        <v>Friday</v>
      </c>
      <c r="OF10" s="426" t="s">
        <v>22</v>
      </c>
      <c r="OG10" s="426" t="s">
        <v>22</v>
      </c>
      <c r="OH10" s="476" t="s">
        <v>22</v>
      </c>
      <c r="OI10" s="473" t="s">
        <v>22</v>
      </c>
      <c r="OJ10" s="476" t="s">
        <v>22</v>
      </c>
      <c r="OK10" s="473" t="s">
        <v>22</v>
      </c>
      <c r="OL10" s="476" t="s">
        <v>22</v>
      </c>
      <c r="OM10" s="473" t="s">
        <v>22</v>
      </c>
      <c r="ON10" s="476" t="s">
        <v>22</v>
      </c>
      <c r="OO10" s="473" t="s">
        <v>22</v>
      </c>
      <c r="OP10" s="490">
        <v>42530</v>
      </c>
      <c r="OQ10" s="491" t="str">
        <f>CHOOSE(WEEKDAY(OP10,2),"Monday","Tuesday","Wednesday","Thursday","Friday","Saturday","Sunday")</f>
        <v>Thursday</v>
      </c>
      <c r="OR10" s="476" t="s">
        <v>22</v>
      </c>
      <c r="OS10" s="473" t="s">
        <v>22</v>
      </c>
      <c r="OT10" s="476" t="s">
        <v>22</v>
      </c>
      <c r="OU10" s="473" t="s">
        <v>22</v>
      </c>
      <c r="OV10" s="426" t="s">
        <v>22</v>
      </c>
      <c r="OW10" s="426" t="s">
        <v>22</v>
      </c>
      <c r="OX10" s="476" t="s">
        <v>22</v>
      </c>
      <c r="OY10" s="473" t="s">
        <v>22</v>
      </c>
      <c r="OZ10" s="476" t="s">
        <v>22</v>
      </c>
      <c r="PA10" s="473" t="s">
        <v>22</v>
      </c>
      <c r="PB10" s="476" t="s">
        <v>22</v>
      </c>
      <c r="PC10" s="473" t="s">
        <v>22</v>
      </c>
      <c r="PD10" s="476" t="s">
        <v>22</v>
      </c>
      <c r="PE10" s="473" t="s">
        <v>22</v>
      </c>
      <c r="PF10" s="476" t="s">
        <v>22</v>
      </c>
      <c r="PG10" s="473" t="s">
        <v>22</v>
      </c>
      <c r="PH10" s="426" t="s">
        <v>22</v>
      </c>
      <c r="PI10" s="426" t="s">
        <v>22</v>
      </c>
      <c r="PJ10" s="476" t="s">
        <v>22</v>
      </c>
      <c r="PK10" s="473" t="s">
        <v>22</v>
      </c>
      <c r="PL10" s="426" t="s">
        <v>22</v>
      </c>
      <c r="PM10" s="426" t="s">
        <v>22</v>
      </c>
      <c r="PN10" s="476" t="s">
        <v>22</v>
      </c>
      <c r="PO10" s="473" t="s">
        <v>22</v>
      </c>
      <c r="PP10" s="476" t="s">
        <v>22</v>
      </c>
      <c r="PQ10" s="473" t="s">
        <v>22</v>
      </c>
      <c r="PR10" s="426" t="s">
        <v>22</v>
      </c>
      <c r="PS10" s="426" t="s">
        <v>22</v>
      </c>
      <c r="PT10" s="476" t="s">
        <v>22</v>
      </c>
      <c r="PU10" s="473" t="s">
        <v>22</v>
      </c>
      <c r="PV10" s="426" t="s">
        <v>22</v>
      </c>
      <c r="PW10" s="426" t="s">
        <v>22</v>
      </c>
      <c r="PX10" s="476" t="s">
        <v>22</v>
      </c>
      <c r="PY10" s="473" t="s">
        <v>22</v>
      </c>
      <c r="PZ10" s="476" t="s">
        <v>22</v>
      </c>
      <c r="QA10" s="473" t="s">
        <v>22</v>
      </c>
      <c r="QB10" s="476" t="s">
        <v>22</v>
      </c>
      <c r="QC10" s="473" t="s">
        <v>22</v>
      </c>
      <c r="QD10" s="476" t="s">
        <v>22</v>
      </c>
      <c r="QE10" s="473" t="s">
        <v>22</v>
      </c>
      <c r="QF10" s="480">
        <v>42545</v>
      </c>
      <c r="QG10" s="482" t="str">
        <f>CHOOSE(WEEKDAY(QF10,2),"Monday","Tuesday","Wednesday","Thursday","Friday","Saturday","Sunday")</f>
        <v>Friday</v>
      </c>
      <c r="QH10" s="426" t="s">
        <v>22</v>
      </c>
      <c r="QI10" s="426" t="s">
        <v>22</v>
      </c>
      <c r="QJ10" s="480">
        <v>42548</v>
      </c>
      <c r="QK10" s="467" t="str">
        <f>CHOOSE(WEEKDAY(QJ10,2),"Monday","Tuesday","Wednesday","Thursday","Friday","Saturday","Sunday")</f>
        <v>Monday</v>
      </c>
      <c r="QL10" s="476" t="s">
        <v>22</v>
      </c>
      <c r="QM10" s="473" t="s">
        <v>22</v>
      </c>
      <c r="QN10" s="426" t="s">
        <v>22</v>
      </c>
      <c r="QO10" s="426" t="s">
        <v>22</v>
      </c>
      <c r="QP10" s="476" t="s">
        <v>22</v>
      </c>
      <c r="QQ10" s="473" t="s">
        <v>22</v>
      </c>
      <c r="QR10" s="476" t="s">
        <v>22</v>
      </c>
      <c r="QS10" s="473" t="s">
        <v>22</v>
      </c>
      <c r="QT10" s="476" t="s">
        <v>22</v>
      </c>
      <c r="QU10" s="473" t="s">
        <v>22</v>
      </c>
      <c r="QV10" s="276">
        <v>42552</v>
      </c>
      <c r="QW10" s="277" t="str">
        <f t="shared" ref="QW10:QW11" si="44">CHOOSE(WEEKDAY(QV10,2),"Monday","Tuesday","Wednesday","Thursday","Friday","Saturday","Sunday")</f>
        <v>Friday</v>
      </c>
      <c r="QX10" s="476" t="s">
        <v>22</v>
      </c>
      <c r="QY10" s="473" t="s">
        <v>22</v>
      </c>
      <c r="QZ10" s="476" t="s">
        <v>22</v>
      </c>
      <c r="RA10" s="473" t="s">
        <v>22</v>
      </c>
      <c r="RB10" s="476" t="s">
        <v>22</v>
      </c>
      <c r="RC10" s="473" t="s">
        <v>22</v>
      </c>
      <c r="RD10" s="476" t="s">
        <v>22</v>
      </c>
      <c r="RE10" s="473" t="s">
        <v>22</v>
      </c>
      <c r="RF10" s="476" t="s">
        <v>22</v>
      </c>
      <c r="RG10" s="473" t="s">
        <v>22</v>
      </c>
      <c r="RH10" s="476" t="s">
        <v>22</v>
      </c>
      <c r="RI10" s="473" t="s">
        <v>22</v>
      </c>
      <c r="RJ10" s="480">
        <v>42555</v>
      </c>
      <c r="RK10" s="467" t="str">
        <f>CHOOSE(WEEKDAY(RJ10,2),"Monday","Tuesday","Wednesday","Thursday","Friday","Saturday","Sunday")</f>
        <v>Monday</v>
      </c>
      <c r="RL10" s="474">
        <v>42556</v>
      </c>
      <c r="RM10" s="493" t="str">
        <f>CHOOSE(WEEKDAY(RL10,2),"Monday","Tuesday","Wednesday","Thursday","Friday","Saturday","Sunday")</f>
        <v>Tuesday</v>
      </c>
      <c r="RN10" s="476" t="s">
        <v>22</v>
      </c>
      <c r="RO10" s="473" t="s">
        <v>22</v>
      </c>
      <c r="RP10" s="426" t="s">
        <v>22</v>
      </c>
      <c r="RQ10" s="426" t="s">
        <v>22</v>
      </c>
      <c r="RR10" s="476" t="s">
        <v>22</v>
      </c>
      <c r="RS10" s="473" t="s">
        <v>22</v>
      </c>
      <c r="RT10" s="476" t="s">
        <v>22</v>
      </c>
      <c r="RU10" s="473" t="s">
        <v>22</v>
      </c>
      <c r="RV10" s="474">
        <v>42559</v>
      </c>
      <c r="RW10" s="479" t="str">
        <f>CHOOSE(WEEKDAY(RV10,2),"Monday","Tuesday","Wednesday","Thursday","Friday","Saturday","Sunday")</f>
        <v>Friday</v>
      </c>
      <c r="RX10" s="476" t="s">
        <v>22</v>
      </c>
      <c r="RY10" s="473" t="s">
        <v>22</v>
      </c>
      <c r="RZ10" s="476" t="s">
        <v>22</v>
      </c>
      <c r="SA10" s="426" t="s">
        <v>22</v>
      </c>
      <c r="SB10" s="476" t="s">
        <v>22</v>
      </c>
      <c r="SC10" s="473" t="s">
        <v>22</v>
      </c>
      <c r="SD10" s="476" t="s">
        <v>22</v>
      </c>
      <c r="SE10" s="473" t="s">
        <v>22</v>
      </c>
      <c r="SF10" s="476" t="s">
        <v>22</v>
      </c>
      <c r="SG10" s="473" t="s">
        <v>22</v>
      </c>
      <c r="SH10" s="476" t="s">
        <v>22</v>
      </c>
      <c r="SI10" s="473" t="s">
        <v>22</v>
      </c>
      <c r="SJ10" s="426" t="s">
        <v>22</v>
      </c>
      <c r="SK10" s="426" t="s">
        <v>22</v>
      </c>
      <c r="SL10" s="476" t="s">
        <v>22</v>
      </c>
      <c r="SM10" s="473" t="s">
        <v>22</v>
      </c>
      <c r="SN10" s="476" t="s">
        <v>22</v>
      </c>
      <c r="SO10" s="473" t="s">
        <v>22</v>
      </c>
      <c r="SP10" s="426" t="s">
        <v>22</v>
      </c>
      <c r="SQ10" s="426" t="s">
        <v>22</v>
      </c>
      <c r="SR10" s="476" t="s">
        <v>22</v>
      </c>
      <c r="SS10" s="473" t="s">
        <v>22</v>
      </c>
      <c r="ST10" s="426" t="s">
        <v>22</v>
      </c>
      <c r="SU10" s="426" t="s">
        <v>22</v>
      </c>
      <c r="SV10" s="476" t="s">
        <v>22</v>
      </c>
      <c r="SW10" s="473" t="s">
        <v>22</v>
      </c>
      <c r="SX10" s="476" t="s">
        <v>22</v>
      </c>
      <c r="SY10" s="473" t="s">
        <v>22</v>
      </c>
      <c r="SZ10" s="476" t="s">
        <v>22</v>
      </c>
      <c r="TA10" s="473" t="s">
        <v>22</v>
      </c>
      <c r="TB10" s="476" t="s">
        <v>22</v>
      </c>
      <c r="TC10" s="473" t="s">
        <v>22</v>
      </c>
      <c r="TD10" s="426" t="s">
        <v>22</v>
      </c>
      <c r="TE10" s="426" t="s">
        <v>22</v>
      </c>
      <c r="TF10" s="476" t="s">
        <v>22</v>
      </c>
      <c r="TG10" s="473" t="s">
        <v>22</v>
      </c>
      <c r="TH10" s="476" t="s">
        <v>22</v>
      </c>
      <c r="TI10" s="473" t="s">
        <v>22</v>
      </c>
      <c r="TJ10" s="426" t="s">
        <v>22</v>
      </c>
      <c r="TK10" s="426" t="s">
        <v>22</v>
      </c>
      <c r="TL10" s="476" t="s">
        <v>22</v>
      </c>
      <c r="TM10" s="473" t="s">
        <v>22</v>
      </c>
      <c r="TN10" s="476" t="s">
        <v>22</v>
      </c>
      <c r="TO10" s="473" t="s">
        <v>22</v>
      </c>
      <c r="TP10" s="476" t="s">
        <v>22</v>
      </c>
      <c r="TQ10" s="473" t="s">
        <v>22</v>
      </c>
      <c r="TR10" s="476" t="s">
        <v>22</v>
      </c>
      <c r="TS10" s="473" t="s">
        <v>22</v>
      </c>
      <c r="TT10" s="480">
        <v>42584</v>
      </c>
      <c r="TU10" s="485" t="str">
        <f>CHOOSE(WEEKDAY(TT10,2),"Monday","Tuesday","Wednesday","Thursday","Friday","Saturday","Sunday")</f>
        <v>Tuesday</v>
      </c>
      <c r="TV10" s="476" t="s">
        <v>22</v>
      </c>
      <c r="TW10" s="473" t="s">
        <v>22</v>
      </c>
      <c r="TX10" s="476" t="s">
        <v>22</v>
      </c>
      <c r="TY10" s="473" t="s">
        <v>22</v>
      </c>
      <c r="TZ10" s="426" t="s">
        <v>22</v>
      </c>
      <c r="UA10" s="426" t="s">
        <v>22</v>
      </c>
      <c r="UB10" s="476" t="s">
        <v>22</v>
      </c>
      <c r="UC10" s="473" t="s">
        <v>22</v>
      </c>
      <c r="UD10" s="476" t="s">
        <v>22</v>
      </c>
      <c r="UE10" s="473" t="s">
        <v>22</v>
      </c>
      <c r="UF10" s="476" t="s">
        <v>22</v>
      </c>
      <c r="UG10" s="473" t="s">
        <v>22</v>
      </c>
      <c r="UH10" s="426" t="s">
        <v>22</v>
      </c>
      <c r="UI10" s="426" t="s">
        <v>22</v>
      </c>
      <c r="UJ10" s="476" t="s">
        <v>22</v>
      </c>
      <c r="UK10" s="473" t="s">
        <v>22</v>
      </c>
      <c r="UL10" s="476" t="s">
        <v>22</v>
      </c>
      <c r="UM10" s="473" t="s">
        <v>22</v>
      </c>
      <c r="UN10" s="480">
        <v>42594</v>
      </c>
      <c r="UO10" s="482" t="str">
        <f>CHOOSE(WEEKDAY(UN10,2),"Monday","Tuesday","Wednesday","Thursday","Friday","Saturday","Sunday")</f>
        <v>Friday</v>
      </c>
      <c r="UP10" s="476" t="s">
        <v>22</v>
      </c>
      <c r="UQ10" s="473" t="s">
        <v>22</v>
      </c>
      <c r="UR10" s="426" t="s">
        <v>22</v>
      </c>
      <c r="US10" s="426" t="s">
        <v>22</v>
      </c>
      <c r="UT10" s="476" t="s">
        <v>22</v>
      </c>
      <c r="UU10" s="473" t="s">
        <v>22</v>
      </c>
      <c r="UV10" s="476" t="s">
        <v>22</v>
      </c>
      <c r="UW10" s="473" t="s">
        <v>22</v>
      </c>
      <c r="UX10" s="476" t="s">
        <v>22</v>
      </c>
      <c r="UY10" s="473" t="s">
        <v>22</v>
      </c>
      <c r="UZ10" s="474">
        <v>42598</v>
      </c>
      <c r="VA10" s="493" t="str">
        <f>CHOOSE(WEEKDAY(UZ10,2),"Monday","Tuesday","Wednesday","Thursday","Friday","Saturday","Sunday")</f>
        <v>Tuesday</v>
      </c>
      <c r="VB10" s="476" t="s">
        <v>22</v>
      </c>
      <c r="VC10" s="473" t="s">
        <v>22</v>
      </c>
      <c r="VD10" s="476" t="s">
        <v>22</v>
      </c>
      <c r="VE10" s="473" t="s">
        <v>22</v>
      </c>
      <c r="VF10" s="476" t="s">
        <v>22</v>
      </c>
      <c r="VG10" s="473" t="s">
        <v>22</v>
      </c>
      <c r="VH10" s="426" t="s">
        <v>22</v>
      </c>
      <c r="VI10" s="426" t="s">
        <v>22</v>
      </c>
      <c r="VJ10" s="480">
        <v>42614</v>
      </c>
      <c r="VK10" s="484" t="str">
        <f>CHOOSE(WEEKDAY(VJ10,2),"Monday","Tuesday","Wednesday","Thursday","Friday","Saturday","Sunday")</f>
        <v>Thursday</v>
      </c>
      <c r="VL10" s="476" t="s">
        <v>22</v>
      </c>
      <c r="VM10" s="473" t="s">
        <v>22</v>
      </c>
      <c r="VN10" s="426" t="s">
        <v>22</v>
      </c>
      <c r="VO10" s="426" t="s">
        <v>22</v>
      </c>
      <c r="VP10" s="476" t="s">
        <v>22</v>
      </c>
      <c r="VQ10" s="473" t="s">
        <v>22</v>
      </c>
      <c r="VR10" s="476" t="s">
        <v>22</v>
      </c>
      <c r="VS10" s="473" t="s">
        <v>22</v>
      </c>
      <c r="VT10" s="476" t="s">
        <v>22</v>
      </c>
      <c r="VU10" s="473" t="s">
        <v>22</v>
      </c>
      <c r="VV10" s="476" t="s">
        <v>22</v>
      </c>
      <c r="VW10" s="473" t="s">
        <v>22</v>
      </c>
      <c r="VX10" s="476" t="s">
        <v>22</v>
      </c>
      <c r="VY10" s="473" t="s">
        <v>22</v>
      </c>
      <c r="VZ10" s="426" t="s">
        <v>22</v>
      </c>
      <c r="WA10" s="426" t="s">
        <v>22</v>
      </c>
      <c r="WB10" s="476" t="s">
        <v>22</v>
      </c>
      <c r="WC10" s="473" t="s">
        <v>22</v>
      </c>
      <c r="WD10" s="476" t="s">
        <v>22</v>
      </c>
      <c r="WE10" s="473" t="s">
        <v>22</v>
      </c>
      <c r="WF10" s="476" t="s">
        <v>22</v>
      </c>
      <c r="WG10" s="473" t="s">
        <v>22</v>
      </c>
      <c r="WH10" s="476" t="s">
        <v>22</v>
      </c>
      <c r="WI10" s="473" t="s">
        <v>22</v>
      </c>
      <c r="WJ10" s="476" t="s">
        <v>22</v>
      </c>
      <c r="WK10" s="473" t="s">
        <v>22</v>
      </c>
      <c r="WL10" s="426" t="s">
        <v>22</v>
      </c>
      <c r="WM10" s="426" t="s">
        <v>22</v>
      </c>
      <c r="WN10" s="476" t="s">
        <v>22</v>
      </c>
      <c r="WO10" s="473" t="s">
        <v>22</v>
      </c>
      <c r="WP10" s="426" t="s">
        <v>22</v>
      </c>
      <c r="WQ10" s="426" t="s">
        <v>22</v>
      </c>
      <c r="WR10" s="476" t="s">
        <v>22</v>
      </c>
      <c r="WS10" s="426" t="s">
        <v>22</v>
      </c>
      <c r="WT10" s="476" t="s">
        <v>22</v>
      </c>
      <c r="WU10" s="473" t="s">
        <v>22</v>
      </c>
      <c r="WV10" s="476" t="s">
        <v>22</v>
      </c>
      <c r="WW10" s="473" t="s">
        <v>22</v>
      </c>
      <c r="WX10" s="474">
        <v>42622</v>
      </c>
      <c r="WY10" s="479" t="str">
        <f>CHOOSE(WEEKDAY(WX10,2),"Monday","Tuesday","Wednesday","Thursday","Friday","Saturday","Sunday")</f>
        <v>Friday</v>
      </c>
      <c r="WZ10" s="476" t="s">
        <v>22</v>
      </c>
      <c r="XA10" s="473" t="s">
        <v>22</v>
      </c>
      <c r="XB10" s="476" t="s">
        <v>22</v>
      </c>
      <c r="XC10" s="473" t="s">
        <v>22</v>
      </c>
      <c r="XD10" s="476" t="s">
        <v>22</v>
      </c>
      <c r="XE10" s="473" t="s">
        <v>22</v>
      </c>
      <c r="XF10" s="476" t="s">
        <v>22</v>
      </c>
      <c r="XG10" s="473" t="s">
        <v>22</v>
      </c>
      <c r="XH10" s="426" t="s">
        <v>22</v>
      </c>
      <c r="XI10" s="426" t="s">
        <v>22</v>
      </c>
      <c r="XJ10" s="476" t="s">
        <v>22</v>
      </c>
      <c r="XK10" s="473" t="s">
        <v>22</v>
      </c>
      <c r="XL10" s="426" t="s">
        <v>22</v>
      </c>
      <c r="XM10" s="426" t="s">
        <v>22</v>
      </c>
      <c r="XN10" s="476" t="s">
        <v>22</v>
      </c>
      <c r="XO10" s="473" t="s">
        <v>22</v>
      </c>
      <c r="XP10" s="476" t="s">
        <v>22</v>
      </c>
      <c r="XQ10" s="473" t="s">
        <v>22</v>
      </c>
      <c r="XR10" s="426" t="s">
        <v>22</v>
      </c>
      <c r="XS10" s="426" t="s">
        <v>22</v>
      </c>
      <c r="XT10" s="476" t="s">
        <v>22</v>
      </c>
      <c r="XU10" s="473" t="s">
        <v>22</v>
      </c>
      <c r="XV10" s="480">
        <v>42628</v>
      </c>
      <c r="XW10" s="484" t="str">
        <f>CHOOSE(WEEKDAY(XV10,2),"Monday","Tuesday","Wednesday","Thursday","Friday","Saturday","Sunday")</f>
        <v>Thursday</v>
      </c>
      <c r="XX10" s="476" t="s">
        <v>22</v>
      </c>
      <c r="XY10" s="473" t="s">
        <v>22</v>
      </c>
      <c r="XZ10" s="426" t="s">
        <v>22</v>
      </c>
      <c r="YA10" s="426" t="s">
        <v>22</v>
      </c>
      <c r="YB10" s="476" t="s">
        <v>22</v>
      </c>
      <c r="YC10" s="473" t="s">
        <v>22</v>
      </c>
      <c r="YD10" s="476" t="s">
        <v>22</v>
      </c>
      <c r="YE10" s="473" t="s">
        <v>22</v>
      </c>
      <c r="YF10" s="476" t="s">
        <v>22</v>
      </c>
      <c r="YG10" s="473" t="s">
        <v>22</v>
      </c>
      <c r="YH10" s="476" t="s">
        <v>22</v>
      </c>
      <c r="YI10" s="473" t="s">
        <v>22</v>
      </c>
      <c r="YJ10" s="426" t="s">
        <v>22</v>
      </c>
      <c r="YK10" s="426" t="s">
        <v>22</v>
      </c>
      <c r="YL10" s="476" t="s">
        <v>22</v>
      </c>
      <c r="YM10" s="473" t="s">
        <v>22</v>
      </c>
      <c r="YN10" s="476" t="s">
        <v>22</v>
      </c>
      <c r="YO10" s="473" t="s">
        <v>22</v>
      </c>
      <c r="YP10" s="476" t="s">
        <v>22</v>
      </c>
      <c r="YQ10" s="473" t="s">
        <v>22</v>
      </c>
      <c r="YR10" s="476" t="s">
        <v>22</v>
      </c>
      <c r="YS10" s="473" t="s">
        <v>22</v>
      </c>
      <c r="YT10" s="474">
        <v>42636</v>
      </c>
      <c r="YU10" s="479" t="str">
        <f>CHOOSE(WEEKDAY(YT10,2),"Monday","Tuesday","Wednesday","Thursday","Friday","Saturday","Sunday")</f>
        <v>Friday</v>
      </c>
      <c r="YV10" s="476" t="s">
        <v>22</v>
      </c>
      <c r="YW10" s="473" t="s">
        <v>22</v>
      </c>
      <c r="YX10" s="476" t="s">
        <v>22</v>
      </c>
      <c r="YY10" s="473" t="s">
        <v>22</v>
      </c>
      <c r="YZ10" s="426" t="s">
        <v>22</v>
      </c>
      <c r="ZA10" s="426" t="s">
        <v>22</v>
      </c>
      <c r="ZB10" s="476" t="s">
        <v>22</v>
      </c>
      <c r="ZC10" s="473" t="s">
        <v>22</v>
      </c>
      <c r="ZD10" s="426" t="s">
        <v>22</v>
      </c>
      <c r="ZE10" s="426" t="s">
        <v>22</v>
      </c>
      <c r="ZF10" s="476" t="s">
        <v>22</v>
      </c>
      <c r="ZG10" s="473" t="s">
        <v>22</v>
      </c>
      <c r="ZH10" s="476" t="s">
        <v>22</v>
      </c>
      <c r="ZI10" s="473" t="s">
        <v>22</v>
      </c>
      <c r="ZJ10" s="476" t="s">
        <v>22</v>
      </c>
      <c r="ZK10" s="473" t="s">
        <v>22</v>
      </c>
      <c r="ZL10" s="426" t="s">
        <v>22</v>
      </c>
      <c r="ZM10" s="426" t="s">
        <v>22</v>
      </c>
      <c r="ZN10" s="476" t="s">
        <v>22</v>
      </c>
      <c r="ZO10" s="473" t="s">
        <v>22</v>
      </c>
      <c r="ZP10" s="476" t="s">
        <v>22</v>
      </c>
      <c r="ZQ10" s="473" t="s">
        <v>22</v>
      </c>
      <c r="ZR10" s="426" t="s">
        <v>22</v>
      </c>
      <c r="ZS10" s="426" t="s">
        <v>22</v>
      </c>
      <c r="ZT10" s="476" t="s">
        <v>22</v>
      </c>
      <c r="ZU10" s="473" t="s">
        <v>22</v>
      </c>
      <c r="ZV10" s="476" t="s">
        <v>22</v>
      </c>
      <c r="ZW10" s="473" t="s">
        <v>22</v>
      </c>
      <c r="ZX10" s="426" t="s">
        <v>22</v>
      </c>
      <c r="ZY10" s="426" t="s">
        <v>22</v>
      </c>
      <c r="ZZ10" s="476" t="s">
        <v>22</v>
      </c>
      <c r="AAA10" s="473" t="s">
        <v>22</v>
      </c>
      <c r="AAB10" s="476" t="s">
        <v>22</v>
      </c>
      <c r="AAC10" s="473" t="s">
        <v>22</v>
      </c>
      <c r="AAD10" s="480">
        <v>42471</v>
      </c>
      <c r="AAE10" s="467" t="str">
        <f>CHOOSE(WEEKDAY(AAD10,2),"Monday","Tuesday","Wednesday","Thursday","Friday","Saturday","Sunday")</f>
        <v>Monday</v>
      </c>
      <c r="AAF10" s="476" t="s">
        <v>22</v>
      </c>
      <c r="AAG10" s="473" t="s">
        <v>22</v>
      </c>
      <c r="AAH10" s="426" t="s">
        <v>22</v>
      </c>
      <c r="AAI10" s="426" t="s">
        <v>22</v>
      </c>
      <c r="AAJ10" s="476" t="s">
        <v>22</v>
      </c>
      <c r="AAK10" s="473" t="s">
        <v>22</v>
      </c>
      <c r="AAL10" s="476" t="s">
        <v>22</v>
      </c>
      <c r="AAM10" s="473" t="s">
        <v>22</v>
      </c>
      <c r="AAN10" s="476" t="s">
        <v>22</v>
      </c>
      <c r="AAO10" s="473" t="s">
        <v>22</v>
      </c>
      <c r="AAP10" s="476" t="s">
        <v>22</v>
      </c>
      <c r="AAQ10" s="473" t="s">
        <v>22</v>
      </c>
      <c r="AAR10" s="476" t="s">
        <v>22</v>
      </c>
      <c r="AAS10" s="473" t="s">
        <v>22</v>
      </c>
      <c r="AAT10" s="426" t="s">
        <v>22</v>
      </c>
      <c r="AAU10" s="426" t="s">
        <v>22</v>
      </c>
      <c r="AAV10" s="476" t="s">
        <v>22</v>
      </c>
      <c r="AAW10" s="473" t="s">
        <v>22</v>
      </c>
      <c r="AAX10" s="426" t="s">
        <v>22</v>
      </c>
      <c r="AAY10" s="426" t="s">
        <v>22</v>
      </c>
      <c r="AAZ10" s="476" t="s">
        <v>22</v>
      </c>
      <c r="ABA10" s="473" t="s">
        <v>22</v>
      </c>
      <c r="ABB10" s="476" t="s">
        <v>22</v>
      </c>
      <c r="ABC10" s="473" t="s">
        <v>22</v>
      </c>
      <c r="ABD10" s="262">
        <v>42405</v>
      </c>
      <c r="ABE10" s="277" t="str">
        <f t="shared" ref="ABE10:ABE12" si="45">CHOOSE(WEEKDAY(ABD10,2),"Monday","Tuesday","Wednesday","Thursday","Friday","Saturday","Sunday")</f>
        <v>Friday</v>
      </c>
      <c r="ABF10" s="474">
        <v>42650</v>
      </c>
      <c r="ABG10" s="479" t="str">
        <f>CHOOSE(WEEKDAY(ABF10,2),"Monday","Tuesday","Wednesday","Thursday","Friday","Saturday","Sunday")</f>
        <v>Friday</v>
      </c>
      <c r="ABH10" s="476" t="s">
        <v>22</v>
      </c>
      <c r="ABI10" s="473" t="s">
        <v>22</v>
      </c>
      <c r="ABJ10" s="476" t="s">
        <v>22</v>
      </c>
      <c r="ABK10" s="473" t="s">
        <v>22</v>
      </c>
      <c r="ABL10" s="476" t="s">
        <v>22</v>
      </c>
      <c r="ABM10" s="473" t="s">
        <v>22</v>
      </c>
      <c r="ABN10" s="476" t="s">
        <v>22</v>
      </c>
      <c r="ABO10" s="473" t="s">
        <v>22</v>
      </c>
      <c r="ABP10" s="426" t="s">
        <v>22</v>
      </c>
      <c r="ABQ10" s="426" t="s">
        <v>22</v>
      </c>
      <c r="ABR10" s="476" t="s">
        <v>22</v>
      </c>
      <c r="ABS10" s="473" t="s">
        <v>22</v>
      </c>
      <c r="ABT10" s="476" t="s">
        <v>22</v>
      </c>
      <c r="ABU10" s="473" t="s">
        <v>22</v>
      </c>
      <c r="ABV10" s="476" t="s">
        <v>22</v>
      </c>
      <c r="ABW10" s="473" t="s">
        <v>22</v>
      </c>
      <c r="ABX10" s="426" t="s">
        <v>22</v>
      </c>
      <c r="ABY10" s="426" t="s">
        <v>22</v>
      </c>
      <c r="ABZ10" s="476" t="s">
        <v>22</v>
      </c>
      <c r="ACA10" s="473" t="s">
        <v>22</v>
      </c>
      <c r="ACB10" s="476" t="s">
        <v>22</v>
      </c>
      <c r="ACC10" s="473" t="s">
        <v>22</v>
      </c>
      <c r="ACD10" s="476" t="s">
        <v>22</v>
      </c>
      <c r="ACE10" s="473" t="s">
        <v>22</v>
      </c>
      <c r="ACF10" s="476" t="s">
        <v>22</v>
      </c>
      <c r="ACG10" s="473" t="s">
        <v>22</v>
      </c>
      <c r="ACH10" s="476" t="s">
        <v>22</v>
      </c>
      <c r="ACI10" s="473" t="s">
        <v>22</v>
      </c>
      <c r="ACJ10" s="426" t="s">
        <v>22</v>
      </c>
      <c r="ACK10" s="426" t="s">
        <v>22</v>
      </c>
      <c r="ACL10" s="476" t="s">
        <v>22</v>
      </c>
      <c r="ACM10" s="473" t="s">
        <v>22</v>
      </c>
      <c r="ACN10" s="474">
        <v>42671</v>
      </c>
      <c r="ACO10" s="479" t="str">
        <f>CHOOSE(WEEKDAY(ACN10,2),"Monday","Tuesday","Wednesday","Thursday","Friday","Saturday","Sunday")</f>
        <v>Friday</v>
      </c>
      <c r="ACP10" s="476" t="s">
        <v>22</v>
      </c>
      <c r="ACQ10" s="473" t="s">
        <v>22</v>
      </c>
      <c r="ACR10" s="476" t="s">
        <v>22</v>
      </c>
      <c r="ACS10" s="473" t="s">
        <v>22</v>
      </c>
      <c r="ACT10" s="281">
        <v>42669</v>
      </c>
      <c r="ACU10" s="279" t="str">
        <f t="shared" si="41"/>
        <v>Wednesday</v>
      </c>
      <c r="ACV10" s="476" t="s">
        <v>22</v>
      </c>
      <c r="ACW10" s="473" t="s">
        <v>22</v>
      </c>
      <c r="ACX10" s="426" t="s">
        <v>22</v>
      </c>
      <c r="ACY10" s="426" t="s">
        <v>22</v>
      </c>
      <c r="ACZ10" s="476" t="s">
        <v>22</v>
      </c>
      <c r="ADA10" s="473" t="s">
        <v>22</v>
      </c>
      <c r="ADB10" s="476" t="s">
        <v>22</v>
      </c>
      <c r="ADC10" s="473" t="s">
        <v>22</v>
      </c>
      <c r="ADD10" s="476" t="s">
        <v>22</v>
      </c>
      <c r="ADE10" s="473" t="s">
        <v>22</v>
      </c>
      <c r="ADF10" s="476" t="s">
        <v>22</v>
      </c>
      <c r="ADG10" s="473" t="s">
        <v>22</v>
      </c>
      <c r="ADH10" s="476" t="s">
        <v>22</v>
      </c>
      <c r="ADI10" s="473" t="s">
        <v>22</v>
      </c>
      <c r="ADJ10" s="480">
        <v>42685</v>
      </c>
      <c r="ADK10" s="482" t="str">
        <f>CHOOSE(WEEKDAY(ADJ10,2),"Monday","Tuesday","Wednesday","Thursday","Friday","Saturday","Sunday")</f>
        <v>Friday</v>
      </c>
      <c r="ADL10" s="426" t="s">
        <v>22</v>
      </c>
      <c r="ADM10" s="473" t="s">
        <v>22</v>
      </c>
      <c r="ADN10" s="426" t="s">
        <v>22</v>
      </c>
      <c r="ADO10" s="473" t="s">
        <v>22</v>
      </c>
      <c r="ADP10" s="476" t="s">
        <v>22</v>
      </c>
      <c r="ADQ10" s="473" t="s">
        <v>22</v>
      </c>
      <c r="ADR10" s="426" t="s">
        <v>22</v>
      </c>
      <c r="ADS10" s="473" t="s">
        <v>22</v>
      </c>
      <c r="ADT10" s="476" t="s">
        <v>22</v>
      </c>
      <c r="ADU10" s="473" t="s">
        <v>22</v>
      </c>
      <c r="ADV10" s="426" t="s">
        <v>22</v>
      </c>
      <c r="ADW10" s="426" t="s">
        <v>22</v>
      </c>
      <c r="ADX10" s="480">
        <v>42690</v>
      </c>
      <c r="ADY10" s="481" t="str">
        <f>CHOOSE(WEEKDAY(ADX10,2),"Monday","Tuesday","Wednesday","Thursday","Friday","Saturday","Sunday")</f>
        <v>Wednesday</v>
      </c>
      <c r="ADZ10" s="476" t="s">
        <v>22</v>
      </c>
      <c r="AEA10" s="473" t="s">
        <v>22</v>
      </c>
      <c r="AEB10" s="476" t="s">
        <v>22</v>
      </c>
      <c r="AEC10" s="473" t="s">
        <v>22</v>
      </c>
      <c r="AED10" s="426" t="s">
        <v>22</v>
      </c>
      <c r="AEE10" s="426" t="s">
        <v>22</v>
      </c>
      <c r="AEF10" s="262">
        <v>42594</v>
      </c>
      <c r="AEG10" s="277" t="str">
        <f t="shared" ref="AEG10:AEG11" si="46">CHOOSE(WEEKDAY(AEF10,2),"Monday","Tuesday","Wednesday","Thursday","Friday","Saturday","Sunday")</f>
        <v>Friday</v>
      </c>
      <c r="AEH10" s="480">
        <v>42698</v>
      </c>
      <c r="AEI10" s="491" t="str">
        <f>CHOOSE(WEEKDAY(AEH10,2),"Monday","Tuesday","Wednesday","Thursday","Friday","Saturday","Sunday")</f>
        <v>Thursday</v>
      </c>
      <c r="AEJ10" s="476" t="s">
        <v>22</v>
      </c>
      <c r="AEK10" s="473" t="s">
        <v>22</v>
      </c>
      <c r="AEL10" s="476" t="s">
        <v>22</v>
      </c>
      <c r="AEM10" s="473" t="s">
        <v>22</v>
      </c>
      <c r="AEN10" s="476" t="s">
        <v>22</v>
      </c>
      <c r="AEO10" s="473" t="s">
        <v>22</v>
      </c>
      <c r="AEP10" s="476" t="s">
        <v>22</v>
      </c>
      <c r="AEQ10" s="473" t="s">
        <v>22</v>
      </c>
      <c r="AER10" s="480">
        <v>42698</v>
      </c>
      <c r="AES10" s="491" t="str">
        <f>CHOOSE(WEEKDAY(AER10,2),"Monday","Tuesday","Wednesday","Thursday","Friday","Saturday","Sunday")</f>
        <v>Thursday</v>
      </c>
      <c r="AET10" s="476" t="s">
        <v>22</v>
      </c>
      <c r="AEU10" s="473" t="s">
        <v>22</v>
      </c>
      <c r="AEV10" s="426" t="s">
        <v>22</v>
      </c>
      <c r="AEW10" s="426" t="s">
        <v>22</v>
      </c>
      <c r="AEX10" s="464">
        <v>42704</v>
      </c>
      <c r="AEY10" s="491" t="str">
        <f>CHOOSE(WEEKDAY(AEX10,2),"Monday","Tuesday","Wednesday","Thursday","Friday","Saturday","Sunday")</f>
        <v>Wednesday</v>
      </c>
      <c r="AEZ10" s="476" t="s">
        <v>22</v>
      </c>
      <c r="AFA10" s="473" t="s">
        <v>22</v>
      </c>
      <c r="AFB10" s="476" t="s">
        <v>22</v>
      </c>
      <c r="AFC10" s="473" t="s">
        <v>22</v>
      </c>
      <c r="AFD10" s="476" t="s">
        <v>22</v>
      </c>
      <c r="AFE10" s="473" t="s">
        <v>22</v>
      </c>
      <c r="AFF10" s="426" t="s">
        <v>22</v>
      </c>
      <c r="AFG10" s="426" t="s">
        <v>22</v>
      </c>
      <c r="AFH10" s="476" t="s">
        <v>22</v>
      </c>
      <c r="AFI10" s="473" t="s">
        <v>22</v>
      </c>
      <c r="AFJ10" s="426" t="s">
        <v>22</v>
      </c>
      <c r="AFK10" s="426" t="s">
        <v>22</v>
      </c>
      <c r="AFL10" s="476" t="s">
        <v>22</v>
      </c>
      <c r="AFM10" s="473" t="s">
        <v>22</v>
      </c>
      <c r="AFN10" s="262">
        <v>42698</v>
      </c>
      <c r="AFO10" s="278" t="str">
        <f t="shared" ref="AFO10:AFO11" si="47">CHOOSE(WEEKDAY(AFN10,2),"Monday","Tuesday","Wednesday","Thursday","Friday","Saturday","Sunday")</f>
        <v>Thursday</v>
      </c>
      <c r="AFP10" s="476" t="s">
        <v>22</v>
      </c>
      <c r="AFQ10" s="473" t="s">
        <v>22</v>
      </c>
      <c r="AFR10" s="490">
        <v>42711</v>
      </c>
      <c r="AFS10" s="488" t="str">
        <f>CHOOSE(WEEKDAY(AFR10,2),"Monday","Tuesday","Wednesday","Thursday","Friday","Saturday","Sunday")</f>
        <v>Wednesday</v>
      </c>
      <c r="AFT10" s="480">
        <v>42711</v>
      </c>
      <c r="AFU10" s="481" t="str">
        <f>CHOOSE(WEEKDAY(AFT10,2),"Monday","Tuesday","Wednesday","Thursday","Friday","Saturday","Sunday")</f>
        <v>Wednesday</v>
      </c>
      <c r="AFV10" s="426" t="s">
        <v>22</v>
      </c>
      <c r="AFW10" s="426" t="s">
        <v>22</v>
      </c>
      <c r="AFX10" s="476" t="s">
        <v>22</v>
      </c>
      <c r="AFY10" s="426" t="s">
        <v>22</v>
      </c>
      <c r="AFZ10" s="480">
        <v>42657</v>
      </c>
      <c r="AGA10" s="482" t="str">
        <f>CHOOSE(WEEKDAY(AFZ10,2),"Monday","Tuesday","Wednesday","Thursday","Friday","Saturday","Sunday")</f>
        <v>Friday</v>
      </c>
      <c r="AGB10" s="476" t="s">
        <v>22</v>
      </c>
      <c r="AGC10" s="473" t="s">
        <v>22</v>
      </c>
      <c r="AGD10" s="426" t="s">
        <v>22</v>
      </c>
      <c r="AGE10" s="426" t="s">
        <v>22</v>
      </c>
      <c r="AGF10" s="476" t="s">
        <v>22</v>
      </c>
      <c r="AGG10" s="473" t="s">
        <v>22</v>
      </c>
      <c r="AGH10" s="476" t="s">
        <v>22</v>
      </c>
      <c r="AGI10" s="473" t="s">
        <v>22</v>
      </c>
      <c r="AGJ10" s="426" t="s">
        <v>22</v>
      </c>
      <c r="AGK10" s="426" t="s">
        <v>22</v>
      </c>
      <c r="AGL10" s="476" t="s">
        <v>22</v>
      </c>
      <c r="AGM10" s="473" t="s">
        <v>22</v>
      </c>
      <c r="AGN10" s="476" t="s">
        <v>22</v>
      </c>
      <c r="AGO10" s="473" t="s">
        <v>22</v>
      </c>
      <c r="AGP10" s="480">
        <v>42713</v>
      </c>
      <c r="AGQ10" s="482" t="str">
        <f>CHOOSE(WEEKDAY(AGP10,2),"Monday","Tuesday","Wednesday","Thursday","Friday","Saturday","Sunday")</f>
        <v>Friday</v>
      </c>
      <c r="AGR10" s="476" t="s">
        <v>22</v>
      </c>
      <c r="AGS10" s="473" t="s">
        <v>22</v>
      </c>
      <c r="AGT10" s="476" t="s">
        <v>22</v>
      </c>
      <c r="AGU10" s="473" t="s">
        <v>22</v>
      </c>
      <c r="AGV10" s="474">
        <v>42726</v>
      </c>
      <c r="AGW10" s="484" t="str">
        <f t="shared" si="42"/>
        <v>Thursday</v>
      </c>
      <c r="AGX10" s="476" t="s">
        <v>22</v>
      </c>
      <c r="AGY10" s="473" t="s">
        <v>22</v>
      </c>
      <c r="AGZ10" s="476" t="s">
        <v>22</v>
      </c>
      <c r="AHA10" s="473" t="s">
        <v>22</v>
      </c>
      <c r="AHB10" s="480">
        <v>42725</v>
      </c>
      <c r="AHC10" s="481" t="str">
        <f>CHOOSE(WEEKDAY(AHB10,2),"Monday","Tuesday","Wednesday","Thursday","Friday","Saturday","Sunday")</f>
        <v>Wednesday</v>
      </c>
      <c r="AHD10" s="476" t="s">
        <v>22</v>
      </c>
      <c r="AHE10" s="473" t="s">
        <v>22</v>
      </c>
      <c r="AHF10" s="476" t="s">
        <v>22</v>
      </c>
      <c r="AHG10" s="473" t="s">
        <v>22</v>
      </c>
      <c r="AHH10" s="476" t="s">
        <v>22</v>
      </c>
      <c r="AHI10" s="426" t="s">
        <v>22</v>
      </c>
      <c r="AHJ10" s="476" t="s">
        <v>22</v>
      </c>
      <c r="AHK10" s="473" t="s">
        <v>22</v>
      </c>
      <c r="AHL10" s="426" t="s">
        <v>22</v>
      </c>
      <c r="AHM10" s="473" t="s">
        <v>22</v>
      </c>
      <c r="AHN10" s="476" t="s">
        <v>22</v>
      </c>
      <c r="AHO10" s="473" t="s">
        <v>22</v>
      </c>
      <c r="AHP10" s="476" t="s">
        <v>22</v>
      </c>
      <c r="AHQ10" s="473" t="s">
        <v>22</v>
      </c>
      <c r="AHR10" s="476" t="s">
        <v>22</v>
      </c>
      <c r="AHS10" s="426" t="s">
        <v>22</v>
      </c>
      <c r="AHT10" s="476" t="s">
        <v>22</v>
      </c>
      <c r="AHU10" s="426" t="s">
        <v>22</v>
      </c>
      <c r="AHV10" s="489">
        <v>42727</v>
      </c>
      <c r="AHW10" s="482" t="str">
        <f>CHOOSE(WEEKDAY(AHV10,2),"Monday","Tuesday","Wednesday","Thursday","Friday","Saturday","Sunday")</f>
        <v>Friday</v>
      </c>
      <c r="AHX10" s="262">
        <v>42727</v>
      </c>
      <c r="AHY10" s="277" t="str">
        <f t="shared" ref="AHY10:AHY11" si="48">CHOOSE(WEEKDAY(AHX10,2),"Monday","Tuesday","Wednesday","Thursday","Friday","Saturday","Sunday")</f>
        <v>Friday</v>
      </c>
      <c r="AHZ10" s="476" t="s">
        <v>22</v>
      </c>
      <c r="AIA10" s="473" t="s">
        <v>22</v>
      </c>
    </row>
    <row r="11" spans="1:911" ht="15.75" customHeight="1" x14ac:dyDescent="0.2">
      <c r="A11" s="412"/>
      <c r="B11" s="417"/>
      <c r="C11" s="412"/>
      <c r="D11" s="417"/>
      <c r="E11" s="412"/>
      <c r="F11" s="417"/>
      <c r="G11" s="412"/>
      <c r="H11" s="417"/>
      <c r="I11" s="412"/>
      <c r="J11" s="417"/>
      <c r="K11" s="412"/>
      <c r="L11" s="417"/>
      <c r="M11" s="412"/>
      <c r="N11" s="417"/>
      <c r="O11" s="412"/>
      <c r="P11" s="417"/>
      <c r="Q11" s="412"/>
      <c r="R11" s="417"/>
      <c r="S11" s="412"/>
      <c r="T11" s="417"/>
      <c r="U11" s="412"/>
      <c r="V11" s="417"/>
      <c r="W11" s="412"/>
      <c r="X11" s="417"/>
      <c r="Y11" s="412"/>
      <c r="Z11" s="417"/>
      <c r="AA11" s="412"/>
      <c r="AB11" s="417"/>
      <c r="AC11" s="412"/>
      <c r="AD11" s="402"/>
      <c r="AE11" s="402"/>
      <c r="AF11" s="417"/>
      <c r="AG11" s="402"/>
      <c r="AH11" s="262">
        <v>42580</v>
      </c>
      <c r="AI11" s="277" t="str">
        <f t="shared" si="36"/>
        <v>Friday</v>
      </c>
      <c r="AJ11" s="402"/>
      <c r="AK11" s="402"/>
      <c r="AL11" s="417"/>
      <c r="AM11" s="412"/>
      <c r="AN11" s="417"/>
      <c r="AO11" s="412"/>
      <c r="AP11" s="417"/>
      <c r="AQ11" s="412"/>
      <c r="AR11" s="417"/>
      <c r="AS11" s="412"/>
      <c r="AT11" s="417"/>
      <c r="AU11" s="412"/>
      <c r="AV11" s="402"/>
      <c r="AW11" s="402"/>
      <c r="AX11" s="417"/>
      <c r="AY11" s="412"/>
      <c r="AZ11" s="417"/>
      <c r="BA11" s="412"/>
      <c r="BB11" s="402"/>
      <c r="BC11" s="402"/>
      <c r="BD11" s="417"/>
      <c r="BE11" s="412"/>
      <c r="BF11" s="417"/>
      <c r="BG11" s="412"/>
      <c r="BH11" s="417"/>
      <c r="BI11" s="412"/>
      <c r="BJ11" s="417"/>
      <c r="BK11" s="412"/>
      <c r="BL11" s="402"/>
      <c r="BM11" s="402"/>
      <c r="BN11" s="417"/>
      <c r="BO11" s="412"/>
      <c r="BP11" s="417"/>
      <c r="BQ11" s="412"/>
      <c r="BR11" s="480">
        <v>42657</v>
      </c>
      <c r="BS11" s="482" t="str">
        <f t="shared" si="43"/>
        <v>Friday</v>
      </c>
      <c r="BT11" s="402"/>
      <c r="BU11" s="402"/>
      <c r="BV11" s="417"/>
      <c r="BW11" s="412"/>
      <c r="BX11" s="402"/>
      <c r="BY11" s="402"/>
      <c r="BZ11" s="417"/>
      <c r="CA11" s="412"/>
      <c r="CB11" s="417"/>
      <c r="CC11" s="412"/>
      <c r="CD11" s="417"/>
      <c r="CE11" s="412"/>
      <c r="CF11" s="417"/>
      <c r="CG11" s="412"/>
      <c r="CH11" s="417"/>
      <c r="CI11" s="412"/>
      <c r="CJ11" s="417"/>
      <c r="CK11" s="412"/>
      <c r="CL11" s="402"/>
      <c r="CM11" s="402"/>
      <c r="CN11" s="417"/>
      <c r="CO11" s="412"/>
      <c r="CP11" s="417"/>
      <c r="CQ11" s="412"/>
      <c r="CR11" s="417"/>
      <c r="CS11" s="412"/>
      <c r="CT11" s="402"/>
      <c r="CU11" s="402"/>
      <c r="CV11" s="417"/>
      <c r="CW11" s="412"/>
      <c r="CX11" s="417"/>
      <c r="CY11" s="412"/>
      <c r="CZ11" s="402"/>
      <c r="DA11" s="402"/>
      <c r="DB11" s="417"/>
      <c r="DC11" s="412"/>
      <c r="DD11" s="417"/>
      <c r="DE11" s="412"/>
      <c r="DF11" s="402"/>
      <c r="DG11" s="402"/>
      <c r="DH11" s="417"/>
      <c r="DI11" s="412"/>
      <c r="DJ11" s="417"/>
      <c r="DK11" s="412"/>
      <c r="DL11" s="417"/>
      <c r="DM11" s="412"/>
      <c r="DN11" s="402"/>
      <c r="DO11" s="402"/>
      <c r="DP11" s="417"/>
      <c r="DQ11" s="412"/>
      <c r="DR11" s="417"/>
      <c r="DS11" s="412"/>
      <c r="DT11" s="402"/>
      <c r="DU11" s="402"/>
      <c r="DV11" s="417"/>
      <c r="DW11" s="412"/>
      <c r="DX11" s="417"/>
      <c r="DY11" s="412"/>
      <c r="DZ11" s="402"/>
      <c r="EA11" s="402"/>
      <c r="EB11" s="417"/>
      <c r="EC11" s="412"/>
      <c r="ED11" s="402"/>
      <c r="EE11" s="402"/>
      <c r="EF11" s="417"/>
      <c r="EG11" s="412"/>
      <c r="EH11" s="417"/>
      <c r="EI11" s="412"/>
      <c r="EJ11" s="417"/>
      <c r="EK11" s="412"/>
      <c r="EL11" s="402"/>
      <c r="EM11" s="402"/>
      <c r="EN11" s="417"/>
      <c r="EO11" s="412"/>
      <c r="EP11" s="417"/>
      <c r="EQ11" s="412"/>
      <c r="ER11" s="417"/>
      <c r="ES11" s="412"/>
      <c r="ET11" s="402"/>
      <c r="EU11" s="402"/>
      <c r="EV11" s="417"/>
      <c r="EW11" s="412"/>
      <c r="EX11" s="417"/>
      <c r="EY11" s="412"/>
      <c r="EZ11" s="417"/>
      <c r="FA11" s="412"/>
      <c r="FB11" s="402"/>
      <c r="FC11" s="402"/>
      <c r="FD11" s="417"/>
      <c r="FE11" s="412"/>
      <c r="FF11" s="417"/>
      <c r="FG11" s="412"/>
      <c r="FH11" s="402"/>
      <c r="FI11" s="402"/>
      <c r="FJ11" s="417"/>
      <c r="FK11" s="412"/>
      <c r="FL11" s="417"/>
      <c r="FM11" s="412"/>
      <c r="FN11" s="417"/>
      <c r="FO11" s="412"/>
      <c r="FP11" s="402"/>
      <c r="FQ11" s="402"/>
      <c r="FR11" s="417"/>
      <c r="FS11" s="412"/>
      <c r="FT11" s="417"/>
      <c r="FU11" s="412"/>
      <c r="FV11" s="417"/>
      <c r="FW11" s="412"/>
      <c r="FX11" s="402"/>
      <c r="FY11" s="402"/>
      <c r="FZ11" s="417"/>
      <c r="GA11" s="412"/>
      <c r="GB11" s="417"/>
      <c r="GC11" s="412"/>
      <c r="GD11" s="402"/>
      <c r="GE11" s="402"/>
      <c r="GF11" s="417"/>
      <c r="GG11" s="412"/>
      <c r="GH11" s="402"/>
      <c r="GI11" s="402"/>
      <c r="GJ11" s="417"/>
      <c r="GK11" s="412"/>
      <c r="GL11" s="417"/>
      <c r="GM11" s="412"/>
      <c r="GN11" s="402"/>
      <c r="GO11" s="402"/>
      <c r="GP11" s="417"/>
      <c r="GQ11" s="412"/>
      <c r="GR11" s="417"/>
      <c r="GS11" s="412"/>
      <c r="GT11" s="417"/>
      <c r="GU11" s="412"/>
      <c r="GV11" s="402"/>
      <c r="GW11" s="402"/>
      <c r="GX11" s="417"/>
      <c r="GY11" s="412"/>
      <c r="GZ11" s="417"/>
      <c r="HA11" s="412"/>
      <c r="HB11" s="417"/>
      <c r="HC11" s="412"/>
      <c r="HD11" s="417"/>
      <c r="HE11" s="412"/>
      <c r="HF11" s="417"/>
      <c r="HG11" s="412"/>
      <c r="HH11" s="402"/>
      <c r="HI11" s="402"/>
      <c r="HJ11" s="417"/>
      <c r="HK11" s="412"/>
      <c r="HL11" s="417"/>
      <c r="HM11" s="412"/>
      <c r="HN11" s="402"/>
      <c r="HO11" s="402"/>
      <c r="HP11" s="417"/>
      <c r="HQ11" s="412"/>
      <c r="HR11" s="417"/>
      <c r="HS11" s="412"/>
      <c r="HT11" s="417"/>
      <c r="HU11" s="412"/>
      <c r="HV11" s="417"/>
      <c r="HW11" s="412"/>
      <c r="HX11" s="402"/>
      <c r="HY11" s="402"/>
      <c r="HZ11" s="417"/>
      <c r="IA11" s="412"/>
      <c r="IB11" s="417"/>
      <c r="IC11" s="412"/>
      <c r="ID11" s="417"/>
      <c r="IE11" s="412"/>
      <c r="IF11" s="402"/>
      <c r="IG11" s="402"/>
      <c r="IH11" s="417"/>
      <c r="II11" s="412"/>
      <c r="IJ11" s="417"/>
      <c r="IK11" s="412"/>
      <c r="IL11" s="417"/>
      <c r="IM11" s="412"/>
      <c r="IN11" s="417"/>
      <c r="IO11" s="412"/>
      <c r="IP11" s="402"/>
      <c r="IQ11" s="402"/>
      <c r="IR11" s="417"/>
      <c r="IS11" s="412"/>
      <c r="IT11" s="417"/>
      <c r="IU11" s="412"/>
      <c r="IV11" s="417"/>
      <c r="IW11" s="412"/>
      <c r="IX11" s="417"/>
      <c r="IY11" s="412"/>
      <c r="IZ11" s="417"/>
      <c r="JA11" s="412"/>
      <c r="JB11" s="417"/>
      <c r="JC11" s="412"/>
      <c r="JD11" s="417"/>
      <c r="JE11" s="412"/>
      <c r="JF11" s="402"/>
      <c r="JG11" s="402"/>
      <c r="JH11" s="417"/>
      <c r="JI11" s="412"/>
      <c r="JJ11" s="417"/>
      <c r="JK11" s="412"/>
      <c r="JL11" s="417"/>
      <c r="JM11" s="412"/>
      <c r="JN11" s="417"/>
      <c r="JO11" s="412"/>
      <c r="JP11" s="402"/>
      <c r="JQ11" s="402"/>
      <c r="JR11" s="417"/>
      <c r="JS11" s="412"/>
      <c r="JT11" s="417"/>
      <c r="JU11" s="412"/>
      <c r="JV11" s="417"/>
      <c r="JW11" s="412"/>
      <c r="JX11" s="417"/>
      <c r="JY11" s="412"/>
      <c r="JZ11" s="417"/>
      <c r="KA11" s="412"/>
      <c r="KB11" s="417"/>
      <c r="KC11" s="412"/>
      <c r="KD11" s="402"/>
      <c r="KE11" s="402"/>
      <c r="KF11" s="417"/>
      <c r="KG11" s="412"/>
      <c r="KH11" s="402"/>
      <c r="KI11" s="402"/>
      <c r="KJ11" s="417"/>
      <c r="KK11" s="412"/>
      <c r="KL11" s="417"/>
      <c r="KM11" s="412"/>
      <c r="KN11" s="417"/>
      <c r="KO11" s="412"/>
      <c r="KP11" s="417"/>
      <c r="KQ11" s="412"/>
      <c r="KR11" s="417"/>
      <c r="KS11" s="412"/>
      <c r="KT11" s="417"/>
      <c r="KU11" s="412"/>
      <c r="KV11" s="417"/>
      <c r="KW11" s="412"/>
      <c r="KX11" s="417"/>
      <c r="KY11" s="412"/>
      <c r="KZ11" s="417"/>
      <c r="LA11" s="412"/>
      <c r="LB11" s="417"/>
      <c r="LC11" s="412"/>
      <c r="LD11" s="402"/>
      <c r="LE11" s="402"/>
      <c r="LF11" s="417"/>
      <c r="LG11" s="412"/>
      <c r="LH11" s="417"/>
      <c r="LI11" s="412"/>
      <c r="LJ11" s="402"/>
      <c r="LK11" s="402"/>
      <c r="LL11" s="417"/>
      <c r="LM11" s="412"/>
      <c r="LN11" s="402"/>
      <c r="LO11" s="402"/>
      <c r="LP11" s="417"/>
      <c r="LQ11" s="412"/>
      <c r="LR11" s="417"/>
      <c r="LS11" s="412"/>
      <c r="LT11" s="417"/>
      <c r="LU11" s="412"/>
      <c r="LV11" s="402"/>
      <c r="LW11" s="402"/>
      <c r="LX11" s="417"/>
      <c r="LY11" s="412"/>
      <c r="LZ11" s="402"/>
      <c r="MA11" s="402"/>
      <c r="MB11" s="417"/>
      <c r="MC11" s="412"/>
      <c r="MD11" s="417"/>
      <c r="ME11" s="412"/>
      <c r="MF11" s="417"/>
      <c r="MG11" s="412"/>
      <c r="MH11" s="417"/>
      <c r="MI11" s="412"/>
      <c r="MJ11" s="417"/>
      <c r="MK11" s="412"/>
      <c r="ML11" s="402"/>
      <c r="MM11" s="402"/>
      <c r="MN11" s="417"/>
      <c r="MO11" s="412"/>
      <c r="MP11" s="417"/>
      <c r="MQ11" s="412"/>
      <c r="MR11" s="417"/>
      <c r="MS11" s="412"/>
      <c r="MT11" s="417"/>
      <c r="MU11" s="412"/>
      <c r="MV11" s="402"/>
      <c r="MW11" s="402"/>
      <c r="MX11" s="417"/>
      <c r="MY11" s="412"/>
      <c r="MZ11" s="417"/>
      <c r="NA11" s="412"/>
      <c r="NB11" s="417"/>
      <c r="NC11" s="412"/>
      <c r="ND11" s="402"/>
      <c r="NE11" s="402"/>
      <c r="NF11" s="480">
        <v>42678</v>
      </c>
      <c r="NG11" s="482" t="str">
        <f t="shared" si="39"/>
        <v>Friday</v>
      </c>
      <c r="NH11" s="417"/>
      <c r="NI11" s="412"/>
      <c r="NJ11" s="417"/>
      <c r="NK11" s="412"/>
      <c r="NL11" s="402"/>
      <c r="NM11" s="402"/>
      <c r="NN11" s="417"/>
      <c r="NO11" s="412"/>
      <c r="NP11" s="417"/>
      <c r="NQ11" s="412"/>
      <c r="NR11" s="402"/>
      <c r="NS11" s="412"/>
      <c r="NT11" s="417"/>
      <c r="NU11" s="412"/>
      <c r="NV11" s="417"/>
      <c r="NW11" s="412"/>
      <c r="NX11" s="417"/>
      <c r="NY11" s="412"/>
      <c r="NZ11" s="417"/>
      <c r="OA11" s="402"/>
      <c r="OB11" s="417"/>
      <c r="OC11" s="412"/>
      <c r="OD11" s="417"/>
      <c r="OE11" s="412"/>
      <c r="OF11" s="402"/>
      <c r="OG11" s="402"/>
      <c r="OH11" s="417"/>
      <c r="OI11" s="412"/>
      <c r="OJ11" s="417"/>
      <c r="OK11" s="412"/>
      <c r="OL11" s="417"/>
      <c r="OM11" s="412"/>
      <c r="ON11" s="417"/>
      <c r="OO11" s="412"/>
      <c r="OP11" s="402"/>
      <c r="OQ11" s="402"/>
      <c r="OR11" s="417"/>
      <c r="OS11" s="412"/>
      <c r="OT11" s="417"/>
      <c r="OU11" s="412"/>
      <c r="OV11" s="402"/>
      <c r="OW11" s="402"/>
      <c r="OX11" s="417"/>
      <c r="OY11" s="412"/>
      <c r="OZ11" s="417"/>
      <c r="PA11" s="412"/>
      <c r="PB11" s="417"/>
      <c r="PC11" s="412"/>
      <c r="PD11" s="417"/>
      <c r="PE11" s="412"/>
      <c r="PF11" s="417"/>
      <c r="PG11" s="412"/>
      <c r="PH11" s="402"/>
      <c r="PI11" s="402"/>
      <c r="PJ11" s="417"/>
      <c r="PK11" s="412"/>
      <c r="PL11" s="402"/>
      <c r="PM11" s="402"/>
      <c r="PN11" s="417"/>
      <c r="PO11" s="412"/>
      <c r="PP11" s="417"/>
      <c r="PQ11" s="412"/>
      <c r="PR11" s="402"/>
      <c r="PS11" s="402"/>
      <c r="PT11" s="417"/>
      <c r="PU11" s="412"/>
      <c r="PV11" s="402"/>
      <c r="PW11" s="402"/>
      <c r="PX11" s="417"/>
      <c r="PY11" s="412"/>
      <c r="PZ11" s="417"/>
      <c r="QA11" s="412"/>
      <c r="QB11" s="417"/>
      <c r="QC11" s="412"/>
      <c r="QD11" s="417"/>
      <c r="QE11" s="412"/>
      <c r="QF11" s="417"/>
      <c r="QG11" s="412"/>
      <c r="QH11" s="402"/>
      <c r="QI11" s="402"/>
      <c r="QJ11" s="417"/>
      <c r="QK11" s="412"/>
      <c r="QL11" s="417"/>
      <c r="QM11" s="412"/>
      <c r="QN11" s="402"/>
      <c r="QO11" s="402"/>
      <c r="QP11" s="417"/>
      <c r="QQ11" s="412"/>
      <c r="QR11" s="417"/>
      <c r="QS11" s="412"/>
      <c r="QT11" s="417"/>
      <c r="QU11" s="412"/>
      <c r="QV11" s="474">
        <v>42664</v>
      </c>
      <c r="QW11" s="482" t="str">
        <f t="shared" si="44"/>
        <v>Friday</v>
      </c>
      <c r="QX11" s="417"/>
      <c r="QY11" s="412"/>
      <c r="QZ11" s="417"/>
      <c r="RA11" s="412"/>
      <c r="RB11" s="417"/>
      <c r="RC11" s="412"/>
      <c r="RD11" s="417"/>
      <c r="RE11" s="412"/>
      <c r="RF11" s="417"/>
      <c r="RG11" s="412"/>
      <c r="RH11" s="417"/>
      <c r="RI11" s="412"/>
      <c r="RJ11" s="417"/>
      <c r="RK11" s="412"/>
      <c r="RL11" s="402"/>
      <c r="RM11" s="402"/>
      <c r="RN11" s="417"/>
      <c r="RO11" s="412"/>
      <c r="RP11" s="402"/>
      <c r="RQ11" s="402"/>
      <c r="RR11" s="417"/>
      <c r="RS11" s="412"/>
      <c r="RT11" s="417"/>
      <c r="RU11" s="412"/>
      <c r="RV11" s="402"/>
      <c r="RW11" s="402"/>
      <c r="RX11" s="417"/>
      <c r="RY11" s="412"/>
      <c r="RZ11" s="417"/>
      <c r="SA11" s="402"/>
      <c r="SB11" s="417"/>
      <c r="SC11" s="412"/>
      <c r="SD11" s="417"/>
      <c r="SE11" s="412"/>
      <c r="SF11" s="417"/>
      <c r="SG11" s="412"/>
      <c r="SH11" s="417"/>
      <c r="SI11" s="412"/>
      <c r="SJ11" s="402"/>
      <c r="SK11" s="402"/>
      <c r="SL11" s="417"/>
      <c r="SM11" s="412"/>
      <c r="SN11" s="417"/>
      <c r="SO11" s="412"/>
      <c r="SP11" s="402"/>
      <c r="SQ11" s="402"/>
      <c r="SR11" s="417"/>
      <c r="SS11" s="412"/>
      <c r="ST11" s="402"/>
      <c r="SU11" s="402"/>
      <c r="SV11" s="417"/>
      <c r="SW11" s="412"/>
      <c r="SX11" s="417"/>
      <c r="SY11" s="412"/>
      <c r="SZ11" s="417"/>
      <c r="TA11" s="412"/>
      <c r="TB11" s="417"/>
      <c r="TC11" s="412"/>
      <c r="TD11" s="402"/>
      <c r="TE11" s="402"/>
      <c r="TF11" s="417"/>
      <c r="TG11" s="412"/>
      <c r="TH11" s="417"/>
      <c r="TI11" s="412"/>
      <c r="TJ11" s="402"/>
      <c r="TK11" s="402"/>
      <c r="TL11" s="417"/>
      <c r="TM11" s="412"/>
      <c r="TN11" s="417"/>
      <c r="TO11" s="412"/>
      <c r="TP11" s="417"/>
      <c r="TQ11" s="412"/>
      <c r="TR11" s="417"/>
      <c r="TS11" s="412"/>
      <c r="TT11" s="417"/>
      <c r="TU11" s="412"/>
      <c r="TV11" s="417"/>
      <c r="TW11" s="412"/>
      <c r="TX11" s="417"/>
      <c r="TY11" s="412"/>
      <c r="TZ11" s="402"/>
      <c r="UA11" s="402"/>
      <c r="UB11" s="417"/>
      <c r="UC11" s="412"/>
      <c r="UD11" s="417"/>
      <c r="UE11" s="412"/>
      <c r="UF11" s="417"/>
      <c r="UG11" s="412"/>
      <c r="UH11" s="402"/>
      <c r="UI11" s="402"/>
      <c r="UJ11" s="417"/>
      <c r="UK11" s="412"/>
      <c r="UL11" s="417"/>
      <c r="UM11" s="412"/>
      <c r="UN11" s="417"/>
      <c r="UO11" s="412"/>
      <c r="UP11" s="417"/>
      <c r="UQ11" s="412"/>
      <c r="UR11" s="402"/>
      <c r="US11" s="402"/>
      <c r="UT11" s="417"/>
      <c r="UU11" s="412"/>
      <c r="UV11" s="417"/>
      <c r="UW11" s="412"/>
      <c r="UX11" s="417"/>
      <c r="UY11" s="412"/>
      <c r="UZ11" s="402"/>
      <c r="VA11" s="402"/>
      <c r="VB11" s="417"/>
      <c r="VC11" s="412"/>
      <c r="VD11" s="417"/>
      <c r="VE11" s="412"/>
      <c r="VF11" s="417"/>
      <c r="VG11" s="412"/>
      <c r="VH11" s="402"/>
      <c r="VI11" s="402"/>
      <c r="VJ11" s="417"/>
      <c r="VK11" s="412"/>
      <c r="VL11" s="417"/>
      <c r="VM11" s="412"/>
      <c r="VN11" s="402"/>
      <c r="VO11" s="402"/>
      <c r="VP11" s="417"/>
      <c r="VQ11" s="412"/>
      <c r="VR11" s="417"/>
      <c r="VS11" s="412"/>
      <c r="VT11" s="417"/>
      <c r="VU11" s="412"/>
      <c r="VV11" s="417"/>
      <c r="VW11" s="412"/>
      <c r="VX11" s="417"/>
      <c r="VY11" s="412"/>
      <c r="VZ11" s="402"/>
      <c r="WA11" s="402"/>
      <c r="WB11" s="417"/>
      <c r="WC11" s="412"/>
      <c r="WD11" s="417"/>
      <c r="WE11" s="412"/>
      <c r="WF11" s="417"/>
      <c r="WG11" s="412"/>
      <c r="WH11" s="417"/>
      <c r="WI11" s="412"/>
      <c r="WJ11" s="417"/>
      <c r="WK11" s="412"/>
      <c r="WL11" s="402"/>
      <c r="WM11" s="402"/>
      <c r="WN11" s="417"/>
      <c r="WO11" s="412"/>
      <c r="WP11" s="402"/>
      <c r="WQ11" s="402"/>
      <c r="WR11" s="417"/>
      <c r="WS11" s="402"/>
      <c r="WT11" s="417"/>
      <c r="WU11" s="412"/>
      <c r="WV11" s="417"/>
      <c r="WW11" s="412"/>
      <c r="WX11" s="402"/>
      <c r="WY11" s="402"/>
      <c r="WZ11" s="417"/>
      <c r="XA11" s="412"/>
      <c r="XB11" s="417"/>
      <c r="XC11" s="412"/>
      <c r="XD11" s="417"/>
      <c r="XE11" s="412"/>
      <c r="XF11" s="417"/>
      <c r="XG11" s="412"/>
      <c r="XH11" s="402"/>
      <c r="XI11" s="402"/>
      <c r="XJ11" s="417"/>
      <c r="XK11" s="412"/>
      <c r="XL11" s="402"/>
      <c r="XM11" s="402"/>
      <c r="XN11" s="417"/>
      <c r="XO11" s="412"/>
      <c r="XP11" s="417"/>
      <c r="XQ11" s="412"/>
      <c r="XR11" s="402"/>
      <c r="XS11" s="402"/>
      <c r="XT11" s="417"/>
      <c r="XU11" s="412"/>
      <c r="XV11" s="417"/>
      <c r="XW11" s="412"/>
      <c r="XX11" s="417"/>
      <c r="XY11" s="412"/>
      <c r="XZ11" s="402"/>
      <c r="YA11" s="402"/>
      <c r="YB11" s="417"/>
      <c r="YC11" s="412"/>
      <c r="YD11" s="417"/>
      <c r="YE11" s="412"/>
      <c r="YF11" s="417"/>
      <c r="YG11" s="412"/>
      <c r="YH11" s="417"/>
      <c r="YI11" s="412"/>
      <c r="YJ11" s="402"/>
      <c r="YK11" s="402"/>
      <c r="YL11" s="417"/>
      <c r="YM11" s="412"/>
      <c r="YN11" s="417"/>
      <c r="YO11" s="412"/>
      <c r="YP11" s="417"/>
      <c r="YQ11" s="412"/>
      <c r="YR11" s="417"/>
      <c r="YS11" s="412"/>
      <c r="YT11" s="402"/>
      <c r="YU11" s="402"/>
      <c r="YV11" s="417"/>
      <c r="YW11" s="412"/>
      <c r="YX11" s="417"/>
      <c r="YY11" s="412"/>
      <c r="YZ11" s="402"/>
      <c r="ZA11" s="402"/>
      <c r="ZB11" s="417"/>
      <c r="ZC11" s="412"/>
      <c r="ZD11" s="402"/>
      <c r="ZE11" s="402"/>
      <c r="ZF11" s="417"/>
      <c r="ZG11" s="412"/>
      <c r="ZH11" s="417"/>
      <c r="ZI11" s="412"/>
      <c r="ZJ11" s="417"/>
      <c r="ZK11" s="412"/>
      <c r="ZL11" s="402"/>
      <c r="ZM11" s="402"/>
      <c r="ZN11" s="417"/>
      <c r="ZO11" s="412"/>
      <c r="ZP11" s="417"/>
      <c r="ZQ11" s="412"/>
      <c r="ZR11" s="402"/>
      <c r="ZS11" s="402"/>
      <c r="ZT11" s="417"/>
      <c r="ZU11" s="412"/>
      <c r="ZV11" s="417"/>
      <c r="ZW11" s="412"/>
      <c r="ZX11" s="402"/>
      <c r="ZY11" s="402"/>
      <c r="ZZ11" s="417"/>
      <c r="AAA11" s="412"/>
      <c r="AAB11" s="417"/>
      <c r="AAC11" s="412"/>
      <c r="AAD11" s="417"/>
      <c r="AAE11" s="412"/>
      <c r="AAF11" s="417"/>
      <c r="AAG11" s="412"/>
      <c r="AAH11" s="402"/>
      <c r="AAI11" s="402"/>
      <c r="AAJ11" s="417"/>
      <c r="AAK11" s="412"/>
      <c r="AAL11" s="417"/>
      <c r="AAM11" s="412"/>
      <c r="AAN11" s="417"/>
      <c r="AAO11" s="412"/>
      <c r="AAP11" s="417"/>
      <c r="AAQ11" s="412"/>
      <c r="AAR11" s="417"/>
      <c r="AAS11" s="412"/>
      <c r="AAT11" s="402"/>
      <c r="AAU11" s="402"/>
      <c r="AAV11" s="417"/>
      <c r="AAW11" s="412"/>
      <c r="AAX11" s="402"/>
      <c r="AAY11" s="402"/>
      <c r="AAZ11" s="417"/>
      <c r="ABA11" s="412"/>
      <c r="ABB11" s="417"/>
      <c r="ABC11" s="412"/>
      <c r="ABD11" s="262">
        <v>42503</v>
      </c>
      <c r="ABE11" s="277" t="str">
        <f t="shared" si="45"/>
        <v>Friday</v>
      </c>
      <c r="ABF11" s="402"/>
      <c r="ABG11" s="402"/>
      <c r="ABH11" s="417"/>
      <c r="ABI11" s="412"/>
      <c r="ABJ11" s="417"/>
      <c r="ABK11" s="412"/>
      <c r="ABL11" s="417"/>
      <c r="ABM11" s="412"/>
      <c r="ABN11" s="417"/>
      <c r="ABO11" s="412"/>
      <c r="ABP11" s="402"/>
      <c r="ABQ11" s="402"/>
      <c r="ABR11" s="417"/>
      <c r="ABS11" s="412"/>
      <c r="ABT11" s="417"/>
      <c r="ABU11" s="412"/>
      <c r="ABV11" s="417"/>
      <c r="ABW11" s="412"/>
      <c r="ABX11" s="402"/>
      <c r="ABY11" s="402"/>
      <c r="ABZ11" s="417"/>
      <c r="ACA11" s="412"/>
      <c r="ACB11" s="417"/>
      <c r="ACC11" s="412"/>
      <c r="ACD11" s="417"/>
      <c r="ACE11" s="412"/>
      <c r="ACF11" s="417"/>
      <c r="ACG11" s="412"/>
      <c r="ACH11" s="417"/>
      <c r="ACI11" s="412"/>
      <c r="ACJ11" s="402"/>
      <c r="ACK11" s="402"/>
      <c r="ACL11" s="417"/>
      <c r="ACM11" s="412"/>
      <c r="ACN11" s="402"/>
      <c r="ACO11" s="402"/>
      <c r="ACP11" s="417"/>
      <c r="ACQ11" s="412"/>
      <c r="ACR11" s="417"/>
      <c r="ACS11" s="412"/>
      <c r="ACT11" s="490">
        <v>42671</v>
      </c>
      <c r="ACU11" s="473" t="str">
        <f t="shared" si="41"/>
        <v>Friday</v>
      </c>
      <c r="ACV11" s="417"/>
      <c r="ACW11" s="412"/>
      <c r="ACX11" s="402"/>
      <c r="ACY11" s="402"/>
      <c r="ACZ11" s="417"/>
      <c r="ADA11" s="412"/>
      <c r="ADB11" s="417"/>
      <c r="ADC11" s="412"/>
      <c r="ADD11" s="417"/>
      <c r="ADE11" s="412"/>
      <c r="ADF11" s="417"/>
      <c r="ADG11" s="412"/>
      <c r="ADH11" s="417"/>
      <c r="ADI11" s="412"/>
      <c r="ADJ11" s="417"/>
      <c r="ADK11" s="412"/>
      <c r="ADL11" s="402"/>
      <c r="ADM11" s="412"/>
      <c r="ADN11" s="402"/>
      <c r="ADO11" s="412"/>
      <c r="ADP11" s="417"/>
      <c r="ADQ11" s="412"/>
      <c r="ADR11" s="402"/>
      <c r="ADS11" s="412"/>
      <c r="ADT11" s="417"/>
      <c r="ADU11" s="412"/>
      <c r="ADV11" s="402"/>
      <c r="ADW11" s="402"/>
      <c r="ADX11" s="417"/>
      <c r="ADY11" s="412"/>
      <c r="ADZ11" s="417"/>
      <c r="AEA11" s="412"/>
      <c r="AEB11" s="417"/>
      <c r="AEC11" s="412"/>
      <c r="AED11" s="402"/>
      <c r="AEE11" s="402"/>
      <c r="AEF11" s="480">
        <v>42720</v>
      </c>
      <c r="AEG11" s="482" t="str">
        <f t="shared" si="46"/>
        <v>Friday</v>
      </c>
      <c r="AEH11" s="417"/>
      <c r="AEI11" s="402"/>
      <c r="AEJ11" s="417"/>
      <c r="AEK11" s="412"/>
      <c r="AEL11" s="417"/>
      <c r="AEM11" s="412"/>
      <c r="AEN11" s="417"/>
      <c r="AEO11" s="412"/>
      <c r="AEP11" s="417"/>
      <c r="AEQ11" s="412"/>
      <c r="AER11" s="417"/>
      <c r="AES11" s="402"/>
      <c r="AET11" s="417"/>
      <c r="AEU11" s="412"/>
      <c r="AEV11" s="402"/>
      <c r="AEW11" s="402"/>
      <c r="AEX11" s="417"/>
      <c r="AEY11" s="402"/>
      <c r="AEZ11" s="417"/>
      <c r="AFA11" s="412"/>
      <c r="AFB11" s="417"/>
      <c r="AFC11" s="412"/>
      <c r="AFD11" s="417"/>
      <c r="AFE11" s="412"/>
      <c r="AFF11" s="402"/>
      <c r="AFG11" s="402"/>
      <c r="AFH11" s="417"/>
      <c r="AFI11" s="412"/>
      <c r="AFJ11" s="402"/>
      <c r="AFK11" s="402"/>
      <c r="AFL11" s="417"/>
      <c r="AFM11" s="412"/>
      <c r="AFN11" s="480">
        <v>42706</v>
      </c>
      <c r="AFO11" s="482" t="str">
        <f t="shared" si="47"/>
        <v>Friday</v>
      </c>
      <c r="AFP11" s="417"/>
      <c r="AFQ11" s="412"/>
      <c r="AFR11" s="402"/>
      <c r="AFS11" s="402"/>
      <c r="AFT11" s="417"/>
      <c r="AFU11" s="412"/>
      <c r="AFV11" s="402"/>
      <c r="AFW11" s="402"/>
      <c r="AFX11" s="417"/>
      <c r="AFY11" s="402"/>
      <c r="AFZ11" s="417"/>
      <c r="AGA11" s="412"/>
      <c r="AGB11" s="417"/>
      <c r="AGC11" s="412"/>
      <c r="AGD11" s="402"/>
      <c r="AGE11" s="402"/>
      <c r="AGF11" s="417"/>
      <c r="AGG11" s="412"/>
      <c r="AGH11" s="417"/>
      <c r="AGI11" s="412"/>
      <c r="AGJ11" s="402"/>
      <c r="AGK11" s="402"/>
      <c r="AGL11" s="417"/>
      <c r="AGM11" s="412"/>
      <c r="AGN11" s="417"/>
      <c r="AGO11" s="412"/>
      <c r="AGP11" s="417"/>
      <c r="AGQ11" s="412"/>
      <c r="AGR11" s="417"/>
      <c r="AGS11" s="412"/>
      <c r="AGT11" s="417"/>
      <c r="AGU11" s="412"/>
      <c r="AGV11" s="402"/>
      <c r="AGW11" s="412"/>
      <c r="AGX11" s="417"/>
      <c r="AGY11" s="412"/>
      <c r="AGZ11" s="417"/>
      <c r="AHA11" s="412"/>
      <c r="AHB11" s="417"/>
      <c r="AHC11" s="412"/>
      <c r="AHD11" s="417"/>
      <c r="AHE11" s="412"/>
      <c r="AHF11" s="417"/>
      <c r="AHG11" s="412"/>
      <c r="AHH11" s="417"/>
      <c r="AHI11" s="402"/>
      <c r="AHJ11" s="417"/>
      <c r="AHK11" s="412"/>
      <c r="AHL11" s="402"/>
      <c r="AHM11" s="412"/>
      <c r="AHN11" s="417"/>
      <c r="AHO11" s="412"/>
      <c r="AHP11" s="417"/>
      <c r="AHQ11" s="412"/>
      <c r="AHR11" s="417"/>
      <c r="AHS11" s="402"/>
      <c r="AHT11" s="417"/>
      <c r="AHU11" s="402"/>
      <c r="AHV11" s="417"/>
      <c r="AHW11" s="412"/>
      <c r="AHX11" s="480">
        <v>42727</v>
      </c>
      <c r="AHY11" s="482" t="str">
        <f t="shared" si="48"/>
        <v>Friday</v>
      </c>
      <c r="AHZ11" s="417"/>
      <c r="AIA11" s="412"/>
    </row>
    <row r="12" spans="1:911" ht="15.75" customHeight="1" x14ac:dyDescent="0.2">
      <c r="A12" s="412"/>
      <c r="B12" s="417"/>
      <c r="C12" s="412"/>
      <c r="D12" s="417"/>
      <c r="E12" s="412"/>
      <c r="F12" s="417"/>
      <c r="G12" s="412"/>
      <c r="H12" s="417"/>
      <c r="I12" s="412"/>
      <c r="J12" s="417"/>
      <c r="K12" s="412"/>
      <c r="L12" s="417"/>
      <c r="M12" s="412"/>
      <c r="N12" s="417"/>
      <c r="O12" s="412"/>
      <c r="P12" s="417"/>
      <c r="Q12" s="412"/>
      <c r="R12" s="417"/>
      <c r="S12" s="412"/>
      <c r="T12" s="417"/>
      <c r="U12" s="412"/>
      <c r="V12" s="417"/>
      <c r="W12" s="412"/>
      <c r="X12" s="417"/>
      <c r="Y12" s="412"/>
      <c r="Z12" s="417"/>
      <c r="AA12" s="412"/>
      <c r="AB12" s="417"/>
      <c r="AC12" s="412"/>
      <c r="AD12" s="402"/>
      <c r="AE12" s="402"/>
      <c r="AF12" s="417"/>
      <c r="AG12" s="402"/>
      <c r="AH12" s="262">
        <v>42643</v>
      </c>
      <c r="AI12" s="277" t="str">
        <f t="shared" si="36"/>
        <v>Friday</v>
      </c>
      <c r="AJ12" s="402"/>
      <c r="AK12" s="402"/>
      <c r="AL12" s="417"/>
      <c r="AM12" s="412"/>
      <c r="AN12" s="417"/>
      <c r="AO12" s="412"/>
      <c r="AP12" s="417"/>
      <c r="AQ12" s="412"/>
      <c r="AR12" s="417"/>
      <c r="AS12" s="412"/>
      <c r="AT12" s="417"/>
      <c r="AU12" s="412"/>
      <c r="AV12" s="402"/>
      <c r="AW12" s="402"/>
      <c r="AX12" s="417"/>
      <c r="AY12" s="412"/>
      <c r="AZ12" s="417"/>
      <c r="BA12" s="412"/>
      <c r="BB12" s="402"/>
      <c r="BC12" s="402"/>
      <c r="BD12" s="417"/>
      <c r="BE12" s="412"/>
      <c r="BF12" s="417"/>
      <c r="BG12" s="412"/>
      <c r="BH12" s="417"/>
      <c r="BI12" s="412"/>
      <c r="BJ12" s="417"/>
      <c r="BK12" s="412"/>
      <c r="BL12" s="402"/>
      <c r="BM12" s="402"/>
      <c r="BN12" s="417"/>
      <c r="BO12" s="412"/>
      <c r="BP12" s="417"/>
      <c r="BQ12" s="412"/>
      <c r="BR12" s="417"/>
      <c r="BS12" s="412"/>
      <c r="BT12" s="402"/>
      <c r="BU12" s="402"/>
      <c r="BV12" s="417"/>
      <c r="BW12" s="412"/>
      <c r="BX12" s="402"/>
      <c r="BY12" s="402"/>
      <c r="BZ12" s="417"/>
      <c r="CA12" s="412"/>
      <c r="CB12" s="417"/>
      <c r="CC12" s="412"/>
      <c r="CD12" s="417"/>
      <c r="CE12" s="412"/>
      <c r="CF12" s="417"/>
      <c r="CG12" s="412"/>
      <c r="CH12" s="417"/>
      <c r="CI12" s="412"/>
      <c r="CJ12" s="417"/>
      <c r="CK12" s="412"/>
      <c r="CL12" s="402"/>
      <c r="CM12" s="402"/>
      <c r="CN12" s="417"/>
      <c r="CO12" s="412"/>
      <c r="CP12" s="417"/>
      <c r="CQ12" s="412"/>
      <c r="CR12" s="417"/>
      <c r="CS12" s="412"/>
      <c r="CT12" s="402"/>
      <c r="CU12" s="402"/>
      <c r="CV12" s="417"/>
      <c r="CW12" s="412"/>
      <c r="CX12" s="417"/>
      <c r="CY12" s="412"/>
      <c r="CZ12" s="402"/>
      <c r="DA12" s="402"/>
      <c r="DB12" s="417"/>
      <c r="DC12" s="412"/>
      <c r="DD12" s="417"/>
      <c r="DE12" s="412"/>
      <c r="DF12" s="402"/>
      <c r="DG12" s="402"/>
      <c r="DH12" s="417"/>
      <c r="DI12" s="412"/>
      <c r="DJ12" s="417"/>
      <c r="DK12" s="412"/>
      <c r="DL12" s="417"/>
      <c r="DM12" s="412"/>
      <c r="DN12" s="402"/>
      <c r="DO12" s="402"/>
      <c r="DP12" s="417"/>
      <c r="DQ12" s="412"/>
      <c r="DR12" s="417"/>
      <c r="DS12" s="412"/>
      <c r="DT12" s="402"/>
      <c r="DU12" s="402"/>
      <c r="DV12" s="417"/>
      <c r="DW12" s="412"/>
      <c r="DX12" s="417"/>
      <c r="DY12" s="412"/>
      <c r="DZ12" s="402"/>
      <c r="EA12" s="402"/>
      <c r="EB12" s="417"/>
      <c r="EC12" s="412"/>
      <c r="ED12" s="402"/>
      <c r="EE12" s="402"/>
      <c r="EF12" s="417"/>
      <c r="EG12" s="412"/>
      <c r="EH12" s="417"/>
      <c r="EI12" s="412"/>
      <c r="EJ12" s="417"/>
      <c r="EK12" s="412"/>
      <c r="EL12" s="402"/>
      <c r="EM12" s="402"/>
      <c r="EN12" s="417"/>
      <c r="EO12" s="412"/>
      <c r="EP12" s="417"/>
      <c r="EQ12" s="412"/>
      <c r="ER12" s="417"/>
      <c r="ES12" s="412"/>
      <c r="ET12" s="402"/>
      <c r="EU12" s="402"/>
      <c r="EV12" s="417"/>
      <c r="EW12" s="412"/>
      <c r="EX12" s="417"/>
      <c r="EY12" s="412"/>
      <c r="EZ12" s="417"/>
      <c r="FA12" s="412"/>
      <c r="FB12" s="402"/>
      <c r="FC12" s="402"/>
      <c r="FD12" s="417"/>
      <c r="FE12" s="412"/>
      <c r="FF12" s="417"/>
      <c r="FG12" s="412"/>
      <c r="FH12" s="402"/>
      <c r="FI12" s="402"/>
      <c r="FJ12" s="417"/>
      <c r="FK12" s="412"/>
      <c r="FL12" s="417"/>
      <c r="FM12" s="412"/>
      <c r="FN12" s="417"/>
      <c r="FO12" s="412"/>
      <c r="FP12" s="402"/>
      <c r="FQ12" s="402"/>
      <c r="FR12" s="417"/>
      <c r="FS12" s="412"/>
      <c r="FT12" s="417"/>
      <c r="FU12" s="412"/>
      <c r="FV12" s="417"/>
      <c r="FW12" s="412"/>
      <c r="FX12" s="402"/>
      <c r="FY12" s="402"/>
      <c r="FZ12" s="417"/>
      <c r="GA12" s="412"/>
      <c r="GB12" s="417"/>
      <c r="GC12" s="412"/>
      <c r="GD12" s="402"/>
      <c r="GE12" s="402"/>
      <c r="GF12" s="417"/>
      <c r="GG12" s="412"/>
      <c r="GH12" s="402"/>
      <c r="GI12" s="402"/>
      <c r="GJ12" s="417"/>
      <c r="GK12" s="412"/>
      <c r="GL12" s="417"/>
      <c r="GM12" s="412"/>
      <c r="GN12" s="402"/>
      <c r="GO12" s="402"/>
      <c r="GP12" s="417"/>
      <c r="GQ12" s="412"/>
      <c r="GR12" s="417"/>
      <c r="GS12" s="412"/>
      <c r="GT12" s="417"/>
      <c r="GU12" s="412"/>
      <c r="GV12" s="402"/>
      <c r="GW12" s="402"/>
      <c r="GX12" s="417"/>
      <c r="GY12" s="412"/>
      <c r="GZ12" s="417"/>
      <c r="HA12" s="412"/>
      <c r="HB12" s="417"/>
      <c r="HC12" s="412"/>
      <c r="HD12" s="417"/>
      <c r="HE12" s="412"/>
      <c r="HF12" s="417"/>
      <c r="HG12" s="412"/>
      <c r="HH12" s="402"/>
      <c r="HI12" s="402"/>
      <c r="HJ12" s="417"/>
      <c r="HK12" s="412"/>
      <c r="HL12" s="417"/>
      <c r="HM12" s="412"/>
      <c r="HN12" s="402"/>
      <c r="HO12" s="402"/>
      <c r="HP12" s="417"/>
      <c r="HQ12" s="412"/>
      <c r="HR12" s="417"/>
      <c r="HS12" s="412"/>
      <c r="HT12" s="417"/>
      <c r="HU12" s="412"/>
      <c r="HV12" s="417"/>
      <c r="HW12" s="412"/>
      <c r="HX12" s="402"/>
      <c r="HY12" s="402"/>
      <c r="HZ12" s="417"/>
      <c r="IA12" s="412"/>
      <c r="IB12" s="417"/>
      <c r="IC12" s="412"/>
      <c r="ID12" s="417"/>
      <c r="IE12" s="412"/>
      <c r="IF12" s="402"/>
      <c r="IG12" s="402"/>
      <c r="IH12" s="417"/>
      <c r="II12" s="412"/>
      <c r="IJ12" s="417"/>
      <c r="IK12" s="412"/>
      <c r="IL12" s="417"/>
      <c r="IM12" s="412"/>
      <c r="IN12" s="417"/>
      <c r="IO12" s="412"/>
      <c r="IP12" s="402"/>
      <c r="IQ12" s="402"/>
      <c r="IR12" s="417"/>
      <c r="IS12" s="412"/>
      <c r="IT12" s="417"/>
      <c r="IU12" s="412"/>
      <c r="IV12" s="417"/>
      <c r="IW12" s="412"/>
      <c r="IX12" s="417"/>
      <c r="IY12" s="412"/>
      <c r="IZ12" s="417"/>
      <c r="JA12" s="412"/>
      <c r="JB12" s="417"/>
      <c r="JC12" s="412"/>
      <c r="JD12" s="417"/>
      <c r="JE12" s="412"/>
      <c r="JF12" s="402"/>
      <c r="JG12" s="402"/>
      <c r="JH12" s="417"/>
      <c r="JI12" s="412"/>
      <c r="JJ12" s="417"/>
      <c r="JK12" s="412"/>
      <c r="JL12" s="417"/>
      <c r="JM12" s="412"/>
      <c r="JN12" s="417"/>
      <c r="JO12" s="412"/>
      <c r="JP12" s="402"/>
      <c r="JQ12" s="402"/>
      <c r="JR12" s="417"/>
      <c r="JS12" s="412"/>
      <c r="JT12" s="417"/>
      <c r="JU12" s="412"/>
      <c r="JV12" s="417"/>
      <c r="JW12" s="412"/>
      <c r="JX12" s="417"/>
      <c r="JY12" s="412"/>
      <c r="JZ12" s="417"/>
      <c r="KA12" s="412"/>
      <c r="KB12" s="417"/>
      <c r="KC12" s="412"/>
      <c r="KD12" s="402"/>
      <c r="KE12" s="402"/>
      <c r="KF12" s="417"/>
      <c r="KG12" s="412"/>
      <c r="KH12" s="402"/>
      <c r="KI12" s="402"/>
      <c r="KJ12" s="417"/>
      <c r="KK12" s="412"/>
      <c r="KL12" s="417"/>
      <c r="KM12" s="412"/>
      <c r="KN12" s="417"/>
      <c r="KO12" s="412"/>
      <c r="KP12" s="417"/>
      <c r="KQ12" s="412"/>
      <c r="KR12" s="417"/>
      <c r="KS12" s="412"/>
      <c r="KT12" s="417"/>
      <c r="KU12" s="412"/>
      <c r="KV12" s="417"/>
      <c r="KW12" s="412"/>
      <c r="KX12" s="417"/>
      <c r="KY12" s="412"/>
      <c r="KZ12" s="417"/>
      <c r="LA12" s="412"/>
      <c r="LB12" s="417"/>
      <c r="LC12" s="412"/>
      <c r="LD12" s="402"/>
      <c r="LE12" s="402"/>
      <c r="LF12" s="417"/>
      <c r="LG12" s="412"/>
      <c r="LH12" s="417"/>
      <c r="LI12" s="412"/>
      <c r="LJ12" s="402"/>
      <c r="LK12" s="402"/>
      <c r="LL12" s="417"/>
      <c r="LM12" s="412"/>
      <c r="LN12" s="402"/>
      <c r="LO12" s="402"/>
      <c r="LP12" s="417"/>
      <c r="LQ12" s="412"/>
      <c r="LR12" s="417"/>
      <c r="LS12" s="412"/>
      <c r="LT12" s="417"/>
      <c r="LU12" s="412"/>
      <c r="LV12" s="402"/>
      <c r="LW12" s="402"/>
      <c r="LX12" s="417"/>
      <c r="LY12" s="412"/>
      <c r="LZ12" s="402"/>
      <c r="MA12" s="402"/>
      <c r="MB12" s="417"/>
      <c r="MC12" s="412"/>
      <c r="MD12" s="417"/>
      <c r="ME12" s="412"/>
      <c r="MF12" s="417"/>
      <c r="MG12" s="412"/>
      <c r="MH12" s="417"/>
      <c r="MI12" s="412"/>
      <c r="MJ12" s="417"/>
      <c r="MK12" s="412"/>
      <c r="ML12" s="402"/>
      <c r="MM12" s="402"/>
      <c r="MN12" s="417"/>
      <c r="MO12" s="412"/>
      <c r="MP12" s="417"/>
      <c r="MQ12" s="412"/>
      <c r="MR12" s="417"/>
      <c r="MS12" s="412"/>
      <c r="MT12" s="417"/>
      <c r="MU12" s="412"/>
      <c r="MV12" s="402"/>
      <c r="MW12" s="402"/>
      <c r="MX12" s="417"/>
      <c r="MY12" s="412"/>
      <c r="MZ12" s="417"/>
      <c r="NA12" s="412"/>
      <c r="NB12" s="417"/>
      <c r="NC12" s="412"/>
      <c r="ND12" s="402"/>
      <c r="NE12" s="402"/>
      <c r="NF12" s="417"/>
      <c r="NG12" s="412"/>
      <c r="NH12" s="417"/>
      <c r="NI12" s="412"/>
      <c r="NJ12" s="417"/>
      <c r="NK12" s="412"/>
      <c r="NL12" s="402"/>
      <c r="NM12" s="402"/>
      <c r="NN12" s="417"/>
      <c r="NO12" s="412"/>
      <c r="NP12" s="417"/>
      <c r="NQ12" s="412"/>
      <c r="NR12" s="402"/>
      <c r="NS12" s="412"/>
      <c r="NT12" s="417"/>
      <c r="NU12" s="412"/>
      <c r="NV12" s="417"/>
      <c r="NW12" s="412"/>
      <c r="NX12" s="417"/>
      <c r="NY12" s="412"/>
      <c r="NZ12" s="417"/>
      <c r="OA12" s="402"/>
      <c r="OB12" s="417"/>
      <c r="OC12" s="412"/>
      <c r="OD12" s="417"/>
      <c r="OE12" s="412"/>
      <c r="OF12" s="402"/>
      <c r="OG12" s="402"/>
      <c r="OH12" s="417"/>
      <c r="OI12" s="412"/>
      <c r="OJ12" s="417"/>
      <c r="OK12" s="412"/>
      <c r="OL12" s="417"/>
      <c r="OM12" s="412"/>
      <c r="ON12" s="417"/>
      <c r="OO12" s="412"/>
      <c r="OP12" s="402"/>
      <c r="OQ12" s="402"/>
      <c r="OR12" s="417"/>
      <c r="OS12" s="412"/>
      <c r="OT12" s="417"/>
      <c r="OU12" s="412"/>
      <c r="OV12" s="402"/>
      <c r="OW12" s="402"/>
      <c r="OX12" s="417"/>
      <c r="OY12" s="412"/>
      <c r="OZ12" s="417"/>
      <c r="PA12" s="412"/>
      <c r="PB12" s="417"/>
      <c r="PC12" s="412"/>
      <c r="PD12" s="417"/>
      <c r="PE12" s="412"/>
      <c r="PF12" s="417"/>
      <c r="PG12" s="412"/>
      <c r="PH12" s="402"/>
      <c r="PI12" s="402"/>
      <c r="PJ12" s="417"/>
      <c r="PK12" s="412"/>
      <c r="PL12" s="402"/>
      <c r="PM12" s="402"/>
      <c r="PN12" s="417"/>
      <c r="PO12" s="412"/>
      <c r="PP12" s="417"/>
      <c r="PQ12" s="412"/>
      <c r="PR12" s="402"/>
      <c r="PS12" s="402"/>
      <c r="PT12" s="417"/>
      <c r="PU12" s="412"/>
      <c r="PV12" s="402"/>
      <c r="PW12" s="402"/>
      <c r="PX12" s="417"/>
      <c r="PY12" s="412"/>
      <c r="PZ12" s="417"/>
      <c r="QA12" s="412"/>
      <c r="QB12" s="417"/>
      <c r="QC12" s="412"/>
      <c r="QD12" s="417"/>
      <c r="QE12" s="412"/>
      <c r="QF12" s="417"/>
      <c r="QG12" s="412"/>
      <c r="QH12" s="402"/>
      <c r="QI12" s="402"/>
      <c r="QJ12" s="417"/>
      <c r="QK12" s="412"/>
      <c r="QL12" s="417"/>
      <c r="QM12" s="412"/>
      <c r="QN12" s="402"/>
      <c r="QO12" s="402"/>
      <c r="QP12" s="417"/>
      <c r="QQ12" s="412"/>
      <c r="QR12" s="417"/>
      <c r="QS12" s="412"/>
      <c r="QT12" s="417"/>
      <c r="QU12" s="412"/>
      <c r="QV12" s="402"/>
      <c r="QW12" s="412"/>
      <c r="QX12" s="417"/>
      <c r="QY12" s="412"/>
      <c r="QZ12" s="417"/>
      <c r="RA12" s="412"/>
      <c r="RB12" s="417"/>
      <c r="RC12" s="412"/>
      <c r="RD12" s="417"/>
      <c r="RE12" s="412"/>
      <c r="RF12" s="417"/>
      <c r="RG12" s="412"/>
      <c r="RH12" s="417"/>
      <c r="RI12" s="412"/>
      <c r="RJ12" s="417"/>
      <c r="RK12" s="412"/>
      <c r="RL12" s="402"/>
      <c r="RM12" s="402"/>
      <c r="RN12" s="417"/>
      <c r="RO12" s="412"/>
      <c r="RP12" s="402"/>
      <c r="RQ12" s="402"/>
      <c r="RR12" s="417"/>
      <c r="RS12" s="412"/>
      <c r="RT12" s="417"/>
      <c r="RU12" s="412"/>
      <c r="RV12" s="402"/>
      <c r="RW12" s="402"/>
      <c r="RX12" s="417"/>
      <c r="RY12" s="412"/>
      <c r="RZ12" s="417"/>
      <c r="SA12" s="402"/>
      <c r="SB12" s="417"/>
      <c r="SC12" s="412"/>
      <c r="SD12" s="417"/>
      <c r="SE12" s="412"/>
      <c r="SF12" s="417"/>
      <c r="SG12" s="412"/>
      <c r="SH12" s="417"/>
      <c r="SI12" s="412"/>
      <c r="SJ12" s="402"/>
      <c r="SK12" s="402"/>
      <c r="SL12" s="417"/>
      <c r="SM12" s="412"/>
      <c r="SN12" s="417"/>
      <c r="SO12" s="412"/>
      <c r="SP12" s="402"/>
      <c r="SQ12" s="402"/>
      <c r="SR12" s="417"/>
      <c r="SS12" s="412"/>
      <c r="ST12" s="402"/>
      <c r="SU12" s="402"/>
      <c r="SV12" s="417"/>
      <c r="SW12" s="412"/>
      <c r="SX12" s="417"/>
      <c r="SY12" s="412"/>
      <c r="SZ12" s="417"/>
      <c r="TA12" s="412"/>
      <c r="TB12" s="417"/>
      <c r="TC12" s="412"/>
      <c r="TD12" s="402"/>
      <c r="TE12" s="402"/>
      <c r="TF12" s="417"/>
      <c r="TG12" s="412"/>
      <c r="TH12" s="417"/>
      <c r="TI12" s="412"/>
      <c r="TJ12" s="402"/>
      <c r="TK12" s="402"/>
      <c r="TL12" s="417"/>
      <c r="TM12" s="412"/>
      <c r="TN12" s="417"/>
      <c r="TO12" s="412"/>
      <c r="TP12" s="417"/>
      <c r="TQ12" s="412"/>
      <c r="TR12" s="417"/>
      <c r="TS12" s="412"/>
      <c r="TT12" s="417"/>
      <c r="TU12" s="412"/>
      <c r="TV12" s="417"/>
      <c r="TW12" s="412"/>
      <c r="TX12" s="417"/>
      <c r="TY12" s="412"/>
      <c r="TZ12" s="402"/>
      <c r="UA12" s="402"/>
      <c r="UB12" s="417"/>
      <c r="UC12" s="412"/>
      <c r="UD12" s="417"/>
      <c r="UE12" s="412"/>
      <c r="UF12" s="417"/>
      <c r="UG12" s="412"/>
      <c r="UH12" s="402"/>
      <c r="UI12" s="402"/>
      <c r="UJ12" s="417"/>
      <c r="UK12" s="412"/>
      <c r="UL12" s="417"/>
      <c r="UM12" s="412"/>
      <c r="UN12" s="417"/>
      <c r="UO12" s="412"/>
      <c r="UP12" s="417"/>
      <c r="UQ12" s="412"/>
      <c r="UR12" s="402"/>
      <c r="US12" s="402"/>
      <c r="UT12" s="417"/>
      <c r="UU12" s="412"/>
      <c r="UV12" s="417"/>
      <c r="UW12" s="412"/>
      <c r="UX12" s="417"/>
      <c r="UY12" s="412"/>
      <c r="UZ12" s="402"/>
      <c r="VA12" s="402"/>
      <c r="VB12" s="417"/>
      <c r="VC12" s="412"/>
      <c r="VD12" s="417"/>
      <c r="VE12" s="412"/>
      <c r="VF12" s="417"/>
      <c r="VG12" s="412"/>
      <c r="VH12" s="402"/>
      <c r="VI12" s="402"/>
      <c r="VJ12" s="417"/>
      <c r="VK12" s="412"/>
      <c r="VL12" s="417"/>
      <c r="VM12" s="412"/>
      <c r="VN12" s="402"/>
      <c r="VO12" s="402"/>
      <c r="VP12" s="417"/>
      <c r="VQ12" s="412"/>
      <c r="VR12" s="417"/>
      <c r="VS12" s="412"/>
      <c r="VT12" s="417"/>
      <c r="VU12" s="412"/>
      <c r="VV12" s="417"/>
      <c r="VW12" s="412"/>
      <c r="VX12" s="417"/>
      <c r="VY12" s="412"/>
      <c r="VZ12" s="402"/>
      <c r="WA12" s="402"/>
      <c r="WB12" s="417"/>
      <c r="WC12" s="412"/>
      <c r="WD12" s="417"/>
      <c r="WE12" s="412"/>
      <c r="WF12" s="417"/>
      <c r="WG12" s="412"/>
      <c r="WH12" s="417"/>
      <c r="WI12" s="412"/>
      <c r="WJ12" s="417"/>
      <c r="WK12" s="412"/>
      <c r="WL12" s="402"/>
      <c r="WM12" s="402"/>
      <c r="WN12" s="417"/>
      <c r="WO12" s="412"/>
      <c r="WP12" s="402"/>
      <c r="WQ12" s="402"/>
      <c r="WR12" s="417"/>
      <c r="WS12" s="402"/>
      <c r="WT12" s="417"/>
      <c r="WU12" s="412"/>
      <c r="WV12" s="417"/>
      <c r="WW12" s="412"/>
      <c r="WX12" s="402"/>
      <c r="WY12" s="402"/>
      <c r="WZ12" s="417"/>
      <c r="XA12" s="412"/>
      <c r="XB12" s="417"/>
      <c r="XC12" s="412"/>
      <c r="XD12" s="417"/>
      <c r="XE12" s="412"/>
      <c r="XF12" s="417"/>
      <c r="XG12" s="412"/>
      <c r="XH12" s="402"/>
      <c r="XI12" s="402"/>
      <c r="XJ12" s="417"/>
      <c r="XK12" s="412"/>
      <c r="XL12" s="402"/>
      <c r="XM12" s="402"/>
      <c r="XN12" s="417"/>
      <c r="XO12" s="412"/>
      <c r="XP12" s="417"/>
      <c r="XQ12" s="412"/>
      <c r="XR12" s="402"/>
      <c r="XS12" s="402"/>
      <c r="XT12" s="417"/>
      <c r="XU12" s="412"/>
      <c r="XV12" s="417"/>
      <c r="XW12" s="412"/>
      <c r="XX12" s="417"/>
      <c r="XY12" s="412"/>
      <c r="XZ12" s="402"/>
      <c r="YA12" s="402"/>
      <c r="YB12" s="417"/>
      <c r="YC12" s="412"/>
      <c r="YD12" s="417"/>
      <c r="YE12" s="412"/>
      <c r="YF12" s="417"/>
      <c r="YG12" s="412"/>
      <c r="YH12" s="417"/>
      <c r="YI12" s="412"/>
      <c r="YJ12" s="402"/>
      <c r="YK12" s="402"/>
      <c r="YL12" s="417"/>
      <c r="YM12" s="412"/>
      <c r="YN12" s="417"/>
      <c r="YO12" s="412"/>
      <c r="YP12" s="417"/>
      <c r="YQ12" s="412"/>
      <c r="YR12" s="417"/>
      <c r="YS12" s="412"/>
      <c r="YT12" s="402"/>
      <c r="YU12" s="402"/>
      <c r="YV12" s="417"/>
      <c r="YW12" s="412"/>
      <c r="YX12" s="417"/>
      <c r="YY12" s="412"/>
      <c r="YZ12" s="402"/>
      <c r="ZA12" s="402"/>
      <c r="ZB12" s="417"/>
      <c r="ZC12" s="412"/>
      <c r="ZD12" s="402"/>
      <c r="ZE12" s="402"/>
      <c r="ZF12" s="417"/>
      <c r="ZG12" s="412"/>
      <c r="ZH12" s="417"/>
      <c r="ZI12" s="412"/>
      <c r="ZJ12" s="417"/>
      <c r="ZK12" s="412"/>
      <c r="ZL12" s="402"/>
      <c r="ZM12" s="402"/>
      <c r="ZN12" s="417"/>
      <c r="ZO12" s="412"/>
      <c r="ZP12" s="417"/>
      <c r="ZQ12" s="412"/>
      <c r="ZR12" s="402"/>
      <c r="ZS12" s="402"/>
      <c r="ZT12" s="417"/>
      <c r="ZU12" s="412"/>
      <c r="ZV12" s="417"/>
      <c r="ZW12" s="412"/>
      <c r="ZX12" s="402"/>
      <c r="ZY12" s="402"/>
      <c r="ZZ12" s="417"/>
      <c r="AAA12" s="412"/>
      <c r="AAB12" s="417"/>
      <c r="AAC12" s="412"/>
      <c r="AAD12" s="417"/>
      <c r="AAE12" s="412"/>
      <c r="AAF12" s="417"/>
      <c r="AAG12" s="412"/>
      <c r="AAH12" s="402"/>
      <c r="AAI12" s="402"/>
      <c r="AAJ12" s="417"/>
      <c r="AAK12" s="412"/>
      <c r="AAL12" s="417"/>
      <c r="AAM12" s="412"/>
      <c r="AAN12" s="417"/>
      <c r="AAO12" s="412"/>
      <c r="AAP12" s="417"/>
      <c r="AAQ12" s="412"/>
      <c r="AAR12" s="417"/>
      <c r="AAS12" s="412"/>
      <c r="AAT12" s="402"/>
      <c r="AAU12" s="402"/>
      <c r="AAV12" s="417"/>
      <c r="AAW12" s="412"/>
      <c r="AAX12" s="402"/>
      <c r="AAY12" s="402"/>
      <c r="AAZ12" s="417"/>
      <c r="ABA12" s="412"/>
      <c r="ABB12" s="417"/>
      <c r="ABC12" s="412"/>
      <c r="ABD12" s="262">
        <v>42580</v>
      </c>
      <c r="ABE12" s="277" t="str">
        <f t="shared" si="45"/>
        <v>Friday</v>
      </c>
      <c r="ABF12" s="402"/>
      <c r="ABG12" s="402"/>
      <c r="ABH12" s="417"/>
      <c r="ABI12" s="412"/>
      <c r="ABJ12" s="417"/>
      <c r="ABK12" s="412"/>
      <c r="ABL12" s="417"/>
      <c r="ABM12" s="412"/>
      <c r="ABN12" s="417"/>
      <c r="ABO12" s="412"/>
      <c r="ABP12" s="402"/>
      <c r="ABQ12" s="402"/>
      <c r="ABR12" s="417"/>
      <c r="ABS12" s="412"/>
      <c r="ABT12" s="417"/>
      <c r="ABU12" s="412"/>
      <c r="ABV12" s="417"/>
      <c r="ABW12" s="412"/>
      <c r="ABX12" s="402"/>
      <c r="ABY12" s="402"/>
      <c r="ABZ12" s="417"/>
      <c r="ACA12" s="412"/>
      <c r="ACB12" s="417"/>
      <c r="ACC12" s="412"/>
      <c r="ACD12" s="417"/>
      <c r="ACE12" s="412"/>
      <c r="ACF12" s="417"/>
      <c r="ACG12" s="412"/>
      <c r="ACH12" s="417"/>
      <c r="ACI12" s="412"/>
      <c r="ACJ12" s="402"/>
      <c r="ACK12" s="402"/>
      <c r="ACL12" s="417"/>
      <c r="ACM12" s="412"/>
      <c r="ACN12" s="402"/>
      <c r="ACO12" s="402"/>
      <c r="ACP12" s="417"/>
      <c r="ACQ12" s="412"/>
      <c r="ACR12" s="417"/>
      <c r="ACS12" s="412"/>
      <c r="ACT12" s="402"/>
      <c r="ACU12" s="412"/>
      <c r="ACV12" s="417"/>
      <c r="ACW12" s="412"/>
      <c r="ACX12" s="402"/>
      <c r="ACY12" s="402"/>
      <c r="ACZ12" s="417"/>
      <c r="ADA12" s="412"/>
      <c r="ADB12" s="417"/>
      <c r="ADC12" s="412"/>
      <c r="ADD12" s="417"/>
      <c r="ADE12" s="412"/>
      <c r="ADF12" s="417"/>
      <c r="ADG12" s="412"/>
      <c r="ADH12" s="417"/>
      <c r="ADI12" s="412"/>
      <c r="ADJ12" s="417"/>
      <c r="ADK12" s="412"/>
      <c r="ADL12" s="402"/>
      <c r="ADM12" s="412"/>
      <c r="ADN12" s="402"/>
      <c r="ADO12" s="412"/>
      <c r="ADP12" s="417"/>
      <c r="ADQ12" s="412"/>
      <c r="ADR12" s="402"/>
      <c r="ADS12" s="412"/>
      <c r="ADT12" s="417"/>
      <c r="ADU12" s="412"/>
      <c r="ADV12" s="402"/>
      <c r="ADW12" s="402"/>
      <c r="ADX12" s="417"/>
      <c r="ADY12" s="412"/>
      <c r="ADZ12" s="417"/>
      <c r="AEA12" s="412"/>
      <c r="AEB12" s="417"/>
      <c r="AEC12" s="412"/>
      <c r="AED12" s="402"/>
      <c r="AEE12" s="402"/>
      <c r="AEF12" s="417"/>
      <c r="AEG12" s="412"/>
      <c r="AEH12" s="417"/>
      <c r="AEI12" s="402"/>
      <c r="AEJ12" s="417"/>
      <c r="AEK12" s="412"/>
      <c r="AEL12" s="417"/>
      <c r="AEM12" s="412"/>
      <c r="AEN12" s="417"/>
      <c r="AEO12" s="412"/>
      <c r="AEP12" s="417"/>
      <c r="AEQ12" s="412"/>
      <c r="AER12" s="417"/>
      <c r="AES12" s="402"/>
      <c r="AET12" s="417"/>
      <c r="AEU12" s="412"/>
      <c r="AEV12" s="402"/>
      <c r="AEW12" s="402"/>
      <c r="AEX12" s="417"/>
      <c r="AEY12" s="402"/>
      <c r="AEZ12" s="417"/>
      <c r="AFA12" s="412"/>
      <c r="AFB12" s="417"/>
      <c r="AFC12" s="412"/>
      <c r="AFD12" s="417"/>
      <c r="AFE12" s="412"/>
      <c r="AFF12" s="402"/>
      <c r="AFG12" s="402"/>
      <c r="AFH12" s="417"/>
      <c r="AFI12" s="412"/>
      <c r="AFJ12" s="402"/>
      <c r="AFK12" s="402"/>
      <c r="AFL12" s="417"/>
      <c r="AFM12" s="412"/>
      <c r="AFN12" s="417"/>
      <c r="AFO12" s="412"/>
      <c r="AFP12" s="417"/>
      <c r="AFQ12" s="412"/>
      <c r="AFR12" s="402"/>
      <c r="AFS12" s="402"/>
      <c r="AFT12" s="417"/>
      <c r="AFU12" s="412"/>
      <c r="AFV12" s="402"/>
      <c r="AFW12" s="402"/>
      <c r="AFX12" s="417"/>
      <c r="AFY12" s="402"/>
      <c r="AFZ12" s="417"/>
      <c r="AGA12" s="412"/>
      <c r="AGB12" s="417"/>
      <c r="AGC12" s="412"/>
      <c r="AGD12" s="402"/>
      <c r="AGE12" s="402"/>
      <c r="AGF12" s="417"/>
      <c r="AGG12" s="412"/>
      <c r="AGH12" s="417"/>
      <c r="AGI12" s="412"/>
      <c r="AGJ12" s="402"/>
      <c r="AGK12" s="402"/>
      <c r="AGL12" s="417"/>
      <c r="AGM12" s="412"/>
      <c r="AGN12" s="417"/>
      <c r="AGO12" s="412"/>
      <c r="AGP12" s="417"/>
      <c r="AGQ12" s="412"/>
      <c r="AGR12" s="417"/>
      <c r="AGS12" s="412"/>
      <c r="AGT12" s="417"/>
      <c r="AGU12" s="412"/>
      <c r="AGV12" s="402"/>
      <c r="AGW12" s="412"/>
      <c r="AGX12" s="417"/>
      <c r="AGY12" s="412"/>
      <c r="AGZ12" s="417"/>
      <c r="AHA12" s="412"/>
      <c r="AHB12" s="417"/>
      <c r="AHC12" s="412"/>
      <c r="AHD12" s="417"/>
      <c r="AHE12" s="412"/>
      <c r="AHF12" s="417"/>
      <c r="AHG12" s="412"/>
      <c r="AHH12" s="417"/>
      <c r="AHI12" s="402"/>
      <c r="AHJ12" s="417"/>
      <c r="AHK12" s="412"/>
      <c r="AHL12" s="402"/>
      <c r="AHM12" s="412"/>
      <c r="AHN12" s="417"/>
      <c r="AHO12" s="412"/>
      <c r="AHP12" s="417"/>
      <c r="AHQ12" s="412"/>
      <c r="AHR12" s="417"/>
      <c r="AHS12" s="402"/>
      <c r="AHT12" s="417"/>
      <c r="AHU12" s="402"/>
      <c r="AHV12" s="417"/>
      <c r="AHW12" s="412"/>
      <c r="AHX12" s="417"/>
      <c r="AHY12" s="412"/>
      <c r="AHZ12" s="417"/>
      <c r="AIA12" s="412"/>
    </row>
    <row r="13" spans="1:911" ht="15.75" customHeight="1" x14ac:dyDescent="0.2">
      <c r="A13" s="456">
        <v>2017</v>
      </c>
      <c r="B13" s="432" t="s">
        <v>22</v>
      </c>
      <c r="C13" s="456" t="s">
        <v>22</v>
      </c>
      <c r="D13" s="432" t="s">
        <v>22</v>
      </c>
      <c r="E13" s="456" t="s">
        <v>22</v>
      </c>
      <c r="F13" s="432" t="s">
        <v>22</v>
      </c>
      <c r="G13" s="456" t="s">
        <v>22</v>
      </c>
      <c r="H13" s="432" t="s">
        <v>22</v>
      </c>
      <c r="I13" s="456" t="s">
        <v>22</v>
      </c>
      <c r="J13" s="432" t="s">
        <v>22</v>
      </c>
      <c r="K13" s="456" t="s">
        <v>22</v>
      </c>
      <c r="L13" s="432" t="s">
        <v>22</v>
      </c>
      <c r="M13" s="456" t="s">
        <v>22</v>
      </c>
      <c r="N13" s="432" t="s">
        <v>22</v>
      </c>
      <c r="O13" s="456" t="s">
        <v>22</v>
      </c>
      <c r="P13" s="432" t="s">
        <v>22</v>
      </c>
      <c r="Q13" s="456" t="s">
        <v>22</v>
      </c>
      <c r="R13" s="432" t="s">
        <v>22</v>
      </c>
      <c r="S13" s="456" t="s">
        <v>22</v>
      </c>
      <c r="T13" s="432" t="s">
        <v>22</v>
      </c>
      <c r="U13" s="456" t="s">
        <v>22</v>
      </c>
      <c r="V13" s="432" t="s">
        <v>22</v>
      </c>
      <c r="W13" s="456" t="s">
        <v>22</v>
      </c>
      <c r="X13" s="432" t="s">
        <v>22</v>
      </c>
      <c r="Y13" s="456" t="s">
        <v>22</v>
      </c>
      <c r="Z13" s="432" t="s">
        <v>22</v>
      </c>
      <c r="AA13" s="456" t="s">
        <v>22</v>
      </c>
      <c r="AB13" s="432" t="s">
        <v>22</v>
      </c>
      <c r="AC13" s="456" t="s">
        <v>22</v>
      </c>
      <c r="AD13" s="425" t="s">
        <v>22</v>
      </c>
      <c r="AE13" s="425" t="s">
        <v>22</v>
      </c>
      <c r="AF13" s="432" t="s">
        <v>22</v>
      </c>
      <c r="AG13" s="425" t="s">
        <v>22</v>
      </c>
      <c r="AH13" s="283">
        <v>42867</v>
      </c>
      <c r="AI13" s="288" t="str">
        <f t="shared" si="36"/>
        <v>Friday</v>
      </c>
      <c r="AJ13" s="425" t="s">
        <v>22</v>
      </c>
      <c r="AK13" s="425" t="s">
        <v>22</v>
      </c>
      <c r="AL13" s="432" t="s">
        <v>22</v>
      </c>
      <c r="AM13" s="456" t="s">
        <v>22</v>
      </c>
      <c r="AN13" s="432" t="s">
        <v>22</v>
      </c>
      <c r="AO13" s="456" t="s">
        <v>22</v>
      </c>
      <c r="AP13" s="432" t="s">
        <v>22</v>
      </c>
      <c r="AQ13" s="456" t="s">
        <v>22</v>
      </c>
      <c r="AR13" s="432" t="s">
        <v>22</v>
      </c>
      <c r="AS13" s="456" t="s">
        <v>22</v>
      </c>
      <c r="AT13" s="432" t="s">
        <v>22</v>
      </c>
      <c r="AU13" s="456" t="s">
        <v>22</v>
      </c>
      <c r="AV13" s="425" t="s">
        <v>22</v>
      </c>
      <c r="AW13" s="425" t="s">
        <v>22</v>
      </c>
      <c r="AX13" s="432" t="s">
        <v>22</v>
      </c>
      <c r="AY13" s="456" t="s">
        <v>22</v>
      </c>
      <c r="AZ13" s="432" t="s">
        <v>22</v>
      </c>
      <c r="BA13" s="456" t="s">
        <v>22</v>
      </c>
      <c r="BB13" s="425" t="s">
        <v>22</v>
      </c>
      <c r="BC13" s="425" t="s">
        <v>22</v>
      </c>
      <c r="BD13" s="432" t="s">
        <v>22</v>
      </c>
      <c r="BE13" s="456" t="s">
        <v>22</v>
      </c>
      <c r="BF13" s="506">
        <v>42788</v>
      </c>
      <c r="BG13" s="507" t="str">
        <f>CHOOSE(WEEKDAY(BF13,2),"Monday","Tuesday","Wednesday","Thursday","Friday","Saturday","Sunday")</f>
        <v>Wednesday</v>
      </c>
      <c r="BH13" s="432" t="s">
        <v>22</v>
      </c>
      <c r="BI13" s="456" t="s">
        <v>22</v>
      </c>
      <c r="BJ13" s="432" t="s">
        <v>22</v>
      </c>
      <c r="BK13" s="456" t="s">
        <v>22</v>
      </c>
      <c r="BL13" s="425" t="s">
        <v>22</v>
      </c>
      <c r="BM13" s="425" t="s">
        <v>22</v>
      </c>
      <c r="BN13" s="432" t="s">
        <v>22</v>
      </c>
      <c r="BO13" s="456" t="s">
        <v>22</v>
      </c>
      <c r="BP13" s="432" t="s">
        <v>22</v>
      </c>
      <c r="BQ13" s="456" t="s">
        <v>22</v>
      </c>
      <c r="BR13" s="432" t="s">
        <v>22</v>
      </c>
      <c r="BS13" s="456" t="s">
        <v>22</v>
      </c>
      <c r="BT13" s="425" t="s">
        <v>22</v>
      </c>
      <c r="BU13" s="425" t="s">
        <v>22</v>
      </c>
      <c r="BV13" s="495">
        <v>42762</v>
      </c>
      <c r="BW13" s="502" t="str">
        <f>CHOOSE(WEEKDAY(BV13,2),"Monday","Tuesday","Wednesday","Thursday","Friday","Saturday","Sunday")</f>
        <v>Friday</v>
      </c>
      <c r="BX13" s="425" t="s">
        <v>22</v>
      </c>
      <c r="BY13" s="425" t="s">
        <v>22</v>
      </c>
      <c r="BZ13" s="432" t="s">
        <v>22</v>
      </c>
      <c r="CA13" s="456" t="s">
        <v>22</v>
      </c>
      <c r="CB13" s="432" t="s">
        <v>22</v>
      </c>
      <c r="CC13" s="456" t="s">
        <v>22</v>
      </c>
      <c r="CD13" s="432" t="s">
        <v>22</v>
      </c>
      <c r="CE13" s="456" t="s">
        <v>22</v>
      </c>
      <c r="CF13" s="432" t="s">
        <v>22</v>
      </c>
      <c r="CG13" s="456" t="s">
        <v>22</v>
      </c>
      <c r="CH13" s="432" t="s">
        <v>22</v>
      </c>
      <c r="CI13" s="456" t="s">
        <v>22</v>
      </c>
      <c r="CJ13" s="432" t="s">
        <v>22</v>
      </c>
      <c r="CK13" s="456" t="s">
        <v>22</v>
      </c>
      <c r="CL13" s="425" t="s">
        <v>22</v>
      </c>
      <c r="CM13" s="425" t="s">
        <v>22</v>
      </c>
      <c r="CN13" s="495">
        <v>42780</v>
      </c>
      <c r="CO13" s="496" t="str">
        <f>CHOOSE(WEEKDAY(CN13,2),"Monday","Tuesday","Wednesday","Thursday","Friday","Saturday","Sunday")</f>
        <v>Tuesday</v>
      </c>
      <c r="CP13" s="432" t="s">
        <v>22</v>
      </c>
      <c r="CQ13" s="456" t="s">
        <v>22</v>
      </c>
      <c r="CR13" s="432" t="s">
        <v>22</v>
      </c>
      <c r="CS13" s="456" t="s">
        <v>22</v>
      </c>
      <c r="CT13" s="425" t="s">
        <v>22</v>
      </c>
      <c r="CU13" s="425" t="s">
        <v>22</v>
      </c>
      <c r="CV13" s="432" t="s">
        <v>22</v>
      </c>
      <c r="CW13" s="456" t="s">
        <v>22</v>
      </c>
      <c r="CX13" s="432" t="s">
        <v>22</v>
      </c>
      <c r="CY13" s="456" t="s">
        <v>22</v>
      </c>
      <c r="CZ13" s="497">
        <v>42783</v>
      </c>
      <c r="DA13" s="500" t="str">
        <f>CHOOSE(WEEKDAY(CZ13,2),"Monday","Tuesday","Wednesday","Thursday","Friday","Saturday","Sunday")</f>
        <v>Friday</v>
      </c>
      <c r="DB13" s="432" t="s">
        <v>22</v>
      </c>
      <c r="DC13" s="456" t="s">
        <v>22</v>
      </c>
      <c r="DD13" s="432" t="s">
        <v>22</v>
      </c>
      <c r="DE13" s="456" t="s">
        <v>22</v>
      </c>
      <c r="DF13" s="425" t="s">
        <v>22</v>
      </c>
      <c r="DG13" s="425" t="s">
        <v>22</v>
      </c>
      <c r="DH13" s="432" t="s">
        <v>22</v>
      </c>
      <c r="DI13" s="456" t="s">
        <v>22</v>
      </c>
      <c r="DJ13" s="432" t="s">
        <v>22</v>
      </c>
      <c r="DK13" s="456" t="s">
        <v>22</v>
      </c>
      <c r="DL13" s="432" t="s">
        <v>22</v>
      </c>
      <c r="DM13" s="456" t="s">
        <v>22</v>
      </c>
      <c r="DN13" s="425" t="s">
        <v>22</v>
      </c>
      <c r="DO13" s="425" t="s">
        <v>22</v>
      </c>
      <c r="DP13" s="432" t="s">
        <v>22</v>
      </c>
      <c r="DQ13" s="456" t="s">
        <v>22</v>
      </c>
      <c r="DR13" s="432" t="s">
        <v>22</v>
      </c>
      <c r="DS13" s="456" t="s">
        <v>22</v>
      </c>
      <c r="DT13" s="497">
        <v>42788</v>
      </c>
      <c r="DU13" s="516" t="str">
        <f>CHOOSE(WEEKDAY(DT13,2),"Monday","Tuesday","Wednesday","Thursday","Friday","Saturday","Sunday")</f>
        <v>Wednesday</v>
      </c>
      <c r="DV13" s="432" t="s">
        <v>22</v>
      </c>
      <c r="DW13" s="456" t="s">
        <v>22</v>
      </c>
      <c r="DX13" s="432" t="s">
        <v>22</v>
      </c>
      <c r="DY13" s="456" t="s">
        <v>22</v>
      </c>
      <c r="DZ13" s="497">
        <v>42789</v>
      </c>
      <c r="EA13" s="513" t="str">
        <f>CHOOSE(WEEKDAY(DZ13,2),"Monday","Tuesday","Wednesday","Thursday","Friday","Saturday","Sunday")</f>
        <v>Thursday</v>
      </c>
      <c r="EB13" s="432" t="s">
        <v>22</v>
      </c>
      <c r="EC13" s="456" t="s">
        <v>22</v>
      </c>
      <c r="ED13" s="425" t="s">
        <v>22</v>
      </c>
      <c r="EE13" s="425" t="s">
        <v>22</v>
      </c>
      <c r="EF13" s="432" t="s">
        <v>22</v>
      </c>
      <c r="EG13" s="456" t="s">
        <v>22</v>
      </c>
      <c r="EH13" s="432" t="s">
        <v>22</v>
      </c>
      <c r="EI13" s="456" t="s">
        <v>22</v>
      </c>
      <c r="EJ13" s="432" t="s">
        <v>22</v>
      </c>
      <c r="EK13" s="456" t="s">
        <v>22</v>
      </c>
      <c r="EL13" s="425" t="s">
        <v>22</v>
      </c>
      <c r="EM13" s="425" t="s">
        <v>22</v>
      </c>
      <c r="EN13" s="432" t="s">
        <v>22</v>
      </c>
      <c r="EO13" s="456" t="s">
        <v>22</v>
      </c>
      <c r="EP13" s="432" t="s">
        <v>22</v>
      </c>
      <c r="EQ13" s="456" t="s">
        <v>22</v>
      </c>
      <c r="ER13" s="495">
        <v>42797</v>
      </c>
      <c r="ES13" s="502" t="str">
        <f>CHOOSE(WEEKDAY(ER13,2),"Monday","Tuesday","Wednesday","Thursday","Friday","Saturday","Sunday")</f>
        <v>Friday</v>
      </c>
      <c r="ET13" s="425" t="s">
        <v>22</v>
      </c>
      <c r="EU13" s="425" t="s">
        <v>22</v>
      </c>
      <c r="EV13" s="432" t="s">
        <v>22</v>
      </c>
      <c r="EW13" s="456" t="s">
        <v>22</v>
      </c>
      <c r="EX13" s="432" t="s">
        <v>22</v>
      </c>
      <c r="EY13" s="456" t="s">
        <v>22</v>
      </c>
      <c r="EZ13" s="495">
        <v>42801</v>
      </c>
      <c r="FA13" s="496" t="str">
        <f>CHOOSE(WEEKDAY(EZ13,2),"Monday","Tuesday","Wednesday","Thursday","Friday","Saturday","Sunday")</f>
        <v>Tuesday</v>
      </c>
      <c r="FB13" s="425" t="s">
        <v>22</v>
      </c>
      <c r="FC13" s="425" t="s">
        <v>22</v>
      </c>
      <c r="FD13" s="432" t="s">
        <v>22</v>
      </c>
      <c r="FE13" s="456" t="s">
        <v>22</v>
      </c>
      <c r="FF13" s="425" t="s">
        <v>22</v>
      </c>
      <c r="FG13" s="456" t="s">
        <v>22</v>
      </c>
      <c r="FH13" s="425" t="s">
        <v>22</v>
      </c>
      <c r="FI13" s="425" t="s">
        <v>22</v>
      </c>
      <c r="FJ13" s="432" t="s">
        <v>22</v>
      </c>
      <c r="FK13" s="456" t="s">
        <v>22</v>
      </c>
      <c r="FL13" s="432" t="s">
        <v>22</v>
      </c>
      <c r="FM13" s="456" t="s">
        <v>22</v>
      </c>
      <c r="FN13" s="432" t="s">
        <v>22</v>
      </c>
      <c r="FO13" s="456" t="s">
        <v>22</v>
      </c>
      <c r="FP13" s="425" t="s">
        <v>22</v>
      </c>
      <c r="FQ13" s="425" t="s">
        <v>22</v>
      </c>
      <c r="FR13" s="432" t="s">
        <v>22</v>
      </c>
      <c r="FS13" s="456" t="s">
        <v>22</v>
      </c>
      <c r="FT13" s="432" t="s">
        <v>22</v>
      </c>
      <c r="FU13" s="456" t="s">
        <v>22</v>
      </c>
      <c r="FV13" s="495">
        <v>42811</v>
      </c>
      <c r="FW13" s="502" t="str">
        <f>CHOOSE(WEEKDAY(FV13,2),"Monday","Tuesday","Wednesday","Thursday","Friday","Saturday","Sunday")</f>
        <v>Friday</v>
      </c>
      <c r="FX13" s="425" t="s">
        <v>22</v>
      </c>
      <c r="FY13" s="425" t="s">
        <v>22</v>
      </c>
      <c r="FZ13" s="432" t="s">
        <v>22</v>
      </c>
      <c r="GA13" s="456" t="s">
        <v>22</v>
      </c>
      <c r="GB13" s="432" t="s">
        <v>22</v>
      </c>
      <c r="GC13" s="456" t="s">
        <v>22</v>
      </c>
      <c r="GD13" s="425" t="s">
        <v>22</v>
      </c>
      <c r="GE13" s="425" t="s">
        <v>22</v>
      </c>
      <c r="GF13" s="283">
        <v>42755</v>
      </c>
      <c r="GG13" s="288" t="str">
        <f t="shared" ref="GG13:GG14" si="49">CHOOSE(WEEKDAY(GF13,2),"Monday","Tuesday","Wednesday","Thursday","Friday","Saturday","Sunday")</f>
        <v>Friday</v>
      </c>
      <c r="GH13" s="425" t="s">
        <v>22</v>
      </c>
      <c r="GI13" s="425" t="s">
        <v>22</v>
      </c>
      <c r="GJ13" s="432" t="s">
        <v>22</v>
      </c>
      <c r="GK13" s="456" t="s">
        <v>22</v>
      </c>
      <c r="GL13" s="432" t="s">
        <v>22</v>
      </c>
      <c r="GM13" s="456" t="s">
        <v>22</v>
      </c>
      <c r="GN13" s="425" t="s">
        <v>22</v>
      </c>
      <c r="GO13" s="425" t="s">
        <v>22</v>
      </c>
      <c r="GP13" s="432" t="s">
        <v>22</v>
      </c>
      <c r="GQ13" s="456" t="s">
        <v>22</v>
      </c>
      <c r="GR13" s="432" t="s">
        <v>22</v>
      </c>
      <c r="GS13" s="456" t="s">
        <v>22</v>
      </c>
      <c r="GT13" s="495">
        <v>42818</v>
      </c>
      <c r="GU13" s="502" t="str">
        <f>CHOOSE(WEEKDAY(GT13,2),"Monday","Tuesday","Wednesday","Thursday","Friday","Saturday","Sunday")</f>
        <v>Friday</v>
      </c>
      <c r="GV13" s="425" t="s">
        <v>22</v>
      </c>
      <c r="GW13" s="425" t="s">
        <v>22</v>
      </c>
      <c r="GX13" s="432" t="s">
        <v>22</v>
      </c>
      <c r="GY13" s="456" t="s">
        <v>22</v>
      </c>
      <c r="GZ13" s="432" t="s">
        <v>22</v>
      </c>
      <c r="HA13" s="456" t="s">
        <v>22</v>
      </c>
      <c r="HB13" s="432" t="s">
        <v>22</v>
      </c>
      <c r="HC13" s="456" t="s">
        <v>22</v>
      </c>
      <c r="HD13" s="432" t="s">
        <v>22</v>
      </c>
      <c r="HE13" s="456" t="s">
        <v>22</v>
      </c>
      <c r="HF13" s="432" t="s">
        <v>22</v>
      </c>
      <c r="HG13" s="456" t="s">
        <v>22</v>
      </c>
      <c r="HH13" s="425" t="s">
        <v>22</v>
      </c>
      <c r="HI13" s="425" t="s">
        <v>22</v>
      </c>
      <c r="HJ13" s="432" t="s">
        <v>22</v>
      </c>
      <c r="HK13" s="456" t="s">
        <v>22</v>
      </c>
      <c r="HL13" s="432" t="s">
        <v>22</v>
      </c>
      <c r="HM13" s="456" t="s">
        <v>22</v>
      </c>
      <c r="HN13" s="518">
        <v>42825</v>
      </c>
      <c r="HO13" s="503" t="str">
        <f>CHOOSE(WEEKDAY(HN13,2),"Monday","Tuesday","Wednesday","Thursday","Friday","Saturday","Sunday")</f>
        <v>Friday</v>
      </c>
      <c r="HP13" s="432" t="s">
        <v>22</v>
      </c>
      <c r="HQ13" s="456" t="s">
        <v>22</v>
      </c>
      <c r="HR13" s="432" t="s">
        <v>22</v>
      </c>
      <c r="HS13" s="456" t="s">
        <v>22</v>
      </c>
      <c r="HT13" s="432" t="s">
        <v>22</v>
      </c>
      <c r="HU13" s="456" t="s">
        <v>22</v>
      </c>
      <c r="HV13" s="432" t="s">
        <v>22</v>
      </c>
      <c r="HW13" s="456" t="s">
        <v>22</v>
      </c>
      <c r="HX13" s="425" t="s">
        <v>22</v>
      </c>
      <c r="HY13" s="425" t="s">
        <v>22</v>
      </c>
      <c r="HZ13" s="432" t="s">
        <v>22</v>
      </c>
      <c r="IA13" s="456" t="s">
        <v>22</v>
      </c>
      <c r="IB13" s="432" t="s">
        <v>22</v>
      </c>
      <c r="IC13" s="456" t="s">
        <v>22</v>
      </c>
      <c r="ID13" s="432" t="s">
        <v>22</v>
      </c>
      <c r="IE13" s="456" t="s">
        <v>22</v>
      </c>
      <c r="IF13" s="425" t="s">
        <v>22</v>
      </c>
      <c r="IG13" s="425" t="s">
        <v>22</v>
      </c>
      <c r="IH13" s="432" t="s">
        <v>22</v>
      </c>
      <c r="II13" s="456" t="s">
        <v>22</v>
      </c>
      <c r="IJ13" s="432" t="s">
        <v>22</v>
      </c>
      <c r="IK13" s="456" t="s">
        <v>22</v>
      </c>
      <c r="IL13" s="495">
        <v>42837</v>
      </c>
      <c r="IM13" s="507" t="str">
        <f>CHOOSE(WEEKDAY(IL13,2),"Monday","Tuesday","Wednesday","Thursday","Friday","Saturday","Sunday")</f>
        <v>Wednesday</v>
      </c>
      <c r="IN13" s="432" t="s">
        <v>22</v>
      </c>
      <c r="IO13" s="456" t="s">
        <v>22</v>
      </c>
      <c r="IP13" s="425" t="s">
        <v>22</v>
      </c>
      <c r="IQ13" s="425" t="s">
        <v>22</v>
      </c>
      <c r="IR13" s="432" t="s">
        <v>22</v>
      </c>
      <c r="IS13" s="456" t="s">
        <v>22</v>
      </c>
      <c r="IT13" s="432" t="s">
        <v>22</v>
      </c>
      <c r="IU13" s="456" t="s">
        <v>22</v>
      </c>
      <c r="IV13" s="432" t="s">
        <v>22</v>
      </c>
      <c r="IW13" s="456" t="s">
        <v>22</v>
      </c>
      <c r="IX13" s="432" t="s">
        <v>22</v>
      </c>
      <c r="IY13" s="456" t="s">
        <v>22</v>
      </c>
      <c r="IZ13" s="432" t="s">
        <v>22</v>
      </c>
      <c r="JA13" s="456" t="s">
        <v>22</v>
      </c>
      <c r="JB13" s="432" t="s">
        <v>22</v>
      </c>
      <c r="JC13" s="456" t="s">
        <v>22</v>
      </c>
      <c r="JD13" s="432" t="s">
        <v>22</v>
      </c>
      <c r="JE13" s="456" t="s">
        <v>22</v>
      </c>
      <c r="JF13" s="425" t="s">
        <v>22</v>
      </c>
      <c r="JG13" s="425" t="s">
        <v>22</v>
      </c>
      <c r="JH13" s="432" t="s">
        <v>22</v>
      </c>
      <c r="JI13" s="456" t="s">
        <v>22</v>
      </c>
      <c r="JJ13" s="432" t="s">
        <v>22</v>
      </c>
      <c r="JK13" s="456" t="s">
        <v>22</v>
      </c>
      <c r="JL13" s="432" t="s">
        <v>22</v>
      </c>
      <c r="JM13" s="456" t="s">
        <v>22</v>
      </c>
      <c r="JN13" s="432" t="s">
        <v>22</v>
      </c>
      <c r="JO13" s="456" t="s">
        <v>22</v>
      </c>
      <c r="JP13" s="425" t="s">
        <v>22</v>
      </c>
      <c r="JQ13" s="425" t="s">
        <v>22</v>
      </c>
      <c r="JR13" s="432" t="s">
        <v>22</v>
      </c>
      <c r="JS13" s="456" t="s">
        <v>22</v>
      </c>
      <c r="JT13" s="432" t="s">
        <v>22</v>
      </c>
      <c r="JU13" s="456" t="s">
        <v>22</v>
      </c>
      <c r="JV13" s="432" t="s">
        <v>22</v>
      </c>
      <c r="JW13" s="456" t="s">
        <v>22</v>
      </c>
      <c r="JX13" s="432" t="s">
        <v>22</v>
      </c>
      <c r="JY13" s="456" t="s">
        <v>22</v>
      </c>
      <c r="JZ13" s="432" t="s">
        <v>22</v>
      </c>
      <c r="KA13" s="456" t="s">
        <v>22</v>
      </c>
      <c r="KB13" s="432" t="s">
        <v>22</v>
      </c>
      <c r="KC13" s="456" t="s">
        <v>22</v>
      </c>
      <c r="KD13" s="425" t="s">
        <v>22</v>
      </c>
      <c r="KE13" s="425" t="s">
        <v>22</v>
      </c>
      <c r="KF13" s="432" t="s">
        <v>22</v>
      </c>
      <c r="KG13" s="456" t="s">
        <v>22</v>
      </c>
      <c r="KH13" s="425" t="s">
        <v>22</v>
      </c>
      <c r="KI13" s="425" t="s">
        <v>22</v>
      </c>
      <c r="KJ13" s="432" t="s">
        <v>22</v>
      </c>
      <c r="KK13" s="456" t="s">
        <v>22</v>
      </c>
      <c r="KL13" s="432" t="s">
        <v>22</v>
      </c>
      <c r="KM13" s="456" t="s">
        <v>22</v>
      </c>
      <c r="KN13" s="432" t="s">
        <v>22</v>
      </c>
      <c r="KO13" s="456" t="s">
        <v>22</v>
      </c>
      <c r="KP13" s="432" t="s">
        <v>22</v>
      </c>
      <c r="KQ13" s="456" t="s">
        <v>22</v>
      </c>
      <c r="KR13" s="432" t="s">
        <v>22</v>
      </c>
      <c r="KS13" s="456" t="s">
        <v>22</v>
      </c>
      <c r="KT13" s="432" t="s">
        <v>22</v>
      </c>
      <c r="KU13" s="456" t="s">
        <v>22</v>
      </c>
      <c r="KV13" s="432" t="s">
        <v>22</v>
      </c>
      <c r="KW13" s="456" t="s">
        <v>22</v>
      </c>
      <c r="KX13" s="432" t="s">
        <v>22</v>
      </c>
      <c r="KY13" s="456" t="s">
        <v>22</v>
      </c>
      <c r="KZ13" s="432" t="s">
        <v>22</v>
      </c>
      <c r="LA13" s="456" t="s">
        <v>22</v>
      </c>
      <c r="LB13" s="432" t="s">
        <v>22</v>
      </c>
      <c r="LC13" s="456" t="s">
        <v>22</v>
      </c>
      <c r="LD13" s="425" t="s">
        <v>22</v>
      </c>
      <c r="LE13" s="425" t="s">
        <v>22</v>
      </c>
      <c r="LF13" s="432" t="s">
        <v>22</v>
      </c>
      <c r="LG13" s="456" t="s">
        <v>22</v>
      </c>
      <c r="LH13" s="432" t="s">
        <v>22</v>
      </c>
      <c r="LI13" s="456" t="s">
        <v>22</v>
      </c>
      <c r="LJ13" s="425" t="s">
        <v>22</v>
      </c>
      <c r="LK13" s="425" t="s">
        <v>22</v>
      </c>
      <c r="LL13" s="495">
        <v>42863</v>
      </c>
      <c r="LM13" s="501" t="str">
        <f>CHOOSE(WEEKDAY(LL13,2),"Monday","Tuesday","Wednesday","Thursday","Friday","Saturday","Sunday")</f>
        <v>Monday</v>
      </c>
      <c r="LN13" s="425" t="s">
        <v>22</v>
      </c>
      <c r="LO13" s="425" t="s">
        <v>22</v>
      </c>
      <c r="LP13" s="432" t="s">
        <v>22</v>
      </c>
      <c r="LQ13" s="456" t="s">
        <v>22</v>
      </c>
      <c r="LR13" s="432" t="s">
        <v>22</v>
      </c>
      <c r="LS13" s="456" t="s">
        <v>22</v>
      </c>
      <c r="LT13" s="432" t="s">
        <v>22</v>
      </c>
      <c r="LU13" s="456" t="s">
        <v>22</v>
      </c>
      <c r="LV13" s="425" t="s">
        <v>22</v>
      </c>
      <c r="LW13" s="425" t="s">
        <v>22</v>
      </c>
      <c r="LX13" s="432" t="s">
        <v>22</v>
      </c>
      <c r="LY13" s="456" t="s">
        <v>22</v>
      </c>
      <c r="LZ13" s="425" t="s">
        <v>22</v>
      </c>
      <c r="MA13" s="425" t="s">
        <v>22</v>
      </c>
      <c r="MB13" s="432" t="s">
        <v>22</v>
      </c>
      <c r="MC13" s="456" t="s">
        <v>22</v>
      </c>
      <c r="MD13" s="432" t="s">
        <v>22</v>
      </c>
      <c r="ME13" s="456" t="s">
        <v>22</v>
      </c>
      <c r="MF13" s="432" t="s">
        <v>22</v>
      </c>
      <c r="MG13" s="456" t="s">
        <v>22</v>
      </c>
      <c r="MH13" s="432" t="s">
        <v>22</v>
      </c>
      <c r="MI13" s="456" t="s">
        <v>22</v>
      </c>
      <c r="MJ13" s="432" t="s">
        <v>22</v>
      </c>
      <c r="MK13" s="456" t="s">
        <v>22</v>
      </c>
      <c r="ML13" s="425" t="s">
        <v>22</v>
      </c>
      <c r="MM13" s="425" t="s">
        <v>22</v>
      </c>
      <c r="MN13" s="432" t="s">
        <v>22</v>
      </c>
      <c r="MO13" s="456" t="s">
        <v>22</v>
      </c>
      <c r="MP13" s="432" t="s">
        <v>22</v>
      </c>
      <c r="MQ13" s="456" t="s">
        <v>22</v>
      </c>
      <c r="MR13" s="432" t="s">
        <v>22</v>
      </c>
      <c r="MS13" s="456" t="s">
        <v>22</v>
      </c>
      <c r="MT13" s="432" t="s">
        <v>22</v>
      </c>
      <c r="MU13" s="456" t="s">
        <v>22</v>
      </c>
      <c r="MV13" s="425" t="s">
        <v>22</v>
      </c>
      <c r="MW13" s="425" t="s">
        <v>22</v>
      </c>
      <c r="MX13" s="495">
        <v>42881</v>
      </c>
      <c r="MY13" s="502" t="str">
        <f>CHOOSE(WEEKDAY(MX13,2),"Monday","Tuesday","Wednesday","Thursday","Friday","Saturday","Sunday")</f>
        <v>Friday</v>
      </c>
      <c r="MZ13" s="432" t="s">
        <v>22</v>
      </c>
      <c r="NA13" s="456" t="s">
        <v>22</v>
      </c>
      <c r="NB13" s="432" t="s">
        <v>22</v>
      </c>
      <c r="NC13" s="456" t="s">
        <v>22</v>
      </c>
      <c r="ND13" s="425" t="s">
        <v>22</v>
      </c>
      <c r="NE13" s="425" t="s">
        <v>22</v>
      </c>
      <c r="NF13" s="495">
        <v>42937</v>
      </c>
      <c r="NG13" s="502" t="str">
        <f>CHOOSE(WEEKDAY(NF13,2),"Monday","Tuesday","Wednesday","Thursday","Friday","Saturday","Sunday")</f>
        <v>Friday</v>
      </c>
      <c r="NH13" s="432" t="s">
        <v>22</v>
      </c>
      <c r="NI13" s="456" t="s">
        <v>22</v>
      </c>
      <c r="NJ13" s="432" t="s">
        <v>22</v>
      </c>
      <c r="NK13" s="456" t="s">
        <v>22</v>
      </c>
      <c r="NL13" s="425" t="s">
        <v>22</v>
      </c>
      <c r="NM13" s="425" t="s">
        <v>22</v>
      </c>
      <c r="NN13" s="432" t="s">
        <v>22</v>
      </c>
      <c r="NO13" s="456" t="s">
        <v>22</v>
      </c>
      <c r="NP13" s="432" t="s">
        <v>22</v>
      </c>
      <c r="NQ13" s="456" t="s">
        <v>22</v>
      </c>
      <c r="NR13" s="497">
        <v>43017</v>
      </c>
      <c r="NS13" s="501" t="str">
        <f>CHOOSE(WEEKDAY(NR13,2),"Monday","Tuesday","Wednesday","Thursday","Friday","Saturday","Sunday")</f>
        <v>Monday</v>
      </c>
      <c r="NT13" s="432" t="s">
        <v>22</v>
      </c>
      <c r="NU13" s="456" t="s">
        <v>22</v>
      </c>
      <c r="NV13" s="432" t="s">
        <v>22</v>
      </c>
      <c r="NW13" s="456" t="s">
        <v>22</v>
      </c>
      <c r="NX13" s="432" t="s">
        <v>22</v>
      </c>
      <c r="NY13" s="456" t="s">
        <v>22</v>
      </c>
      <c r="NZ13" s="432" t="s">
        <v>22</v>
      </c>
      <c r="OA13" s="425" t="s">
        <v>22</v>
      </c>
      <c r="OB13" s="432" t="s">
        <v>22</v>
      </c>
      <c r="OC13" s="456" t="s">
        <v>22</v>
      </c>
      <c r="OD13" s="495">
        <v>42888</v>
      </c>
      <c r="OE13" s="502" t="str">
        <f>CHOOSE(WEEKDAY(OD13,2),"Monday","Tuesday","Wednesday","Thursday","Friday","Saturday","Sunday")</f>
        <v>Friday</v>
      </c>
      <c r="OF13" s="425" t="s">
        <v>22</v>
      </c>
      <c r="OG13" s="425" t="s">
        <v>22</v>
      </c>
      <c r="OH13" s="432" t="s">
        <v>22</v>
      </c>
      <c r="OI13" s="456" t="s">
        <v>22</v>
      </c>
      <c r="OJ13" s="432" t="s">
        <v>22</v>
      </c>
      <c r="OK13" s="456" t="s">
        <v>22</v>
      </c>
      <c r="OL13" s="432" t="s">
        <v>22</v>
      </c>
      <c r="OM13" s="456" t="s">
        <v>22</v>
      </c>
      <c r="ON13" s="432" t="s">
        <v>22</v>
      </c>
      <c r="OO13" s="456" t="s">
        <v>22</v>
      </c>
      <c r="OP13" s="425" t="s">
        <v>22</v>
      </c>
      <c r="OQ13" s="425" t="s">
        <v>22</v>
      </c>
      <c r="OR13" s="432" t="s">
        <v>22</v>
      </c>
      <c r="OS13" s="456" t="s">
        <v>22</v>
      </c>
      <c r="OT13" s="432" t="s">
        <v>22</v>
      </c>
      <c r="OU13" s="456" t="s">
        <v>22</v>
      </c>
      <c r="OV13" s="425" t="s">
        <v>22</v>
      </c>
      <c r="OW13" s="425" t="s">
        <v>22</v>
      </c>
      <c r="OX13" s="432" t="s">
        <v>22</v>
      </c>
      <c r="OY13" s="456" t="s">
        <v>22</v>
      </c>
      <c r="OZ13" s="432" t="s">
        <v>22</v>
      </c>
      <c r="PA13" s="456" t="s">
        <v>22</v>
      </c>
      <c r="PB13" s="432" t="s">
        <v>22</v>
      </c>
      <c r="PC13" s="456" t="s">
        <v>22</v>
      </c>
      <c r="PD13" s="283">
        <v>42902</v>
      </c>
      <c r="PE13" s="288" t="str">
        <f t="shared" ref="PE13:PE16" si="50">CHOOSE(WEEKDAY(PD13,2),"Monday","Tuesday","Wednesday","Thursday","Friday","Saturday","Sunday")</f>
        <v>Friday</v>
      </c>
      <c r="PF13" s="432" t="s">
        <v>22</v>
      </c>
      <c r="PG13" s="456" t="s">
        <v>22</v>
      </c>
      <c r="PH13" s="497">
        <v>42908</v>
      </c>
      <c r="PI13" s="513" t="str">
        <f>CHOOSE(WEEKDAY(PH13,2),"Monday","Tuesday","Wednesday","Thursday","Friday","Saturday","Sunday")</f>
        <v>Thursday</v>
      </c>
      <c r="PJ13" s="432" t="s">
        <v>22</v>
      </c>
      <c r="PK13" s="456" t="s">
        <v>22</v>
      </c>
      <c r="PL13" s="425" t="s">
        <v>22</v>
      </c>
      <c r="PM13" s="425" t="s">
        <v>22</v>
      </c>
      <c r="PN13" s="432" t="s">
        <v>22</v>
      </c>
      <c r="PO13" s="456" t="s">
        <v>22</v>
      </c>
      <c r="PP13" s="432" t="s">
        <v>22</v>
      </c>
      <c r="PQ13" s="456" t="s">
        <v>22</v>
      </c>
      <c r="PR13" s="425" t="s">
        <v>22</v>
      </c>
      <c r="PS13" s="425" t="s">
        <v>22</v>
      </c>
      <c r="PT13" s="283">
        <v>42909</v>
      </c>
      <c r="PU13" s="288" t="str">
        <f t="shared" ref="PU13:PU16" si="51">CHOOSE(WEEKDAY(PT13,2),"Monday","Tuesday","Wednesday","Thursday","Friday","Saturday","Sunday")</f>
        <v>Friday</v>
      </c>
      <c r="PV13" s="425" t="s">
        <v>22</v>
      </c>
      <c r="PW13" s="425" t="s">
        <v>22</v>
      </c>
      <c r="PX13" s="432" t="s">
        <v>22</v>
      </c>
      <c r="PY13" s="456" t="s">
        <v>22</v>
      </c>
      <c r="PZ13" s="432" t="s">
        <v>22</v>
      </c>
      <c r="QA13" s="456" t="s">
        <v>22</v>
      </c>
      <c r="QB13" s="432" t="s">
        <v>22</v>
      </c>
      <c r="QC13" s="456" t="s">
        <v>22</v>
      </c>
      <c r="QD13" s="432" t="s">
        <v>22</v>
      </c>
      <c r="QE13" s="456" t="s">
        <v>22</v>
      </c>
      <c r="QF13" s="432" t="s">
        <v>22</v>
      </c>
      <c r="QG13" s="456" t="s">
        <v>22</v>
      </c>
      <c r="QH13" s="425" t="s">
        <v>22</v>
      </c>
      <c r="QI13" s="425" t="s">
        <v>22</v>
      </c>
      <c r="QJ13" s="432" t="s">
        <v>22</v>
      </c>
      <c r="QK13" s="456" t="s">
        <v>22</v>
      </c>
      <c r="QL13" s="432" t="s">
        <v>22</v>
      </c>
      <c r="QM13" s="456" t="s">
        <v>22</v>
      </c>
      <c r="QN13" s="425" t="s">
        <v>22</v>
      </c>
      <c r="QO13" s="425" t="s">
        <v>22</v>
      </c>
      <c r="QP13" s="432" t="s">
        <v>22</v>
      </c>
      <c r="QQ13" s="456" t="s">
        <v>22</v>
      </c>
      <c r="QR13" s="432" t="s">
        <v>22</v>
      </c>
      <c r="QS13" s="456" t="s">
        <v>22</v>
      </c>
      <c r="QT13" s="432" t="s">
        <v>22</v>
      </c>
      <c r="QU13" s="456" t="s">
        <v>22</v>
      </c>
      <c r="QV13" s="497">
        <v>42832</v>
      </c>
      <c r="QW13" s="502" t="str">
        <f>CHOOSE(WEEKDAY(QV13,2),"Monday","Tuesday","Wednesday","Thursday","Friday","Saturday","Sunday")</f>
        <v>Friday</v>
      </c>
      <c r="QX13" s="432" t="s">
        <v>22</v>
      </c>
      <c r="QY13" s="456" t="s">
        <v>22</v>
      </c>
      <c r="QZ13" s="432" t="s">
        <v>22</v>
      </c>
      <c r="RA13" s="456" t="s">
        <v>22</v>
      </c>
      <c r="RB13" s="432" t="s">
        <v>22</v>
      </c>
      <c r="RC13" s="456" t="s">
        <v>22</v>
      </c>
      <c r="RD13" s="432" t="s">
        <v>22</v>
      </c>
      <c r="RE13" s="456" t="s">
        <v>22</v>
      </c>
      <c r="RF13" s="432" t="s">
        <v>22</v>
      </c>
      <c r="RG13" s="456" t="s">
        <v>22</v>
      </c>
      <c r="RH13" s="432" t="s">
        <v>22</v>
      </c>
      <c r="RI13" s="456" t="s">
        <v>22</v>
      </c>
      <c r="RJ13" s="495">
        <v>42920</v>
      </c>
      <c r="RK13" s="496" t="str">
        <f>CHOOSE(WEEKDAY(RJ13,2),"Monday","Tuesday","Wednesday","Thursday","Friday","Saturday","Sunday")</f>
        <v>Tuesday</v>
      </c>
      <c r="RL13" s="497">
        <v>42921</v>
      </c>
      <c r="RM13" s="516" t="str">
        <f>CHOOSE(WEEKDAY(RL13,2),"Monday","Tuesday","Wednesday","Thursday","Friday","Saturday","Sunday")</f>
        <v>Wednesday</v>
      </c>
      <c r="RN13" s="432" t="s">
        <v>22</v>
      </c>
      <c r="RO13" s="456" t="s">
        <v>22</v>
      </c>
      <c r="RP13" s="425" t="s">
        <v>22</v>
      </c>
      <c r="RQ13" s="425" t="s">
        <v>22</v>
      </c>
      <c r="RR13" s="432" t="s">
        <v>22</v>
      </c>
      <c r="RS13" s="456" t="s">
        <v>22</v>
      </c>
      <c r="RT13" s="495">
        <v>42923</v>
      </c>
      <c r="RU13" s="502" t="str">
        <f>CHOOSE(WEEKDAY(RT13,2),"Monday","Tuesday","Wednesday","Thursday","Friday","Saturday","Sunday")</f>
        <v>Friday</v>
      </c>
      <c r="RV13" s="425" t="s">
        <v>22</v>
      </c>
      <c r="RW13" s="425" t="s">
        <v>22</v>
      </c>
      <c r="RX13" s="432" t="s">
        <v>22</v>
      </c>
      <c r="RY13" s="456" t="s">
        <v>22</v>
      </c>
      <c r="RZ13" s="432" t="s">
        <v>22</v>
      </c>
      <c r="SA13" s="425" t="s">
        <v>22</v>
      </c>
      <c r="SB13" s="432" t="s">
        <v>22</v>
      </c>
      <c r="SC13" s="456" t="s">
        <v>22</v>
      </c>
      <c r="SD13" s="432" t="s">
        <v>22</v>
      </c>
      <c r="SE13" s="456" t="s">
        <v>22</v>
      </c>
      <c r="SF13" s="432" t="s">
        <v>22</v>
      </c>
      <c r="SG13" s="456" t="s">
        <v>22</v>
      </c>
      <c r="SH13" s="432" t="s">
        <v>22</v>
      </c>
      <c r="SI13" s="456" t="s">
        <v>22</v>
      </c>
      <c r="SJ13" s="425" t="s">
        <v>22</v>
      </c>
      <c r="SK13" s="425" t="s">
        <v>22</v>
      </c>
      <c r="SL13" s="432" t="s">
        <v>22</v>
      </c>
      <c r="SM13" s="456" t="s">
        <v>22</v>
      </c>
      <c r="SN13" s="432" t="s">
        <v>22</v>
      </c>
      <c r="SO13" s="456" t="s">
        <v>22</v>
      </c>
      <c r="SP13" s="425" t="s">
        <v>22</v>
      </c>
      <c r="SQ13" s="425" t="s">
        <v>22</v>
      </c>
      <c r="SR13" s="432" t="s">
        <v>22</v>
      </c>
      <c r="SS13" s="456" t="s">
        <v>22</v>
      </c>
      <c r="ST13" s="425" t="s">
        <v>22</v>
      </c>
      <c r="SU13" s="425" t="s">
        <v>22</v>
      </c>
      <c r="SV13" s="432" t="s">
        <v>22</v>
      </c>
      <c r="SW13" s="456" t="s">
        <v>22</v>
      </c>
      <c r="SX13" s="432" t="s">
        <v>22</v>
      </c>
      <c r="SY13" s="456" t="s">
        <v>22</v>
      </c>
      <c r="SZ13" s="432" t="s">
        <v>22</v>
      </c>
      <c r="TA13" s="456" t="s">
        <v>22</v>
      </c>
      <c r="TB13" s="432" t="s">
        <v>22</v>
      </c>
      <c r="TC13" s="456" t="s">
        <v>22</v>
      </c>
      <c r="TD13" s="425" t="s">
        <v>22</v>
      </c>
      <c r="TE13" s="425" t="s">
        <v>22</v>
      </c>
      <c r="TF13" s="432" t="s">
        <v>22</v>
      </c>
      <c r="TG13" s="456" t="s">
        <v>22</v>
      </c>
      <c r="TH13" s="432" t="s">
        <v>22</v>
      </c>
      <c r="TI13" s="456" t="s">
        <v>22</v>
      </c>
      <c r="TJ13" s="425" t="s">
        <v>22</v>
      </c>
      <c r="TK13" s="425" t="s">
        <v>22</v>
      </c>
      <c r="TL13" s="432" t="s">
        <v>22</v>
      </c>
      <c r="TM13" s="456" t="s">
        <v>22</v>
      </c>
      <c r="TN13" s="432" t="s">
        <v>22</v>
      </c>
      <c r="TO13" s="456" t="s">
        <v>22</v>
      </c>
      <c r="TP13" s="432" t="s">
        <v>22</v>
      </c>
      <c r="TQ13" s="456" t="s">
        <v>22</v>
      </c>
      <c r="TR13" s="432" t="s">
        <v>22</v>
      </c>
      <c r="TS13" s="456" t="s">
        <v>22</v>
      </c>
      <c r="TT13" s="432" t="s">
        <v>22</v>
      </c>
      <c r="TU13" s="456" t="s">
        <v>22</v>
      </c>
      <c r="TV13" s="432" t="s">
        <v>22</v>
      </c>
      <c r="TW13" s="456" t="s">
        <v>22</v>
      </c>
      <c r="TX13" s="432" t="s">
        <v>22</v>
      </c>
      <c r="TY13" s="456" t="s">
        <v>22</v>
      </c>
      <c r="TZ13" s="497">
        <v>42951</v>
      </c>
      <c r="UA13" s="500" t="str">
        <f>CHOOSE(WEEKDAY(TZ13,2),"Monday","Tuesday","Wednesday","Thursday","Friday","Saturday","Sunday")</f>
        <v>Friday</v>
      </c>
      <c r="UB13" s="432" t="s">
        <v>22</v>
      </c>
      <c r="UC13" s="456" t="s">
        <v>22</v>
      </c>
      <c r="UD13" s="432" t="s">
        <v>22</v>
      </c>
      <c r="UE13" s="456" t="s">
        <v>22</v>
      </c>
      <c r="UF13" s="432" t="s">
        <v>22</v>
      </c>
      <c r="UG13" s="456" t="s">
        <v>22</v>
      </c>
      <c r="UH13" s="425" t="s">
        <v>22</v>
      </c>
      <c r="UI13" s="425" t="s">
        <v>22</v>
      </c>
      <c r="UJ13" s="432" t="s">
        <v>22</v>
      </c>
      <c r="UK13" s="456" t="s">
        <v>22</v>
      </c>
      <c r="UL13" s="432" t="s">
        <v>22</v>
      </c>
      <c r="UM13" s="456" t="s">
        <v>22</v>
      </c>
      <c r="UN13" s="495">
        <v>42958</v>
      </c>
      <c r="UO13" s="502" t="str">
        <f>CHOOSE(WEEKDAY(UN13,2),"Monday","Tuesday","Wednesday","Thursday","Friday","Saturday","Sunday")</f>
        <v>Friday</v>
      </c>
      <c r="UP13" s="432" t="s">
        <v>22</v>
      </c>
      <c r="UQ13" s="456" t="s">
        <v>22</v>
      </c>
      <c r="UR13" s="425" t="s">
        <v>22</v>
      </c>
      <c r="US13" s="425" t="s">
        <v>22</v>
      </c>
      <c r="UT13" s="432" t="s">
        <v>22</v>
      </c>
      <c r="UU13" s="456" t="s">
        <v>22</v>
      </c>
      <c r="UV13" s="432" t="s">
        <v>22</v>
      </c>
      <c r="UW13" s="456" t="s">
        <v>22</v>
      </c>
      <c r="UX13" s="432" t="s">
        <v>22</v>
      </c>
      <c r="UY13" s="456" t="s">
        <v>22</v>
      </c>
      <c r="UZ13" s="425" t="s">
        <v>22</v>
      </c>
      <c r="VA13" s="425" t="s">
        <v>22</v>
      </c>
      <c r="VB13" s="432" t="s">
        <v>22</v>
      </c>
      <c r="VC13" s="456" t="s">
        <v>22</v>
      </c>
      <c r="VD13" s="432" t="s">
        <v>22</v>
      </c>
      <c r="VE13" s="456" t="s">
        <v>22</v>
      </c>
      <c r="VF13" s="432" t="s">
        <v>22</v>
      </c>
      <c r="VG13" s="456" t="s">
        <v>22</v>
      </c>
      <c r="VH13" s="425" t="s">
        <v>22</v>
      </c>
      <c r="VI13" s="425" t="s">
        <v>22</v>
      </c>
      <c r="VJ13" s="432" t="s">
        <v>22</v>
      </c>
      <c r="VK13" s="456" t="s">
        <v>22</v>
      </c>
      <c r="VL13" s="432" t="s">
        <v>22</v>
      </c>
      <c r="VM13" s="456" t="s">
        <v>22</v>
      </c>
      <c r="VN13" s="497">
        <v>42969</v>
      </c>
      <c r="VO13" s="517" t="str">
        <f>CHOOSE(WEEKDAY(VN13,2),"Monday","Tuesday","Wednesday","Thursday","Friday","Saturday","Sunday")</f>
        <v>Tuesday</v>
      </c>
      <c r="VP13" s="432" t="s">
        <v>22</v>
      </c>
      <c r="VQ13" s="456" t="s">
        <v>22</v>
      </c>
      <c r="VR13" s="432" t="s">
        <v>22</v>
      </c>
      <c r="VS13" s="456" t="s">
        <v>22</v>
      </c>
      <c r="VT13" s="432" t="s">
        <v>22</v>
      </c>
      <c r="VU13" s="456" t="s">
        <v>22</v>
      </c>
      <c r="VV13" s="432" t="s">
        <v>22</v>
      </c>
      <c r="VW13" s="456" t="s">
        <v>22</v>
      </c>
      <c r="VX13" s="432" t="s">
        <v>22</v>
      </c>
      <c r="VY13" s="456" t="s">
        <v>22</v>
      </c>
      <c r="VZ13" s="425" t="s">
        <v>22</v>
      </c>
      <c r="WA13" s="425" t="s">
        <v>22</v>
      </c>
      <c r="WB13" s="432" t="s">
        <v>22</v>
      </c>
      <c r="WC13" s="456" t="s">
        <v>22</v>
      </c>
      <c r="WD13" s="432" t="s">
        <v>22</v>
      </c>
      <c r="WE13" s="456" t="s">
        <v>22</v>
      </c>
      <c r="WF13" s="495">
        <v>42979</v>
      </c>
      <c r="WG13" s="502" t="str">
        <f>CHOOSE(WEEKDAY(WF13,2),"Monday","Tuesday","Wednesday","Thursday","Friday","Saturday","Sunday")</f>
        <v>Friday</v>
      </c>
      <c r="WH13" s="432" t="s">
        <v>22</v>
      </c>
      <c r="WI13" s="456" t="s">
        <v>22</v>
      </c>
      <c r="WJ13" s="432" t="s">
        <v>22</v>
      </c>
      <c r="WK13" s="456" t="s">
        <v>22</v>
      </c>
      <c r="WL13" s="425" t="s">
        <v>22</v>
      </c>
      <c r="WM13" s="425" t="s">
        <v>22</v>
      </c>
      <c r="WN13" s="432" t="s">
        <v>22</v>
      </c>
      <c r="WO13" s="456" t="s">
        <v>22</v>
      </c>
      <c r="WP13" s="425" t="s">
        <v>22</v>
      </c>
      <c r="WQ13" s="425" t="s">
        <v>22</v>
      </c>
      <c r="WR13" s="432" t="s">
        <v>22</v>
      </c>
      <c r="WS13" s="425" t="s">
        <v>22</v>
      </c>
      <c r="WT13" s="432" t="s">
        <v>22</v>
      </c>
      <c r="WU13" s="456" t="s">
        <v>22</v>
      </c>
      <c r="WV13" s="432" t="s">
        <v>22</v>
      </c>
      <c r="WW13" s="456" t="s">
        <v>22</v>
      </c>
      <c r="WX13" s="497">
        <v>42987</v>
      </c>
      <c r="WY13" s="503" t="str">
        <f>CHOOSE(WEEKDAY(WX13,2),"Monday","Tuesday","Wednesday","Thursday","Friday","Saturday","Sunday")</f>
        <v>Saturday</v>
      </c>
      <c r="WZ13" s="432" t="s">
        <v>22</v>
      </c>
      <c r="XA13" s="456" t="s">
        <v>22</v>
      </c>
      <c r="XB13" s="432" t="s">
        <v>22</v>
      </c>
      <c r="XC13" s="456" t="s">
        <v>22</v>
      </c>
      <c r="XD13" s="432" t="s">
        <v>22</v>
      </c>
      <c r="XE13" s="456" t="s">
        <v>22</v>
      </c>
      <c r="XF13" s="432" t="s">
        <v>22</v>
      </c>
      <c r="XG13" s="456" t="s">
        <v>22</v>
      </c>
      <c r="XH13" s="425" t="s">
        <v>22</v>
      </c>
      <c r="XI13" s="425" t="s">
        <v>22</v>
      </c>
      <c r="XJ13" s="495">
        <v>42989</v>
      </c>
      <c r="XK13" s="501" t="str">
        <f>CHOOSE(WEEKDAY(XJ13,2),"Monday","Tuesday","Wednesday","Thursday","Friday","Saturday","Sunday")</f>
        <v>Monday</v>
      </c>
      <c r="XL13" s="425" t="s">
        <v>22</v>
      </c>
      <c r="XM13" s="425" t="s">
        <v>22</v>
      </c>
      <c r="XN13" s="432" t="s">
        <v>22</v>
      </c>
      <c r="XO13" s="456" t="s">
        <v>22</v>
      </c>
      <c r="XP13" s="432" t="s">
        <v>22</v>
      </c>
      <c r="XQ13" s="456" t="s">
        <v>22</v>
      </c>
      <c r="XR13" s="425" t="s">
        <v>22</v>
      </c>
      <c r="XS13" s="425" t="s">
        <v>22</v>
      </c>
      <c r="XT13" s="432" t="s">
        <v>22</v>
      </c>
      <c r="XU13" s="456" t="s">
        <v>22</v>
      </c>
      <c r="XV13" s="495">
        <v>42993</v>
      </c>
      <c r="XW13" s="502" t="str">
        <f>CHOOSE(WEEKDAY(XV13,2),"Monday","Tuesday","Wednesday","Thursday","Friday","Saturday","Sunday")</f>
        <v>Friday</v>
      </c>
      <c r="XX13" s="432" t="s">
        <v>22</v>
      </c>
      <c r="XY13" s="456" t="s">
        <v>22</v>
      </c>
      <c r="XZ13" s="425" t="s">
        <v>22</v>
      </c>
      <c r="YA13" s="425" t="s">
        <v>22</v>
      </c>
      <c r="YB13" s="432" t="s">
        <v>22</v>
      </c>
      <c r="YC13" s="456" t="s">
        <v>22</v>
      </c>
      <c r="YD13" s="432" t="s">
        <v>22</v>
      </c>
      <c r="YE13" s="456" t="s">
        <v>22</v>
      </c>
      <c r="YF13" s="283">
        <v>42995</v>
      </c>
      <c r="YG13" s="284" t="str">
        <f t="shared" ref="YG13:YG14" si="52">CHOOSE(WEEKDAY(YF13,2),"Monday","Tuesday","Wednesday","Thursday","Friday","Saturday","Sunday")</f>
        <v>Sunday</v>
      </c>
      <c r="YH13" s="432" t="s">
        <v>22</v>
      </c>
      <c r="YI13" s="456" t="s">
        <v>22</v>
      </c>
      <c r="YJ13" s="425" t="s">
        <v>22</v>
      </c>
      <c r="YK13" s="425" t="s">
        <v>22</v>
      </c>
      <c r="YL13" s="432" t="s">
        <v>22</v>
      </c>
      <c r="YM13" s="456" t="s">
        <v>22</v>
      </c>
      <c r="YN13" s="432" t="s">
        <v>22</v>
      </c>
      <c r="YO13" s="456" t="s">
        <v>22</v>
      </c>
      <c r="YP13" s="432" t="s">
        <v>22</v>
      </c>
      <c r="YQ13" s="456" t="s">
        <v>22</v>
      </c>
      <c r="YR13" s="432" t="s">
        <v>22</v>
      </c>
      <c r="YS13" s="456" t="s">
        <v>22</v>
      </c>
      <c r="YT13" s="497">
        <v>42755</v>
      </c>
      <c r="YU13" s="500" t="str">
        <f>CHOOSE(WEEKDAY(YT13,2),"Monday","Tuesday","Wednesday","Thursday","Friday","Saturday","Sunday")</f>
        <v>Friday</v>
      </c>
      <c r="YV13" s="432" t="s">
        <v>22</v>
      </c>
      <c r="YW13" s="456" t="s">
        <v>22</v>
      </c>
      <c r="YX13" s="432" t="s">
        <v>22</v>
      </c>
      <c r="YY13" s="456" t="s">
        <v>22</v>
      </c>
      <c r="YZ13" s="425" t="s">
        <v>22</v>
      </c>
      <c r="ZA13" s="425" t="s">
        <v>22</v>
      </c>
      <c r="ZB13" s="432" t="s">
        <v>22</v>
      </c>
      <c r="ZC13" s="456" t="s">
        <v>22</v>
      </c>
      <c r="ZD13" s="425" t="s">
        <v>22</v>
      </c>
      <c r="ZE13" s="425" t="s">
        <v>22</v>
      </c>
      <c r="ZF13" s="432" t="s">
        <v>22</v>
      </c>
      <c r="ZG13" s="456" t="s">
        <v>22</v>
      </c>
      <c r="ZH13" s="432" t="s">
        <v>22</v>
      </c>
      <c r="ZI13" s="456" t="s">
        <v>22</v>
      </c>
      <c r="ZJ13" s="432" t="s">
        <v>22</v>
      </c>
      <c r="ZK13" s="456" t="s">
        <v>22</v>
      </c>
      <c r="ZL13" s="425" t="s">
        <v>22</v>
      </c>
      <c r="ZM13" s="425" t="s">
        <v>22</v>
      </c>
      <c r="ZN13" s="432" t="s">
        <v>22</v>
      </c>
      <c r="ZO13" s="456" t="s">
        <v>22</v>
      </c>
      <c r="ZP13" s="432" t="s">
        <v>22</v>
      </c>
      <c r="ZQ13" s="456" t="s">
        <v>22</v>
      </c>
      <c r="ZR13" s="497">
        <v>43011</v>
      </c>
      <c r="ZS13" s="517" t="str">
        <f>CHOOSE(WEEKDAY(ZR13,2),"Monday","Tuesday","Wednesday","Thursday","Friday","Saturday","Sunday")</f>
        <v>Tuesday</v>
      </c>
      <c r="ZT13" s="432" t="s">
        <v>22</v>
      </c>
      <c r="ZU13" s="456" t="s">
        <v>22</v>
      </c>
      <c r="ZV13" s="432" t="s">
        <v>22</v>
      </c>
      <c r="ZW13" s="456" t="s">
        <v>22</v>
      </c>
      <c r="ZX13" s="425" t="s">
        <v>22</v>
      </c>
      <c r="ZY13" s="425" t="s">
        <v>22</v>
      </c>
      <c r="ZZ13" s="432" t="s">
        <v>22</v>
      </c>
      <c r="AAA13" s="456" t="s">
        <v>22</v>
      </c>
      <c r="AAB13" s="432" t="s">
        <v>22</v>
      </c>
      <c r="AAC13" s="456" t="s">
        <v>22</v>
      </c>
      <c r="AAD13" s="432" t="s">
        <v>22</v>
      </c>
      <c r="AAE13" s="456" t="s">
        <v>22</v>
      </c>
      <c r="AAF13" s="432" t="s">
        <v>22</v>
      </c>
      <c r="AAG13" s="456" t="s">
        <v>22</v>
      </c>
      <c r="AAH13" s="425" t="s">
        <v>22</v>
      </c>
      <c r="AAI13" s="425" t="s">
        <v>22</v>
      </c>
      <c r="AAJ13" s="432" t="s">
        <v>22</v>
      </c>
      <c r="AAK13" s="456" t="s">
        <v>22</v>
      </c>
      <c r="AAL13" s="432" t="s">
        <v>22</v>
      </c>
      <c r="AAM13" s="456" t="s">
        <v>22</v>
      </c>
      <c r="AAN13" s="432" t="s">
        <v>22</v>
      </c>
      <c r="AAO13" s="456" t="s">
        <v>22</v>
      </c>
      <c r="AAP13" s="432" t="s">
        <v>22</v>
      </c>
      <c r="AAQ13" s="456" t="s">
        <v>22</v>
      </c>
      <c r="AAR13" s="432" t="s">
        <v>22</v>
      </c>
      <c r="AAS13" s="456" t="s">
        <v>22</v>
      </c>
      <c r="AAT13" s="425" t="s">
        <v>22</v>
      </c>
      <c r="AAU13" s="425" t="s">
        <v>22</v>
      </c>
      <c r="AAV13" s="432" t="s">
        <v>22</v>
      </c>
      <c r="AAW13" s="456" t="s">
        <v>22</v>
      </c>
      <c r="AAX13" s="425" t="s">
        <v>22</v>
      </c>
      <c r="AAY13" s="425" t="s">
        <v>22</v>
      </c>
      <c r="AAZ13" s="432" t="s">
        <v>22</v>
      </c>
      <c r="ABA13" s="456" t="s">
        <v>22</v>
      </c>
      <c r="ABB13" s="432" t="s">
        <v>22</v>
      </c>
      <c r="ABC13" s="456" t="s">
        <v>22</v>
      </c>
      <c r="ABD13" s="432" t="s">
        <v>22</v>
      </c>
      <c r="ABE13" s="456" t="s">
        <v>22</v>
      </c>
      <c r="ABF13" s="425" t="s">
        <v>22</v>
      </c>
      <c r="ABG13" s="425" t="s">
        <v>22</v>
      </c>
      <c r="ABH13" s="432" t="s">
        <v>22</v>
      </c>
      <c r="ABI13" s="456" t="s">
        <v>22</v>
      </c>
      <c r="ABJ13" s="432" t="s">
        <v>22</v>
      </c>
      <c r="ABK13" s="456" t="s">
        <v>22</v>
      </c>
      <c r="ABL13" s="432" t="s">
        <v>22</v>
      </c>
      <c r="ABM13" s="456" t="s">
        <v>22</v>
      </c>
      <c r="ABN13" s="432" t="s">
        <v>22</v>
      </c>
      <c r="ABO13" s="456" t="s">
        <v>22</v>
      </c>
      <c r="ABP13" s="425" t="s">
        <v>22</v>
      </c>
      <c r="ABQ13" s="425" t="s">
        <v>22</v>
      </c>
      <c r="ABR13" s="432" t="s">
        <v>22</v>
      </c>
      <c r="ABS13" s="456" t="s">
        <v>22</v>
      </c>
      <c r="ABT13" s="432" t="s">
        <v>22</v>
      </c>
      <c r="ABU13" s="456" t="s">
        <v>22</v>
      </c>
      <c r="ABV13" s="432" t="s">
        <v>22</v>
      </c>
      <c r="ABW13" s="456" t="s">
        <v>22</v>
      </c>
      <c r="ABX13" s="425" t="s">
        <v>22</v>
      </c>
      <c r="ABY13" s="425" t="s">
        <v>22</v>
      </c>
      <c r="ABZ13" s="432" t="s">
        <v>22</v>
      </c>
      <c r="ACA13" s="456" t="s">
        <v>22</v>
      </c>
      <c r="ACB13" s="432" t="s">
        <v>22</v>
      </c>
      <c r="ACC13" s="456" t="s">
        <v>22</v>
      </c>
      <c r="ACD13" s="432" t="s">
        <v>22</v>
      </c>
      <c r="ACE13" s="456" t="s">
        <v>22</v>
      </c>
      <c r="ACF13" s="432" t="s">
        <v>22</v>
      </c>
      <c r="ACG13" s="456" t="s">
        <v>22</v>
      </c>
      <c r="ACH13" s="432" t="s">
        <v>22</v>
      </c>
      <c r="ACI13" s="456" t="s">
        <v>22</v>
      </c>
      <c r="ACJ13" s="425" t="s">
        <v>22</v>
      </c>
      <c r="ACK13" s="425" t="s">
        <v>22</v>
      </c>
      <c r="ACL13" s="432" t="s">
        <v>22</v>
      </c>
      <c r="ACM13" s="456" t="s">
        <v>22</v>
      </c>
      <c r="ACN13" s="497">
        <v>43035</v>
      </c>
      <c r="ACO13" s="500" t="str">
        <f>CHOOSE(WEEKDAY(ACN13,2),"Monday","Tuesday","Wednesday","Thursday","Friday","Saturday","Sunday")</f>
        <v>Friday</v>
      </c>
      <c r="ACP13" s="432" t="s">
        <v>22</v>
      </c>
      <c r="ACQ13" s="456" t="s">
        <v>22</v>
      </c>
      <c r="ACR13" s="432" t="s">
        <v>22</v>
      </c>
      <c r="ACS13" s="456" t="s">
        <v>22</v>
      </c>
      <c r="ACT13" s="283">
        <v>43035</v>
      </c>
      <c r="ACU13" s="288" t="str">
        <f t="shared" ref="ACU13:ACU14" si="53">CHOOSE(WEEKDAY(ACT13,2),"Monday","Tuesday","Wednesday","Thursday","Friday","Saturday","Sunday")</f>
        <v>Friday</v>
      </c>
      <c r="ACV13" s="432" t="s">
        <v>22</v>
      </c>
      <c r="ACW13" s="456" t="s">
        <v>22</v>
      </c>
      <c r="ACX13" s="425" t="s">
        <v>22</v>
      </c>
      <c r="ACY13" s="425" t="s">
        <v>22</v>
      </c>
      <c r="ACZ13" s="432" t="s">
        <v>22</v>
      </c>
      <c r="ADA13" s="456" t="s">
        <v>22</v>
      </c>
      <c r="ADB13" s="432" t="s">
        <v>22</v>
      </c>
      <c r="ADC13" s="456" t="s">
        <v>22</v>
      </c>
      <c r="ADD13" s="432" t="s">
        <v>22</v>
      </c>
      <c r="ADE13" s="456" t="s">
        <v>22</v>
      </c>
      <c r="ADF13" s="432" t="s">
        <v>22</v>
      </c>
      <c r="ADG13" s="456" t="s">
        <v>22</v>
      </c>
      <c r="ADH13" s="432" t="s">
        <v>22</v>
      </c>
      <c r="ADI13" s="456" t="s">
        <v>22</v>
      </c>
      <c r="ADJ13" s="432" t="s">
        <v>22</v>
      </c>
      <c r="ADK13" s="456" t="s">
        <v>22</v>
      </c>
      <c r="ADL13" s="425" t="s">
        <v>22</v>
      </c>
      <c r="ADM13" s="456" t="s">
        <v>22</v>
      </c>
      <c r="ADN13" s="425" t="s">
        <v>22</v>
      </c>
      <c r="ADO13" s="456" t="s">
        <v>22</v>
      </c>
      <c r="ADP13" s="432" t="s">
        <v>22</v>
      </c>
      <c r="ADQ13" s="456" t="s">
        <v>22</v>
      </c>
      <c r="ADR13" s="425" t="s">
        <v>22</v>
      </c>
      <c r="ADS13" s="456" t="s">
        <v>22</v>
      </c>
      <c r="ADT13" s="432" t="s">
        <v>22</v>
      </c>
      <c r="ADU13" s="456" t="s">
        <v>22</v>
      </c>
      <c r="ADV13" s="425" t="s">
        <v>22</v>
      </c>
      <c r="ADW13" s="425" t="s">
        <v>22</v>
      </c>
      <c r="ADX13" s="432" t="s">
        <v>22</v>
      </c>
      <c r="ADY13" s="456" t="s">
        <v>22</v>
      </c>
      <c r="ADZ13" s="432" t="s">
        <v>22</v>
      </c>
      <c r="AEA13" s="456" t="s">
        <v>22</v>
      </c>
      <c r="AEB13" s="432" t="s">
        <v>22</v>
      </c>
      <c r="AEC13" s="456" t="s">
        <v>22</v>
      </c>
      <c r="AED13" s="425" t="s">
        <v>22</v>
      </c>
      <c r="AEE13" s="425" t="s">
        <v>22</v>
      </c>
      <c r="AEF13" s="283">
        <v>42895</v>
      </c>
      <c r="AEG13" s="288" t="str">
        <f t="shared" ref="AEG13:AEG14" si="54">CHOOSE(WEEKDAY(AEF13,2),"Monday","Tuesday","Wednesday","Thursday","Friday","Saturday","Sunday")</f>
        <v>Friday</v>
      </c>
      <c r="AEH13" s="495">
        <v>43063</v>
      </c>
      <c r="AEI13" s="500" t="str">
        <f>CHOOSE(WEEKDAY(AEH13,2),"Monday","Tuesday","Wednesday","Thursday","Friday","Saturday","Sunday")</f>
        <v>Friday</v>
      </c>
      <c r="AEJ13" s="432" t="s">
        <v>22</v>
      </c>
      <c r="AEK13" s="456" t="s">
        <v>22</v>
      </c>
      <c r="AEL13" s="432" t="s">
        <v>22</v>
      </c>
      <c r="AEM13" s="456" t="s">
        <v>22</v>
      </c>
      <c r="AEN13" s="432" t="s">
        <v>22</v>
      </c>
      <c r="AEO13" s="456" t="s">
        <v>22</v>
      </c>
      <c r="AEP13" s="432" t="s">
        <v>22</v>
      </c>
      <c r="AEQ13" s="456" t="s">
        <v>22</v>
      </c>
      <c r="AER13" s="425" t="s">
        <v>22</v>
      </c>
      <c r="AES13" s="425" t="s">
        <v>22</v>
      </c>
      <c r="AET13" s="432" t="s">
        <v>22</v>
      </c>
      <c r="AEU13" s="456" t="s">
        <v>22</v>
      </c>
      <c r="AEV13" s="425" t="s">
        <v>22</v>
      </c>
      <c r="AEW13" s="425" t="s">
        <v>22</v>
      </c>
      <c r="AEX13" s="432" t="s">
        <v>22</v>
      </c>
      <c r="AEY13" s="456" t="s">
        <v>22</v>
      </c>
      <c r="AEZ13" s="432" t="s">
        <v>22</v>
      </c>
      <c r="AFA13" s="456" t="s">
        <v>22</v>
      </c>
      <c r="AFB13" s="432" t="s">
        <v>22</v>
      </c>
      <c r="AFC13" s="456" t="s">
        <v>22</v>
      </c>
      <c r="AFD13" s="495">
        <v>43063</v>
      </c>
      <c r="AFE13" s="502" t="str">
        <f>CHOOSE(WEEKDAY(AFD13,2),"Monday","Tuesday","Wednesday","Thursday","Friday","Saturday","Sunday")</f>
        <v>Friday</v>
      </c>
      <c r="AFF13" s="425" t="s">
        <v>22</v>
      </c>
      <c r="AFG13" s="425" t="s">
        <v>22</v>
      </c>
      <c r="AFH13" s="432" t="s">
        <v>22</v>
      </c>
      <c r="AFI13" s="456" t="s">
        <v>22</v>
      </c>
      <c r="AFJ13" s="425" t="s">
        <v>22</v>
      </c>
      <c r="AFK13" s="425" t="s">
        <v>22</v>
      </c>
      <c r="AFL13" s="432" t="s">
        <v>22</v>
      </c>
      <c r="AFM13" s="456" t="s">
        <v>22</v>
      </c>
      <c r="AFN13" s="432" t="s">
        <v>22</v>
      </c>
      <c r="AFO13" s="456" t="s">
        <v>22</v>
      </c>
      <c r="AFP13" s="432" t="s">
        <v>22</v>
      </c>
      <c r="AFQ13" s="456" t="s">
        <v>22</v>
      </c>
      <c r="AFR13" s="425" t="s">
        <v>22</v>
      </c>
      <c r="AFS13" s="425" t="s">
        <v>22</v>
      </c>
      <c r="AFT13" s="495">
        <v>43028</v>
      </c>
      <c r="AFU13" s="502" t="str">
        <f>CHOOSE(WEEKDAY(AFT13,2),"Monday","Tuesday","Wednesday","Thursday","Friday","Saturday","Sunday")</f>
        <v>Friday</v>
      </c>
      <c r="AFV13" s="425" t="s">
        <v>22</v>
      </c>
      <c r="AFW13" s="425" t="s">
        <v>22</v>
      </c>
      <c r="AFX13" s="432" t="s">
        <v>22</v>
      </c>
      <c r="AFY13" s="425" t="s">
        <v>22</v>
      </c>
      <c r="AFZ13" s="432" t="s">
        <v>22</v>
      </c>
      <c r="AGA13" s="456" t="s">
        <v>22</v>
      </c>
      <c r="AGB13" s="432" t="s">
        <v>22</v>
      </c>
      <c r="AGC13" s="456" t="s">
        <v>22</v>
      </c>
      <c r="AGD13" s="425" t="s">
        <v>22</v>
      </c>
      <c r="AGE13" s="425" t="s">
        <v>22</v>
      </c>
      <c r="AGF13" s="432" t="s">
        <v>22</v>
      </c>
      <c r="AGG13" s="456" t="s">
        <v>22</v>
      </c>
      <c r="AGH13" s="432" t="s">
        <v>22</v>
      </c>
      <c r="AGI13" s="456" t="s">
        <v>22</v>
      </c>
      <c r="AGJ13" s="497">
        <v>43021</v>
      </c>
      <c r="AGK13" s="500" t="str">
        <f>CHOOSE(WEEKDAY(AGJ13,2),"Monday","Tuesday","Wednesday","Thursday","Friday","Saturday","Sunday")</f>
        <v>Friday</v>
      </c>
      <c r="AGL13" s="432" t="s">
        <v>22</v>
      </c>
      <c r="AGM13" s="456" t="s">
        <v>22</v>
      </c>
      <c r="AGN13" s="432" t="s">
        <v>22</v>
      </c>
      <c r="AGO13" s="456" t="s">
        <v>22</v>
      </c>
      <c r="AGP13" s="432" t="s">
        <v>22</v>
      </c>
      <c r="AGQ13" s="456" t="s">
        <v>22</v>
      </c>
      <c r="AGR13" s="432" t="s">
        <v>22</v>
      </c>
      <c r="AGS13" s="456" t="s">
        <v>22</v>
      </c>
      <c r="AGT13" s="495">
        <v>43086</v>
      </c>
      <c r="AGU13" s="456" t="str">
        <f>CHOOSE(WEEKDAY(AGT13,2),"Monday","Tuesday","Wednesday","Thursday","Friday","Saturday","Sunday")</f>
        <v>Sunday</v>
      </c>
      <c r="AGV13" s="497">
        <v>42860</v>
      </c>
      <c r="AGW13" s="502" t="str">
        <f>CHOOSE(WEEKDAY(AGV13,2),"Monday","Tuesday","Wednesday","Thursday","Friday","Saturday","Sunday")</f>
        <v>Friday</v>
      </c>
      <c r="AGX13" s="432" t="s">
        <v>22</v>
      </c>
      <c r="AGY13" s="456" t="s">
        <v>22</v>
      </c>
      <c r="AGZ13" s="432" t="s">
        <v>22</v>
      </c>
      <c r="AHA13" s="456" t="s">
        <v>22</v>
      </c>
      <c r="AHB13" s="432" t="s">
        <v>22</v>
      </c>
      <c r="AHC13" s="456" t="s">
        <v>22</v>
      </c>
      <c r="AHD13" s="432" t="s">
        <v>22</v>
      </c>
      <c r="AHE13" s="456" t="s">
        <v>22</v>
      </c>
      <c r="AHF13" s="432" t="s">
        <v>22</v>
      </c>
      <c r="AHG13" s="456" t="s">
        <v>22</v>
      </c>
      <c r="AHH13" s="495">
        <v>43091</v>
      </c>
      <c r="AHI13" s="500" t="str">
        <f>CHOOSE(WEEKDAY(AHH13,2),"Monday","Tuesday","Wednesday","Thursday","Friday","Saturday","Sunday")</f>
        <v>Friday</v>
      </c>
      <c r="AHJ13" s="432" t="s">
        <v>22</v>
      </c>
      <c r="AHK13" s="456" t="s">
        <v>22</v>
      </c>
      <c r="AHL13" s="425" t="s">
        <v>22</v>
      </c>
      <c r="AHM13" s="456" t="s">
        <v>22</v>
      </c>
      <c r="AHN13" s="432" t="s">
        <v>22</v>
      </c>
      <c r="AHO13" s="456" t="s">
        <v>22</v>
      </c>
      <c r="AHP13" s="432" t="s">
        <v>22</v>
      </c>
      <c r="AHQ13" s="456" t="s">
        <v>22</v>
      </c>
      <c r="AHR13" s="432" t="s">
        <v>22</v>
      </c>
      <c r="AHS13" s="425" t="s">
        <v>22</v>
      </c>
      <c r="AHT13" s="432" t="s">
        <v>22</v>
      </c>
      <c r="AHU13" s="425" t="s">
        <v>22</v>
      </c>
      <c r="AHV13" s="506">
        <v>43091</v>
      </c>
      <c r="AHW13" s="502" t="str">
        <f>CHOOSE(WEEKDAY(AHV13,2),"Monday","Tuesday","Wednesday","Thursday","Friday","Saturday","Sunday")</f>
        <v>Friday</v>
      </c>
      <c r="AHX13" s="283">
        <v>43091</v>
      </c>
      <c r="AHY13" s="288" t="str">
        <f t="shared" ref="AHY13:AHY14" si="55">CHOOSE(WEEKDAY(AHX13,2),"Monday","Tuesday","Wednesday","Thursday","Friday","Saturday","Sunday")</f>
        <v>Friday</v>
      </c>
      <c r="AHZ13" s="283">
        <v>43098</v>
      </c>
      <c r="AIA13" s="288" t="str">
        <f>CHOOSE(WEEKDAY(AHZ13,2),"Monday","Tuesday","Wednesday","Thursday","Friday","Saturday","Sunday")</f>
        <v>Friday</v>
      </c>
    </row>
    <row r="14" spans="1:911" ht="15.75" customHeight="1" x14ac:dyDescent="0.2">
      <c r="A14" s="412"/>
      <c r="B14" s="417"/>
      <c r="C14" s="412"/>
      <c r="D14" s="417"/>
      <c r="E14" s="412"/>
      <c r="F14" s="417"/>
      <c r="G14" s="412"/>
      <c r="H14" s="417"/>
      <c r="I14" s="412"/>
      <c r="J14" s="417"/>
      <c r="K14" s="412"/>
      <c r="L14" s="417"/>
      <c r="M14" s="412"/>
      <c r="N14" s="417"/>
      <c r="O14" s="412"/>
      <c r="P14" s="417"/>
      <c r="Q14" s="412"/>
      <c r="R14" s="417"/>
      <c r="S14" s="412"/>
      <c r="T14" s="417"/>
      <c r="U14" s="412"/>
      <c r="V14" s="417"/>
      <c r="W14" s="412"/>
      <c r="X14" s="417"/>
      <c r="Y14" s="412"/>
      <c r="Z14" s="417"/>
      <c r="AA14" s="412"/>
      <c r="AB14" s="417"/>
      <c r="AC14" s="412"/>
      <c r="AD14" s="402"/>
      <c r="AE14" s="402"/>
      <c r="AF14" s="417"/>
      <c r="AG14" s="402"/>
      <c r="AH14" s="515">
        <v>43077</v>
      </c>
      <c r="AI14" s="482" t="str">
        <f t="shared" si="36"/>
        <v>Friday</v>
      </c>
      <c r="AJ14" s="402"/>
      <c r="AK14" s="402"/>
      <c r="AL14" s="417"/>
      <c r="AM14" s="412"/>
      <c r="AN14" s="417"/>
      <c r="AO14" s="412"/>
      <c r="AP14" s="417"/>
      <c r="AQ14" s="412"/>
      <c r="AR14" s="417"/>
      <c r="AS14" s="412"/>
      <c r="AT14" s="417"/>
      <c r="AU14" s="412"/>
      <c r="AV14" s="402"/>
      <c r="AW14" s="402"/>
      <c r="AX14" s="417"/>
      <c r="AY14" s="412"/>
      <c r="AZ14" s="417"/>
      <c r="BA14" s="412"/>
      <c r="BB14" s="402"/>
      <c r="BC14" s="402"/>
      <c r="BD14" s="417"/>
      <c r="BE14" s="412"/>
      <c r="BF14" s="417"/>
      <c r="BG14" s="412"/>
      <c r="BH14" s="417"/>
      <c r="BI14" s="412"/>
      <c r="BJ14" s="417"/>
      <c r="BK14" s="412"/>
      <c r="BL14" s="402"/>
      <c r="BM14" s="402"/>
      <c r="BN14" s="417"/>
      <c r="BO14" s="412"/>
      <c r="BP14" s="417"/>
      <c r="BQ14" s="412"/>
      <c r="BR14" s="417"/>
      <c r="BS14" s="412"/>
      <c r="BT14" s="402"/>
      <c r="BU14" s="402"/>
      <c r="BV14" s="417"/>
      <c r="BW14" s="412"/>
      <c r="BX14" s="402"/>
      <c r="BY14" s="402"/>
      <c r="BZ14" s="417"/>
      <c r="CA14" s="412"/>
      <c r="CB14" s="417"/>
      <c r="CC14" s="412"/>
      <c r="CD14" s="417"/>
      <c r="CE14" s="412"/>
      <c r="CF14" s="417"/>
      <c r="CG14" s="412"/>
      <c r="CH14" s="417"/>
      <c r="CI14" s="412"/>
      <c r="CJ14" s="417"/>
      <c r="CK14" s="412"/>
      <c r="CL14" s="402"/>
      <c r="CM14" s="402"/>
      <c r="CN14" s="417"/>
      <c r="CO14" s="412"/>
      <c r="CP14" s="417"/>
      <c r="CQ14" s="412"/>
      <c r="CR14" s="417"/>
      <c r="CS14" s="412"/>
      <c r="CT14" s="402"/>
      <c r="CU14" s="402"/>
      <c r="CV14" s="417"/>
      <c r="CW14" s="412"/>
      <c r="CX14" s="417"/>
      <c r="CY14" s="412"/>
      <c r="CZ14" s="402"/>
      <c r="DA14" s="402"/>
      <c r="DB14" s="417"/>
      <c r="DC14" s="412"/>
      <c r="DD14" s="417"/>
      <c r="DE14" s="412"/>
      <c r="DF14" s="402"/>
      <c r="DG14" s="402"/>
      <c r="DH14" s="417"/>
      <c r="DI14" s="412"/>
      <c r="DJ14" s="417"/>
      <c r="DK14" s="412"/>
      <c r="DL14" s="417"/>
      <c r="DM14" s="412"/>
      <c r="DN14" s="402"/>
      <c r="DO14" s="402"/>
      <c r="DP14" s="417"/>
      <c r="DQ14" s="412"/>
      <c r="DR14" s="417"/>
      <c r="DS14" s="412"/>
      <c r="DT14" s="402"/>
      <c r="DU14" s="402"/>
      <c r="DV14" s="417"/>
      <c r="DW14" s="412"/>
      <c r="DX14" s="417"/>
      <c r="DY14" s="412"/>
      <c r="DZ14" s="402"/>
      <c r="EA14" s="402"/>
      <c r="EB14" s="417"/>
      <c r="EC14" s="412"/>
      <c r="ED14" s="402"/>
      <c r="EE14" s="402"/>
      <c r="EF14" s="417"/>
      <c r="EG14" s="412"/>
      <c r="EH14" s="417"/>
      <c r="EI14" s="412"/>
      <c r="EJ14" s="417"/>
      <c r="EK14" s="412"/>
      <c r="EL14" s="402"/>
      <c r="EM14" s="402"/>
      <c r="EN14" s="417"/>
      <c r="EO14" s="412"/>
      <c r="EP14" s="417"/>
      <c r="EQ14" s="412"/>
      <c r="ER14" s="417"/>
      <c r="ES14" s="412"/>
      <c r="ET14" s="402"/>
      <c r="EU14" s="402"/>
      <c r="EV14" s="417"/>
      <c r="EW14" s="412"/>
      <c r="EX14" s="417"/>
      <c r="EY14" s="412"/>
      <c r="EZ14" s="417"/>
      <c r="FA14" s="412"/>
      <c r="FB14" s="402"/>
      <c r="FC14" s="402"/>
      <c r="FD14" s="417"/>
      <c r="FE14" s="412"/>
      <c r="FF14" s="402"/>
      <c r="FG14" s="412"/>
      <c r="FH14" s="402"/>
      <c r="FI14" s="402"/>
      <c r="FJ14" s="417"/>
      <c r="FK14" s="412"/>
      <c r="FL14" s="417"/>
      <c r="FM14" s="412"/>
      <c r="FN14" s="417"/>
      <c r="FO14" s="412"/>
      <c r="FP14" s="402"/>
      <c r="FQ14" s="402"/>
      <c r="FR14" s="417"/>
      <c r="FS14" s="412"/>
      <c r="FT14" s="417"/>
      <c r="FU14" s="412"/>
      <c r="FV14" s="417"/>
      <c r="FW14" s="412"/>
      <c r="FX14" s="402"/>
      <c r="FY14" s="402"/>
      <c r="FZ14" s="417"/>
      <c r="GA14" s="412"/>
      <c r="GB14" s="417"/>
      <c r="GC14" s="412"/>
      <c r="GD14" s="402"/>
      <c r="GE14" s="402"/>
      <c r="GF14" s="515">
        <v>42832</v>
      </c>
      <c r="GG14" s="482" t="str">
        <f t="shared" si="49"/>
        <v>Friday</v>
      </c>
      <c r="GH14" s="402"/>
      <c r="GI14" s="402"/>
      <c r="GJ14" s="417"/>
      <c r="GK14" s="412"/>
      <c r="GL14" s="417"/>
      <c r="GM14" s="412"/>
      <c r="GN14" s="402"/>
      <c r="GO14" s="402"/>
      <c r="GP14" s="417"/>
      <c r="GQ14" s="412"/>
      <c r="GR14" s="417"/>
      <c r="GS14" s="412"/>
      <c r="GT14" s="417"/>
      <c r="GU14" s="412"/>
      <c r="GV14" s="402"/>
      <c r="GW14" s="402"/>
      <c r="GX14" s="417"/>
      <c r="GY14" s="412"/>
      <c r="GZ14" s="417"/>
      <c r="HA14" s="412"/>
      <c r="HB14" s="417"/>
      <c r="HC14" s="412"/>
      <c r="HD14" s="417"/>
      <c r="HE14" s="412"/>
      <c r="HF14" s="417"/>
      <c r="HG14" s="412"/>
      <c r="HH14" s="402"/>
      <c r="HI14" s="402"/>
      <c r="HJ14" s="417"/>
      <c r="HK14" s="412"/>
      <c r="HL14" s="417"/>
      <c r="HM14" s="412"/>
      <c r="HN14" s="402"/>
      <c r="HO14" s="402"/>
      <c r="HP14" s="417"/>
      <c r="HQ14" s="412"/>
      <c r="HR14" s="417"/>
      <c r="HS14" s="412"/>
      <c r="HT14" s="417"/>
      <c r="HU14" s="412"/>
      <c r="HV14" s="417"/>
      <c r="HW14" s="412"/>
      <c r="HX14" s="402"/>
      <c r="HY14" s="402"/>
      <c r="HZ14" s="417"/>
      <c r="IA14" s="412"/>
      <c r="IB14" s="417"/>
      <c r="IC14" s="412"/>
      <c r="ID14" s="417"/>
      <c r="IE14" s="412"/>
      <c r="IF14" s="402"/>
      <c r="IG14" s="402"/>
      <c r="IH14" s="417"/>
      <c r="II14" s="412"/>
      <c r="IJ14" s="417"/>
      <c r="IK14" s="412"/>
      <c r="IL14" s="417"/>
      <c r="IM14" s="412"/>
      <c r="IN14" s="417"/>
      <c r="IO14" s="412"/>
      <c r="IP14" s="402"/>
      <c r="IQ14" s="402"/>
      <c r="IR14" s="417"/>
      <c r="IS14" s="412"/>
      <c r="IT14" s="417"/>
      <c r="IU14" s="412"/>
      <c r="IV14" s="417"/>
      <c r="IW14" s="412"/>
      <c r="IX14" s="417"/>
      <c r="IY14" s="412"/>
      <c r="IZ14" s="417"/>
      <c r="JA14" s="412"/>
      <c r="JB14" s="417"/>
      <c r="JC14" s="412"/>
      <c r="JD14" s="417"/>
      <c r="JE14" s="412"/>
      <c r="JF14" s="402"/>
      <c r="JG14" s="402"/>
      <c r="JH14" s="417"/>
      <c r="JI14" s="412"/>
      <c r="JJ14" s="417"/>
      <c r="JK14" s="412"/>
      <c r="JL14" s="417"/>
      <c r="JM14" s="412"/>
      <c r="JN14" s="417"/>
      <c r="JO14" s="412"/>
      <c r="JP14" s="402"/>
      <c r="JQ14" s="402"/>
      <c r="JR14" s="417"/>
      <c r="JS14" s="412"/>
      <c r="JT14" s="417"/>
      <c r="JU14" s="412"/>
      <c r="JV14" s="417"/>
      <c r="JW14" s="412"/>
      <c r="JX14" s="417"/>
      <c r="JY14" s="412"/>
      <c r="JZ14" s="417"/>
      <c r="KA14" s="412"/>
      <c r="KB14" s="417"/>
      <c r="KC14" s="412"/>
      <c r="KD14" s="402"/>
      <c r="KE14" s="402"/>
      <c r="KF14" s="417"/>
      <c r="KG14" s="412"/>
      <c r="KH14" s="402"/>
      <c r="KI14" s="402"/>
      <c r="KJ14" s="417"/>
      <c r="KK14" s="412"/>
      <c r="KL14" s="417"/>
      <c r="KM14" s="412"/>
      <c r="KN14" s="417"/>
      <c r="KO14" s="412"/>
      <c r="KP14" s="417"/>
      <c r="KQ14" s="412"/>
      <c r="KR14" s="417"/>
      <c r="KS14" s="412"/>
      <c r="KT14" s="417"/>
      <c r="KU14" s="412"/>
      <c r="KV14" s="417"/>
      <c r="KW14" s="412"/>
      <c r="KX14" s="417"/>
      <c r="KY14" s="412"/>
      <c r="KZ14" s="417"/>
      <c r="LA14" s="412"/>
      <c r="LB14" s="417"/>
      <c r="LC14" s="412"/>
      <c r="LD14" s="402"/>
      <c r="LE14" s="402"/>
      <c r="LF14" s="417"/>
      <c r="LG14" s="412"/>
      <c r="LH14" s="417"/>
      <c r="LI14" s="412"/>
      <c r="LJ14" s="402"/>
      <c r="LK14" s="402"/>
      <c r="LL14" s="417"/>
      <c r="LM14" s="412"/>
      <c r="LN14" s="402"/>
      <c r="LO14" s="402"/>
      <c r="LP14" s="417"/>
      <c r="LQ14" s="412"/>
      <c r="LR14" s="417"/>
      <c r="LS14" s="412"/>
      <c r="LT14" s="417"/>
      <c r="LU14" s="412"/>
      <c r="LV14" s="402"/>
      <c r="LW14" s="402"/>
      <c r="LX14" s="417"/>
      <c r="LY14" s="412"/>
      <c r="LZ14" s="402"/>
      <c r="MA14" s="402"/>
      <c r="MB14" s="417"/>
      <c r="MC14" s="412"/>
      <c r="MD14" s="417"/>
      <c r="ME14" s="412"/>
      <c r="MF14" s="417"/>
      <c r="MG14" s="412"/>
      <c r="MH14" s="417"/>
      <c r="MI14" s="412"/>
      <c r="MJ14" s="417"/>
      <c r="MK14" s="412"/>
      <c r="ML14" s="402"/>
      <c r="MM14" s="402"/>
      <c r="MN14" s="417"/>
      <c r="MO14" s="412"/>
      <c r="MP14" s="417"/>
      <c r="MQ14" s="412"/>
      <c r="MR14" s="417"/>
      <c r="MS14" s="412"/>
      <c r="MT14" s="417"/>
      <c r="MU14" s="412"/>
      <c r="MV14" s="402"/>
      <c r="MW14" s="402"/>
      <c r="MX14" s="417"/>
      <c r="MY14" s="412"/>
      <c r="MZ14" s="417"/>
      <c r="NA14" s="412"/>
      <c r="NB14" s="417"/>
      <c r="NC14" s="412"/>
      <c r="ND14" s="402"/>
      <c r="NE14" s="402"/>
      <c r="NF14" s="417"/>
      <c r="NG14" s="412"/>
      <c r="NH14" s="417"/>
      <c r="NI14" s="412"/>
      <c r="NJ14" s="417"/>
      <c r="NK14" s="412"/>
      <c r="NL14" s="402"/>
      <c r="NM14" s="402"/>
      <c r="NN14" s="417"/>
      <c r="NO14" s="412"/>
      <c r="NP14" s="417"/>
      <c r="NQ14" s="412"/>
      <c r="NR14" s="402"/>
      <c r="NS14" s="412"/>
      <c r="NT14" s="417"/>
      <c r="NU14" s="412"/>
      <c r="NV14" s="417"/>
      <c r="NW14" s="412"/>
      <c r="NX14" s="417"/>
      <c r="NY14" s="412"/>
      <c r="NZ14" s="417"/>
      <c r="OA14" s="402"/>
      <c r="OB14" s="417"/>
      <c r="OC14" s="412"/>
      <c r="OD14" s="417"/>
      <c r="OE14" s="412"/>
      <c r="OF14" s="402"/>
      <c r="OG14" s="402"/>
      <c r="OH14" s="417"/>
      <c r="OI14" s="412"/>
      <c r="OJ14" s="417"/>
      <c r="OK14" s="412"/>
      <c r="OL14" s="417"/>
      <c r="OM14" s="412"/>
      <c r="ON14" s="417"/>
      <c r="OO14" s="412"/>
      <c r="OP14" s="402"/>
      <c r="OQ14" s="402"/>
      <c r="OR14" s="417"/>
      <c r="OS14" s="412"/>
      <c r="OT14" s="417"/>
      <c r="OU14" s="412"/>
      <c r="OV14" s="402"/>
      <c r="OW14" s="402"/>
      <c r="OX14" s="417"/>
      <c r="OY14" s="412"/>
      <c r="OZ14" s="417"/>
      <c r="PA14" s="412"/>
      <c r="PB14" s="417"/>
      <c r="PC14" s="412"/>
      <c r="PD14" s="305">
        <v>42930</v>
      </c>
      <c r="PE14" s="277" t="str">
        <f t="shared" si="50"/>
        <v>Friday</v>
      </c>
      <c r="PF14" s="417"/>
      <c r="PG14" s="412"/>
      <c r="PH14" s="402"/>
      <c r="PI14" s="402"/>
      <c r="PJ14" s="417"/>
      <c r="PK14" s="412"/>
      <c r="PL14" s="402"/>
      <c r="PM14" s="402"/>
      <c r="PN14" s="417"/>
      <c r="PO14" s="412"/>
      <c r="PP14" s="417"/>
      <c r="PQ14" s="412"/>
      <c r="PR14" s="402"/>
      <c r="PS14" s="402"/>
      <c r="PT14" s="305">
        <v>42958</v>
      </c>
      <c r="PU14" s="277" t="str">
        <f t="shared" si="51"/>
        <v>Friday</v>
      </c>
      <c r="PV14" s="402"/>
      <c r="PW14" s="402"/>
      <c r="PX14" s="417"/>
      <c r="PY14" s="412"/>
      <c r="PZ14" s="417"/>
      <c r="QA14" s="412"/>
      <c r="QB14" s="417"/>
      <c r="QC14" s="412"/>
      <c r="QD14" s="417"/>
      <c r="QE14" s="412"/>
      <c r="QF14" s="417"/>
      <c r="QG14" s="412"/>
      <c r="QH14" s="402"/>
      <c r="QI14" s="402"/>
      <c r="QJ14" s="417"/>
      <c r="QK14" s="412"/>
      <c r="QL14" s="417"/>
      <c r="QM14" s="412"/>
      <c r="QN14" s="402"/>
      <c r="QO14" s="402"/>
      <c r="QP14" s="417"/>
      <c r="QQ14" s="412"/>
      <c r="QR14" s="417"/>
      <c r="QS14" s="412"/>
      <c r="QT14" s="417"/>
      <c r="QU14" s="412"/>
      <c r="QV14" s="402"/>
      <c r="QW14" s="412"/>
      <c r="QX14" s="417"/>
      <c r="QY14" s="412"/>
      <c r="QZ14" s="417"/>
      <c r="RA14" s="412"/>
      <c r="RB14" s="417"/>
      <c r="RC14" s="412"/>
      <c r="RD14" s="417"/>
      <c r="RE14" s="412"/>
      <c r="RF14" s="417"/>
      <c r="RG14" s="412"/>
      <c r="RH14" s="417"/>
      <c r="RI14" s="412"/>
      <c r="RJ14" s="417"/>
      <c r="RK14" s="412"/>
      <c r="RL14" s="402"/>
      <c r="RM14" s="402"/>
      <c r="RN14" s="417"/>
      <c r="RO14" s="412"/>
      <c r="RP14" s="402"/>
      <c r="RQ14" s="402"/>
      <c r="RR14" s="417"/>
      <c r="RS14" s="412"/>
      <c r="RT14" s="417"/>
      <c r="RU14" s="412"/>
      <c r="RV14" s="402"/>
      <c r="RW14" s="402"/>
      <c r="RX14" s="417"/>
      <c r="RY14" s="412"/>
      <c r="RZ14" s="417"/>
      <c r="SA14" s="402"/>
      <c r="SB14" s="417"/>
      <c r="SC14" s="412"/>
      <c r="SD14" s="417"/>
      <c r="SE14" s="412"/>
      <c r="SF14" s="417"/>
      <c r="SG14" s="412"/>
      <c r="SH14" s="417"/>
      <c r="SI14" s="412"/>
      <c r="SJ14" s="402"/>
      <c r="SK14" s="402"/>
      <c r="SL14" s="417"/>
      <c r="SM14" s="412"/>
      <c r="SN14" s="417"/>
      <c r="SO14" s="412"/>
      <c r="SP14" s="402"/>
      <c r="SQ14" s="402"/>
      <c r="SR14" s="417"/>
      <c r="SS14" s="412"/>
      <c r="ST14" s="402"/>
      <c r="SU14" s="402"/>
      <c r="SV14" s="417"/>
      <c r="SW14" s="412"/>
      <c r="SX14" s="417"/>
      <c r="SY14" s="412"/>
      <c r="SZ14" s="417"/>
      <c r="TA14" s="412"/>
      <c r="TB14" s="417"/>
      <c r="TC14" s="412"/>
      <c r="TD14" s="402"/>
      <c r="TE14" s="402"/>
      <c r="TF14" s="417"/>
      <c r="TG14" s="412"/>
      <c r="TH14" s="417"/>
      <c r="TI14" s="412"/>
      <c r="TJ14" s="402"/>
      <c r="TK14" s="402"/>
      <c r="TL14" s="417"/>
      <c r="TM14" s="412"/>
      <c r="TN14" s="417"/>
      <c r="TO14" s="412"/>
      <c r="TP14" s="417"/>
      <c r="TQ14" s="412"/>
      <c r="TR14" s="417"/>
      <c r="TS14" s="412"/>
      <c r="TT14" s="417"/>
      <c r="TU14" s="412"/>
      <c r="TV14" s="417"/>
      <c r="TW14" s="412"/>
      <c r="TX14" s="417"/>
      <c r="TY14" s="412"/>
      <c r="TZ14" s="402"/>
      <c r="UA14" s="402"/>
      <c r="UB14" s="417"/>
      <c r="UC14" s="412"/>
      <c r="UD14" s="417"/>
      <c r="UE14" s="412"/>
      <c r="UF14" s="417"/>
      <c r="UG14" s="412"/>
      <c r="UH14" s="402"/>
      <c r="UI14" s="402"/>
      <c r="UJ14" s="417"/>
      <c r="UK14" s="412"/>
      <c r="UL14" s="417"/>
      <c r="UM14" s="412"/>
      <c r="UN14" s="417"/>
      <c r="UO14" s="412"/>
      <c r="UP14" s="417"/>
      <c r="UQ14" s="412"/>
      <c r="UR14" s="402"/>
      <c r="US14" s="402"/>
      <c r="UT14" s="417"/>
      <c r="UU14" s="412"/>
      <c r="UV14" s="417"/>
      <c r="UW14" s="412"/>
      <c r="UX14" s="417"/>
      <c r="UY14" s="412"/>
      <c r="UZ14" s="402"/>
      <c r="VA14" s="402"/>
      <c r="VB14" s="417"/>
      <c r="VC14" s="412"/>
      <c r="VD14" s="417"/>
      <c r="VE14" s="412"/>
      <c r="VF14" s="417"/>
      <c r="VG14" s="412"/>
      <c r="VH14" s="402"/>
      <c r="VI14" s="402"/>
      <c r="VJ14" s="417"/>
      <c r="VK14" s="412"/>
      <c r="VL14" s="417"/>
      <c r="VM14" s="412"/>
      <c r="VN14" s="402"/>
      <c r="VO14" s="402"/>
      <c r="VP14" s="417"/>
      <c r="VQ14" s="412"/>
      <c r="VR14" s="417"/>
      <c r="VS14" s="412"/>
      <c r="VT14" s="417"/>
      <c r="VU14" s="412"/>
      <c r="VV14" s="417"/>
      <c r="VW14" s="412"/>
      <c r="VX14" s="417"/>
      <c r="VY14" s="412"/>
      <c r="VZ14" s="402"/>
      <c r="WA14" s="402"/>
      <c r="WB14" s="417"/>
      <c r="WC14" s="412"/>
      <c r="WD14" s="417"/>
      <c r="WE14" s="412"/>
      <c r="WF14" s="417"/>
      <c r="WG14" s="412"/>
      <c r="WH14" s="417"/>
      <c r="WI14" s="412"/>
      <c r="WJ14" s="417"/>
      <c r="WK14" s="412"/>
      <c r="WL14" s="402"/>
      <c r="WM14" s="402"/>
      <c r="WN14" s="417"/>
      <c r="WO14" s="412"/>
      <c r="WP14" s="402"/>
      <c r="WQ14" s="402"/>
      <c r="WR14" s="417"/>
      <c r="WS14" s="402"/>
      <c r="WT14" s="417"/>
      <c r="WU14" s="412"/>
      <c r="WV14" s="417"/>
      <c r="WW14" s="412"/>
      <c r="WX14" s="402"/>
      <c r="WY14" s="402"/>
      <c r="WZ14" s="417"/>
      <c r="XA14" s="412"/>
      <c r="XB14" s="417"/>
      <c r="XC14" s="412"/>
      <c r="XD14" s="417"/>
      <c r="XE14" s="412"/>
      <c r="XF14" s="417"/>
      <c r="XG14" s="412"/>
      <c r="XH14" s="402"/>
      <c r="XI14" s="402"/>
      <c r="XJ14" s="417"/>
      <c r="XK14" s="412"/>
      <c r="XL14" s="402"/>
      <c r="XM14" s="402"/>
      <c r="XN14" s="417"/>
      <c r="XO14" s="412"/>
      <c r="XP14" s="417"/>
      <c r="XQ14" s="412"/>
      <c r="XR14" s="402"/>
      <c r="XS14" s="402"/>
      <c r="XT14" s="417"/>
      <c r="XU14" s="412"/>
      <c r="XV14" s="417"/>
      <c r="XW14" s="412"/>
      <c r="XX14" s="417"/>
      <c r="XY14" s="412"/>
      <c r="XZ14" s="402"/>
      <c r="YA14" s="402"/>
      <c r="YB14" s="417"/>
      <c r="YC14" s="412"/>
      <c r="YD14" s="417"/>
      <c r="YE14" s="412"/>
      <c r="YF14" s="515">
        <v>42997</v>
      </c>
      <c r="YG14" s="485" t="str">
        <f t="shared" si="52"/>
        <v>Tuesday</v>
      </c>
      <c r="YH14" s="417"/>
      <c r="YI14" s="412"/>
      <c r="YJ14" s="402"/>
      <c r="YK14" s="402"/>
      <c r="YL14" s="417"/>
      <c r="YM14" s="412"/>
      <c r="YN14" s="417"/>
      <c r="YO14" s="412"/>
      <c r="YP14" s="417"/>
      <c r="YQ14" s="412"/>
      <c r="YR14" s="417"/>
      <c r="YS14" s="412"/>
      <c r="YT14" s="402"/>
      <c r="YU14" s="402"/>
      <c r="YV14" s="417"/>
      <c r="YW14" s="412"/>
      <c r="YX14" s="417"/>
      <c r="YY14" s="412"/>
      <c r="YZ14" s="402"/>
      <c r="ZA14" s="402"/>
      <c r="ZB14" s="417"/>
      <c r="ZC14" s="412"/>
      <c r="ZD14" s="402"/>
      <c r="ZE14" s="402"/>
      <c r="ZF14" s="417"/>
      <c r="ZG14" s="412"/>
      <c r="ZH14" s="417"/>
      <c r="ZI14" s="412"/>
      <c r="ZJ14" s="417"/>
      <c r="ZK14" s="412"/>
      <c r="ZL14" s="402"/>
      <c r="ZM14" s="402"/>
      <c r="ZN14" s="417"/>
      <c r="ZO14" s="412"/>
      <c r="ZP14" s="417"/>
      <c r="ZQ14" s="412"/>
      <c r="ZR14" s="402"/>
      <c r="ZS14" s="402"/>
      <c r="ZT14" s="417"/>
      <c r="ZU14" s="412"/>
      <c r="ZV14" s="417"/>
      <c r="ZW14" s="412"/>
      <c r="ZX14" s="402"/>
      <c r="ZY14" s="402"/>
      <c r="ZZ14" s="417"/>
      <c r="AAA14" s="412"/>
      <c r="AAB14" s="417"/>
      <c r="AAC14" s="412"/>
      <c r="AAD14" s="417"/>
      <c r="AAE14" s="412"/>
      <c r="AAF14" s="417"/>
      <c r="AAG14" s="412"/>
      <c r="AAH14" s="402"/>
      <c r="AAI14" s="402"/>
      <c r="AAJ14" s="417"/>
      <c r="AAK14" s="412"/>
      <c r="AAL14" s="417"/>
      <c r="AAM14" s="412"/>
      <c r="AAN14" s="417"/>
      <c r="AAO14" s="412"/>
      <c r="AAP14" s="417"/>
      <c r="AAQ14" s="412"/>
      <c r="AAR14" s="417"/>
      <c r="AAS14" s="412"/>
      <c r="AAT14" s="402"/>
      <c r="AAU14" s="402"/>
      <c r="AAV14" s="417"/>
      <c r="AAW14" s="412"/>
      <c r="AAX14" s="402"/>
      <c r="AAY14" s="402"/>
      <c r="AAZ14" s="417"/>
      <c r="ABA14" s="412"/>
      <c r="ABB14" s="417"/>
      <c r="ABC14" s="412"/>
      <c r="ABD14" s="417"/>
      <c r="ABE14" s="412"/>
      <c r="ABF14" s="402"/>
      <c r="ABG14" s="402"/>
      <c r="ABH14" s="417"/>
      <c r="ABI14" s="412"/>
      <c r="ABJ14" s="417"/>
      <c r="ABK14" s="412"/>
      <c r="ABL14" s="417"/>
      <c r="ABM14" s="412"/>
      <c r="ABN14" s="417"/>
      <c r="ABO14" s="412"/>
      <c r="ABP14" s="402"/>
      <c r="ABQ14" s="402"/>
      <c r="ABR14" s="417"/>
      <c r="ABS14" s="412"/>
      <c r="ABT14" s="417"/>
      <c r="ABU14" s="412"/>
      <c r="ABV14" s="417"/>
      <c r="ABW14" s="412"/>
      <c r="ABX14" s="402"/>
      <c r="ABY14" s="402"/>
      <c r="ABZ14" s="417"/>
      <c r="ACA14" s="412"/>
      <c r="ACB14" s="417"/>
      <c r="ACC14" s="412"/>
      <c r="ACD14" s="417"/>
      <c r="ACE14" s="412"/>
      <c r="ACF14" s="417"/>
      <c r="ACG14" s="412"/>
      <c r="ACH14" s="417"/>
      <c r="ACI14" s="412"/>
      <c r="ACJ14" s="402"/>
      <c r="ACK14" s="402"/>
      <c r="ACL14" s="417"/>
      <c r="ACM14" s="412"/>
      <c r="ACN14" s="402"/>
      <c r="ACO14" s="402"/>
      <c r="ACP14" s="417"/>
      <c r="ACQ14" s="412"/>
      <c r="ACR14" s="417"/>
      <c r="ACS14" s="412"/>
      <c r="ACT14" s="514">
        <v>43040</v>
      </c>
      <c r="ACU14" s="485" t="str">
        <f t="shared" si="53"/>
        <v>Wednesday</v>
      </c>
      <c r="ACV14" s="417"/>
      <c r="ACW14" s="412"/>
      <c r="ACX14" s="402"/>
      <c r="ACY14" s="402"/>
      <c r="ACZ14" s="417"/>
      <c r="ADA14" s="412"/>
      <c r="ADB14" s="417"/>
      <c r="ADC14" s="412"/>
      <c r="ADD14" s="417"/>
      <c r="ADE14" s="412"/>
      <c r="ADF14" s="417"/>
      <c r="ADG14" s="412"/>
      <c r="ADH14" s="417"/>
      <c r="ADI14" s="412"/>
      <c r="ADJ14" s="417"/>
      <c r="ADK14" s="412"/>
      <c r="ADL14" s="402"/>
      <c r="ADM14" s="412"/>
      <c r="ADN14" s="402"/>
      <c r="ADO14" s="412"/>
      <c r="ADP14" s="417"/>
      <c r="ADQ14" s="412"/>
      <c r="ADR14" s="402"/>
      <c r="ADS14" s="412"/>
      <c r="ADT14" s="417"/>
      <c r="ADU14" s="412"/>
      <c r="ADV14" s="402"/>
      <c r="ADW14" s="402"/>
      <c r="ADX14" s="417"/>
      <c r="ADY14" s="412"/>
      <c r="ADZ14" s="417"/>
      <c r="AEA14" s="412"/>
      <c r="AEB14" s="417"/>
      <c r="AEC14" s="412"/>
      <c r="AED14" s="402"/>
      <c r="AEE14" s="402"/>
      <c r="AEF14" s="515">
        <v>43049</v>
      </c>
      <c r="AEG14" s="482" t="str">
        <f t="shared" si="54"/>
        <v>Friday</v>
      </c>
      <c r="AEH14" s="417"/>
      <c r="AEI14" s="402"/>
      <c r="AEJ14" s="417"/>
      <c r="AEK14" s="412"/>
      <c r="AEL14" s="417"/>
      <c r="AEM14" s="412"/>
      <c r="AEN14" s="417"/>
      <c r="AEO14" s="412"/>
      <c r="AEP14" s="417"/>
      <c r="AEQ14" s="412"/>
      <c r="AER14" s="402"/>
      <c r="AES14" s="402"/>
      <c r="AET14" s="417"/>
      <c r="AEU14" s="412"/>
      <c r="AEV14" s="402"/>
      <c r="AEW14" s="402"/>
      <c r="AEX14" s="417"/>
      <c r="AEY14" s="412"/>
      <c r="AEZ14" s="417"/>
      <c r="AFA14" s="412"/>
      <c r="AFB14" s="417"/>
      <c r="AFC14" s="412"/>
      <c r="AFD14" s="417"/>
      <c r="AFE14" s="412"/>
      <c r="AFF14" s="402"/>
      <c r="AFG14" s="402"/>
      <c r="AFH14" s="417"/>
      <c r="AFI14" s="412"/>
      <c r="AFJ14" s="402"/>
      <c r="AFK14" s="402"/>
      <c r="AFL14" s="417"/>
      <c r="AFM14" s="412"/>
      <c r="AFN14" s="417"/>
      <c r="AFO14" s="412"/>
      <c r="AFP14" s="417"/>
      <c r="AFQ14" s="412"/>
      <c r="AFR14" s="402"/>
      <c r="AFS14" s="402"/>
      <c r="AFT14" s="417"/>
      <c r="AFU14" s="412"/>
      <c r="AFV14" s="402"/>
      <c r="AFW14" s="402"/>
      <c r="AFX14" s="417"/>
      <c r="AFY14" s="402"/>
      <c r="AFZ14" s="417"/>
      <c r="AGA14" s="412"/>
      <c r="AGB14" s="417"/>
      <c r="AGC14" s="412"/>
      <c r="AGD14" s="402"/>
      <c r="AGE14" s="402"/>
      <c r="AGF14" s="417"/>
      <c r="AGG14" s="412"/>
      <c r="AGH14" s="417"/>
      <c r="AGI14" s="412"/>
      <c r="AGJ14" s="402"/>
      <c r="AGK14" s="402"/>
      <c r="AGL14" s="417"/>
      <c r="AGM14" s="412"/>
      <c r="AGN14" s="417"/>
      <c r="AGO14" s="412"/>
      <c r="AGP14" s="417"/>
      <c r="AGQ14" s="412"/>
      <c r="AGR14" s="417"/>
      <c r="AGS14" s="412"/>
      <c r="AGT14" s="417"/>
      <c r="AGU14" s="412"/>
      <c r="AGV14" s="402"/>
      <c r="AGW14" s="412"/>
      <c r="AGX14" s="417"/>
      <c r="AGY14" s="412"/>
      <c r="AGZ14" s="417"/>
      <c r="AHA14" s="412"/>
      <c r="AHB14" s="417"/>
      <c r="AHC14" s="412"/>
      <c r="AHD14" s="417"/>
      <c r="AHE14" s="412"/>
      <c r="AHF14" s="417"/>
      <c r="AHG14" s="412"/>
      <c r="AHH14" s="417"/>
      <c r="AHI14" s="402"/>
      <c r="AHJ14" s="417"/>
      <c r="AHK14" s="412"/>
      <c r="AHL14" s="402"/>
      <c r="AHM14" s="412"/>
      <c r="AHN14" s="417"/>
      <c r="AHO14" s="412"/>
      <c r="AHP14" s="417"/>
      <c r="AHQ14" s="412"/>
      <c r="AHR14" s="417"/>
      <c r="AHS14" s="402"/>
      <c r="AHT14" s="417"/>
      <c r="AHU14" s="402"/>
      <c r="AHV14" s="417"/>
      <c r="AHW14" s="412"/>
      <c r="AHX14" s="515">
        <v>43097</v>
      </c>
      <c r="AHY14" s="484" t="str">
        <f t="shared" si="55"/>
        <v>Thursday</v>
      </c>
      <c r="AHZ14" s="515">
        <v>43100</v>
      </c>
      <c r="AIA14" s="431" t="str">
        <f>CHOOSE(WEEKDAY(AHZ15,2),"Monday","Tuesday","Wednesday","Thursday","Friday","Saturday","Sunday")</f>
        <v>Saturday</v>
      </c>
    </row>
    <row r="15" spans="1:911" ht="15.75" customHeight="1" x14ac:dyDescent="0.2">
      <c r="A15" s="398"/>
      <c r="B15" s="396"/>
      <c r="C15" s="398"/>
      <c r="D15" s="396"/>
      <c r="E15" s="398"/>
      <c r="F15" s="396"/>
      <c r="G15" s="398"/>
      <c r="H15" s="396"/>
      <c r="I15" s="398"/>
      <c r="J15" s="396"/>
      <c r="K15" s="398"/>
      <c r="L15" s="396"/>
      <c r="M15" s="398"/>
      <c r="N15" s="396"/>
      <c r="O15" s="398"/>
      <c r="P15" s="396"/>
      <c r="Q15" s="398"/>
      <c r="R15" s="396"/>
      <c r="S15" s="398"/>
      <c r="T15" s="396"/>
      <c r="U15" s="398"/>
      <c r="V15" s="396"/>
      <c r="W15" s="398"/>
      <c r="X15" s="396"/>
      <c r="Y15" s="398"/>
      <c r="Z15" s="396"/>
      <c r="AA15" s="398"/>
      <c r="AB15" s="396"/>
      <c r="AC15" s="398"/>
      <c r="AD15" s="397"/>
      <c r="AE15" s="397"/>
      <c r="AF15" s="396"/>
      <c r="AG15" s="397"/>
      <c r="AH15" s="396"/>
      <c r="AI15" s="398"/>
      <c r="AJ15" s="397"/>
      <c r="AK15" s="397"/>
      <c r="AL15" s="396"/>
      <c r="AM15" s="398"/>
      <c r="AN15" s="396"/>
      <c r="AO15" s="398"/>
      <c r="AP15" s="396"/>
      <c r="AQ15" s="398"/>
      <c r="AR15" s="396"/>
      <c r="AS15" s="398"/>
      <c r="AT15" s="396"/>
      <c r="AU15" s="398"/>
      <c r="AV15" s="397"/>
      <c r="AW15" s="397"/>
      <c r="AX15" s="396"/>
      <c r="AY15" s="398"/>
      <c r="AZ15" s="396"/>
      <c r="BA15" s="398"/>
      <c r="BB15" s="397"/>
      <c r="BC15" s="397"/>
      <c r="BD15" s="396"/>
      <c r="BE15" s="398"/>
      <c r="BF15" s="396"/>
      <c r="BG15" s="398"/>
      <c r="BH15" s="396"/>
      <c r="BI15" s="398"/>
      <c r="BJ15" s="396"/>
      <c r="BK15" s="398"/>
      <c r="BL15" s="397"/>
      <c r="BM15" s="397"/>
      <c r="BN15" s="396"/>
      <c r="BO15" s="398"/>
      <c r="BP15" s="396"/>
      <c r="BQ15" s="398"/>
      <c r="BR15" s="396"/>
      <c r="BS15" s="398"/>
      <c r="BT15" s="397"/>
      <c r="BU15" s="397"/>
      <c r="BV15" s="396"/>
      <c r="BW15" s="398"/>
      <c r="BX15" s="397"/>
      <c r="BY15" s="397"/>
      <c r="BZ15" s="396"/>
      <c r="CA15" s="398"/>
      <c r="CB15" s="396"/>
      <c r="CC15" s="398"/>
      <c r="CD15" s="396"/>
      <c r="CE15" s="398"/>
      <c r="CF15" s="396"/>
      <c r="CG15" s="398"/>
      <c r="CH15" s="396"/>
      <c r="CI15" s="398"/>
      <c r="CJ15" s="396"/>
      <c r="CK15" s="398"/>
      <c r="CL15" s="397"/>
      <c r="CM15" s="397"/>
      <c r="CN15" s="396"/>
      <c r="CO15" s="398"/>
      <c r="CP15" s="396"/>
      <c r="CQ15" s="398"/>
      <c r="CR15" s="396"/>
      <c r="CS15" s="398"/>
      <c r="CT15" s="397"/>
      <c r="CU15" s="397"/>
      <c r="CV15" s="396"/>
      <c r="CW15" s="398"/>
      <c r="CX15" s="396"/>
      <c r="CY15" s="398"/>
      <c r="CZ15" s="397"/>
      <c r="DA15" s="397"/>
      <c r="DB15" s="396"/>
      <c r="DC15" s="398"/>
      <c r="DD15" s="396"/>
      <c r="DE15" s="398"/>
      <c r="DF15" s="397"/>
      <c r="DG15" s="397"/>
      <c r="DH15" s="396"/>
      <c r="DI15" s="398"/>
      <c r="DJ15" s="396"/>
      <c r="DK15" s="398"/>
      <c r="DL15" s="396"/>
      <c r="DM15" s="398"/>
      <c r="DN15" s="397"/>
      <c r="DO15" s="397"/>
      <c r="DP15" s="396"/>
      <c r="DQ15" s="398"/>
      <c r="DR15" s="396"/>
      <c r="DS15" s="398"/>
      <c r="DT15" s="397"/>
      <c r="DU15" s="397"/>
      <c r="DV15" s="396"/>
      <c r="DW15" s="398"/>
      <c r="DX15" s="396"/>
      <c r="DY15" s="398"/>
      <c r="DZ15" s="397"/>
      <c r="EA15" s="397"/>
      <c r="EB15" s="396"/>
      <c r="EC15" s="398"/>
      <c r="ED15" s="397"/>
      <c r="EE15" s="397"/>
      <c r="EF15" s="396"/>
      <c r="EG15" s="398"/>
      <c r="EH15" s="396"/>
      <c r="EI15" s="398"/>
      <c r="EJ15" s="396"/>
      <c r="EK15" s="398"/>
      <c r="EL15" s="397"/>
      <c r="EM15" s="397"/>
      <c r="EN15" s="396"/>
      <c r="EO15" s="398"/>
      <c r="EP15" s="396"/>
      <c r="EQ15" s="398"/>
      <c r="ER15" s="396"/>
      <c r="ES15" s="398"/>
      <c r="ET15" s="397"/>
      <c r="EU15" s="397"/>
      <c r="EV15" s="396"/>
      <c r="EW15" s="398"/>
      <c r="EX15" s="396"/>
      <c r="EY15" s="398"/>
      <c r="EZ15" s="396"/>
      <c r="FA15" s="398"/>
      <c r="FB15" s="397"/>
      <c r="FC15" s="397"/>
      <c r="FD15" s="396"/>
      <c r="FE15" s="398"/>
      <c r="FF15" s="397"/>
      <c r="FG15" s="398"/>
      <c r="FH15" s="397"/>
      <c r="FI15" s="397"/>
      <c r="FJ15" s="396"/>
      <c r="FK15" s="398"/>
      <c r="FL15" s="396"/>
      <c r="FM15" s="398"/>
      <c r="FN15" s="396"/>
      <c r="FO15" s="398"/>
      <c r="FP15" s="397"/>
      <c r="FQ15" s="397"/>
      <c r="FR15" s="396"/>
      <c r="FS15" s="398"/>
      <c r="FT15" s="396"/>
      <c r="FU15" s="398"/>
      <c r="FV15" s="396"/>
      <c r="FW15" s="398"/>
      <c r="FX15" s="397"/>
      <c r="FY15" s="397"/>
      <c r="FZ15" s="396"/>
      <c r="GA15" s="398"/>
      <c r="GB15" s="396"/>
      <c r="GC15" s="398"/>
      <c r="GD15" s="397"/>
      <c r="GE15" s="397"/>
      <c r="GF15" s="396"/>
      <c r="GG15" s="398"/>
      <c r="GH15" s="397"/>
      <c r="GI15" s="397"/>
      <c r="GJ15" s="396"/>
      <c r="GK15" s="398"/>
      <c r="GL15" s="396"/>
      <c r="GM15" s="398"/>
      <c r="GN15" s="397"/>
      <c r="GO15" s="397"/>
      <c r="GP15" s="396"/>
      <c r="GQ15" s="398"/>
      <c r="GR15" s="396"/>
      <c r="GS15" s="398"/>
      <c r="GT15" s="396"/>
      <c r="GU15" s="398"/>
      <c r="GV15" s="397"/>
      <c r="GW15" s="397"/>
      <c r="GX15" s="396"/>
      <c r="GY15" s="398"/>
      <c r="GZ15" s="396"/>
      <c r="HA15" s="398"/>
      <c r="HB15" s="396"/>
      <c r="HC15" s="398"/>
      <c r="HD15" s="396"/>
      <c r="HE15" s="398"/>
      <c r="HF15" s="396"/>
      <c r="HG15" s="398"/>
      <c r="HH15" s="397"/>
      <c r="HI15" s="397"/>
      <c r="HJ15" s="396"/>
      <c r="HK15" s="398"/>
      <c r="HL15" s="396"/>
      <c r="HM15" s="398"/>
      <c r="HN15" s="397"/>
      <c r="HO15" s="397"/>
      <c r="HP15" s="396"/>
      <c r="HQ15" s="398"/>
      <c r="HR15" s="396"/>
      <c r="HS15" s="398"/>
      <c r="HT15" s="396"/>
      <c r="HU15" s="398"/>
      <c r="HV15" s="396"/>
      <c r="HW15" s="398"/>
      <c r="HX15" s="397"/>
      <c r="HY15" s="397"/>
      <c r="HZ15" s="396"/>
      <c r="IA15" s="398"/>
      <c r="IB15" s="396"/>
      <c r="IC15" s="398"/>
      <c r="ID15" s="396"/>
      <c r="IE15" s="398"/>
      <c r="IF15" s="397"/>
      <c r="IG15" s="397"/>
      <c r="IH15" s="396"/>
      <c r="II15" s="398"/>
      <c r="IJ15" s="396"/>
      <c r="IK15" s="398"/>
      <c r="IL15" s="396"/>
      <c r="IM15" s="398"/>
      <c r="IN15" s="396"/>
      <c r="IO15" s="398"/>
      <c r="IP15" s="397"/>
      <c r="IQ15" s="397"/>
      <c r="IR15" s="396"/>
      <c r="IS15" s="398"/>
      <c r="IT15" s="396"/>
      <c r="IU15" s="398"/>
      <c r="IV15" s="396"/>
      <c r="IW15" s="398"/>
      <c r="IX15" s="396"/>
      <c r="IY15" s="398"/>
      <c r="IZ15" s="396"/>
      <c r="JA15" s="398"/>
      <c r="JB15" s="396"/>
      <c r="JC15" s="398"/>
      <c r="JD15" s="396"/>
      <c r="JE15" s="398"/>
      <c r="JF15" s="397"/>
      <c r="JG15" s="397"/>
      <c r="JH15" s="396"/>
      <c r="JI15" s="398"/>
      <c r="JJ15" s="396"/>
      <c r="JK15" s="398"/>
      <c r="JL15" s="396"/>
      <c r="JM15" s="398"/>
      <c r="JN15" s="396"/>
      <c r="JO15" s="398"/>
      <c r="JP15" s="397"/>
      <c r="JQ15" s="397"/>
      <c r="JR15" s="396"/>
      <c r="JS15" s="398"/>
      <c r="JT15" s="396"/>
      <c r="JU15" s="398"/>
      <c r="JV15" s="396"/>
      <c r="JW15" s="398"/>
      <c r="JX15" s="396"/>
      <c r="JY15" s="398"/>
      <c r="JZ15" s="396"/>
      <c r="KA15" s="398"/>
      <c r="KB15" s="396"/>
      <c r="KC15" s="398"/>
      <c r="KD15" s="397"/>
      <c r="KE15" s="397"/>
      <c r="KF15" s="396"/>
      <c r="KG15" s="398"/>
      <c r="KH15" s="397"/>
      <c r="KI15" s="397"/>
      <c r="KJ15" s="396"/>
      <c r="KK15" s="398"/>
      <c r="KL15" s="396"/>
      <c r="KM15" s="398"/>
      <c r="KN15" s="396"/>
      <c r="KO15" s="398"/>
      <c r="KP15" s="396"/>
      <c r="KQ15" s="398"/>
      <c r="KR15" s="396"/>
      <c r="KS15" s="398"/>
      <c r="KT15" s="396"/>
      <c r="KU15" s="398"/>
      <c r="KV15" s="396"/>
      <c r="KW15" s="398"/>
      <c r="KX15" s="396"/>
      <c r="KY15" s="398"/>
      <c r="KZ15" s="396"/>
      <c r="LA15" s="398"/>
      <c r="LB15" s="396"/>
      <c r="LC15" s="398"/>
      <c r="LD15" s="397"/>
      <c r="LE15" s="397"/>
      <c r="LF15" s="396"/>
      <c r="LG15" s="398"/>
      <c r="LH15" s="396"/>
      <c r="LI15" s="398"/>
      <c r="LJ15" s="397"/>
      <c r="LK15" s="397"/>
      <c r="LL15" s="396"/>
      <c r="LM15" s="398"/>
      <c r="LN15" s="397"/>
      <c r="LO15" s="397"/>
      <c r="LP15" s="396"/>
      <c r="LQ15" s="398"/>
      <c r="LR15" s="396"/>
      <c r="LS15" s="398"/>
      <c r="LT15" s="396"/>
      <c r="LU15" s="398"/>
      <c r="LV15" s="397"/>
      <c r="LW15" s="397"/>
      <c r="LX15" s="396"/>
      <c r="LY15" s="398"/>
      <c r="LZ15" s="397"/>
      <c r="MA15" s="397"/>
      <c r="MB15" s="396"/>
      <c r="MC15" s="398"/>
      <c r="MD15" s="396"/>
      <c r="ME15" s="398"/>
      <c r="MF15" s="396"/>
      <c r="MG15" s="398"/>
      <c r="MH15" s="396"/>
      <c r="MI15" s="398"/>
      <c r="MJ15" s="396"/>
      <c r="MK15" s="398"/>
      <c r="ML15" s="397"/>
      <c r="MM15" s="397"/>
      <c r="MN15" s="396"/>
      <c r="MO15" s="398"/>
      <c r="MP15" s="396"/>
      <c r="MQ15" s="398"/>
      <c r="MR15" s="396"/>
      <c r="MS15" s="398"/>
      <c r="MT15" s="396"/>
      <c r="MU15" s="398"/>
      <c r="MV15" s="397"/>
      <c r="MW15" s="397"/>
      <c r="MX15" s="396"/>
      <c r="MY15" s="398"/>
      <c r="MZ15" s="396"/>
      <c r="NA15" s="398"/>
      <c r="NB15" s="396"/>
      <c r="NC15" s="398"/>
      <c r="ND15" s="397"/>
      <c r="NE15" s="397"/>
      <c r="NF15" s="396"/>
      <c r="NG15" s="398"/>
      <c r="NH15" s="396"/>
      <c r="NI15" s="398"/>
      <c r="NJ15" s="396"/>
      <c r="NK15" s="398"/>
      <c r="NL15" s="397"/>
      <c r="NM15" s="397"/>
      <c r="NN15" s="396"/>
      <c r="NO15" s="398"/>
      <c r="NP15" s="396"/>
      <c r="NQ15" s="398"/>
      <c r="NR15" s="397"/>
      <c r="NS15" s="398"/>
      <c r="NT15" s="396"/>
      <c r="NU15" s="398"/>
      <c r="NV15" s="396"/>
      <c r="NW15" s="398"/>
      <c r="NX15" s="396"/>
      <c r="NY15" s="398"/>
      <c r="NZ15" s="396"/>
      <c r="OA15" s="397"/>
      <c r="OB15" s="396"/>
      <c r="OC15" s="398"/>
      <c r="OD15" s="396"/>
      <c r="OE15" s="398"/>
      <c r="OF15" s="397"/>
      <c r="OG15" s="397"/>
      <c r="OH15" s="396"/>
      <c r="OI15" s="398"/>
      <c r="OJ15" s="396"/>
      <c r="OK15" s="398"/>
      <c r="OL15" s="396"/>
      <c r="OM15" s="398"/>
      <c r="ON15" s="396"/>
      <c r="OO15" s="398"/>
      <c r="OP15" s="397"/>
      <c r="OQ15" s="397"/>
      <c r="OR15" s="396"/>
      <c r="OS15" s="398"/>
      <c r="OT15" s="396"/>
      <c r="OU15" s="398"/>
      <c r="OV15" s="397"/>
      <c r="OW15" s="397"/>
      <c r="OX15" s="396"/>
      <c r="OY15" s="398"/>
      <c r="OZ15" s="396"/>
      <c r="PA15" s="398"/>
      <c r="PB15" s="396"/>
      <c r="PC15" s="398"/>
      <c r="PD15" s="294">
        <v>43070</v>
      </c>
      <c r="PE15" s="299" t="str">
        <f t="shared" si="50"/>
        <v>Friday</v>
      </c>
      <c r="PF15" s="396"/>
      <c r="PG15" s="398"/>
      <c r="PH15" s="397"/>
      <c r="PI15" s="397"/>
      <c r="PJ15" s="396"/>
      <c r="PK15" s="398"/>
      <c r="PL15" s="397"/>
      <c r="PM15" s="397"/>
      <c r="PN15" s="396"/>
      <c r="PO15" s="398"/>
      <c r="PP15" s="396"/>
      <c r="PQ15" s="398"/>
      <c r="PR15" s="397"/>
      <c r="PS15" s="397"/>
      <c r="PT15" s="294">
        <v>43007</v>
      </c>
      <c r="PU15" s="299" t="str">
        <f t="shared" si="51"/>
        <v>Friday</v>
      </c>
      <c r="PV15" s="397"/>
      <c r="PW15" s="397"/>
      <c r="PX15" s="396"/>
      <c r="PY15" s="398"/>
      <c r="PZ15" s="396"/>
      <c r="QA15" s="398"/>
      <c r="QB15" s="396"/>
      <c r="QC15" s="398"/>
      <c r="QD15" s="396"/>
      <c r="QE15" s="398"/>
      <c r="QF15" s="396"/>
      <c r="QG15" s="398"/>
      <c r="QH15" s="397"/>
      <c r="QI15" s="397"/>
      <c r="QJ15" s="396"/>
      <c r="QK15" s="398"/>
      <c r="QL15" s="396"/>
      <c r="QM15" s="398"/>
      <c r="QN15" s="397"/>
      <c r="QO15" s="397"/>
      <c r="QP15" s="396"/>
      <c r="QQ15" s="398"/>
      <c r="QR15" s="396"/>
      <c r="QS15" s="398"/>
      <c r="QT15" s="396"/>
      <c r="QU15" s="398"/>
      <c r="QV15" s="397"/>
      <c r="QW15" s="398"/>
      <c r="QX15" s="396"/>
      <c r="QY15" s="398"/>
      <c r="QZ15" s="396"/>
      <c r="RA15" s="398"/>
      <c r="RB15" s="396"/>
      <c r="RC15" s="398"/>
      <c r="RD15" s="396"/>
      <c r="RE15" s="398"/>
      <c r="RF15" s="396"/>
      <c r="RG15" s="398"/>
      <c r="RH15" s="396"/>
      <c r="RI15" s="398"/>
      <c r="RJ15" s="396"/>
      <c r="RK15" s="398"/>
      <c r="RL15" s="397"/>
      <c r="RM15" s="397"/>
      <c r="RN15" s="396"/>
      <c r="RO15" s="398"/>
      <c r="RP15" s="397"/>
      <c r="RQ15" s="397"/>
      <c r="RR15" s="396"/>
      <c r="RS15" s="398"/>
      <c r="RT15" s="396"/>
      <c r="RU15" s="398"/>
      <c r="RV15" s="397"/>
      <c r="RW15" s="397"/>
      <c r="RX15" s="396"/>
      <c r="RY15" s="398"/>
      <c r="RZ15" s="396"/>
      <c r="SA15" s="397"/>
      <c r="SB15" s="396"/>
      <c r="SC15" s="398"/>
      <c r="SD15" s="396"/>
      <c r="SE15" s="398"/>
      <c r="SF15" s="396"/>
      <c r="SG15" s="398"/>
      <c r="SH15" s="396"/>
      <c r="SI15" s="398"/>
      <c r="SJ15" s="397"/>
      <c r="SK15" s="397"/>
      <c r="SL15" s="396"/>
      <c r="SM15" s="398"/>
      <c r="SN15" s="396"/>
      <c r="SO15" s="398"/>
      <c r="SP15" s="397"/>
      <c r="SQ15" s="397"/>
      <c r="SR15" s="396"/>
      <c r="SS15" s="398"/>
      <c r="ST15" s="397"/>
      <c r="SU15" s="397"/>
      <c r="SV15" s="396"/>
      <c r="SW15" s="398"/>
      <c r="SX15" s="396"/>
      <c r="SY15" s="398"/>
      <c r="SZ15" s="396"/>
      <c r="TA15" s="398"/>
      <c r="TB15" s="396"/>
      <c r="TC15" s="398"/>
      <c r="TD15" s="397"/>
      <c r="TE15" s="397"/>
      <c r="TF15" s="396"/>
      <c r="TG15" s="398"/>
      <c r="TH15" s="396"/>
      <c r="TI15" s="398"/>
      <c r="TJ15" s="397"/>
      <c r="TK15" s="397"/>
      <c r="TL15" s="396"/>
      <c r="TM15" s="398"/>
      <c r="TN15" s="396"/>
      <c r="TO15" s="398"/>
      <c r="TP15" s="396"/>
      <c r="TQ15" s="398"/>
      <c r="TR15" s="396"/>
      <c r="TS15" s="398"/>
      <c r="TT15" s="396"/>
      <c r="TU15" s="398"/>
      <c r="TV15" s="396"/>
      <c r="TW15" s="398"/>
      <c r="TX15" s="396"/>
      <c r="TY15" s="398"/>
      <c r="TZ15" s="397"/>
      <c r="UA15" s="397"/>
      <c r="UB15" s="396"/>
      <c r="UC15" s="398"/>
      <c r="UD15" s="396"/>
      <c r="UE15" s="398"/>
      <c r="UF15" s="396"/>
      <c r="UG15" s="398"/>
      <c r="UH15" s="397"/>
      <c r="UI15" s="397"/>
      <c r="UJ15" s="396"/>
      <c r="UK15" s="398"/>
      <c r="UL15" s="396"/>
      <c r="UM15" s="398"/>
      <c r="UN15" s="396"/>
      <c r="UO15" s="398"/>
      <c r="UP15" s="396"/>
      <c r="UQ15" s="398"/>
      <c r="UR15" s="397"/>
      <c r="US15" s="397"/>
      <c r="UT15" s="396"/>
      <c r="UU15" s="398"/>
      <c r="UV15" s="396"/>
      <c r="UW15" s="398"/>
      <c r="UX15" s="396"/>
      <c r="UY15" s="398"/>
      <c r="UZ15" s="397"/>
      <c r="VA15" s="397"/>
      <c r="VB15" s="396"/>
      <c r="VC15" s="398"/>
      <c r="VD15" s="396"/>
      <c r="VE15" s="398"/>
      <c r="VF15" s="396"/>
      <c r="VG15" s="398"/>
      <c r="VH15" s="397"/>
      <c r="VI15" s="397"/>
      <c r="VJ15" s="396"/>
      <c r="VK15" s="398"/>
      <c r="VL15" s="396"/>
      <c r="VM15" s="398"/>
      <c r="VN15" s="397"/>
      <c r="VO15" s="397"/>
      <c r="VP15" s="396"/>
      <c r="VQ15" s="398"/>
      <c r="VR15" s="396"/>
      <c r="VS15" s="398"/>
      <c r="VT15" s="396"/>
      <c r="VU15" s="398"/>
      <c r="VV15" s="396"/>
      <c r="VW15" s="398"/>
      <c r="VX15" s="396"/>
      <c r="VY15" s="398"/>
      <c r="VZ15" s="397"/>
      <c r="WA15" s="397"/>
      <c r="WB15" s="396"/>
      <c r="WC15" s="398"/>
      <c r="WD15" s="396"/>
      <c r="WE15" s="398"/>
      <c r="WF15" s="396"/>
      <c r="WG15" s="398"/>
      <c r="WH15" s="396"/>
      <c r="WI15" s="398"/>
      <c r="WJ15" s="396"/>
      <c r="WK15" s="398"/>
      <c r="WL15" s="397"/>
      <c r="WM15" s="397"/>
      <c r="WN15" s="396"/>
      <c r="WO15" s="398"/>
      <c r="WP15" s="397"/>
      <c r="WQ15" s="397"/>
      <c r="WR15" s="396"/>
      <c r="WS15" s="397"/>
      <c r="WT15" s="396"/>
      <c r="WU15" s="398"/>
      <c r="WV15" s="396"/>
      <c r="WW15" s="398"/>
      <c r="WX15" s="397"/>
      <c r="WY15" s="397"/>
      <c r="WZ15" s="396"/>
      <c r="XA15" s="398"/>
      <c r="XB15" s="396"/>
      <c r="XC15" s="398"/>
      <c r="XD15" s="396"/>
      <c r="XE15" s="398"/>
      <c r="XF15" s="396"/>
      <c r="XG15" s="398"/>
      <c r="XH15" s="397"/>
      <c r="XI15" s="397"/>
      <c r="XJ15" s="396"/>
      <c r="XK15" s="398"/>
      <c r="XL15" s="397"/>
      <c r="XM15" s="397"/>
      <c r="XN15" s="396"/>
      <c r="XO15" s="398"/>
      <c r="XP15" s="396"/>
      <c r="XQ15" s="398"/>
      <c r="XR15" s="397"/>
      <c r="XS15" s="397"/>
      <c r="XT15" s="396"/>
      <c r="XU15" s="398"/>
      <c r="XV15" s="396"/>
      <c r="XW15" s="398"/>
      <c r="XX15" s="396"/>
      <c r="XY15" s="398"/>
      <c r="XZ15" s="397"/>
      <c r="YA15" s="397"/>
      <c r="YB15" s="396"/>
      <c r="YC15" s="398"/>
      <c r="YD15" s="396"/>
      <c r="YE15" s="398"/>
      <c r="YF15" s="396"/>
      <c r="YG15" s="398"/>
      <c r="YH15" s="396"/>
      <c r="YI15" s="398"/>
      <c r="YJ15" s="397"/>
      <c r="YK15" s="397"/>
      <c r="YL15" s="396"/>
      <c r="YM15" s="398"/>
      <c r="YN15" s="396"/>
      <c r="YO15" s="398"/>
      <c r="YP15" s="396"/>
      <c r="YQ15" s="398"/>
      <c r="YR15" s="396"/>
      <c r="YS15" s="398"/>
      <c r="YT15" s="397"/>
      <c r="YU15" s="397"/>
      <c r="YV15" s="396"/>
      <c r="YW15" s="398"/>
      <c r="YX15" s="396"/>
      <c r="YY15" s="398"/>
      <c r="YZ15" s="397"/>
      <c r="ZA15" s="397"/>
      <c r="ZB15" s="396"/>
      <c r="ZC15" s="398"/>
      <c r="ZD15" s="397"/>
      <c r="ZE15" s="397"/>
      <c r="ZF15" s="396"/>
      <c r="ZG15" s="398"/>
      <c r="ZH15" s="396"/>
      <c r="ZI15" s="398"/>
      <c r="ZJ15" s="396"/>
      <c r="ZK15" s="398"/>
      <c r="ZL15" s="397"/>
      <c r="ZM15" s="397"/>
      <c r="ZN15" s="396"/>
      <c r="ZO15" s="398"/>
      <c r="ZP15" s="396"/>
      <c r="ZQ15" s="398"/>
      <c r="ZR15" s="397"/>
      <c r="ZS15" s="397"/>
      <c r="ZT15" s="396"/>
      <c r="ZU15" s="398"/>
      <c r="ZV15" s="396"/>
      <c r="ZW15" s="398"/>
      <c r="ZX15" s="397"/>
      <c r="ZY15" s="397"/>
      <c r="ZZ15" s="396"/>
      <c r="AAA15" s="398"/>
      <c r="AAB15" s="396"/>
      <c r="AAC15" s="398"/>
      <c r="AAD15" s="396"/>
      <c r="AAE15" s="398"/>
      <c r="AAF15" s="396"/>
      <c r="AAG15" s="398"/>
      <c r="AAH15" s="397"/>
      <c r="AAI15" s="397"/>
      <c r="AAJ15" s="396"/>
      <c r="AAK15" s="398"/>
      <c r="AAL15" s="396"/>
      <c r="AAM15" s="398"/>
      <c r="AAN15" s="396"/>
      <c r="AAO15" s="398"/>
      <c r="AAP15" s="396"/>
      <c r="AAQ15" s="398"/>
      <c r="AAR15" s="396"/>
      <c r="AAS15" s="398"/>
      <c r="AAT15" s="397"/>
      <c r="AAU15" s="397"/>
      <c r="AAV15" s="396"/>
      <c r="AAW15" s="398"/>
      <c r="AAX15" s="397"/>
      <c r="AAY15" s="397"/>
      <c r="AAZ15" s="396"/>
      <c r="ABA15" s="398"/>
      <c r="ABB15" s="396"/>
      <c r="ABC15" s="398"/>
      <c r="ABD15" s="396"/>
      <c r="ABE15" s="398"/>
      <c r="ABF15" s="397"/>
      <c r="ABG15" s="397"/>
      <c r="ABH15" s="396"/>
      <c r="ABI15" s="398"/>
      <c r="ABJ15" s="396"/>
      <c r="ABK15" s="398"/>
      <c r="ABL15" s="396"/>
      <c r="ABM15" s="398"/>
      <c r="ABN15" s="396"/>
      <c r="ABO15" s="398"/>
      <c r="ABP15" s="397"/>
      <c r="ABQ15" s="397"/>
      <c r="ABR15" s="396"/>
      <c r="ABS15" s="398"/>
      <c r="ABT15" s="396"/>
      <c r="ABU15" s="398"/>
      <c r="ABV15" s="396"/>
      <c r="ABW15" s="398"/>
      <c r="ABX15" s="397"/>
      <c r="ABY15" s="397"/>
      <c r="ABZ15" s="396"/>
      <c r="ACA15" s="398"/>
      <c r="ACB15" s="396"/>
      <c r="ACC15" s="398"/>
      <c r="ACD15" s="396"/>
      <c r="ACE15" s="398"/>
      <c r="ACF15" s="396"/>
      <c r="ACG15" s="398"/>
      <c r="ACH15" s="396"/>
      <c r="ACI15" s="398"/>
      <c r="ACJ15" s="397"/>
      <c r="ACK15" s="397"/>
      <c r="ACL15" s="396"/>
      <c r="ACM15" s="398"/>
      <c r="ACN15" s="397"/>
      <c r="ACO15" s="397"/>
      <c r="ACP15" s="396"/>
      <c r="ACQ15" s="398"/>
      <c r="ACR15" s="396"/>
      <c r="ACS15" s="398"/>
      <c r="ACT15" s="396"/>
      <c r="ACU15" s="398"/>
      <c r="ACV15" s="396"/>
      <c r="ACW15" s="398"/>
      <c r="ACX15" s="397"/>
      <c r="ACY15" s="397"/>
      <c r="ACZ15" s="396"/>
      <c r="ADA15" s="398"/>
      <c r="ADB15" s="396"/>
      <c r="ADC15" s="398"/>
      <c r="ADD15" s="396"/>
      <c r="ADE15" s="398"/>
      <c r="ADF15" s="396"/>
      <c r="ADG15" s="398"/>
      <c r="ADH15" s="396"/>
      <c r="ADI15" s="398"/>
      <c r="ADJ15" s="396"/>
      <c r="ADK15" s="398"/>
      <c r="ADL15" s="397"/>
      <c r="ADM15" s="398"/>
      <c r="ADN15" s="397"/>
      <c r="ADO15" s="398"/>
      <c r="ADP15" s="396"/>
      <c r="ADQ15" s="398"/>
      <c r="ADR15" s="397"/>
      <c r="ADS15" s="398"/>
      <c r="ADT15" s="396"/>
      <c r="ADU15" s="398"/>
      <c r="ADV15" s="397"/>
      <c r="ADW15" s="397"/>
      <c r="ADX15" s="396"/>
      <c r="ADY15" s="398"/>
      <c r="ADZ15" s="396"/>
      <c r="AEA15" s="398"/>
      <c r="AEB15" s="396"/>
      <c r="AEC15" s="398"/>
      <c r="AED15" s="397"/>
      <c r="AEE15" s="397"/>
      <c r="AEF15" s="396"/>
      <c r="AEG15" s="398"/>
      <c r="AEH15" s="396"/>
      <c r="AEI15" s="397"/>
      <c r="AEJ15" s="396"/>
      <c r="AEK15" s="398"/>
      <c r="AEL15" s="396"/>
      <c r="AEM15" s="398"/>
      <c r="AEN15" s="396"/>
      <c r="AEO15" s="398"/>
      <c r="AEP15" s="396"/>
      <c r="AEQ15" s="398"/>
      <c r="AER15" s="397"/>
      <c r="AES15" s="397"/>
      <c r="AET15" s="396"/>
      <c r="AEU15" s="398"/>
      <c r="AEV15" s="397"/>
      <c r="AEW15" s="397"/>
      <c r="AEX15" s="396"/>
      <c r="AEY15" s="398"/>
      <c r="AEZ15" s="396"/>
      <c r="AFA15" s="398"/>
      <c r="AFB15" s="396"/>
      <c r="AFC15" s="398"/>
      <c r="AFD15" s="396"/>
      <c r="AFE15" s="398"/>
      <c r="AFF15" s="397"/>
      <c r="AFG15" s="397"/>
      <c r="AFH15" s="396"/>
      <c r="AFI15" s="398"/>
      <c r="AFJ15" s="397"/>
      <c r="AFK15" s="397"/>
      <c r="AFL15" s="396"/>
      <c r="AFM15" s="398"/>
      <c r="AFN15" s="396"/>
      <c r="AFO15" s="398"/>
      <c r="AFP15" s="396"/>
      <c r="AFQ15" s="398"/>
      <c r="AFR15" s="397"/>
      <c r="AFS15" s="397"/>
      <c r="AFT15" s="396"/>
      <c r="AFU15" s="398"/>
      <c r="AFV15" s="397"/>
      <c r="AFW15" s="397"/>
      <c r="AFX15" s="396"/>
      <c r="AFY15" s="397"/>
      <c r="AFZ15" s="396"/>
      <c r="AGA15" s="398"/>
      <c r="AGB15" s="396"/>
      <c r="AGC15" s="398"/>
      <c r="AGD15" s="397"/>
      <c r="AGE15" s="397"/>
      <c r="AGF15" s="396"/>
      <c r="AGG15" s="398"/>
      <c r="AGH15" s="396"/>
      <c r="AGI15" s="398"/>
      <c r="AGJ15" s="397"/>
      <c r="AGK15" s="397"/>
      <c r="AGL15" s="396"/>
      <c r="AGM15" s="398"/>
      <c r="AGN15" s="396"/>
      <c r="AGO15" s="398"/>
      <c r="AGP15" s="396"/>
      <c r="AGQ15" s="398"/>
      <c r="AGR15" s="396"/>
      <c r="AGS15" s="398"/>
      <c r="AGT15" s="396"/>
      <c r="AGU15" s="398"/>
      <c r="AGV15" s="397"/>
      <c r="AGW15" s="398"/>
      <c r="AGX15" s="396"/>
      <c r="AGY15" s="398"/>
      <c r="AGZ15" s="396"/>
      <c r="AHA15" s="398"/>
      <c r="AHB15" s="396"/>
      <c r="AHC15" s="398"/>
      <c r="AHD15" s="396"/>
      <c r="AHE15" s="398"/>
      <c r="AHF15" s="396"/>
      <c r="AHG15" s="398"/>
      <c r="AHH15" s="396"/>
      <c r="AHI15" s="397"/>
      <c r="AHJ15" s="396"/>
      <c r="AHK15" s="398"/>
      <c r="AHL15" s="397"/>
      <c r="AHM15" s="398"/>
      <c r="AHN15" s="396"/>
      <c r="AHO15" s="398"/>
      <c r="AHP15" s="396"/>
      <c r="AHQ15" s="398"/>
      <c r="AHR15" s="396"/>
      <c r="AHS15" s="397"/>
      <c r="AHT15" s="396"/>
      <c r="AHU15" s="397"/>
      <c r="AHV15" s="396"/>
      <c r="AHW15" s="398"/>
      <c r="AHX15" s="396"/>
      <c r="AHY15" s="398"/>
      <c r="AHZ15" s="396"/>
      <c r="AIA15" s="398"/>
    </row>
    <row r="16" spans="1:911" ht="15.75" customHeight="1" x14ac:dyDescent="0.2">
      <c r="A16" s="473">
        <v>2018</v>
      </c>
      <c r="B16" s="476" t="s">
        <v>22</v>
      </c>
      <c r="C16" s="473" t="s">
        <v>22</v>
      </c>
      <c r="D16" s="476" t="s">
        <v>22</v>
      </c>
      <c r="E16" s="473" t="s">
        <v>22</v>
      </c>
      <c r="F16" s="476" t="s">
        <v>22</v>
      </c>
      <c r="G16" s="473" t="s">
        <v>22</v>
      </c>
      <c r="H16" s="476" t="s">
        <v>22</v>
      </c>
      <c r="I16" s="473" t="s">
        <v>22</v>
      </c>
      <c r="J16" s="476" t="s">
        <v>22</v>
      </c>
      <c r="K16" s="473" t="s">
        <v>22</v>
      </c>
      <c r="L16" s="476" t="s">
        <v>22</v>
      </c>
      <c r="M16" s="473" t="s">
        <v>22</v>
      </c>
      <c r="N16" s="476" t="s">
        <v>22</v>
      </c>
      <c r="O16" s="473" t="s">
        <v>22</v>
      </c>
      <c r="P16" s="476" t="s">
        <v>22</v>
      </c>
      <c r="Q16" s="473" t="s">
        <v>22</v>
      </c>
      <c r="R16" s="476" t="s">
        <v>22</v>
      </c>
      <c r="S16" s="473" t="s">
        <v>22</v>
      </c>
      <c r="T16" s="476" t="s">
        <v>22</v>
      </c>
      <c r="U16" s="473" t="s">
        <v>22</v>
      </c>
      <c r="V16" s="476" t="s">
        <v>22</v>
      </c>
      <c r="W16" s="473" t="s">
        <v>22</v>
      </c>
      <c r="X16" s="476" t="s">
        <v>22</v>
      </c>
      <c r="Y16" s="473" t="s">
        <v>22</v>
      </c>
      <c r="Z16" s="476" t="s">
        <v>22</v>
      </c>
      <c r="AA16" s="473" t="s">
        <v>22</v>
      </c>
      <c r="AB16" s="476" t="s">
        <v>22</v>
      </c>
      <c r="AC16" s="473" t="s">
        <v>22</v>
      </c>
      <c r="AD16" s="426" t="s">
        <v>22</v>
      </c>
      <c r="AE16" s="426" t="s">
        <v>22</v>
      </c>
      <c r="AF16" s="476" t="s">
        <v>22</v>
      </c>
      <c r="AG16" s="426" t="s">
        <v>22</v>
      </c>
      <c r="AH16" s="480">
        <v>43147</v>
      </c>
      <c r="AI16" s="482" t="str">
        <f>CHOOSE(WEEKDAY(AH16,2),"Monday","Tuesday","Wednesday","Thursday","Friday","Saturday","Sunday")</f>
        <v>Friday</v>
      </c>
      <c r="AJ16" s="426" t="s">
        <v>22</v>
      </c>
      <c r="AK16" s="426" t="s">
        <v>22</v>
      </c>
      <c r="AL16" s="476" t="s">
        <v>22</v>
      </c>
      <c r="AM16" s="473" t="s">
        <v>22</v>
      </c>
      <c r="AN16" s="476" t="s">
        <v>22</v>
      </c>
      <c r="AO16" s="473" t="s">
        <v>22</v>
      </c>
      <c r="AP16" s="476" t="s">
        <v>22</v>
      </c>
      <c r="AQ16" s="473" t="s">
        <v>22</v>
      </c>
      <c r="AR16" s="476" t="s">
        <v>22</v>
      </c>
      <c r="AS16" s="473" t="s">
        <v>22</v>
      </c>
      <c r="AT16" s="476" t="s">
        <v>22</v>
      </c>
      <c r="AU16" s="473" t="s">
        <v>22</v>
      </c>
      <c r="AV16" s="426" t="s">
        <v>22</v>
      </c>
      <c r="AW16" s="426" t="s">
        <v>22</v>
      </c>
      <c r="AX16" s="476" t="s">
        <v>22</v>
      </c>
      <c r="AY16" s="473" t="s">
        <v>22</v>
      </c>
      <c r="AZ16" s="476" t="s">
        <v>22</v>
      </c>
      <c r="BA16" s="473" t="s">
        <v>22</v>
      </c>
      <c r="BB16" s="426" t="s">
        <v>22</v>
      </c>
      <c r="BC16" s="426" t="s">
        <v>22</v>
      </c>
      <c r="BD16" s="476" t="s">
        <v>22</v>
      </c>
      <c r="BE16" s="473" t="s">
        <v>22</v>
      </c>
      <c r="BF16" s="480">
        <v>43133</v>
      </c>
      <c r="BG16" s="482" t="str">
        <f>CHOOSE(WEEKDAY(BF16,2),"Monday","Tuesday","Wednesday","Thursday","Friday","Saturday","Sunday")</f>
        <v>Friday</v>
      </c>
      <c r="BH16" s="476" t="s">
        <v>22</v>
      </c>
      <c r="BI16" s="473" t="s">
        <v>22</v>
      </c>
      <c r="BJ16" s="476" t="s">
        <v>22</v>
      </c>
      <c r="BK16" s="473" t="s">
        <v>22</v>
      </c>
      <c r="BL16" s="426" t="s">
        <v>22</v>
      </c>
      <c r="BM16" s="426" t="s">
        <v>22</v>
      </c>
      <c r="BN16" s="476" t="s">
        <v>22</v>
      </c>
      <c r="BO16" s="473" t="s">
        <v>22</v>
      </c>
      <c r="BP16" s="476" t="s">
        <v>22</v>
      </c>
      <c r="BQ16" s="473" t="s">
        <v>22</v>
      </c>
      <c r="BR16" s="480">
        <v>43182</v>
      </c>
      <c r="BS16" s="482" t="str">
        <f>CHOOSE(WEEKDAY(BR16,2),"Monday","Tuesday","Wednesday","Thursday","Friday","Saturday","Sunday")</f>
        <v>Friday</v>
      </c>
      <c r="BT16" s="426" t="s">
        <v>22</v>
      </c>
      <c r="BU16" s="426" t="s">
        <v>22</v>
      </c>
      <c r="BV16" s="480">
        <v>43140</v>
      </c>
      <c r="BW16" s="482" t="str">
        <f>CHOOSE(WEEKDAY(BV16,2),"Monday","Tuesday","Wednesday","Thursday","Friday","Saturday","Sunday")</f>
        <v>Friday</v>
      </c>
      <c r="BX16" s="426" t="s">
        <v>22</v>
      </c>
      <c r="BY16" s="426" t="s">
        <v>22</v>
      </c>
      <c r="BZ16" s="476" t="s">
        <v>22</v>
      </c>
      <c r="CA16" s="473" t="s">
        <v>22</v>
      </c>
      <c r="CB16" s="476" t="s">
        <v>22</v>
      </c>
      <c r="CC16" s="473" t="s">
        <v>22</v>
      </c>
      <c r="CD16" s="476" t="s">
        <v>22</v>
      </c>
      <c r="CE16" s="473" t="s">
        <v>22</v>
      </c>
      <c r="CF16" s="476" t="s">
        <v>22</v>
      </c>
      <c r="CG16" s="473" t="s">
        <v>22</v>
      </c>
      <c r="CH16" s="476" t="s">
        <v>22</v>
      </c>
      <c r="CI16" s="473" t="s">
        <v>22</v>
      </c>
      <c r="CJ16" s="476" t="s">
        <v>22</v>
      </c>
      <c r="CK16" s="473" t="s">
        <v>22</v>
      </c>
      <c r="CL16" s="426" t="s">
        <v>22</v>
      </c>
      <c r="CM16" s="426" t="s">
        <v>22</v>
      </c>
      <c r="CN16" s="480">
        <v>43145</v>
      </c>
      <c r="CO16" s="481" t="str">
        <f>CHOOSE(WEEKDAY(CN16,2),"Monday","Tuesday","Wednesday","Thursday","Friday","Saturday","Sunday")</f>
        <v>Wednesday</v>
      </c>
      <c r="CP16" s="476" t="s">
        <v>22</v>
      </c>
      <c r="CQ16" s="473" t="s">
        <v>22</v>
      </c>
      <c r="CR16" s="476" t="s">
        <v>22</v>
      </c>
      <c r="CS16" s="473" t="s">
        <v>22</v>
      </c>
      <c r="CT16" s="426" t="s">
        <v>22</v>
      </c>
      <c r="CU16" s="426" t="s">
        <v>22</v>
      </c>
      <c r="CV16" s="476" t="s">
        <v>22</v>
      </c>
      <c r="CW16" s="473" t="s">
        <v>22</v>
      </c>
      <c r="CX16" s="476" t="s">
        <v>22</v>
      </c>
      <c r="CY16" s="473" t="s">
        <v>22</v>
      </c>
      <c r="CZ16" s="426" t="s">
        <v>22</v>
      </c>
      <c r="DA16" s="426" t="s">
        <v>22</v>
      </c>
      <c r="DB16" s="476" t="s">
        <v>22</v>
      </c>
      <c r="DC16" s="473" t="s">
        <v>22</v>
      </c>
      <c r="DD16" s="476" t="s">
        <v>22</v>
      </c>
      <c r="DE16" s="473" t="s">
        <v>22</v>
      </c>
      <c r="DF16" s="426" t="s">
        <v>22</v>
      </c>
      <c r="DG16" s="426" t="s">
        <v>22</v>
      </c>
      <c r="DH16" s="476" t="s">
        <v>22</v>
      </c>
      <c r="DI16" s="473" t="s">
        <v>22</v>
      </c>
      <c r="DJ16" s="476" t="s">
        <v>22</v>
      </c>
      <c r="DK16" s="473" t="s">
        <v>22</v>
      </c>
      <c r="DL16" s="476" t="s">
        <v>22</v>
      </c>
      <c r="DM16" s="473" t="s">
        <v>22</v>
      </c>
      <c r="DN16" s="426" t="s">
        <v>22</v>
      </c>
      <c r="DO16" s="426" t="s">
        <v>22</v>
      </c>
      <c r="DP16" s="476" t="s">
        <v>22</v>
      </c>
      <c r="DQ16" s="473" t="s">
        <v>22</v>
      </c>
      <c r="DR16" s="476" t="s">
        <v>22</v>
      </c>
      <c r="DS16" s="473" t="s">
        <v>22</v>
      </c>
      <c r="DT16" s="474">
        <v>43153</v>
      </c>
      <c r="DU16" s="491" t="str">
        <f>CHOOSE(WEEKDAY(DT16,2),"Monday","Tuesday","Wednesday","Thursday","Friday","Saturday","Sunday")</f>
        <v>Thursday</v>
      </c>
      <c r="DV16" s="476" t="s">
        <v>22</v>
      </c>
      <c r="DW16" s="473" t="s">
        <v>22</v>
      </c>
      <c r="DX16" s="476" t="s">
        <v>22</v>
      </c>
      <c r="DY16" s="473" t="s">
        <v>22</v>
      </c>
      <c r="DZ16" s="426" t="s">
        <v>22</v>
      </c>
      <c r="EA16" s="426" t="s">
        <v>22</v>
      </c>
      <c r="EB16" s="476" t="s">
        <v>22</v>
      </c>
      <c r="EC16" s="473" t="s">
        <v>22</v>
      </c>
      <c r="ED16" s="426" t="s">
        <v>22</v>
      </c>
      <c r="EE16" s="426" t="s">
        <v>22</v>
      </c>
      <c r="EF16" s="476" t="s">
        <v>22</v>
      </c>
      <c r="EG16" s="473" t="s">
        <v>22</v>
      </c>
      <c r="EH16" s="476" t="s">
        <v>22</v>
      </c>
      <c r="EI16" s="473" t="s">
        <v>22</v>
      </c>
      <c r="EJ16" s="476" t="s">
        <v>22</v>
      </c>
      <c r="EK16" s="473" t="s">
        <v>22</v>
      </c>
      <c r="EL16" s="426" t="s">
        <v>22</v>
      </c>
      <c r="EM16" s="426" t="s">
        <v>22</v>
      </c>
      <c r="EN16" s="476" t="s">
        <v>22</v>
      </c>
      <c r="EO16" s="473" t="s">
        <v>22</v>
      </c>
      <c r="EP16" s="476" t="s">
        <v>22</v>
      </c>
      <c r="EQ16" s="473" t="s">
        <v>22</v>
      </c>
      <c r="ER16" s="476" t="s">
        <v>22</v>
      </c>
      <c r="ES16" s="473" t="s">
        <v>22</v>
      </c>
      <c r="ET16" s="426" t="s">
        <v>22</v>
      </c>
      <c r="EU16" s="426" t="s">
        <v>22</v>
      </c>
      <c r="EV16" s="476" t="s">
        <v>22</v>
      </c>
      <c r="EW16" s="473" t="s">
        <v>22</v>
      </c>
      <c r="EX16" s="476" t="s">
        <v>22</v>
      </c>
      <c r="EY16" s="473" t="s">
        <v>22</v>
      </c>
      <c r="EZ16" s="480">
        <v>43167</v>
      </c>
      <c r="FA16" s="484" t="str">
        <f>CHOOSE(WEEKDAY(EZ16,2),"Monday","Tuesday","Wednesday","Thursday","Friday","Saturday","Sunday")</f>
        <v>Thursday</v>
      </c>
      <c r="FB16" s="426" t="s">
        <v>22</v>
      </c>
      <c r="FC16" s="426" t="s">
        <v>22</v>
      </c>
      <c r="FD16" s="476" t="s">
        <v>22</v>
      </c>
      <c r="FE16" s="473" t="s">
        <v>22</v>
      </c>
      <c r="FF16" s="426" t="s">
        <v>22</v>
      </c>
      <c r="FG16" s="473" t="s">
        <v>22</v>
      </c>
      <c r="FH16" s="426" t="s">
        <v>22</v>
      </c>
      <c r="FI16" s="426" t="s">
        <v>22</v>
      </c>
      <c r="FJ16" s="476" t="s">
        <v>22</v>
      </c>
      <c r="FK16" s="473" t="s">
        <v>22</v>
      </c>
      <c r="FL16" s="509"/>
      <c r="FM16" s="473" t="s">
        <v>22</v>
      </c>
      <c r="FN16" s="476" t="s">
        <v>22</v>
      </c>
      <c r="FO16" s="473" t="s">
        <v>22</v>
      </c>
      <c r="FP16" s="426" t="s">
        <v>22</v>
      </c>
      <c r="FQ16" s="426" t="s">
        <v>22</v>
      </c>
      <c r="FR16" s="476" t="s">
        <v>22</v>
      </c>
      <c r="FS16" s="473" t="s">
        <v>22</v>
      </c>
      <c r="FT16" s="476" t="s">
        <v>22</v>
      </c>
      <c r="FU16" s="473" t="s">
        <v>22</v>
      </c>
      <c r="FV16" s="480">
        <v>43175</v>
      </c>
      <c r="FW16" s="482" t="str">
        <f>CHOOSE(WEEKDAY(FV16,2),"Monday","Tuesday","Wednesday","Thursday","Friday","Saturday","Sunday")</f>
        <v>Friday</v>
      </c>
      <c r="FX16" s="426" t="s">
        <v>22</v>
      </c>
      <c r="FY16" s="426" t="s">
        <v>22</v>
      </c>
      <c r="FZ16" s="476" t="s">
        <v>22</v>
      </c>
      <c r="GA16" s="473" t="s">
        <v>22</v>
      </c>
      <c r="GB16" s="476" t="s">
        <v>22</v>
      </c>
      <c r="GC16" s="473" t="s">
        <v>22</v>
      </c>
      <c r="GD16" s="426" t="s">
        <v>22</v>
      </c>
      <c r="GE16" s="426" t="s">
        <v>22</v>
      </c>
      <c r="GF16" s="476" t="s">
        <v>22</v>
      </c>
      <c r="GG16" s="473" t="s">
        <v>22</v>
      </c>
      <c r="GH16" s="474">
        <v>43178</v>
      </c>
      <c r="GI16" s="486" t="str">
        <f>CHOOSE(WEEKDAY(GH16,2),"Monday","Tuesday","Wednesday","Thursday","Friday","Saturday","Sunday")</f>
        <v>Monday</v>
      </c>
      <c r="GJ16" s="476" t="s">
        <v>22</v>
      </c>
      <c r="GK16" s="473" t="s">
        <v>22</v>
      </c>
      <c r="GL16" s="476" t="s">
        <v>22</v>
      </c>
      <c r="GM16" s="473" t="s">
        <v>22</v>
      </c>
      <c r="GN16" s="426" t="s">
        <v>22</v>
      </c>
      <c r="GO16" s="426" t="s">
        <v>22</v>
      </c>
      <c r="GP16" s="476" t="s">
        <v>22</v>
      </c>
      <c r="GQ16" s="473" t="s">
        <v>22</v>
      </c>
      <c r="GR16" s="476" t="s">
        <v>22</v>
      </c>
      <c r="GS16" s="473" t="s">
        <v>22</v>
      </c>
      <c r="GT16" s="476" t="s">
        <v>22</v>
      </c>
      <c r="GU16" s="473" t="s">
        <v>22</v>
      </c>
      <c r="GV16" s="426" t="s">
        <v>22</v>
      </c>
      <c r="GW16" s="426" t="s">
        <v>22</v>
      </c>
      <c r="GX16" s="476" t="s">
        <v>22</v>
      </c>
      <c r="GY16" s="473" t="s">
        <v>22</v>
      </c>
      <c r="GZ16" s="476" t="s">
        <v>22</v>
      </c>
      <c r="HA16" s="473" t="s">
        <v>22</v>
      </c>
      <c r="HB16" s="476" t="s">
        <v>22</v>
      </c>
      <c r="HC16" s="473" t="s">
        <v>22</v>
      </c>
      <c r="HD16" s="476" t="s">
        <v>22</v>
      </c>
      <c r="HE16" s="473" t="s">
        <v>22</v>
      </c>
      <c r="HF16" s="476" t="s">
        <v>22</v>
      </c>
      <c r="HG16" s="473" t="s">
        <v>22</v>
      </c>
      <c r="HH16" s="426" t="s">
        <v>22</v>
      </c>
      <c r="HI16" s="426" t="s">
        <v>22</v>
      </c>
      <c r="HJ16" s="476" t="s">
        <v>22</v>
      </c>
      <c r="HK16" s="473" t="s">
        <v>22</v>
      </c>
      <c r="HL16" s="476" t="s">
        <v>22</v>
      </c>
      <c r="HM16" s="473" t="s">
        <v>22</v>
      </c>
      <c r="HN16" s="276">
        <v>43191</v>
      </c>
      <c r="HO16" s="19" t="str">
        <f t="shared" ref="HO16:HO20" si="56">CHOOSE(WEEKDAY(HN16,2),"Monday","Tuesday","Wednesday","Thursday","Friday","Saturday","Sunday")</f>
        <v>Sunday</v>
      </c>
      <c r="HP16" s="480">
        <v>43196</v>
      </c>
      <c r="HQ16" s="482" t="str">
        <f>CHOOSE(WEEKDAY(HP16,2),"Monday","Tuesday","Wednesday","Thursday","Friday","Saturday","Sunday")</f>
        <v>Friday</v>
      </c>
      <c r="HR16" s="476" t="s">
        <v>22</v>
      </c>
      <c r="HS16" s="473" t="s">
        <v>22</v>
      </c>
      <c r="HT16" s="476" t="s">
        <v>22</v>
      </c>
      <c r="HU16" s="473" t="s">
        <v>22</v>
      </c>
      <c r="HV16" s="476" t="s">
        <v>22</v>
      </c>
      <c r="HW16" s="473" t="s">
        <v>22</v>
      </c>
      <c r="HX16" s="426" t="s">
        <v>22</v>
      </c>
      <c r="HY16" s="426" t="s">
        <v>22</v>
      </c>
      <c r="HZ16" s="476" t="s">
        <v>22</v>
      </c>
      <c r="IA16" s="473" t="s">
        <v>22</v>
      </c>
      <c r="IB16" s="476" t="s">
        <v>22</v>
      </c>
      <c r="IC16" s="473" t="s">
        <v>22</v>
      </c>
      <c r="ID16" s="476" t="s">
        <v>22</v>
      </c>
      <c r="IE16" s="473" t="s">
        <v>22</v>
      </c>
      <c r="IF16" s="426" t="s">
        <v>22</v>
      </c>
      <c r="IG16" s="426" t="s">
        <v>22</v>
      </c>
      <c r="IH16" s="476" t="s">
        <v>22</v>
      </c>
      <c r="II16" s="473" t="s">
        <v>22</v>
      </c>
      <c r="IJ16" s="476" t="s">
        <v>22</v>
      </c>
      <c r="IK16" s="473" t="s">
        <v>22</v>
      </c>
      <c r="IL16" s="480">
        <v>43202</v>
      </c>
      <c r="IM16" s="484" t="str">
        <f>CHOOSE(WEEKDAY(IL16,2),"Monday","Tuesday","Wednesday","Thursday","Friday","Saturday","Sunday")</f>
        <v>Thursday</v>
      </c>
      <c r="IN16" s="476" t="s">
        <v>22</v>
      </c>
      <c r="IO16" s="473" t="s">
        <v>22</v>
      </c>
      <c r="IP16" s="426" t="s">
        <v>22</v>
      </c>
      <c r="IQ16" s="426" t="s">
        <v>22</v>
      </c>
      <c r="IR16" s="476" t="s">
        <v>22</v>
      </c>
      <c r="IS16" s="473" t="s">
        <v>22</v>
      </c>
      <c r="IT16" s="476" t="s">
        <v>22</v>
      </c>
      <c r="IU16" s="473" t="s">
        <v>22</v>
      </c>
      <c r="IV16" s="476" t="s">
        <v>22</v>
      </c>
      <c r="IW16" s="473" t="s">
        <v>22</v>
      </c>
      <c r="IX16" s="476" t="s">
        <v>22</v>
      </c>
      <c r="IY16" s="473" t="s">
        <v>22</v>
      </c>
      <c r="IZ16" s="476" t="s">
        <v>22</v>
      </c>
      <c r="JA16" s="473" t="s">
        <v>22</v>
      </c>
      <c r="JB16" s="476" t="s">
        <v>22</v>
      </c>
      <c r="JC16" s="473" t="s">
        <v>22</v>
      </c>
      <c r="JD16" s="476" t="s">
        <v>22</v>
      </c>
      <c r="JE16" s="473" t="s">
        <v>22</v>
      </c>
      <c r="JF16" s="426" t="s">
        <v>22</v>
      </c>
      <c r="JG16" s="426" t="s">
        <v>22</v>
      </c>
      <c r="JH16" s="476" t="s">
        <v>22</v>
      </c>
      <c r="JI16" s="473" t="s">
        <v>22</v>
      </c>
      <c r="JJ16" s="476" t="s">
        <v>22</v>
      </c>
      <c r="JK16" s="473" t="s">
        <v>22</v>
      </c>
      <c r="JL16" s="476" t="s">
        <v>22</v>
      </c>
      <c r="JM16" s="473" t="s">
        <v>22</v>
      </c>
      <c r="JN16" s="476" t="s">
        <v>22</v>
      </c>
      <c r="JO16" s="473" t="s">
        <v>22</v>
      </c>
      <c r="JP16" s="426" t="s">
        <v>22</v>
      </c>
      <c r="JQ16" s="426" t="s">
        <v>22</v>
      </c>
      <c r="JR16" s="476" t="s">
        <v>22</v>
      </c>
      <c r="JS16" s="473" t="s">
        <v>22</v>
      </c>
      <c r="JT16" s="476" t="s">
        <v>22</v>
      </c>
      <c r="JU16" s="473" t="s">
        <v>22</v>
      </c>
      <c r="JV16" s="476" t="s">
        <v>22</v>
      </c>
      <c r="JW16" s="473" t="s">
        <v>22</v>
      </c>
      <c r="JX16" s="476" t="s">
        <v>22</v>
      </c>
      <c r="JY16" s="473" t="s">
        <v>22</v>
      </c>
      <c r="JZ16" s="476" t="s">
        <v>22</v>
      </c>
      <c r="KA16" s="473" t="s">
        <v>22</v>
      </c>
      <c r="KB16" s="476" t="s">
        <v>22</v>
      </c>
      <c r="KC16" s="473" t="s">
        <v>22</v>
      </c>
      <c r="KD16" s="426" t="s">
        <v>22</v>
      </c>
      <c r="KE16" s="426" t="s">
        <v>22</v>
      </c>
      <c r="KF16" s="476" t="s">
        <v>22</v>
      </c>
      <c r="KG16" s="473" t="s">
        <v>22</v>
      </c>
      <c r="KH16" s="426" t="s">
        <v>22</v>
      </c>
      <c r="KI16" s="426" t="s">
        <v>22</v>
      </c>
      <c r="KJ16" s="476" t="s">
        <v>22</v>
      </c>
      <c r="KK16" s="473" t="s">
        <v>22</v>
      </c>
      <c r="KL16" s="476" t="s">
        <v>22</v>
      </c>
      <c r="KM16" s="473" t="s">
        <v>22</v>
      </c>
      <c r="KN16" s="476" t="s">
        <v>22</v>
      </c>
      <c r="KO16" s="473" t="s">
        <v>22</v>
      </c>
      <c r="KP16" s="476" t="s">
        <v>22</v>
      </c>
      <c r="KQ16" s="473" t="s">
        <v>22</v>
      </c>
      <c r="KR16" s="476" t="s">
        <v>22</v>
      </c>
      <c r="KS16" s="473" t="s">
        <v>22</v>
      </c>
      <c r="KT16" s="476" t="s">
        <v>22</v>
      </c>
      <c r="KU16" s="473" t="s">
        <v>22</v>
      </c>
      <c r="KV16" s="476" t="s">
        <v>22</v>
      </c>
      <c r="KW16" s="473" t="s">
        <v>22</v>
      </c>
      <c r="KX16" s="476" t="s">
        <v>22</v>
      </c>
      <c r="KY16" s="473" t="s">
        <v>22</v>
      </c>
      <c r="KZ16" s="476" t="s">
        <v>22</v>
      </c>
      <c r="LA16" s="473" t="s">
        <v>22</v>
      </c>
      <c r="LB16" s="476" t="s">
        <v>22</v>
      </c>
      <c r="LC16" s="473" t="s">
        <v>22</v>
      </c>
      <c r="LD16" s="426" t="s">
        <v>22</v>
      </c>
      <c r="LE16" s="426" t="s">
        <v>22</v>
      </c>
      <c r="LF16" s="476" t="s">
        <v>22</v>
      </c>
      <c r="LG16" s="473" t="s">
        <v>22</v>
      </c>
      <c r="LH16" s="476" t="s">
        <v>22</v>
      </c>
      <c r="LI16" s="473" t="s">
        <v>22</v>
      </c>
      <c r="LJ16" s="426" t="s">
        <v>22</v>
      </c>
      <c r="LK16" s="426" t="s">
        <v>22</v>
      </c>
      <c r="LL16" s="489">
        <v>43224</v>
      </c>
      <c r="LM16" s="485" t="str">
        <f>CHOOSE(WEEKDAY(LL16,2),"Monday","Tuesday","Wednesday","Thursday","Friday","Saturday","Sunday")</f>
        <v>Friday</v>
      </c>
      <c r="LN16" s="426" t="s">
        <v>22</v>
      </c>
      <c r="LO16" s="426" t="s">
        <v>22</v>
      </c>
      <c r="LP16" s="476" t="s">
        <v>22</v>
      </c>
      <c r="LQ16" s="473" t="s">
        <v>22</v>
      </c>
      <c r="LR16" s="476" t="s">
        <v>22</v>
      </c>
      <c r="LS16" s="473" t="s">
        <v>22</v>
      </c>
      <c r="LT16" s="476" t="s">
        <v>22</v>
      </c>
      <c r="LU16" s="473" t="s">
        <v>22</v>
      </c>
      <c r="LV16" s="426" t="s">
        <v>22</v>
      </c>
      <c r="LW16" s="426" t="s">
        <v>22</v>
      </c>
      <c r="LX16" s="476" t="s">
        <v>22</v>
      </c>
      <c r="LY16" s="473" t="s">
        <v>22</v>
      </c>
      <c r="LZ16" s="426" t="s">
        <v>22</v>
      </c>
      <c r="MA16" s="426" t="s">
        <v>22</v>
      </c>
      <c r="MB16" s="476" t="s">
        <v>22</v>
      </c>
      <c r="MC16" s="473" t="s">
        <v>22</v>
      </c>
      <c r="MD16" s="476" t="s">
        <v>22</v>
      </c>
      <c r="ME16" s="473" t="s">
        <v>22</v>
      </c>
      <c r="MF16" s="476" t="s">
        <v>22</v>
      </c>
      <c r="MG16" s="473" t="s">
        <v>22</v>
      </c>
      <c r="MH16" s="476" t="s">
        <v>22</v>
      </c>
      <c r="MI16" s="473" t="s">
        <v>22</v>
      </c>
      <c r="MJ16" s="476" t="s">
        <v>22</v>
      </c>
      <c r="MK16" s="473" t="s">
        <v>22</v>
      </c>
      <c r="ML16" s="426" t="s">
        <v>22</v>
      </c>
      <c r="MM16" s="426" t="s">
        <v>22</v>
      </c>
      <c r="MN16" s="476" t="s">
        <v>22</v>
      </c>
      <c r="MO16" s="473" t="s">
        <v>22</v>
      </c>
      <c r="MP16" s="476" t="s">
        <v>22</v>
      </c>
      <c r="MQ16" s="473" t="s">
        <v>22</v>
      </c>
      <c r="MR16" s="476" t="s">
        <v>22</v>
      </c>
      <c r="MS16" s="473" t="s">
        <v>22</v>
      </c>
      <c r="MT16" s="476" t="s">
        <v>22</v>
      </c>
      <c r="MU16" s="473" t="s">
        <v>22</v>
      </c>
      <c r="MV16" s="426" t="s">
        <v>22</v>
      </c>
      <c r="MW16" s="426" t="s">
        <v>22</v>
      </c>
      <c r="MX16" s="476" t="s">
        <v>22</v>
      </c>
      <c r="MY16" s="473" t="s">
        <v>22</v>
      </c>
      <c r="MZ16" s="476" t="s">
        <v>22</v>
      </c>
      <c r="NA16" s="473" t="s">
        <v>22</v>
      </c>
      <c r="NB16" s="476" t="s">
        <v>22</v>
      </c>
      <c r="NC16" s="473" t="s">
        <v>22</v>
      </c>
      <c r="ND16" s="426" t="s">
        <v>22</v>
      </c>
      <c r="NE16" s="426" t="s">
        <v>22</v>
      </c>
      <c r="NF16" s="476" t="s">
        <v>22</v>
      </c>
      <c r="NG16" s="473" t="s">
        <v>22</v>
      </c>
      <c r="NH16" s="476" t="s">
        <v>22</v>
      </c>
      <c r="NI16" s="473" t="s">
        <v>22</v>
      </c>
      <c r="NJ16" s="476" t="s">
        <v>22</v>
      </c>
      <c r="NK16" s="473" t="s">
        <v>22</v>
      </c>
      <c r="NL16" s="426" t="s">
        <v>22</v>
      </c>
      <c r="NM16" s="426" t="s">
        <v>22</v>
      </c>
      <c r="NN16" s="476" t="s">
        <v>22</v>
      </c>
      <c r="NO16" s="473" t="s">
        <v>22</v>
      </c>
      <c r="NP16" s="476" t="s">
        <v>22</v>
      </c>
      <c r="NQ16" s="473" t="s">
        <v>22</v>
      </c>
      <c r="NR16" s="426" t="s">
        <v>22</v>
      </c>
      <c r="NS16" s="473" t="s">
        <v>22</v>
      </c>
      <c r="NT16" s="476" t="s">
        <v>22</v>
      </c>
      <c r="NU16" s="473" t="s">
        <v>22</v>
      </c>
      <c r="NV16" s="476" t="s">
        <v>22</v>
      </c>
      <c r="NW16" s="473" t="s">
        <v>22</v>
      </c>
      <c r="NX16" s="476" t="s">
        <v>22</v>
      </c>
      <c r="NY16" s="473" t="s">
        <v>22</v>
      </c>
      <c r="NZ16" s="476" t="s">
        <v>22</v>
      </c>
      <c r="OA16" s="426" t="s">
        <v>22</v>
      </c>
      <c r="OB16" s="476" t="s">
        <v>22</v>
      </c>
      <c r="OC16" s="473" t="s">
        <v>22</v>
      </c>
      <c r="OD16" s="476" t="s">
        <v>22</v>
      </c>
      <c r="OE16" s="473" t="s">
        <v>22</v>
      </c>
      <c r="OF16" s="426" t="s">
        <v>22</v>
      </c>
      <c r="OG16" s="426" t="s">
        <v>22</v>
      </c>
      <c r="OH16" s="476" t="s">
        <v>22</v>
      </c>
      <c r="OI16" s="473" t="s">
        <v>22</v>
      </c>
      <c r="OJ16" s="476" t="s">
        <v>22</v>
      </c>
      <c r="OK16" s="473" t="s">
        <v>22</v>
      </c>
      <c r="OL16" s="476" t="s">
        <v>22</v>
      </c>
      <c r="OM16" s="473" t="s">
        <v>22</v>
      </c>
      <c r="ON16" s="476" t="s">
        <v>22</v>
      </c>
      <c r="OO16" s="473" t="s">
        <v>22</v>
      </c>
      <c r="OP16" s="426" t="s">
        <v>22</v>
      </c>
      <c r="OQ16" s="426" t="s">
        <v>22</v>
      </c>
      <c r="OR16" s="476" t="s">
        <v>22</v>
      </c>
      <c r="OS16" s="473" t="s">
        <v>22</v>
      </c>
      <c r="OT16" s="476" t="s">
        <v>22</v>
      </c>
      <c r="OU16" s="473" t="s">
        <v>22</v>
      </c>
      <c r="OV16" s="426" t="s">
        <v>22</v>
      </c>
      <c r="OW16" s="426" t="s">
        <v>22</v>
      </c>
      <c r="OX16" s="476" t="s">
        <v>22</v>
      </c>
      <c r="OY16" s="473" t="s">
        <v>22</v>
      </c>
      <c r="OZ16" s="476" t="s">
        <v>22</v>
      </c>
      <c r="PA16" s="473" t="s">
        <v>22</v>
      </c>
      <c r="PB16" s="476" t="s">
        <v>22</v>
      </c>
      <c r="PC16" s="473" t="s">
        <v>22</v>
      </c>
      <c r="PD16" s="480">
        <v>43147</v>
      </c>
      <c r="PE16" s="482" t="str">
        <f t="shared" si="50"/>
        <v>Friday</v>
      </c>
      <c r="PF16" s="476" t="s">
        <v>22</v>
      </c>
      <c r="PG16" s="473" t="s">
        <v>22</v>
      </c>
      <c r="PH16" s="474">
        <v>43279</v>
      </c>
      <c r="PI16" s="491" t="str">
        <f>CHOOSE(WEEKDAY(PH16,2),"Monday","Tuesday","Wednesday","Thursday","Friday","Saturday","Sunday")</f>
        <v>Thursday</v>
      </c>
      <c r="PJ16" s="476" t="s">
        <v>22</v>
      </c>
      <c r="PK16" s="473" t="s">
        <v>22</v>
      </c>
      <c r="PL16" s="426" t="s">
        <v>22</v>
      </c>
      <c r="PM16" s="426" t="s">
        <v>22</v>
      </c>
      <c r="PN16" s="476" t="s">
        <v>22</v>
      </c>
      <c r="PO16" s="473" t="s">
        <v>22</v>
      </c>
      <c r="PP16" s="476" t="s">
        <v>22</v>
      </c>
      <c r="PQ16" s="473" t="s">
        <v>22</v>
      </c>
      <c r="PR16" s="426" t="s">
        <v>22</v>
      </c>
      <c r="PS16" s="426" t="s">
        <v>22</v>
      </c>
      <c r="PT16" s="480">
        <v>43126</v>
      </c>
      <c r="PU16" s="482" t="str">
        <f t="shared" si="51"/>
        <v>Friday</v>
      </c>
      <c r="PV16" s="474">
        <v>43274</v>
      </c>
      <c r="PW16" s="475" t="str">
        <f>CHOOSE(WEEKDAY(PV16,2),"Monday","Tuesday","Wednesday","Thursday","Friday","Saturday","Sunday")</f>
        <v>Saturday</v>
      </c>
      <c r="PX16" s="476" t="s">
        <v>22</v>
      </c>
      <c r="PY16" s="473" t="s">
        <v>22</v>
      </c>
      <c r="PZ16" s="476" t="s">
        <v>22</v>
      </c>
      <c r="QA16" s="473" t="s">
        <v>22</v>
      </c>
      <c r="QB16" s="476" t="s">
        <v>22</v>
      </c>
      <c r="QC16" s="473" t="s">
        <v>22</v>
      </c>
      <c r="QD16" s="476" t="s">
        <v>22</v>
      </c>
      <c r="QE16" s="473" t="s">
        <v>22</v>
      </c>
      <c r="QF16" s="476" t="s">
        <v>22</v>
      </c>
      <c r="QG16" s="473" t="s">
        <v>22</v>
      </c>
      <c r="QH16" s="426" t="s">
        <v>22</v>
      </c>
      <c r="QI16" s="426" t="s">
        <v>22</v>
      </c>
      <c r="QJ16" s="476" t="s">
        <v>22</v>
      </c>
      <c r="QK16" s="473" t="s">
        <v>22</v>
      </c>
      <c r="QL16" s="476" t="s">
        <v>22</v>
      </c>
      <c r="QM16" s="473" t="s">
        <v>22</v>
      </c>
      <c r="QN16" s="426" t="s">
        <v>22</v>
      </c>
      <c r="QO16" s="426" t="s">
        <v>22</v>
      </c>
      <c r="QP16" s="476" t="s">
        <v>22</v>
      </c>
      <c r="QQ16" s="473" t="s">
        <v>22</v>
      </c>
      <c r="QR16" s="476" t="s">
        <v>22</v>
      </c>
      <c r="QS16" s="473" t="s">
        <v>22</v>
      </c>
      <c r="QT16" s="476" t="s">
        <v>22</v>
      </c>
      <c r="QU16" s="473" t="s">
        <v>22</v>
      </c>
      <c r="QV16" s="426" t="s">
        <v>22</v>
      </c>
      <c r="QW16" s="473" t="s">
        <v>22</v>
      </c>
      <c r="QX16" s="426" t="s">
        <v>22</v>
      </c>
      <c r="QY16" s="473" t="s">
        <v>22</v>
      </c>
      <c r="QZ16" s="476" t="s">
        <v>22</v>
      </c>
      <c r="RA16" s="473" t="s">
        <v>22</v>
      </c>
      <c r="RB16" s="476" t="s">
        <v>22</v>
      </c>
      <c r="RC16" s="473" t="s">
        <v>22</v>
      </c>
      <c r="RD16" s="476" t="s">
        <v>22</v>
      </c>
      <c r="RE16" s="473" t="s">
        <v>22</v>
      </c>
      <c r="RF16" s="476" t="s">
        <v>22</v>
      </c>
      <c r="RG16" s="473" t="s">
        <v>22</v>
      </c>
      <c r="RH16" s="476" t="s">
        <v>22</v>
      </c>
      <c r="RI16" s="473" t="s">
        <v>22</v>
      </c>
      <c r="RJ16" s="480">
        <v>43285</v>
      </c>
      <c r="RK16" s="481" t="str">
        <f>CHOOSE(WEEKDAY(RJ16,2),"Monday","Tuesday","Wednesday","Thursday","Friday","Saturday","Sunday")</f>
        <v>Wednesday</v>
      </c>
      <c r="RL16" s="474">
        <v>43335</v>
      </c>
      <c r="RM16" s="491" t="str">
        <f>CHOOSE(WEEKDAY(RL16,2),"Monday","Tuesday","Wednesday","Thursday","Friday","Saturday","Sunday")</f>
        <v>Thursday</v>
      </c>
      <c r="RN16" s="480">
        <v>43286</v>
      </c>
      <c r="RO16" s="484" t="str">
        <f>CHOOSE(WEEKDAY(RN16,2),"Monday","Tuesday","Wednesday","Thursday","Friday","Saturday","Sunday")</f>
        <v>Thursday</v>
      </c>
      <c r="RP16" s="426" t="s">
        <v>22</v>
      </c>
      <c r="RQ16" s="426" t="s">
        <v>22</v>
      </c>
      <c r="RR16" s="476" t="s">
        <v>22</v>
      </c>
      <c r="RS16" s="473" t="s">
        <v>22</v>
      </c>
      <c r="RT16" s="480">
        <v>43161</v>
      </c>
      <c r="RU16" s="482" t="str">
        <f>CHOOSE(WEEKDAY(RT16,2),"Monday","Tuesday","Wednesday","Thursday","Friday","Saturday","Sunday")</f>
        <v>Friday</v>
      </c>
      <c r="RV16" s="426" t="s">
        <v>22</v>
      </c>
      <c r="RW16" s="426" t="s">
        <v>22</v>
      </c>
      <c r="RX16" s="476" t="s">
        <v>22</v>
      </c>
      <c r="RY16" s="473" t="s">
        <v>22</v>
      </c>
      <c r="RZ16" s="476" t="s">
        <v>22</v>
      </c>
      <c r="SA16" s="426" t="s">
        <v>22</v>
      </c>
      <c r="SB16" s="476" t="s">
        <v>22</v>
      </c>
      <c r="SC16" s="473" t="s">
        <v>22</v>
      </c>
      <c r="SD16" s="476" t="s">
        <v>22</v>
      </c>
      <c r="SE16" s="473" t="s">
        <v>22</v>
      </c>
      <c r="SF16" s="476" t="s">
        <v>22</v>
      </c>
      <c r="SG16" s="473" t="s">
        <v>22</v>
      </c>
      <c r="SH16" s="476" t="s">
        <v>22</v>
      </c>
      <c r="SI16" s="473" t="s">
        <v>22</v>
      </c>
      <c r="SJ16" s="426" t="s">
        <v>22</v>
      </c>
      <c r="SK16" s="426" t="s">
        <v>22</v>
      </c>
      <c r="SL16" s="476" t="s">
        <v>22</v>
      </c>
      <c r="SM16" s="473" t="s">
        <v>22</v>
      </c>
      <c r="SN16" s="476" t="s">
        <v>22</v>
      </c>
      <c r="SO16" s="473" t="s">
        <v>22</v>
      </c>
      <c r="SP16" s="426" t="s">
        <v>22</v>
      </c>
      <c r="SQ16" s="426" t="s">
        <v>22</v>
      </c>
      <c r="SR16" s="476" t="s">
        <v>22</v>
      </c>
      <c r="SS16" s="473" t="s">
        <v>22</v>
      </c>
      <c r="ST16" s="426" t="s">
        <v>22</v>
      </c>
      <c r="SU16" s="426" t="s">
        <v>22</v>
      </c>
      <c r="SV16" s="476" t="s">
        <v>22</v>
      </c>
      <c r="SW16" s="473" t="s">
        <v>22</v>
      </c>
      <c r="SX16" s="476" t="s">
        <v>22</v>
      </c>
      <c r="SY16" s="473" t="s">
        <v>22</v>
      </c>
      <c r="SZ16" s="476" t="s">
        <v>22</v>
      </c>
      <c r="TA16" s="473" t="s">
        <v>22</v>
      </c>
      <c r="TB16" s="476" t="s">
        <v>22</v>
      </c>
      <c r="TC16" s="473" t="s">
        <v>22</v>
      </c>
      <c r="TD16" s="426" t="s">
        <v>22</v>
      </c>
      <c r="TE16" s="426" t="s">
        <v>22</v>
      </c>
      <c r="TF16" s="476" t="s">
        <v>22</v>
      </c>
      <c r="TG16" s="473" t="s">
        <v>22</v>
      </c>
      <c r="TH16" s="476" t="s">
        <v>22</v>
      </c>
      <c r="TI16" s="473" t="s">
        <v>22</v>
      </c>
      <c r="TJ16" s="426" t="s">
        <v>22</v>
      </c>
      <c r="TK16" s="426" t="s">
        <v>22</v>
      </c>
      <c r="TL16" s="476" t="s">
        <v>22</v>
      </c>
      <c r="TM16" s="473" t="s">
        <v>22</v>
      </c>
      <c r="TN16" s="476" t="s">
        <v>22</v>
      </c>
      <c r="TO16" s="473" t="s">
        <v>22</v>
      </c>
      <c r="TP16" s="476" t="s">
        <v>22</v>
      </c>
      <c r="TQ16" s="473" t="s">
        <v>22</v>
      </c>
      <c r="TR16" s="476" t="s">
        <v>22</v>
      </c>
      <c r="TS16" s="473" t="s">
        <v>22</v>
      </c>
      <c r="TT16" s="476" t="s">
        <v>22</v>
      </c>
      <c r="TU16" s="473" t="s">
        <v>22</v>
      </c>
      <c r="TV16" s="480">
        <v>43314</v>
      </c>
      <c r="TW16" s="484" t="str">
        <f>CHOOSE(WEEKDAY(TV16,2),"Monday","Tuesday","Wednesday","Thursday","Friday","Saturday","Sunday")</f>
        <v>Thursday</v>
      </c>
      <c r="TX16" s="476" t="s">
        <v>22</v>
      </c>
      <c r="TY16" s="473" t="s">
        <v>22</v>
      </c>
      <c r="TZ16" s="426" t="s">
        <v>22</v>
      </c>
      <c r="UA16" s="426" t="s">
        <v>22</v>
      </c>
      <c r="UB16" s="476" t="s">
        <v>22</v>
      </c>
      <c r="UC16" s="473" t="s">
        <v>22</v>
      </c>
      <c r="UD16" s="476" t="s">
        <v>22</v>
      </c>
      <c r="UE16" s="473" t="s">
        <v>22</v>
      </c>
      <c r="UF16" s="476" t="s">
        <v>22</v>
      </c>
      <c r="UG16" s="473" t="s">
        <v>22</v>
      </c>
      <c r="UH16" s="426" t="s">
        <v>22</v>
      </c>
      <c r="UI16" s="426" t="s">
        <v>22</v>
      </c>
      <c r="UJ16" s="476" t="s">
        <v>22</v>
      </c>
      <c r="UK16" s="473" t="s">
        <v>22</v>
      </c>
      <c r="UL16" s="476" t="s">
        <v>22</v>
      </c>
      <c r="UM16" s="473" t="s">
        <v>22</v>
      </c>
      <c r="UN16" s="476" t="s">
        <v>22</v>
      </c>
      <c r="UO16" s="473" t="s">
        <v>22</v>
      </c>
      <c r="UP16" s="476" t="s">
        <v>22</v>
      </c>
      <c r="UQ16" s="473" t="s">
        <v>22</v>
      </c>
      <c r="UR16" s="426" t="s">
        <v>22</v>
      </c>
      <c r="US16" s="426" t="s">
        <v>22</v>
      </c>
      <c r="UT16" s="476" t="s">
        <v>22</v>
      </c>
      <c r="UU16" s="473" t="s">
        <v>22</v>
      </c>
      <c r="UV16" s="476" t="s">
        <v>22</v>
      </c>
      <c r="UW16" s="473" t="s">
        <v>22</v>
      </c>
      <c r="UX16" s="476" t="s">
        <v>22</v>
      </c>
      <c r="UY16" s="473" t="s">
        <v>22</v>
      </c>
      <c r="UZ16" s="426" t="s">
        <v>22</v>
      </c>
      <c r="VA16" s="426" t="s">
        <v>22</v>
      </c>
      <c r="VB16" s="476" t="s">
        <v>22</v>
      </c>
      <c r="VC16" s="473" t="s">
        <v>22</v>
      </c>
      <c r="VD16" s="476" t="s">
        <v>22</v>
      </c>
      <c r="VE16" s="473" t="s">
        <v>22</v>
      </c>
      <c r="VF16" s="476" t="s">
        <v>22</v>
      </c>
      <c r="VG16" s="473" t="s">
        <v>22</v>
      </c>
      <c r="VH16" s="426" t="s">
        <v>22</v>
      </c>
      <c r="VI16" s="426" t="s">
        <v>22</v>
      </c>
      <c r="VJ16" s="476" t="s">
        <v>22</v>
      </c>
      <c r="VK16" s="473" t="s">
        <v>22</v>
      </c>
      <c r="VL16" s="476" t="s">
        <v>22</v>
      </c>
      <c r="VM16" s="473" t="s">
        <v>22</v>
      </c>
      <c r="VN16" s="426" t="s">
        <v>22</v>
      </c>
      <c r="VO16" s="426" t="s">
        <v>22</v>
      </c>
      <c r="VP16" s="476" t="s">
        <v>22</v>
      </c>
      <c r="VQ16" s="473" t="s">
        <v>22</v>
      </c>
      <c r="VR16" s="476" t="s">
        <v>22</v>
      </c>
      <c r="VS16" s="473" t="s">
        <v>22</v>
      </c>
      <c r="VT16" s="476" t="s">
        <v>22</v>
      </c>
      <c r="VU16" s="473" t="s">
        <v>22</v>
      </c>
      <c r="VV16" s="476" t="s">
        <v>22</v>
      </c>
      <c r="VW16" s="473" t="s">
        <v>22</v>
      </c>
      <c r="VX16" s="476" t="s">
        <v>22</v>
      </c>
      <c r="VY16" s="473" t="s">
        <v>22</v>
      </c>
      <c r="VZ16" s="426" t="s">
        <v>22</v>
      </c>
      <c r="WA16" s="426" t="s">
        <v>22</v>
      </c>
      <c r="WB16" s="476" t="s">
        <v>22</v>
      </c>
      <c r="WC16" s="473" t="s">
        <v>22</v>
      </c>
      <c r="WD16" s="476" t="s">
        <v>22</v>
      </c>
      <c r="WE16" s="473" t="s">
        <v>22</v>
      </c>
      <c r="WF16" s="476" t="s">
        <v>22</v>
      </c>
      <c r="WG16" s="473" t="s">
        <v>22</v>
      </c>
      <c r="WH16" s="476" t="s">
        <v>22</v>
      </c>
      <c r="WI16" s="473" t="s">
        <v>22</v>
      </c>
      <c r="WJ16" s="476" t="s">
        <v>22</v>
      </c>
      <c r="WK16" s="473" t="s">
        <v>22</v>
      </c>
      <c r="WL16" s="426" t="s">
        <v>22</v>
      </c>
      <c r="WM16" s="426" t="s">
        <v>22</v>
      </c>
      <c r="WN16" s="476" t="s">
        <v>22</v>
      </c>
      <c r="WO16" s="473" t="s">
        <v>22</v>
      </c>
      <c r="WP16" s="426" t="s">
        <v>22</v>
      </c>
      <c r="WQ16" s="426" t="s">
        <v>22</v>
      </c>
      <c r="WR16" s="476" t="s">
        <v>22</v>
      </c>
      <c r="WS16" s="426" t="s">
        <v>22</v>
      </c>
      <c r="WT16" s="476" t="s">
        <v>22</v>
      </c>
      <c r="WU16" s="473" t="s">
        <v>22</v>
      </c>
      <c r="WV16" s="476" t="s">
        <v>22</v>
      </c>
      <c r="WW16" s="473" t="s">
        <v>22</v>
      </c>
      <c r="WX16" s="474">
        <v>43350</v>
      </c>
      <c r="WY16" s="479" t="str">
        <f>CHOOSE(WEEKDAY(WX16,2),"Monday","Tuesday","Wednesday","Thursday","Friday","Saturday","Sunday")</f>
        <v>Friday</v>
      </c>
      <c r="WZ16" s="476" t="s">
        <v>22</v>
      </c>
      <c r="XA16" s="473" t="s">
        <v>22</v>
      </c>
      <c r="XB16" s="476" t="s">
        <v>22</v>
      </c>
      <c r="XC16" s="473" t="s">
        <v>22</v>
      </c>
      <c r="XD16" s="476" t="s">
        <v>22</v>
      </c>
      <c r="XE16" s="473" t="s">
        <v>22</v>
      </c>
      <c r="XF16" s="476" t="s">
        <v>22</v>
      </c>
      <c r="XG16" s="473" t="s">
        <v>22</v>
      </c>
      <c r="XH16" s="426" t="s">
        <v>22</v>
      </c>
      <c r="XI16" s="426" t="s">
        <v>22</v>
      </c>
      <c r="XJ16" s="476" t="s">
        <v>22</v>
      </c>
      <c r="XK16" s="473" t="s">
        <v>22</v>
      </c>
      <c r="XL16" s="426" t="s">
        <v>22</v>
      </c>
      <c r="XM16" s="426" t="s">
        <v>22</v>
      </c>
      <c r="XN16" s="476" t="s">
        <v>22</v>
      </c>
      <c r="XO16" s="473" t="s">
        <v>22</v>
      </c>
      <c r="XP16" s="476" t="s">
        <v>22</v>
      </c>
      <c r="XQ16" s="473" t="s">
        <v>22</v>
      </c>
      <c r="XR16" s="426" t="s">
        <v>22</v>
      </c>
      <c r="XS16" s="426" t="s">
        <v>22</v>
      </c>
      <c r="XT16" s="476" t="s">
        <v>22</v>
      </c>
      <c r="XU16" s="473" t="s">
        <v>22</v>
      </c>
      <c r="XV16" s="480">
        <v>43357</v>
      </c>
      <c r="XW16" s="482" t="str">
        <f>CHOOSE(WEEKDAY(XV16,2),"Monday","Tuesday","Wednesday","Thursday","Friday","Saturday","Sunday")</f>
        <v>Friday</v>
      </c>
      <c r="XX16" s="476" t="s">
        <v>22</v>
      </c>
      <c r="XY16" s="473" t="s">
        <v>22</v>
      </c>
      <c r="XZ16" s="426" t="s">
        <v>22</v>
      </c>
      <c r="YA16" s="426" t="s">
        <v>22</v>
      </c>
      <c r="YB16" s="476" t="s">
        <v>22</v>
      </c>
      <c r="YC16" s="473" t="s">
        <v>22</v>
      </c>
      <c r="YD16" s="476" t="s">
        <v>22</v>
      </c>
      <c r="YE16" s="473" t="s">
        <v>22</v>
      </c>
      <c r="YF16" s="476" t="s">
        <v>22</v>
      </c>
      <c r="YG16" s="473" t="s">
        <v>22</v>
      </c>
      <c r="YH16" s="476" t="s">
        <v>22</v>
      </c>
      <c r="YI16" s="473" t="s">
        <v>22</v>
      </c>
      <c r="YJ16" s="426" t="s">
        <v>22</v>
      </c>
      <c r="YK16" s="426" t="s">
        <v>22</v>
      </c>
      <c r="YL16" s="476" t="s">
        <v>22</v>
      </c>
      <c r="YM16" s="473" t="s">
        <v>22</v>
      </c>
      <c r="YN16" s="476" t="s">
        <v>22</v>
      </c>
      <c r="YO16" s="473" t="s">
        <v>22</v>
      </c>
      <c r="YP16" s="476" t="s">
        <v>22</v>
      </c>
      <c r="YQ16" s="473" t="s">
        <v>22</v>
      </c>
      <c r="YR16" s="476" t="s">
        <v>22</v>
      </c>
      <c r="YS16" s="473" t="s">
        <v>22</v>
      </c>
      <c r="YT16" s="426" t="s">
        <v>22</v>
      </c>
      <c r="YU16" s="426" t="s">
        <v>22</v>
      </c>
      <c r="YV16" s="476" t="s">
        <v>22</v>
      </c>
      <c r="YW16" s="473" t="s">
        <v>22</v>
      </c>
      <c r="YX16" s="476" t="s">
        <v>22</v>
      </c>
      <c r="YY16" s="473" t="s">
        <v>22</v>
      </c>
      <c r="YZ16" s="426" t="s">
        <v>22</v>
      </c>
      <c r="ZA16" s="426" t="s">
        <v>22</v>
      </c>
      <c r="ZB16" s="476" t="s">
        <v>22</v>
      </c>
      <c r="ZC16" s="473" t="s">
        <v>22</v>
      </c>
      <c r="ZD16" s="426" t="s">
        <v>22</v>
      </c>
      <c r="ZE16" s="426" t="s">
        <v>22</v>
      </c>
      <c r="ZF16" s="476" t="s">
        <v>22</v>
      </c>
      <c r="ZG16" s="473" t="s">
        <v>22</v>
      </c>
      <c r="ZH16" s="476" t="s">
        <v>22</v>
      </c>
      <c r="ZI16" s="473" t="s">
        <v>22</v>
      </c>
      <c r="ZJ16" s="476" t="s">
        <v>22</v>
      </c>
      <c r="ZK16" s="473" t="s">
        <v>22</v>
      </c>
      <c r="ZL16" s="426" t="s">
        <v>22</v>
      </c>
      <c r="ZM16" s="426" t="s">
        <v>22</v>
      </c>
      <c r="ZN16" s="476" t="s">
        <v>22</v>
      </c>
      <c r="ZO16" s="473" t="s">
        <v>22</v>
      </c>
      <c r="ZP16" s="476" t="s">
        <v>22</v>
      </c>
      <c r="ZQ16" s="473" t="s">
        <v>22</v>
      </c>
      <c r="ZR16" s="474">
        <v>43376</v>
      </c>
      <c r="ZS16" s="488" t="str">
        <f>CHOOSE(WEEKDAY(ZR16,2),"Monday","Tuesday","Wednesday","Thursday","Friday","Saturday","Sunday")</f>
        <v>Wednesday</v>
      </c>
      <c r="ZT16" s="476" t="s">
        <v>22</v>
      </c>
      <c r="ZU16" s="473" t="s">
        <v>22</v>
      </c>
      <c r="ZV16" s="476" t="s">
        <v>22</v>
      </c>
      <c r="ZW16" s="473" t="s">
        <v>22</v>
      </c>
      <c r="ZX16" s="426" t="s">
        <v>22</v>
      </c>
      <c r="ZY16" s="426" t="s">
        <v>22</v>
      </c>
      <c r="ZZ16" s="476" t="s">
        <v>22</v>
      </c>
      <c r="AAA16" s="473" t="s">
        <v>22</v>
      </c>
      <c r="AAB16" s="476" t="s">
        <v>22</v>
      </c>
      <c r="AAC16" s="473" t="s">
        <v>22</v>
      </c>
      <c r="AAD16" s="476" t="s">
        <v>22</v>
      </c>
      <c r="AAE16" s="473" t="s">
        <v>22</v>
      </c>
      <c r="AAF16" s="476" t="s">
        <v>22</v>
      </c>
      <c r="AAG16" s="473" t="s">
        <v>22</v>
      </c>
      <c r="AAH16" s="426" t="s">
        <v>22</v>
      </c>
      <c r="AAI16" s="426" t="s">
        <v>22</v>
      </c>
      <c r="AAJ16" s="476" t="s">
        <v>22</v>
      </c>
      <c r="AAK16" s="473" t="s">
        <v>22</v>
      </c>
      <c r="AAL16" s="476" t="s">
        <v>22</v>
      </c>
      <c r="AAM16" s="473" t="s">
        <v>22</v>
      </c>
      <c r="AAN16" s="476" t="s">
        <v>22</v>
      </c>
      <c r="AAO16" s="473" t="s">
        <v>22</v>
      </c>
      <c r="AAP16" s="476" t="s">
        <v>22</v>
      </c>
      <c r="AAQ16" s="473" t="s">
        <v>22</v>
      </c>
      <c r="AAR16" s="476" t="s">
        <v>22</v>
      </c>
      <c r="AAS16" s="473" t="s">
        <v>22</v>
      </c>
      <c r="AAT16" s="426" t="s">
        <v>22</v>
      </c>
      <c r="AAU16" s="426" t="s">
        <v>22</v>
      </c>
      <c r="AAV16" s="476" t="s">
        <v>22</v>
      </c>
      <c r="AAW16" s="473" t="s">
        <v>22</v>
      </c>
      <c r="AAX16" s="426" t="s">
        <v>22</v>
      </c>
      <c r="AAY16" s="426" t="s">
        <v>22</v>
      </c>
      <c r="AAZ16" s="476" t="s">
        <v>22</v>
      </c>
      <c r="ABA16" s="473" t="s">
        <v>22</v>
      </c>
      <c r="ABB16" s="476" t="s">
        <v>22</v>
      </c>
      <c r="ABC16" s="473" t="s">
        <v>22</v>
      </c>
      <c r="ABD16" s="476" t="s">
        <v>22</v>
      </c>
      <c r="ABE16" s="473" t="s">
        <v>22</v>
      </c>
      <c r="ABF16" s="426" t="s">
        <v>22</v>
      </c>
      <c r="ABG16" s="426" t="s">
        <v>22</v>
      </c>
      <c r="ABH16" s="476" t="s">
        <v>22</v>
      </c>
      <c r="ABI16" s="473" t="s">
        <v>22</v>
      </c>
      <c r="ABJ16" s="476" t="s">
        <v>22</v>
      </c>
      <c r="ABK16" s="473" t="s">
        <v>22</v>
      </c>
      <c r="ABL16" s="476" t="s">
        <v>22</v>
      </c>
      <c r="ABM16" s="473" t="s">
        <v>22</v>
      </c>
      <c r="ABN16" s="476" t="s">
        <v>22</v>
      </c>
      <c r="ABO16" s="473" t="s">
        <v>22</v>
      </c>
      <c r="ABP16" s="426" t="s">
        <v>22</v>
      </c>
      <c r="ABQ16" s="426" t="s">
        <v>22</v>
      </c>
      <c r="ABR16" s="476" t="s">
        <v>22</v>
      </c>
      <c r="ABS16" s="473" t="s">
        <v>22</v>
      </c>
      <c r="ABT16" s="476" t="s">
        <v>22</v>
      </c>
      <c r="ABU16" s="473" t="s">
        <v>22</v>
      </c>
      <c r="ABV16" s="476" t="s">
        <v>22</v>
      </c>
      <c r="ABW16" s="473" t="s">
        <v>22</v>
      </c>
      <c r="ABX16" s="426" t="s">
        <v>22</v>
      </c>
      <c r="ABY16" s="426" t="s">
        <v>22</v>
      </c>
      <c r="ABZ16" s="476" t="s">
        <v>22</v>
      </c>
      <c r="ACA16" s="473" t="s">
        <v>22</v>
      </c>
      <c r="ACB16" s="476" t="s">
        <v>22</v>
      </c>
      <c r="ACC16" s="473" t="s">
        <v>22</v>
      </c>
      <c r="ACD16" s="476" t="s">
        <v>22</v>
      </c>
      <c r="ACE16" s="473" t="s">
        <v>22</v>
      </c>
      <c r="ACF16" s="476" t="s">
        <v>22</v>
      </c>
      <c r="ACG16" s="473" t="s">
        <v>22</v>
      </c>
      <c r="ACH16" s="476" t="s">
        <v>22</v>
      </c>
      <c r="ACI16" s="473" t="s">
        <v>22</v>
      </c>
      <c r="ACJ16" s="426" t="s">
        <v>22</v>
      </c>
      <c r="ACK16" s="426" t="s">
        <v>22</v>
      </c>
      <c r="ACL16" s="476" t="s">
        <v>22</v>
      </c>
      <c r="ACM16" s="473" t="s">
        <v>22</v>
      </c>
      <c r="ACN16" s="474">
        <v>43403</v>
      </c>
      <c r="ACO16" s="493" t="str">
        <f>CHOOSE(WEEKDAY(ACN16,2),"Monday","Tuesday","Wednesday","Thursday","Friday","Saturday","Sunday")</f>
        <v>Tuesday</v>
      </c>
      <c r="ACP16" s="476" t="s">
        <v>22</v>
      </c>
      <c r="ACQ16" s="473" t="s">
        <v>22</v>
      </c>
      <c r="ACR16" s="476" t="s">
        <v>22</v>
      </c>
      <c r="ACS16" s="473" t="s">
        <v>22</v>
      </c>
      <c r="ACT16" s="262">
        <v>43399</v>
      </c>
      <c r="ACU16" s="277" t="str">
        <f t="shared" ref="ACU16:ACU17" si="57">CHOOSE(WEEKDAY(ACT16,2),"Monday","Tuesday","Wednesday","Thursday","Friday","Saturday","Sunday")</f>
        <v>Friday</v>
      </c>
      <c r="ACV16" s="476" t="s">
        <v>22</v>
      </c>
      <c r="ACW16" s="473" t="s">
        <v>22</v>
      </c>
      <c r="ACX16" s="476" t="s">
        <v>22</v>
      </c>
      <c r="ACY16" s="473" t="s">
        <v>22</v>
      </c>
      <c r="ACZ16" s="476" t="s">
        <v>22</v>
      </c>
      <c r="ADA16" s="473" t="s">
        <v>22</v>
      </c>
      <c r="ADB16" s="476" t="s">
        <v>22</v>
      </c>
      <c r="ADC16" s="473" t="s">
        <v>22</v>
      </c>
      <c r="ADD16" s="476" t="s">
        <v>22</v>
      </c>
      <c r="ADE16" s="473" t="s">
        <v>22</v>
      </c>
      <c r="ADF16" s="476" t="s">
        <v>22</v>
      </c>
      <c r="ADG16" s="473" t="s">
        <v>22</v>
      </c>
      <c r="ADH16" s="476" t="s">
        <v>22</v>
      </c>
      <c r="ADI16" s="473" t="s">
        <v>22</v>
      </c>
      <c r="ADJ16" s="519">
        <v>43415</v>
      </c>
      <c r="ADK16" s="473" t="str">
        <f>CHOOSE(WEEKDAY(ADJ16,2),"Monday","Tuesday","Wednesday","Thursday","Friday","Saturday","Sunday")</f>
        <v>Sunday</v>
      </c>
      <c r="ADL16" s="474">
        <v>43413</v>
      </c>
      <c r="ADM16" s="482" t="str">
        <f>CHOOSE(WEEKDAY(ADL16,2),"Monday","Tuesday","Wednesday","Thursday","Friday","Saturday","Sunday")</f>
        <v>Friday</v>
      </c>
      <c r="ADN16" s="426" t="s">
        <v>22</v>
      </c>
      <c r="ADO16" s="473" t="s">
        <v>22</v>
      </c>
      <c r="ADP16" s="476" t="s">
        <v>22</v>
      </c>
      <c r="ADQ16" s="473" t="s">
        <v>22</v>
      </c>
      <c r="ADR16" s="426" t="s">
        <v>22</v>
      </c>
      <c r="ADS16" s="473" t="s">
        <v>22</v>
      </c>
      <c r="ADT16" s="476" t="s">
        <v>22</v>
      </c>
      <c r="ADU16" s="473" t="s">
        <v>22</v>
      </c>
      <c r="ADV16" s="474">
        <v>43419</v>
      </c>
      <c r="ADW16" s="491" t="str">
        <f>CHOOSE(WEEKDAY(ADV16,2),"Monday","Tuesday","Wednesday","Thursday","Friday","Saturday","Sunday")</f>
        <v>Thursday</v>
      </c>
      <c r="ADX16" s="476" t="s">
        <v>22</v>
      </c>
      <c r="ADY16" s="473" t="s">
        <v>22</v>
      </c>
      <c r="ADZ16" s="476" t="s">
        <v>22</v>
      </c>
      <c r="AEA16" s="473" t="s">
        <v>22</v>
      </c>
      <c r="AEB16" s="476" t="s">
        <v>22</v>
      </c>
      <c r="AEC16" s="473" t="s">
        <v>22</v>
      </c>
      <c r="AED16" s="426" t="s">
        <v>22</v>
      </c>
      <c r="AEE16" s="426" t="s">
        <v>22</v>
      </c>
      <c r="AEF16" s="476" t="s">
        <v>22</v>
      </c>
      <c r="AEG16" s="473" t="s">
        <v>22</v>
      </c>
      <c r="AEH16" s="476" t="s">
        <v>22</v>
      </c>
      <c r="AEI16" s="426" t="s">
        <v>22</v>
      </c>
      <c r="AEJ16" s="476" t="s">
        <v>22</v>
      </c>
      <c r="AEK16" s="473" t="s">
        <v>22</v>
      </c>
      <c r="AEL16" s="476" t="s">
        <v>22</v>
      </c>
      <c r="AEM16" s="473" t="s">
        <v>22</v>
      </c>
      <c r="AEN16" s="476" t="s">
        <v>22</v>
      </c>
      <c r="AEO16" s="473" t="s">
        <v>22</v>
      </c>
      <c r="AEP16" s="476" t="s">
        <v>22</v>
      </c>
      <c r="AEQ16" s="473" t="s">
        <v>22</v>
      </c>
      <c r="AER16" s="426" t="s">
        <v>22</v>
      </c>
      <c r="AES16" s="426" t="s">
        <v>22</v>
      </c>
      <c r="AET16" s="476" t="s">
        <v>22</v>
      </c>
      <c r="AEU16" s="473" t="s">
        <v>22</v>
      </c>
      <c r="AEV16" s="426" t="s">
        <v>22</v>
      </c>
      <c r="AEW16" s="426" t="s">
        <v>22</v>
      </c>
      <c r="AEX16" s="476" t="s">
        <v>22</v>
      </c>
      <c r="AEY16" s="473" t="s">
        <v>22</v>
      </c>
      <c r="AEZ16" s="476" t="s">
        <v>22</v>
      </c>
      <c r="AFA16" s="473" t="s">
        <v>22</v>
      </c>
      <c r="AFB16" s="476" t="s">
        <v>22</v>
      </c>
      <c r="AFC16" s="473" t="s">
        <v>22</v>
      </c>
      <c r="AFD16" s="476" t="s">
        <v>22</v>
      </c>
      <c r="AFE16" s="473" t="s">
        <v>22</v>
      </c>
      <c r="AFF16" s="426" t="s">
        <v>22</v>
      </c>
      <c r="AFG16" s="426" t="s">
        <v>22</v>
      </c>
      <c r="AFH16" s="476" t="s">
        <v>22</v>
      </c>
      <c r="AFI16" s="473" t="s">
        <v>22</v>
      </c>
      <c r="AFJ16" s="426" t="s">
        <v>22</v>
      </c>
      <c r="AFK16" s="426" t="s">
        <v>22</v>
      </c>
      <c r="AFL16" s="476" t="s">
        <v>22</v>
      </c>
      <c r="AFM16" s="473" t="s">
        <v>22</v>
      </c>
      <c r="AFN16" s="476" t="s">
        <v>22</v>
      </c>
      <c r="AFO16" s="473" t="s">
        <v>22</v>
      </c>
      <c r="AFP16" s="476" t="s">
        <v>22</v>
      </c>
      <c r="AFQ16" s="473" t="s">
        <v>22</v>
      </c>
      <c r="AFR16" s="426" t="s">
        <v>22</v>
      </c>
      <c r="AFS16" s="426" t="s">
        <v>22</v>
      </c>
      <c r="AFT16" s="476" t="s">
        <v>22</v>
      </c>
      <c r="AFU16" s="473" t="s">
        <v>22</v>
      </c>
      <c r="AFV16" s="426" t="s">
        <v>22</v>
      </c>
      <c r="AFW16" s="426" t="s">
        <v>22</v>
      </c>
      <c r="AFX16" s="476" t="s">
        <v>22</v>
      </c>
      <c r="AFY16" s="426" t="s">
        <v>22</v>
      </c>
      <c r="AFZ16" s="476" t="s">
        <v>22</v>
      </c>
      <c r="AGA16" s="473" t="s">
        <v>22</v>
      </c>
      <c r="AGB16" s="476" t="s">
        <v>22</v>
      </c>
      <c r="AGC16" s="473" t="s">
        <v>22</v>
      </c>
      <c r="AGD16" s="426" t="s">
        <v>22</v>
      </c>
      <c r="AGE16" s="426" t="s">
        <v>22</v>
      </c>
      <c r="AGF16" s="476" t="s">
        <v>22</v>
      </c>
      <c r="AGG16" s="473" t="s">
        <v>22</v>
      </c>
      <c r="AGH16" s="476" t="s">
        <v>22</v>
      </c>
      <c r="AGI16" s="473" t="s">
        <v>22</v>
      </c>
      <c r="AGJ16" s="276">
        <v>43203</v>
      </c>
      <c r="AGK16" s="167" t="str">
        <f t="shared" ref="AGK16:AGK17" si="58">CHOOSE(WEEKDAY(AGJ16,2),"Monday","Tuesday","Wednesday","Thursday","Friday","Saturday","Sunday")</f>
        <v>Friday</v>
      </c>
      <c r="AGL16" s="476" t="s">
        <v>22</v>
      </c>
      <c r="AGM16" s="473" t="s">
        <v>22</v>
      </c>
      <c r="AGN16" s="476" t="s">
        <v>22</v>
      </c>
      <c r="AGO16" s="473" t="s">
        <v>22</v>
      </c>
      <c r="AGP16" s="476" t="s">
        <v>22</v>
      </c>
      <c r="AGQ16" s="473" t="s">
        <v>22</v>
      </c>
      <c r="AGR16" s="476" t="s">
        <v>22</v>
      </c>
      <c r="AGS16" s="473" t="s">
        <v>22</v>
      </c>
      <c r="AGT16" s="476" t="s">
        <v>22</v>
      </c>
      <c r="AGU16" s="473" t="s">
        <v>22</v>
      </c>
      <c r="AGV16" s="474">
        <v>43203</v>
      </c>
      <c r="AGW16" s="482" t="str">
        <f>CHOOSE(WEEKDAY(AGV16,2),"Monday","Tuesday","Wednesday","Thursday","Friday","Saturday","Sunday")</f>
        <v>Friday</v>
      </c>
      <c r="AGX16" s="476" t="s">
        <v>22</v>
      </c>
      <c r="AGY16" s="473" t="s">
        <v>22</v>
      </c>
      <c r="AGZ16" s="476" t="s">
        <v>22</v>
      </c>
      <c r="AHA16" s="473" t="s">
        <v>22</v>
      </c>
      <c r="AHB16" s="476" t="s">
        <v>22</v>
      </c>
      <c r="AHC16" s="473" t="s">
        <v>22</v>
      </c>
      <c r="AHD16" s="476" t="s">
        <v>22</v>
      </c>
      <c r="AHE16" s="473" t="s">
        <v>22</v>
      </c>
      <c r="AHF16" s="476" t="s">
        <v>22</v>
      </c>
      <c r="AHG16" s="473" t="s">
        <v>22</v>
      </c>
      <c r="AHH16" s="480">
        <v>43458</v>
      </c>
      <c r="AHI16" s="486" t="str">
        <f>CHOOSE(WEEKDAY(AHH16,2),"Monday","Tuesday","Wednesday","Thursday","Friday","Saturday","Sunday")</f>
        <v>Monday</v>
      </c>
      <c r="AHJ16" s="480">
        <v>43196</v>
      </c>
      <c r="AHK16" s="482" t="str">
        <f>CHOOSE(WEEKDAY(AHJ16,2),"Monday","Tuesday","Wednesday","Thursday","Friday","Saturday","Sunday")</f>
        <v>Friday</v>
      </c>
      <c r="AHL16" s="426" t="s">
        <v>22</v>
      </c>
      <c r="AHM16" s="473" t="s">
        <v>22</v>
      </c>
      <c r="AHN16" s="476" t="s">
        <v>22</v>
      </c>
      <c r="AHO16" s="473" t="s">
        <v>22</v>
      </c>
      <c r="AHP16" s="476" t="s">
        <v>22</v>
      </c>
      <c r="AHQ16" s="473" t="s">
        <v>22</v>
      </c>
      <c r="AHR16" s="476" t="s">
        <v>22</v>
      </c>
      <c r="AHS16" s="426" t="s">
        <v>22</v>
      </c>
      <c r="AHT16" s="476" t="s">
        <v>22</v>
      </c>
      <c r="AHU16" s="426" t="s">
        <v>22</v>
      </c>
      <c r="AHV16" s="489">
        <v>43455</v>
      </c>
      <c r="AHW16" s="482" t="str">
        <f>CHOOSE(WEEKDAY(AHV16,2),"Monday","Tuesday","Wednesday","Thursday","Friday","Saturday","Sunday")</f>
        <v>Friday</v>
      </c>
      <c r="AHX16" s="262">
        <v>43455</v>
      </c>
      <c r="AHY16" s="277" t="str">
        <f t="shared" ref="AHY16:AHY17" si="59">CHOOSE(WEEKDAY(AHX16,2),"Monday","Tuesday","Wednesday","Thursday","Friday","Saturday","Sunday")</f>
        <v>Friday</v>
      </c>
      <c r="AHZ16" s="480">
        <v>43465</v>
      </c>
      <c r="AIA16" s="467" t="str">
        <f>CHOOSE(WEEKDAY(AHZ16,2),"Monday","Tuesday","Wednesday","Thursday","Friday","Saturday","Sunday")</f>
        <v>Monday</v>
      </c>
    </row>
    <row r="17" spans="1:911" ht="15.75" customHeight="1" x14ac:dyDescent="0.2">
      <c r="A17" s="412"/>
      <c r="B17" s="417"/>
      <c r="C17" s="412"/>
      <c r="D17" s="417"/>
      <c r="E17" s="412"/>
      <c r="F17" s="417"/>
      <c r="G17" s="412"/>
      <c r="H17" s="417"/>
      <c r="I17" s="412"/>
      <c r="J17" s="417"/>
      <c r="K17" s="412"/>
      <c r="L17" s="417"/>
      <c r="M17" s="412"/>
      <c r="N17" s="417"/>
      <c r="O17" s="412"/>
      <c r="P17" s="417"/>
      <c r="Q17" s="412"/>
      <c r="R17" s="417"/>
      <c r="S17" s="412"/>
      <c r="T17" s="417"/>
      <c r="U17" s="412"/>
      <c r="V17" s="417"/>
      <c r="W17" s="412"/>
      <c r="X17" s="417"/>
      <c r="Y17" s="412"/>
      <c r="Z17" s="417"/>
      <c r="AA17" s="412"/>
      <c r="AB17" s="417"/>
      <c r="AC17" s="412"/>
      <c r="AD17" s="402"/>
      <c r="AE17" s="402"/>
      <c r="AF17" s="417"/>
      <c r="AG17" s="402"/>
      <c r="AH17" s="417"/>
      <c r="AI17" s="412"/>
      <c r="AJ17" s="402"/>
      <c r="AK17" s="402"/>
      <c r="AL17" s="417"/>
      <c r="AM17" s="412"/>
      <c r="AN17" s="417"/>
      <c r="AO17" s="412"/>
      <c r="AP17" s="417"/>
      <c r="AQ17" s="412"/>
      <c r="AR17" s="417"/>
      <c r="AS17" s="412"/>
      <c r="AT17" s="417"/>
      <c r="AU17" s="412"/>
      <c r="AV17" s="402"/>
      <c r="AW17" s="402"/>
      <c r="AX17" s="417"/>
      <c r="AY17" s="412"/>
      <c r="AZ17" s="417"/>
      <c r="BA17" s="412"/>
      <c r="BB17" s="402"/>
      <c r="BC17" s="402"/>
      <c r="BD17" s="417"/>
      <c r="BE17" s="412"/>
      <c r="BF17" s="417"/>
      <c r="BG17" s="412"/>
      <c r="BH17" s="417"/>
      <c r="BI17" s="412"/>
      <c r="BJ17" s="417"/>
      <c r="BK17" s="412"/>
      <c r="BL17" s="402"/>
      <c r="BM17" s="402"/>
      <c r="BN17" s="417"/>
      <c r="BO17" s="412"/>
      <c r="BP17" s="417"/>
      <c r="BQ17" s="412"/>
      <c r="BR17" s="417"/>
      <c r="BS17" s="412"/>
      <c r="BT17" s="402"/>
      <c r="BU17" s="402"/>
      <c r="BV17" s="417"/>
      <c r="BW17" s="412"/>
      <c r="BX17" s="402"/>
      <c r="BY17" s="402"/>
      <c r="BZ17" s="417"/>
      <c r="CA17" s="412"/>
      <c r="CB17" s="417"/>
      <c r="CC17" s="412"/>
      <c r="CD17" s="417"/>
      <c r="CE17" s="412"/>
      <c r="CF17" s="417"/>
      <c r="CG17" s="412"/>
      <c r="CH17" s="417"/>
      <c r="CI17" s="412"/>
      <c r="CJ17" s="417"/>
      <c r="CK17" s="412"/>
      <c r="CL17" s="402"/>
      <c r="CM17" s="402"/>
      <c r="CN17" s="417"/>
      <c r="CO17" s="412"/>
      <c r="CP17" s="417"/>
      <c r="CQ17" s="412"/>
      <c r="CR17" s="417"/>
      <c r="CS17" s="412"/>
      <c r="CT17" s="402"/>
      <c r="CU17" s="402"/>
      <c r="CV17" s="417"/>
      <c r="CW17" s="412"/>
      <c r="CX17" s="417"/>
      <c r="CY17" s="412"/>
      <c r="CZ17" s="402"/>
      <c r="DA17" s="402"/>
      <c r="DB17" s="417"/>
      <c r="DC17" s="412"/>
      <c r="DD17" s="417"/>
      <c r="DE17" s="412"/>
      <c r="DF17" s="402"/>
      <c r="DG17" s="402"/>
      <c r="DH17" s="417"/>
      <c r="DI17" s="412"/>
      <c r="DJ17" s="417"/>
      <c r="DK17" s="412"/>
      <c r="DL17" s="417"/>
      <c r="DM17" s="412"/>
      <c r="DN17" s="402"/>
      <c r="DO17" s="402"/>
      <c r="DP17" s="417"/>
      <c r="DQ17" s="412"/>
      <c r="DR17" s="417"/>
      <c r="DS17" s="412"/>
      <c r="DT17" s="402"/>
      <c r="DU17" s="402"/>
      <c r="DV17" s="417"/>
      <c r="DW17" s="412"/>
      <c r="DX17" s="417"/>
      <c r="DY17" s="412"/>
      <c r="DZ17" s="402"/>
      <c r="EA17" s="402"/>
      <c r="EB17" s="417"/>
      <c r="EC17" s="412"/>
      <c r="ED17" s="402"/>
      <c r="EE17" s="402"/>
      <c r="EF17" s="417"/>
      <c r="EG17" s="412"/>
      <c r="EH17" s="417"/>
      <c r="EI17" s="412"/>
      <c r="EJ17" s="417"/>
      <c r="EK17" s="412"/>
      <c r="EL17" s="402"/>
      <c r="EM17" s="402"/>
      <c r="EN17" s="417"/>
      <c r="EO17" s="412"/>
      <c r="EP17" s="417"/>
      <c r="EQ17" s="412"/>
      <c r="ER17" s="417"/>
      <c r="ES17" s="412"/>
      <c r="ET17" s="402"/>
      <c r="EU17" s="402"/>
      <c r="EV17" s="417"/>
      <c r="EW17" s="412"/>
      <c r="EX17" s="417"/>
      <c r="EY17" s="412"/>
      <c r="EZ17" s="417"/>
      <c r="FA17" s="412"/>
      <c r="FB17" s="402"/>
      <c r="FC17" s="402"/>
      <c r="FD17" s="417"/>
      <c r="FE17" s="412"/>
      <c r="FF17" s="402"/>
      <c r="FG17" s="412"/>
      <c r="FH17" s="402"/>
      <c r="FI17" s="402"/>
      <c r="FJ17" s="417"/>
      <c r="FK17" s="412"/>
      <c r="FL17" s="417"/>
      <c r="FM17" s="412"/>
      <c r="FN17" s="417"/>
      <c r="FO17" s="412"/>
      <c r="FP17" s="402"/>
      <c r="FQ17" s="402"/>
      <c r="FR17" s="417"/>
      <c r="FS17" s="412"/>
      <c r="FT17" s="417"/>
      <c r="FU17" s="412"/>
      <c r="FV17" s="417"/>
      <c r="FW17" s="412"/>
      <c r="FX17" s="402"/>
      <c r="FY17" s="402"/>
      <c r="FZ17" s="417"/>
      <c r="GA17" s="412"/>
      <c r="GB17" s="417"/>
      <c r="GC17" s="412"/>
      <c r="GD17" s="402"/>
      <c r="GE17" s="402"/>
      <c r="GF17" s="417"/>
      <c r="GG17" s="412"/>
      <c r="GH17" s="402"/>
      <c r="GI17" s="402"/>
      <c r="GJ17" s="417"/>
      <c r="GK17" s="412"/>
      <c r="GL17" s="417"/>
      <c r="GM17" s="412"/>
      <c r="GN17" s="402"/>
      <c r="GO17" s="402"/>
      <c r="GP17" s="417"/>
      <c r="GQ17" s="412"/>
      <c r="GR17" s="417"/>
      <c r="GS17" s="412"/>
      <c r="GT17" s="417"/>
      <c r="GU17" s="412"/>
      <c r="GV17" s="402"/>
      <c r="GW17" s="402"/>
      <c r="GX17" s="417"/>
      <c r="GY17" s="412"/>
      <c r="GZ17" s="417"/>
      <c r="HA17" s="412"/>
      <c r="HB17" s="417"/>
      <c r="HC17" s="412"/>
      <c r="HD17" s="417"/>
      <c r="HE17" s="412"/>
      <c r="HF17" s="417"/>
      <c r="HG17" s="412"/>
      <c r="HH17" s="402"/>
      <c r="HI17" s="402"/>
      <c r="HJ17" s="417"/>
      <c r="HK17" s="412"/>
      <c r="HL17" s="417"/>
      <c r="HM17" s="412"/>
      <c r="HN17" s="280">
        <v>43190</v>
      </c>
      <c r="HO17" s="19" t="str">
        <f t="shared" si="56"/>
        <v>Saturday</v>
      </c>
      <c r="HP17" s="417"/>
      <c r="HQ17" s="412"/>
      <c r="HR17" s="417"/>
      <c r="HS17" s="412"/>
      <c r="HT17" s="417"/>
      <c r="HU17" s="412"/>
      <c r="HV17" s="417"/>
      <c r="HW17" s="412"/>
      <c r="HX17" s="402"/>
      <c r="HY17" s="402"/>
      <c r="HZ17" s="417"/>
      <c r="IA17" s="412"/>
      <c r="IB17" s="417"/>
      <c r="IC17" s="412"/>
      <c r="ID17" s="417"/>
      <c r="IE17" s="412"/>
      <c r="IF17" s="402"/>
      <c r="IG17" s="402"/>
      <c r="IH17" s="417"/>
      <c r="II17" s="412"/>
      <c r="IJ17" s="417"/>
      <c r="IK17" s="412"/>
      <c r="IL17" s="417"/>
      <c r="IM17" s="412"/>
      <c r="IN17" s="417"/>
      <c r="IO17" s="412"/>
      <c r="IP17" s="402"/>
      <c r="IQ17" s="402"/>
      <c r="IR17" s="417"/>
      <c r="IS17" s="412"/>
      <c r="IT17" s="417"/>
      <c r="IU17" s="412"/>
      <c r="IV17" s="417"/>
      <c r="IW17" s="412"/>
      <c r="IX17" s="417"/>
      <c r="IY17" s="412"/>
      <c r="IZ17" s="417"/>
      <c r="JA17" s="412"/>
      <c r="JB17" s="417"/>
      <c r="JC17" s="412"/>
      <c r="JD17" s="417"/>
      <c r="JE17" s="412"/>
      <c r="JF17" s="402"/>
      <c r="JG17" s="402"/>
      <c r="JH17" s="417"/>
      <c r="JI17" s="412"/>
      <c r="JJ17" s="417"/>
      <c r="JK17" s="412"/>
      <c r="JL17" s="417"/>
      <c r="JM17" s="412"/>
      <c r="JN17" s="417"/>
      <c r="JO17" s="412"/>
      <c r="JP17" s="402"/>
      <c r="JQ17" s="402"/>
      <c r="JR17" s="417"/>
      <c r="JS17" s="412"/>
      <c r="JT17" s="417"/>
      <c r="JU17" s="412"/>
      <c r="JV17" s="417"/>
      <c r="JW17" s="412"/>
      <c r="JX17" s="417"/>
      <c r="JY17" s="412"/>
      <c r="JZ17" s="417"/>
      <c r="KA17" s="412"/>
      <c r="KB17" s="417"/>
      <c r="KC17" s="412"/>
      <c r="KD17" s="402"/>
      <c r="KE17" s="402"/>
      <c r="KF17" s="417"/>
      <c r="KG17" s="412"/>
      <c r="KH17" s="402"/>
      <c r="KI17" s="402"/>
      <c r="KJ17" s="417"/>
      <c r="KK17" s="412"/>
      <c r="KL17" s="417"/>
      <c r="KM17" s="412"/>
      <c r="KN17" s="417"/>
      <c r="KO17" s="412"/>
      <c r="KP17" s="417"/>
      <c r="KQ17" s="412"/>
      <c r="KR17" s="417"/>
      <c r="KS17" s="412"/>
      <c r="KT17" s="417"/>
      <c r="KU17" s="412"/>
      <c r="KV17" s="417"/>
      <c r="KW17" s="412"/>
      <c r="KX17" s="417"/>
      <c r="KY17" s="412"/>
      <c r="KZ17" s="417"/>
      <c r="LA17" s="412"/>
      <c r="LB17" s="417"/>
      <c r="LC17" s="412"/>
      <c r="LD17" s="402"/>
      <c r="LE17" s="402"/>
      <c r="LF17" s="417"/>
      <c r="LG17" s="412"/>
      <c r="LH17" s="417"/>
      <c r="LI17" s="412"/>
      <c r="LJ17" s="402"/>
      <c r="LK17" s="402"/>
      <c r="LL17" s="417"/>
      <c r="LM17" s="412"/>
      <c r="LN17" s="402"/>
      <c r="LO17" s="402"/>
      <c r="LP17" s="417"/>
      <c r="LQ17" s="412"/>
      <c r="LR17" s="417"/>
      <c r="LS17" s="412"/>
      <c r="LT17" s="417"/>
      <c r="LU17" s="412"/>
      <c r="LV17" s="402"/>
      <c r="LW17" s="402"/>
      <c r="LX17" s="417"/>
      <c r="LY17" s="412"/>
      <c r="LZ17" s="402"/>
      <c r="MA17" s="402"/>
      <c r="MB17" s="417"/>
      <c r="MC17" s="412"/>
      <c r="MD17" s="417"/>
      <c r="ME17" s="412"/>
      <c r="MF17" s="417"/>
      <c r="MG17" s="412"/>
      <c r="MH17" s="417"/>
      <c r="MI17" s="412"/>
      <c r="MJ17" s="417"/>
      <c r="MK17" s="412"/>
      <c r="ML17" s="402"/>
      <c r="MM17" s="402"/>
      <c r="MN17" s="417"/>
      <c r="MO17" s="412"/>
      <c r="MP17" s="417"/>
      <c r="MQ17" s="412"/>
      <c r="MR17" s="417"/>
      <c r="MS17" s="412"/>
      <c r="MT17" s="417"/>
      <c r="MU17" s="412"/>
      <c r="MV17" s="402"/>
      <c r="MW17" s="402"/>
      <c r="MX17" s="417"/>
      <c r="MY17" s="412"/>
      <c r="MZ17" s="417"/>
      <c r="NA17" s="412"/>
      <c r="NB17" s="417"/>
      <c r="NC17" s="412"/>
      <c r="ND17" s="402"/>
      <c r="NE17" s="402"/>
      <c r="NF17" s="417"/>
      <c r="NG17" s="412"/>
      <c r="NH17" s="417"/>
      <c r="NI17" s="412"/>
      <c r="NJ17" s="417"/>
      <c r="NK17" s="412"/>
      <c r="NL17" s="402"/>
      <c r="NM17" s="402"/>
      <c r="NN17" s="417"/>
      <c r="NO17" s="412"/>
      <c r="NP17" s="417"/>
      <c r="NQ17" s="412"/>
      <c r="NR17" s="402"/>
      <c r="NS17" s="412"/>
      <c r="NT17" s="417"/>
      <c r="NU17" s="412"/>
      <c r="NV17" s="417"/>
      <c r="NW17" s="412"/>
      <c r="NX17" s="417"/>
      <c r="NY17" s="412"/>
      <c r="NZ17" s="417"/>
      <c r="OA17" s="402"/>
      <c r="OB17" s="417"/>
      <c r="OC17" s="412"/>
      <c r="OD17" s="417"/>
      <c r="OE17" s="412"/>
      <c r="OF17" s="402"/>
      <c r="OG17" s="402"/>
      <c r="OH17" s="417"/>
      <c r="OI17" s="412"/>
      <c r="OJ17" s="417"/>
      <c r="OK17" s="412"/>
      <c r="OL17" s="417"/>
      <c r="OM17" s="412"/>
      <c r="ON17" s="417"/>
      <c r="OO17" s="412"/>
      <c r="OP17" s="402"/>
      <c r="OQ17" s="402"/>
      <c r="OR17" s="417"/>
      <c r="OS17" s="412"/>
      <c r="OT17" s="417"/>
      <c r="OU17" s="412"/>
      <c r="OV17" s="402"/>
      <c r="OW17" s="402"/>
      <c r="OX17" s="417"/>
      <c r="OY17" s="412"/>
      <c r="OZ17" s="417"/>
      <c r="PA17" s="412"/>
      <c r="PB17" s="417"/>
      <c r="PC17" s="412"/>
      <c r="PD17" s="417"/>
      <c r="PE17" s="412"/>
      <c r="PF17" s="417"/>
      <c r="PG17" s="412"/>
      <c r="PH17" s="402"/>
      <c r="PI17" s="402"/>
      <c r="PJ17" s="417"/>
      <c r="PK17" s="412"/>
      <c r="PL17" s="402"/>
      <c r="PM17" s="402"/>
      <c r="PN17" s="417"/>
      <c r="PO17" s="412"/>
      <c r="PP17" s="417"/>
      <c r="PQ17" s="412"/>
      <c r="PR17" s="402"/>
      <c r="PS17" s="402"/>
      <c r="PT17" s="417"/>
      <c r="PU17" s="412"/>
      <c r="PV17" s="402"/>
      <c r="PW17" s="402"/>
      <c r="PX17" s="417"/>
      <c r="PY17" s="412"/>
      <c r="PZ17" s="417"/>
      <c r="QA17" s="412"/>
      <c r="QB17" s="417"/>
      <c r="QC17" s="412"/>
      <c r="QD17" s="417"/>
      <c r="QE17" s="412"/>
      <c r="QF17" s="417"/>
      <c r="QG17" s="412"/>
      <c r="QH17" s="402"/>
      <c r="QI17" s="402"/>
      <c r="QJ17" s="417"/>
      <c r="QK17" s="412"/>
      <c r="QL17" s="417"/>
      <c r="QM17" s="412"/>
      <c r="QN17" s="402"/>
      <c r="QO17" s="402"/>
      <c r="QP17" s="417"/>
      <c r="QQ17" s="412"/>
      <c r="QR17" s="417"/>
      <c r="QS17" s="412"/>
      <c r="QT17" s="417"/>
      <c r="QU17" s="412"/>
      <c r="QV17" s="402"/>
      <c r="QW17" s="412"/>
      <c r="QX17" s="402"/>
      <c r="QY17" s="412"/>
      <c r="QZ17" s="417"/>
      <c r="RA17" s="412"/>
      <c r="RB17" s="417"/>
      <c r="RC17" s="412"/>
      <c r="RD17" s="417"/>
      <c r="RE17" s="412"/>
      <c r="RF17" s="417"/>
      <c r="RG17" s="412"/>
      <c r="RH17" s="417"/>
      <c r="RI17" s="412"/>
      <c r="RJ17" s="417"/>
      <c r="RK17" s="412"/>
      <c r="RL17" s="402"/>
      <c r="RM17" s="402"/>
      <c r="RN17" s="417"/>
      <c r="RO17" s="412"/>
      <c r="RP17" s="402"/>
      <c r="RQ17" s="402"/>
      <c r="RR17" s="417"/>
      <c r="RS17" s="412"/>
      <c r="RT17" s="417"/>
      <c r="RU17" s="412"/>
      <c r="RV17" s="402"/>
      <c r="RW17" s="402"/>
      <c r="RX17" s="417"/>
      <c r="RY17" s="412"/>
      <c r="RZ17" s="417"/>
      <c r="SA17" s="402"/>
      <c r="SB17" s="417"/>
      <c r="SC17" s="412"/>
      <c r="SD17" s="417"/>
      <c r="SE17" s="412"/>
      <c r="SF17" s="417"/>
      <c r="SG17" s="412"/>
      <c r="SH17" s="417"/>
      <c r="SI17" s="412"/>
      <c r="SJ17" s="402"/>
      <c r="SK17" s="402"/>
      <c r="SL17" s="417"/>
      <c r="SM17" s="412"/>
      <c r="SN17" s="417"/>
      <c r="SO17" s="412"/>
      <c r="SP17" s="402"/>
      <c r="SQ17" s="402"/>
      <c r="SR17" s="417"/>
      <c r="SS17" s="412"/>
      <c r="ST17" s="402"/>
      <c r="SU17" s="402"/>
      <c r="SV17" s="417"/>
      <c r="SW17" s="412"/>
      <c r="SX17" s="417"/>
      <c r="SY17" s="412"/>
      <c r="SZ17" s="417"/>
      <c r="TA17" s="412"/>
      <c r="TB17" s="417"/>
      <c r="TC17" s="412"/>
      <c r="TD17" s="402"/>
      <c r="TE17" s="402"/>
      <c r="TF17" s="417"/>
      <c r="TG17" s="412"/>
      <c r="TH17" s="417"/>
      <c r="TI17" s="412"/>
      <c r="TJ17" s="402"/>
      <c r="TK17" s="402"/>
      <c r="TL17" s="417"/>
      <c r="TM17" s="412"/>
      <c r="TN17" s="417"/>
      <c r="TO17" s="412"/>
      <c r="TP17" s="417"/>
      <c r="TQ17" s="412"/>
      <c r="TR17" s="417"/>
      <c r="TS17" s="412"/>
      <c r="TT17" s="417"/>
      <c r="TU17" s="412"/>
      <c r="TV17" s="417"/>
      <c r="TW17" s="412"/>
      <c r="TX17" s="417"/>
      <c r="TY17" s="412"/>
      <c r="TZ17" s="402"/>
      <c r="UA17" s="402"/>
      <c r="UB17" s="417"/>
      <c r="UC17" s="412"/>
      <c r="UD17" s="417"/>
      <c r="UE17" s="412"/>
      <c r="UF17" s="417"/>
      <c r="UG17" s="412"/>
      <c r="UH17" s="402"/>
      <c r="UI17" s="402"/>
      <c r="UJ17" s="417"/>
      <c r="UK17" s="412"/>
      <c r="UL17" s="417"/>
      <c r="UM17" s="412"/>
      <c r="UN17" s="417"/>
      <c r="UO17" s="412"/>
      <c r="UP17" s="417"/>
      <c r="UQ17" s="412"/>
      <c r="UR17" s="402"/>
      <c r="US17" s="402"/>
      <c r="UT17" s="417"/>
      <c r="UU17" s="412"/>
      <c r="UV17" s="417"/>
      <c r="UW17" s="412"/>
      <c r="UX17" s="417"/>
      <c r="UY17" s="412"/>
      <c r="UZ17" s="402"/>
      <c r="VA17" s="402"/>
      <c r="VB17" s="417"/>
      <c r="VC17" s="412"/>
      <c r="VD17" s="417"/>
      <c r="VE17" s="412"/>
      <c r="VF17" s="417"/>
      <c r="VG17" s="412"/>
      <c r="VH17" s="402"/>
      <c r="VI17" s="402"/>
      <c r="VJ17" s="417"/>
      <c r="VK17" s="412"/>
      <c r="VL17" s="417"/>
      <c r="VM17" s="412"/>
      <c r="VN17" s="402"/>
      <c r="VO17" s="402"/>
      <c r="VP17" s="417"/>
      <c r="VQ17" s="412"/>
      <c r="VR17" s="417"/>
      <c r="VS17" s="412"/>
      <c r="VT17" s="417"/>
      <c r="VU17" s="412"/>
      <c r="VV17" s="417"/>
      <c r="VW17" s="412"/>
      <c r="VX17" s="417"/>
      <c r="VY17" s="412"/>
      <c r="VZ17" s="402"/>
      <c r="WA17" s="402"/>
      <c r="WB17" s="417"/>
      <c r="WC17" s="412"/>
      <c r="WD17" s="417"/>
      <c r="WE17" s="412"/>
      <c r="WF17" s="417"/>
      <c r="WG17" s="412"/>
      <c r="WH17" s="417"/>
      <c r="WI17" s="412"/>
      <c r="WJ17" s="417"/>
      <c r="WK17" s="412"/>
      <c r="WL17" s="402"/>
      <c r="WM17" s="402"/>
      <c r="WN17" s="417"/>
      <c r="WO17" s="412"/>
      <c r="WP17" s="402"/>
      <c r="WQ17" s="402"/>
      <c r="WR17" s="417"/>
      <c r="WS17" s="402"/>
      <c r="WT17" s="417"/>
      <c r="WU17" s="412"/>
      <c r="WV17" s="417"/>
      <c r="WW17" s="412"/>
      <c r="WX17" s="402"/>
      <c r="WY17" s="402"/>
      <c r="WZ17" s="417"/>
      <c r="XA17" s="412"/>
      <c r="XB17" s="417"/>
      <c r="XC17" s="412"/>
      <c r="XD17" s="417"/>
      <c r="XE17" s="412"/>
      <c r="XF17" s="417"/>
      <c r="XG17" s="412"/>
      <c r="XH17" s="402"/>
      <c r="XI17" s="402"/>
      <c r="XJ17" s="417"/>
      <c r="XK17" s="412"/>
      <c r="XL17" s="402"/>
      <c r="XM17" s="402"/>
      <c r="XN17" s="417"/>
      <c r="XO17" s="412"/>
      <c r="XP17" s="417"/>
      <c r="XQ17" s="412"/>
      <c r="XR17" s="402"/>
      <c r="XS17" s="402"/>
      <c r="XT17" s="417"/>
      <c r="XU17" s="412"/>
      <c r="XV17" s="417"/>
      <c r="XW17" s="412"/>
      <c r="XX17" s="417"/>
      <c r="XY17" s="412"/>
      <c r="XZ17" s="402"/>
      <c r="YA17" s="402"/>
      <c r="YB17" s="417"/>
      <c r="YC17" s="412"/>
      <c r="YD17" s="417"/>
      <c r="YE17" s="412"/>
      <c r="YF17" s="417"/>
      <c r="YG17" s="412"/>
      <c r="YH17" s="417"/>
      <c r="YI17" s="412"/>
      <c r="YJ17" s="402"/>
      <c r="YK17" s="402"/>
      <c r="YL17" s="417"/>
      <c r="YM17" s="412"/>
      <c r="YN17" s="417"/>
      <c r="YO17" s="412"/>
      <c r="YP17" s="417"/>
      <c r="YQ17" s="412"/>
      <c r="YR17" s="417"/>
      <c r="YS17" s="412"/>
      <c r="YT17" s="402"/>
      <c r="YU17" s="402"/>
      <c r="YV17" s="417"/>
      <c r="YW17" s="412"/>
      <c r="YX17" s="417"/>
      <c r="YY17" s="412"/>
      <c r="YZ17" s="402"/>
      <c r="ZA17" s="402"/>
      <c r="ZB17" s="417"/>
      <c r="ZC17" s="412"/>
      <c r="ZD17" s="402"/>
      <c r="ZE17" s="402"/>
      <c r="ZF17" s="417"/>
      <c r="ZG17" s="412"/>
      <c r="ZH17" s="417"/>
      <c r="ZI17" s="412"/>
      <c r="ZJ17" s="417"/>
      <c r="ZK17" s="412"/>
      <c r="ZL17" s="402"/>
      <c r="ZM17" s="402"/>
      <c r="ZN17" s="417"/>
      <c r="ZO17" s="412"/>
      <c r="ZP17" s="417"/>
      <c r="ZQ17" s="412"/>
      <c r="ZR17" s="402"/>
      <c r="ZS17" s="402"/>
      <c r="ZT17" s="417"/>
      <c r="ZU17" s="412"/>
      <c r="ZV17" s="417"/>
      <c r="ZW17" s="412"/>
      <c r="ZX17" s="402"/>
      <c r="ZY17" s="402"/>
      <c r="ZZ17" s="417"/>
      <c r="AAA17" s="412"/>
      <c r="AAB17" s="417"/>
      <c r="AAC17" s="412"/>
      <c r="AAD17" s="417"/>
      <c r="AAE17" s="412"/>
      <c r="AAF17" s="417"/>
      <c r="AAG17" s="412"/>
      <c r="AAH17" s="402"/>
      <c r="AAI17" s="402"/>
      <c r="AAJ17" s="417"/>
      <c r="AAK17" s="412"/>
      <c r="AAL17" s="417"/>
      <c r="AAM17" s="412"/>
      <c r="AAN17" s="417"/>
      <c r="AAO17" s="412"/>
      <c r="AAP17" s="417"/>
      <c r="AAQ17" s="412"/>
      <c r="AAR17" s="417"/>
      <c r="AAS17" s="412"/>
      <c r="AAT17" s="402"/>
      <c r="AAU17" s="402"/>
      <c r="AAV17" s="417"/>
      <c r="AAW17" s="412"/>
      <c r="AAX17" s="402"/>
      <c r="AAY17" s="402"/>
      <c r="AAZ17" s="417"/>
      <c r="ABA17" s="412"/>
      <c r="ABB17" s="417"/>
      <c r="ABC17" s="412"/>
      <c r="ABD17" s="417"/>
      <c r="ABE17" s="412"/>
      <c r="ABF17" s="402"/>
      <c r="ABG17" s="402"/>
      <c r="ABH17" s="417"/>
      <c r="ABI17" s="412"/>
      <c r="ABJ17" s="417"/>
      <c r="ABK17" s="412"/>
      <c r="ABL17" s="417"/>
      <c r="ABM17" s="412"/>
      <c r="ABN17" s="417"/>
      <c r="ABO17" s="412"/>
      <c r="ABP17" s="402"/>
      <c r="ABQ17" s="402"/>
      <c r="ABR17" s="417"/>
      <c r="ABS17" s="412"/>
      <c r="ABT17" s="417"/>
      <c r="ABU17" s="412"/>
      <c r="ABV17" s="417"/>
      <c r="ABW17" s="412"/>
      <c r="ABX17" s="402"/>
      <c r="ABY17" s="402"/>
      <c r="ABZ17" s="417"/>
      <c r="ACA17" s="412"/>
      <c r="ACB17" s="417"/>
      <c r="ACC17" s="412"/>
      <c r="ACD17" s="417"/>
      <c r="ACE17" s="412"/>
      <c r="ACF17" s="417"/>
      <c r="ACG17" s="412"/>
      <c r="ACH17" s="417"/>
      <c r="ACI17" s="412"/>
      <c r="ACJ17" s="402"/>
      <c r="ACK17" s="402"/>
      <c r="ACL17" s="417"/>
      <c r="ACM17" s="412"/>
      <c r="ACN17" s="402"/>
      <c r="ACO17" s="402"/>
      <c r="ACP17" s="417"/>
      <c r="ACQ17" s="412"/>
      <c r="ACR17" s="417"/>
      <c r="ACS17" s="412"/>
      <c r="ACT17" s="490">
        <v>43405</v>
      </c>
      <c r="ACU17" s="473" t="str">
        <f t="shared" si="57"/>
        <v>Thursday</v>
      </c>
      <c r="ACV17" s="417"/>
      <c r="ACW17" s="412"/>
      <c r="ACX17" s="417"/>
      <c r="ACY17" s="412"/>
      <c r="ACZ17" s="417"/>
      <c r="ADA17" s="412"/>
      <c r="ADB17" s="417"/>
      <c r="ADC17" s="412"/>
      <c r="ADD17" s="417"/>
      <c r="ADE17" s="412"/>
      <c r="ADF17" s="417"/>
      <c r="ADG17" s="412"/>
      <c r="ADH17" s="417"/>
      <c r="ADI17" s="412"/>
      <c r="ADJ17" s="417"/>
      <c r="ADK17" s="412"/>
      <c r="ADL17" s="402"/>
      <c r="ADM17" s="412"/>
      <c r="ADN17" s="402"/>
      <c r="ADO17" s="412"/>
      <c r="ADP17" s="417"/>
      <c r="ADQ17" s="412"/>
      <c r="ADR17" s="402"/>
      <c r="ADS17" s="412"/>
      <c r="ADT17" s="417"/>
      <c r="ADU17" s="412"/>
      <c r="ADV17" s="402"/>
      <c r="ADW17" s="402"/>
      <c r="ADX17" s="417"/>
      <c r="ADY17" s="412"/>
      <c r="ADZ17" s="417"/>
      <c r="AEA17" s="412"/>
      <c r="AEB17" s="417"/>
      <c r="AEC17" s="412"/>
      <c r="AED17" s="402"/>
      <c r="AEE17" s="402"/>
      <c r="AEF17" s="417"/>
      <c r="AEG17" s="412"/>
      <c r="AEH17" s="417"/>
      <c r="AEI17" s="402"/>
      <c r="AEJ17" s="417"/>
      <c r="AEK17" s="412"/>
      <c r="AEL17" s="417"/>
      <c r="AEM17" s="412"/>
      <c r="AEN17" s="417"/>
      <c r="AEO17" s="412"/>
      <c r="AEP17" s="417"/>
      <c r="AEQ17" s="412"/>
      <c r="AER17" s="402"/>
      <c r="AES17" s="402"/>
      <c r="AET17" s="417"/>
      <c r="AEU17" s="412"/>
      <c r="AEV17" s="402"/>
      <c r="AEW17" s="402"/>
      <c r="AEX17" s="417"/>
      <c r="AEY17" s="412"/>
      <c r="AEZ17" s="417"/>
      <c r="AFA17" s="412"/>
      <c r="AFB17" s="417"/>
      <c r="AFC17" s="412"/>
      <c r="AFD17" s="417"/>
      <c r="AFE17" s="412"/>
      <c r="AFF17" s="402"/>
      <c r="AFG17" s="402"/>
      <c r="AFH17" s="417"/>
      <c r="AFI17" s="412"/>
      <c r="AFJ17" s="402"/>
      <c r="AFK17" s="402"/>
      <c r="AFL17" s="417"/>
      <c r="AFM17" s="412"/>
      <c r="AFN17" s="417"/>
      <c r="AFO17" s="412"/>
      <c r="AFP17" s="417"/>
      <c r="AFQ17" s="412"/>
      <c r="AFR17" s="402"/>
      <c r="AFS17" s="402"/>
      <c r="AFT17" s="417"/>
      <c r="AFU17" s="412"/>
      <c r="AFV17" s="402"/>
      <c r="AFW17" s="402"/>
      <c r="AFX17" s="417"/>
      <c r="AFY17" s="402"/>
      <c r="AFZ17" s="417"/>
      <c r="AGA17" s="412"/>
      <c r="AGB17" s="417"/>
      <c r="AGC17" s="412"/>
      <c r="AGD17" s="402"/>
      <c r="AGE17" s="402"/>
      <c r="AGF17" s="417"/>
      <c r="AGG17" s="412"/>
      <c r="AGH17" s="417"/>
      <c r="AGI17" s="412"/>
      <c r="AGJ17" s="474">
        <v>43294</v>
      </c>
      <c r="AGK17" s="479" t="str">
        <f t="shared" si="58"/>
        <v>Friday</v>
      </c>
      <c r="AGL17" s="417"/>
      <c r="AGM17" s="412"/>
      <c r="AGN17" s="417"/>
      <c r="AGO17" s="412"/>
      <c r="AGP17" s="417"/>
      <c r="AGQ17" s="412"/>
      <c r="AGR17" s="417"/>
      <c r="AGS17" s="412"/>
      <c r="AGT17" s="417"/>
      <c r="AGU17" s="412"/>
      <c r="AGV17" s="402"/>
      <c r="AGW17" s="412"/>
      <c r="AGX17" s="417"/>
      <c r="AGY17" s="412"/>
      <c r="AGZ17" s="417"/>
      <c r="AHA17" s="412"/>
      <c r="AHB17" s="417"/>
      <c r="AHC17" s="412"/>
      <c r="AHD17" s="417"/>
      <c r="AHE17" s="412"/>
      <c r="AHF17" s="417"/>
      <c r="AHG17" s="412"/>
      <c r="AHH17" s="417"/>
      <c r="AHI17" s="402"/>
      <c r="AHJ17" s="417"/>
      <c r="AHK17" s="412"/>
      <c r="AHL17" s="402"/>
      <c r="AHM17" s="412"/>
      <c r="AHN17" s="417"/>
      <c r="AHO17" s="412"/>
      <c r="AHP17" s="417"/>
      <c r="AHQ17" s="412"/>
      <c r="AHR17" s="417"/>
      <c r="AHS17" s="402"/>
      <c r="AHT17" s="417"/>
      <c r="AHU17" s="402"/>
      <c r="AHV17" s="417"/>
      <c r="AHW17" s="412"/>
      <c r="AHX17" s="480">
        <v>43461</v>
      </c>
      <c r="AHY17" s="484" t="str">
        <f t="shared" si="59"/>
        <v>Thursday</v>
      </c>
      <c r="AHZ17" s="417"/>
      <c r="AIA17" s="412"/>
    </row>
    <row r="18" spans="1:911" ht="15.75" customHeight="1" x14ac:dyDescent="0.2">
      <c r="A18" s="412"/>
      <c r="B18" s="417"/>
      <c r="C18" s="412"/>
      <c r="D18" s="417"/>
      <c r="E18" s="412"/>
      <c r="F18" s="417"/>
      <c r="G18" s="412"/>
      <c r="H18" s="417"/>
      <c r="I18" s="412"/>
      <c r="J18" s="417"/>
      <c r="K18" s="412"/>
      <c r="L18" s="417"/>
      <c r="M18" s="412"/>
      <c r="N18" s="417"/>
      <c r="O18" s="412"/>
      <c r="P18" s="417"/>
      <c r="Q18" s="412"/>
      <c r="R18" s="417"/>
      <c r="S18" s="412"/>
      <c r="T18" s="417"/>
      <c r="U18" s="412"/>
      <c r="V18" s="417"/>
      <c r="W18" s="412"/>
      <c r="X18" s="417"/>
      <c r="Y18" s="412"/>
      <c r="Z18" s="417"/>
      <c r="AA18" s="412"/>
      <c r="AB18" s="417"/>
      <c r="AC18" s="412"/>
      <c r="AD18" s="402"/>
      <c r="AE18" s="402"/>
      <c r="AF18" s="417"/>
      <c r="AG18" s="402"/>
      <c r="AH18" s="417"/>
      <c r="AI18" s="412"/>
      <c r="AJ18" s="402"/>
      <c r="AK18" s="402"/>
      <c r="AL18" s="417"/>
      <c r="AM18" s="412"/>
      <c r="AN18" s="417"/>
      <c r="AO18" s="412"/>
      <c r="AP18" s="417"/>
      <c r="AQ18" s="412"/>
      <c r="AR18" s="417"/>
      <c r="AS18" s="412"/>
      <c r="AT18" s="417"/>
      <c r="AU18" s="412"/>
      <c r="AV18" s="402"/>
      <c r="AW18" s="402"/>
      <c r="AX18" s="417"/>
      <c r="AY18" s="412"/>
      <c r="AZ18" s="417"/>
      <c r="BA18" s="412"/>
      <c r="BB18" s="402"/>
      <c r="BC18" s="402"/>
      <c r="BD18" s="417"/>
      <c r="BE18" s="412"/>
      <c r="BF18" s="417"/>
      <c r="BG18" s="412"/>
      <c r="BH18" s="417"/>
      <c r="BI18" s="412"/>
      <c r="BJ18" s="417"/>
      <c r="BK18" s="412"/>
      <c r="BL18" s="402"/>
      <c r="BM18" s="402"/>
      <c r="BN18" s="417"/>
      <c r="BO18" s="412"/>
      <c r="BP18" s="417"/>
      <c r="BQ18" s="412"/>
      <c r="BR18" s="417"/>
      <c r="BS18" s="412"/>
      <c r="BT18" s="402"/>
      <c r="BU18" s="402"/>
      <c r="BV18" s="417"/>
      <c r="BW18" s="412"/>
      <c r="BX18" s="402"/>
      <c r="BY18" s="402"/>
      <c r="BZ18" s="417"/>
      <c r="CA18" s="412"/>
      <c r="CB18" s="417"/>
      <c r="CC18" s="412"/>
      <c r="CD18" s="417"/>
      <c r="CE18" s="412"/>
      <c r="CF18" s="417"/>
      <c r="CG18" s="412"/>
      <c r="CH18" s="417"/>
      <c r="CI18" s="412"/>
      <c r="CJ18" s="417"/>
      <c r="CK18" s="412"/>
      <c r="CL18" s="402"/>
      <c r="CM18" s="402"/>
      <c r="CN18" s="417"/>
      <c r="CO18" s="412"/>
      <c r="CP18" s="417"/>
      <c r="CQ18" s="412"/>
      <c r="CR18" s="417"/>
      <c r="CS18" s="412"/>
      <c r="CT18" s="402"/>
      <c r="CU18" s="402"/>
      <c r="CV18" s="417"/>
      <c r="CW18" s="412"/>
      <c r="CX18" s="417"/>
      <c r="CY18" s="412"/>
      <c r="CZ18" s="402"/>
      <c r="DA18" s="402"/>
      <c r="DB18" s="417"/>
      <c r="DC18" s="412"/>
      <c r="DD18" s="417"/>
      <c r="DE18" s="412"/>
      <c r="DF18" s="402"/>
      <c r="DG18" s="402"/>
      <c r="DH18" s="417"/>
      <c r="DI18" s="412"/>
      <c r="DJ18" s="417"/>
      <c r="DK18" s="412"/>
      <c r="DL18" s="417"/>
      <c r="DM18" s="412"/>
      <c r="DN18" s="402"/>
      <c r="DO18" s="402"/>
      <c r="DP18" s="417"/>
      <c r="DQ18" s="412"/>
      <c r="DR18" s="417"/>
      <c r="DS18" s="412"/>
      <c r="DT18" s="402"/>
      <c r="DU18" s="402"/>
      <c r="DV18" s="417"/>
      <c r="DW18" s="412"/>
      <c r="DX18" s="417"/>
      <c r="DY18" s="412"/>
      <c r="DZ18" s="402"/>
      <c r="EA18" s="402"/>
      <c r="EB18" s="417"/>
      <c r="EC18" s="412"/>
      <c r="ED18" s="402"/>
      <c r="EE18" s="402"/>
      <c r="EF18" s="417"/>
      <c r="EG18" s="412"/>
      <c r="EH18" s="417"/>
      <c r="EI18" s="412"/>
      <c r="EJ18" s="417"/>
      <c r="EK18" s="412"/>
      <c r="EL18" s="402"/>
      <c r="EM18" s="402"/>
      <c r="EN18" s="417"/>
      <c r="EO18" s="412"/>
      <c r="EP18" s="417"/>
      <c r="EQ18" s="412"/>
      <c r="ER18" s="417"/>
      <c r="ES18" s="412"/>
      <c r="ET18" s="402"/>
      <c r="EU18" s="402"/>
      <c r="EV18" s="417"/>
      <c r="EW18" s="412"/>
      <c r="EX18" s="417"/>
      <c r="EY18" s="412"/>
      <c r="EZ18" s="417"/>
      <c r="FA18" s="412"/>
      <c r="FB18" s="402"/>
      <c r="FC18" s="402"/>
      <c r="FD18" s="417"/>
      <c r="FE18" s="412"/>
      <c r="FF18" s="402"/>
      <c r="FG18" s="412"/>
      <c r="FH18" s="402"/>
      <c r="FI18" s="402"/>
      <c r="FJ18" s="417"/>
      <c r="FK18" s="412"/>
      <c r="FL18" s="417"/>
      <c r="FM18" s="412"/>
      <c r="FN18" s="417"/>
      <c r="FO18" s="412"/>
      <c r="FP18" s="402"/>
      <c r="FQ18" s="402"/>
      <c r="FR18" s="417"/>
      <c r="FS18" s="412"/>
      <c r="FT18" s="417"/>
      <c r="FU18" s="412"/>
      <c r="FV18" s="417"/>
      <c r="FW18" s="412"/>
      <c r="FX18" s="402"/>
      <c r="FY18" s="402"/>
      <c r="FZ18" s="417"/>
      <c r="GA18" s="412"/>
      <c r="GB18" s="417"/>
      <c r="GC18" s="412"/>
      <c r="GD18" s="402"/>
      <c r="GE18" s="402"/>
      <c r="GF18" s="417"/>
      <c r="GG18" s="412"/>
      <c r="GH18" s="402"/>
      <c r="GI18" s="402"/>
      <c r="GJ18" s="417"/>
      <c r="GK18" s="412"/>
      <c r="GL18" s="417"/>
      <c r="GM18" s="412"/>
      <c r="GN18" s="402"/>
      <c r="GO18" s="402"/>
      <c r="GP18" s="417"/>
      <c r="GQ18" s="412"/>
      <c r="GR18" s="417"/>
      <c r="GS18" s="412"/>
      <c r="GT18" s="417"/>
      <c r="GU18" s="412"/>
      <c r="GV18" s="402"/>
      <c r="GW18" s="402"/>
      <c r="GX18" s="417"/>
      <c r="GY18" s="412"/>
      <c r="GZ18" s="417"/>
      <c r="HA18" s="412"/>
      <c r="HB18" s="417"/>
      <c r="HC18" s="412"/>
      <c r="HD18" s="417"/>
      <c r="HE18" s="412"/>
      <c r="HF18" s="417"/>
      <c r="HG18" s="412"/>
      <c r="HH18" s="402"/>
      <c r="HI18" s="402"/>
      <c r="HJ18" s="417"/>
      <c r="HK18" s="412"/>
      <c r="HL18" s="417"/>
      <c r="HM18" s="412"/>
      <c r="HN18" s="280">
        <v>43190</v>
      </c>
      <c r="HO18" s="19" t="str">
        <f t="shared" si="56"/>
        <v>Saturday</v>
      </c>
      <c r="HP18" s="417"/>
      <c r="HQ18" s="412"/>
      <c r="HR18" s="417"/>
      <c r="HS18" s="412"/>
      <c r="HT18" s="417"/>
      <c r="HU18" s="412"/>
      <c r="HV18" s="417"/>
      <c r="HW18" s="412"/>
      <c r="HX18" s="402"/>
      <c r="HY18" s="402"/>
      <c r="HZ18" s="417"/>
      <c r="IA18" s="412"/>
      <c r="IB18" s="417"/>
      <c r="IC18" s="412"/>
      <c r="ID18" s="417"/>
      <c r="IE18" s="412"/>
      <c r="IF18" s="402"/>
      <c r="IG18" s="402"/>
      <c r="IH18" s="417"/>
      <c r="II18" s="412"/>
      <c r="IJ18" s="417"/>
      <c r="IK18" s="412"/>
      <c r="IL18" s="417"/>
      <c r="IM18" s="412"/>
      <c r="IN18" s="417"/>
      <c r="IO18" s="412"/>
      <c r="IP18" s="402"/>
      <c r="IQ18" s="402"/>
      <c r="IR18" s="417"/>
      <c r="IS18" s="412"/>
      <c r="IT18" s="417"/>
      <c r="IU18" s="412"/>
      <c r="IV18" s="417"/>
      <c r="IW18" s="412"/>
      <c r="IX18" s="417"/>
      <c r="IY18" s="412"/>
      <c r="IZ18" s="417"/>
      <c r="JA18" s="412"/>
      <c r="JB18" s="417"/>
      <c r="JC18" s="412"/>
      <c r="JD18" s="417"/>
      <c r="JE18" s="412"/>
      <c r="JF18" s="402"/>
      <c r="JG18" s="402"/>
      <c r="JH18" s="417"/>
      <c r="JI18" s="412"/>
      <c r="JJ18" s="417"/>
      <c r="JK18" s="412"/>
      <c r="JL18" s="417"/>
      <c r="JM18" s="412"/>
      <c r="JN18" s="417"/>
      <c r="JO18" s="412"/>
      <c r="JP18" s="402"/>
      <c r="JQ18" s="402"/>
      <c r="JR18" s="417"/>
      <c r="JS18" s="412"/>
      <c r="JT18" s="417"/>
      <c r="JU18" s="412"/>
      <c r="JV18" s="417"/>
      <c r="JW18" s="412"/>
      <c r="JX18" s="417"/>
      <c r="JY18" s="412"/>
      <c r="JZ18" s="417"/>
      <c r="KA18" s="412"/>
      <c r="KB18" s="417"/>
      <c r="KC18" s="412"/>
      <c r="KD18" s="402"/>
      <c r="KE18" s="402"/>
      <c r="KF18" s="417"/>
      <c r="KG18" s="412"/>
      <c r="KH18" s="402"/>
      <c r="KI18" s="402"/>
      <c r="KJ18" s="417"/>
      <c r="KK18" s="412"/>
      <c r="KL18" s="417"/>
      <c r="KM18" s="412"/>
      <c r="KN18" s="417"/>
      <c r="KO18" s="412"/>
      <c r="KP18" s="417"/>
      <c r="KQ18" s="412"/>
      <c r="KR18" s="417"/>
      <c r="KS18" s="412"/>
      <c r="KT18" s="417"/>
      <c r="KU18" s="412"/>
      <c r="KV18" s="417"/>
      <c r="KW18" s="412"/>
      <c r="KX18" s="417"/>
      <c r="KY18" s="412"/>
      <c r="KZ18" s="417"/>
      <c r="LA18" s="412"/>
      <c r="LB18" s="417"/>
      <c r="LC18" s="412"/>
      <c r="LD18" s="402"/>
      <c r="LE18" s="402"/>
      <c r="LF18" s="417"/>
      <c r="LG18" s="412"/>
      <c r="LH18" s="417"/>
      <c r="LI18" s="412"/>
      <c r="LJ18" s="402"/>
      <c r="LK18" s="402"/>
      <c r="LL18" s="417"/>
      <c r="LM18" s="412"/>
      <c r="LN18" s="402"/>
      <c r="LO18" s="402"/>
      <c r="LP18" s="417"/>
      <c r="LQ18" s="412"/>
      <c r="LR18" s="417"/>
      <c r="LS18" s="412"/>
      <c r="LT18" s="417"/>
      <c r="LU18" s="412"/>
      <c r="LV18" s="402"/>
      <c r="LW18" s="402"/>
      <c r="LX18" s="417"/>
      <c r="LY18" s="412"/>
      <c r="LZ18" s="402"/>
      <c r="MA18" s="402"/>
      <c r="MB18" s="417"/>
      <c r="MC18" s="412"/>
      <c r="MD18" s="417"/>
      <c r="ME18" s="412"/>
      <c r="MF18" s="417"/>
      <c r="MG18" s="412"/>
      <c r="MH18" s="417"/>
      <c r="MI18" s="412"/>
      <c r="MJ18" s="417"/>
      <c r="MK18" s="412"/>
      <c r="ML18" s="402"/>
      <c r="MM18" s="402"/>
      <c r="MN18" s="417"/>
      <c r="MO18" s="412"/>
      <c r="MP18" s="417"/>
      <c r="MQ18" s="412"/>
      <c r="MR18" s="417"/>
      <c r="MS18" s="412"/>
      <c r="MT18" s="417"/>
      <c r="MU18" s="412"/>
      <c r="MV18" s="402"/>
      <c r="MW18" s="402"/>
      <c r="MX18" s="417"/>
      <c r="MY18" s="412"/>
      <c r="MZ18" s="417"/>
      <c r="NA18" s="412"/>
      <c r="NB18" s="417"/>
      <c r="NC18" s="412"/>
      <c r="ND18" s="402"/>
      <c r="NE18" s="402"/>
      <c r="NF18" s="417"/>
      <c r="NG18" s="412"/>
      <c r="NH18" s="417"/>
      <c r="NI18" s="412"/>
      <c r="NJ18" s="417"/>
      <c r="NK18" s="412"/>
      <c r="NL18" s="402"/>
      <c r="NM18" s="402"/>
      <c r="NN18" s="417"/>
      <c r="NO18" s="412"/>
      <c r="NP18" s="417"/>
      <c r="NQ18" s="412"/>
      <c r="NR18" s="402"/>
      <c r="NS18" s="412"/>
      <c r="NT18" s="417"/>
      <c r="NU18" s="412"/>
      <c r="NV18" s="417"/>
      <c r="NW18" s="412"/>
      <c r="NX18" s="417"/>
      <c r="NY18" s="412"/>
      <c r="NZ18" s="417"/>
      <c r="OA18" s="402"/>
      <c r="OB18" s="417"/>
      <c r="OC18" s="412"/>
      <c r="OD18" s="417"/>
      <c r="OE18" s="412"/>
      <c r="OF18" s="402"/>
      <c r="OG18" s="402"/>
      <c r="OH18" s="417"/>
      <c r="OI18" s="412"/>
      <c r="OJ18" s="417"/>
      <c r="OK18" s="412"/>
      <c r="OL18" s="417"/>
      <c r="OM18" s="412"/>
      <c r="ON18" s="417"/>
      <c r="OO18" s="412"/>
      <c r="OP18" s="402"/>
      <c r="OQ18" s="402"/>
      <c r="OR18" s="417"/>
      <c r="OS18" s="412"/>
      <c r="OT18" s="417"/>
      <c r="OU18" s="412"/>
      <c r="OV18" s="402"/>
      <c r="OW18" s="402"/>
      <c r="OX18" s="417"/>
      <c r="OY18" s="412"/>
      <c r="OZ18" s="417"/>
      <c r="PA18" s="412"/>
      <c r="PB18" s="417"/>
      <c r="PC18" s="412"/>
      <c r="PD18" s="417"/>
      <c r="PE18" s="412"/>
      <c r="PF18" s="417"/>
      <c r="PG18" s="412"/>
      <c r="PH18" s="402"/>
      <c r="PI18" s="402"/>
      <c r="PJ18" s="417"/>
      <c r="PK18" s="412"/>
      <c r="PL18" s="402"/>
      <c r="PM18" s="402"/>
      <c r="PN18" s="417"/>
      <c r="PO18" s="412"/>
      <c r="PP18" s="417"/>
      <c r="PQ18" s="412"/>
      <c r="PR18" s="402"/>
      <c r="PS18" s="402"/>
      <c r="PT18" s="417"/>
      <c r="PU18" s="412"/>
      <c r="PV18" s="402"/>
      <c r="PW18" s="402"/>
      <c r="PX18" s="417"/>
      <c r="PY18" s="412"/>
      <c r="PZ18" s="417"/>
      <c r="QA18" s="412"/>
      <c r="QB18" s="417"/>
      <c r="QC18" s="412"/>
      <c r="QD18" s="417"/>
      <c r="QE18" s="412"/>
      <c r="QF18" s="417"/>
      <c r="QG18" s="412"/>
      <c r="QH18" s="402"/>
      <c r="QI18" s="402"/>
      <c r="QJ18" s="417"/>
      <c r="QK18" s="412"/>
      <c r="QL18" s="417"/>
      <c r="QM18" s="412"/>
      <c r="QN18" s="402"/>
      <c r="QO18" s="402"/>
      <c r="QP18" s="417"/>
      <c r="QQ18" s="412"/>
      <c r="QR18" s="417"/>
      <c r="QS18" s="412"/>
      <c r="QT18" s="417"/>
      <c r="QU18" s="412"/>
      <c r="QV18" s="402"/>
      <c r="QW18" s="412"/>
      <c r="QX18" s="402"/>
      <c r="QY18" s="412"/>
      <c r="QZ18" s="417"/>
      <c r="RA18" s="412"/>
      <c r="RB18" s="417"/>
      <c r="RC18" s="412"/>
      <c r="RD18" s="417"/>
      <c r="RE18" s="412"/>
      <c r="RF18" s="417"/>
      <c r="RG18" s="412"/>
      <c r="RH18" s="417"/>
      <c r="RI18" s="412"/>
      <c r="RJ18" s="417"/>
      <c r="RK18" s="412"/>
      <c r="RL18" s="402"/>
      <c r="RM18" s="402"/>
      <c r="RN18" s="417"/>
      <c r="RO18" s="412"/>
      <c r="RP18" s="402"/>
      <c r="RQ18" s="402"/>
      <c r="RR18" s="417"/>
      <c r="RS18" s="412"/>
      <c r="RT18" s="417"/>
      <c r="RU18" s="412"/>
      <c r="RV18" s="402"/>
      <c r="RW18" s="402"/>
      <c r="RX18" s="417"/>
      <c r="RY18" s="412"/>
      <c r="RZ18" s="417"/>
      <c r="SA18" s="402"/>
      <c r="SB18" s="417"/>
      <c r="SC18" s="412"/>
      <c r="SD18" s="417"/>
      <c r="SE18" s="412"/>
      <c r="SF18" s="417"/>
      <c r="SG18" s="412"/>
      <c r="SH18" s="417"/>
      <c r="SI18" s="412"/>
      <c r="SJ18" s="402"/>
      <c r="SK18" s="402"/>
      <c r="SL18" s="417"/>
      <c r="SM18" s="412"/>
      <c r="SN18" s="417"/>
      <c r="SO18" s="412"/>
      <c r="SP18" s="402"/>
      <c r="SQ18" s="402"/>
      <c r="SR18" s="417"/>
      <c r="SS18" s="412"/>
      <c r="ST18" s="402"/>
      <c r="SU18" s="402"/>
      <c r="SV18" s="417"/>
      <c r="SW18" s="412"/>
      <c r="SX18" s="417"/>
      <c r="SY18" s="412"/>
      <c r="SZ18" s="417"/>
      <c r="TA18" s="412"/>
      <c r="TB18" s="417"/>
      <c r="TC18" s="412"/>
      <c r="TD18" s="402"/>
      <c r="TE18" s="402"/>
      <c r="TF18" s="417"/>
      <c r="TG18" s="412"/>
      <c r="TH18" s="417"/>
      <c r="TI18" s="412"/>
      <c r="TJ18" s="402"/>
      <c r="TK18" s="402"/>
      <c r="TL18" s="417"/>
      <c r="TM18" s="412"/>
      <c r="TN18" s="417"/>
      <c r="TO18" s="412"/>
      <c r="TP18" s="417"/>
      <c r="TQ18" s="412"/>
      <c r="TR18" s="417"/>
      <c r="TS18" s="412"/>
      <c r="TT18" s="417"/>
      <c r="TU18" s="412"/>
      <c r="TV18" s="417"/>
      <c r="TW18" s="412"/>
      <c r="TX18" s="417"/>
      <c r="TY18" s="412"/>
      <c r="TZ18" s="402"/>
      <c r="UA18" s="402"/>
      <c r="UB18" s="417"/>
      <c r="UC18" s="412"/>
      <c r="UD18" s="417"/>
      <c r="UE18" s="412"/>
      <c r="UF18" s="417"/>
      <c r="UG18" s="412"/>
      <c r="UH18" s="402"/>
      <c r="UI18" s="402"/>
      <c r="UJ18" s="417"/>
      <c r="UK18" s="412"/>
      <c r="UL18" s="417"/>
      <c r="UM18" s="412"/>
      <c r="UN18" s="417"/>
      <c r="UO18" s="412"/>
      <c r="UP18" s="417"/>
      <c r="UQ18" s="412"/>
      <c r="UR18" s="402"/>
      <c r="US18" s="402"/>
      <c r="UT18" s="417"/>
      <c r="UU18" s="412"/>
      <c r="UV18" s="417"/>
      <c r="UW18" s="412"/>
      <c r="UX18" s="417"/>
      <c r="UY18" s="412"/>
      <c r="UZ18" s="402"/>
      <c r="VA18" s="402"/>
      <c r="VB18" s="417"/>
      <c r="VC18" s="412"/>
      <c r="VD18" s="417"/>
      <c r="VE18" s="412"/>
      <c r="VF18" s="417"/>
      <c r="VG18" s="412"/>
      <c r="VH18" s="402"/>
      <c r="VI18" s="402"/>
      <c r="VJ18" s="417"/>
      <c r="VK18" s="412"/>
      <c r="VL18" s="417"/>
      <c r="VM18" s="412"/>
      <c r="VN18" s="402"/>
      <c r="VO18" s="402"/>
      <c r="VP18" s="417"/>
      <c r="VQ18" s="412"/>
      <c r="VR18" s="417"/>
      <c r="VS18" s="412"/>
      <c r="VT18" s="417"/>
      <c r="VU18" s="412"/>
      <c r="VV18" s="417"/>
      <c r="VW18" s="412"/>
      <c r="VX18" s="417"/>
      <c r="VY18" s="412"/>
      <c r="VZ18" s="402"/>
      <c r="WA18" s="402"/>
      <c r="WB18" s="417"/>
      <c r="WC18" s="412"/>
      <c r="WD18" s="417"/>
      <c r="WE18" s="412"/>
      <c r="WF18" s="417"/>
      <c r="WG18" s="412"/>
      <c r="WH18" s="417"/>
      <c r="WI18" s="412"/>
      <c r="WJ18" s="417"/>
      <c r="WK18" s="412"/>
      <c r="WL18" s="402"/>
      <c r="WM18" s="402"/>
      <c r="WN18" s="417"/>
      <c r="WO18" s="412"/>
      <c r="WP18" s="402"/>
      <c r="WQ18" s="402"/>
      <c r="WR18" s="417"/>
      <c r="WS18" s="402"/>
      <c r="WT18" s="417"/>
      <c r="WU18" s="412"/>
      <c r="WV18" s="417"/>
      <c r="WW18" s="412"/>
      <c r="WX18" s="402"/>
      <c r="WY18" s="402"/>
      <c r="WZ18" s="417"/>
      <c r="XA18" s="412"/>
      <c r="XB18" s="417"/>
      <c r="XC18" s="412"/>
      <c r="XD18" s="417"/>
      <c r="XE18" s="412"/>
      <c r="XF18" s="417"/>
      <c r="XG18" s="412"/>
      <c r="XH18" s="402"/>
      <c r="XI18" s="402"/>
      <c r="XJ18" s="417"/>
      <c r="XK18" s="412"/>
      <c r="XL18" s="402"/>
      <c r="XM18" s="402"/>
      <c r="XN18" s="417"/>
      <c r="XO18" s="412"/>
      <c r="XP18" s="417"/>
      <c r="XQ18" s="412"/>
      <c r="XR18" s="402"/>
      <c r="XS18" s="402"/>
      <c r="XT18" s="417"/>
      <c r="XU18" s="412"/>
      <c r="XV18" s="417"/>
      <c r="XW18" s="412"/>
      <c r="XX18" s="417"/>
      <c r="XY18" s="412"/>
      <c r="XZ18" s="402"/>
      <c r="YA18" s="402"/>
      <c r="YB18" s="417"/>
      <c r="YC18" s="412"/>
      <c r="YD18" s="417"/>
      <c r="YE18" s="412"/>
      <c r="YF18" s="417"/>
      <c r="YG18" s="412"/>
      <c r="YH18" s="417"/>
      <c r="YI18" s="412"/>
      <c r="YJ18" s="402"/>
      <c r="YK18" s="402"/>
      <c r="YL18" s="417"/>
      <c r="YM18" s="412"/>
      <c r="YN18" s="417"/>
      <c r="YO18" s="412"/>
      <c r="YP18" s="417"/>
      <c r="YQ18" s="412"/>
      <c r="YR18" s="417"/>
      <c r="YS18" s="412"/>
      <c r="YT18" s="402"/>
      <c r="YU18" s="402"/>
      <c r="YV18" s="417"/>
      <c r="YW18" s="412"/>
      <c r="YX18" s="417"/>
      <c r="YY18" s="412"/>
      <c r="YZ18" s="402"/>
      <c r="ZA18" s="402"/>
      <c r="ZB18" s="417"/>
      <c r="ZC18" s="412"/>
      <c r="ZD18" s="402"/>
      <c r="ZE18" s="402"/>
      <c r="ZF18" s="417"/>
      <c r="ZG18" s="412"/>
      <c r="ZH18" s="417"/>
      <c r="ZI18" s="412"/>
      <c r="ZJ18" s="417"/>
      <c r="ZK18" s="412"/>
      <c r="ZL18" s="402"/>
      <c r="ZM18" s="402"/>
      <c r="ZN18" s="417"/>
      <c r="ZO18" s="412"/>
      <c r="ZP18" s="417"/>
      <c r="ZQ18" s="412"/>
      <c r="ZR18" s="402"/>
      <c r="ZS18" s="402"/>
      <c r="ZT18" s="417"/>
      <c r="ZU18" s="412"/>
      <c r="ZV18" s="417"/>
      <c r="ZW18" s="412"/>
      <c r="ZX18" s="402"/>
      <c r="ZY18" s="402"/>
      <c r="ZZ18" s="417"/>
      <c r="AAA18" s="412"/>
      <c r="AAB18" s="417"/>
      <c r="AAC18" s="412"/>
      <c r="AAD18" s="417"/>
      <c r="AAE18" s="412"/>
      <c r="AAF18" s="417"/>
      <c r="AAG18" s="412"/>
      <c r="AAH18" s="402"/>
      <c r="AAI18" s="402"/>
      <c r="AAJ18" s="417"/>
      <c r="AAK18" s="412"/>
      <c r="AAL18" s="417"/>
      <c r="AAM18" s="412"/>
      <c r="AAN18" s="417"/>
      <c r="AAO18" s="412"/>
      <c r="AAP18" s="417"/>
      <c r="AAQ18" s="412"/>
      <c r="AAR18" s="417"/>
      <c r="AAS18" s="412"/>
      <c r="AAT18" s="402"/>
      <c r="AAU18" s="402"/>
      <c r="AAV18" s="417"/>
      <c r="AAW18" s="412"/>
      <c r="AAX18" s="402"/>
      <c r="AAY18" s="402"/>
      <c r="AAZ18" s="417"/>
      <c r="ABA18" s="412"/>
      <c r="ABB18" s="417"/>
      <c r="ABC18" s="412"/>
      <c r="ABD18" s="417"/>
      <c r="ABE18" s="412"/>
      <c r="ABF18" s="402"/>
      <c r="ABG18" s="402"/>
      <c r="ABH18" s="417"/>
      <c r="ABI18" s="412"/>
      <c r="ABJ18" s="417"/>
      <c r="ABK18" s="412"/>
      <c r="ABL18" s="417"/>
      <c r="ABM18" s="412"/>
      <c r="ABN18" s="417"/>
      <c r="ABO18" s="412"/>
      <c r="ABP18" s="402"/>
      <c r="ABQ18" s="402"/>
      <c r="ABR18" s="417"/>
      <c r="ABS18" s="412"/>
      <c r="ABT18" s="417"/>
      <c r="ABU18" s="412"/>
      <c r="ABV18" s="417"/>
      <c r="ABW18" s="412"/>
      <c r="ABX18" s="402"/>
      <c r="ABY18" s="402"/>
      <c r="ABZ18" s="417"/>
      <c r="ACA18" s="412"/>
      <c r="ACB18" s="417"/>
      <c r="ACC18" s="412"/>
      <c r="ACD18" s="417"/>
      <c r="ACE18" s="412"/>
      <c r="ACF18" s="417"/>
      <c r="ACG18" s="412"/>
      <c r="ACH18" s="417"/>
      <c r="ACI18" s="412"/>
      <c r="ACJ18" s="402"/>
      <c r="ACK18" s="402"/>
      <c r="ACL18" s="417"/>
      <c r="ACM18" s="412"/>
      <c r="ACN18" s="402"/>
      <c r="ACO18" s="402"/>
      <c r="ACP18" s="417"/>
      <c r="ACQ18" s="412"/>
      <c r="ACR18" s="417"/>
      <c r="ACS18" s="412"/>
      <c r="ACT18" s="402"/>
      <c r="ACU18" s="412"/>
      <c r="ACV18" s="417"/>
      <c r="ACW18" s="412"/>
      <c r="ACX18" s="417"/>
      <c r="ACY18" s="412"/>
      <c r="ACZ18" s="417"/>
      <c r="ADA18" s="412"/>
      <c r="ADB18" s="417"/>
      <c r="ADC18" s="412"/>
      <c r="ADD18" s="417"/>
      <c r="ADE18" s="412"/>
      <c r="ADF18" s="417"/>
      <c r="ADG18" s="412"/>
      <c r="ADH18" s="417"/>
      <c r="ADI18" s="412"/>
      <c r="ADJ18" s="417"/>
      <c r="ADK18" s="412"/>
      <c r="ADL18" s="402"/>
      <c r="ADM18" s="412"/>
      <c r="ADN18" s="402"/>
      <c r="ADO18" s="412"/>
      <c r="ADP18" s="417"/>
      <c r="ADQ18" s="412"/>
      <c r="ADR18" s="402"/>
      <c r="ADS18" s="412"/>
      <c r="ADT18" s="417"/>
      <c r="ADU18" s="412"/>
      <c r="ADV18" s="402"/>
      <c r="ADW18" s="402"/>
      <c r="ADX18" s="417"/>
      <c r="ADY18" s="412"/>
      <c r="ADZ18" s="417"/>
      <c r="AEA18" s="412"/>
      <c r="AEB18" s="417"/>
      <c r="AEC18" s="412"/>
      <c r="AED18" s="402"/>
      <c r="AEE18" s="402"/>
      <c r="AEF18" s="417"/>
      <c r="AEG18" s="412"/>
      <c r="AEH18" s="417"/>
      <c r="AEI18" s="402"/>
      <c r="AEJ18" s="417"/>
      <c r="AEK18" s="412"/>
      <c r="AEL18" s="417"/>
      <c r="AEM18" s="412"/>
      <c r="AEN18" s="417"/>
      <c r="AEO18" s="412"/>
      <c r="AEP18" s="417"/>
      <c r="AEQ18" s="412"/>
      <c r="AER18" s="402"/>
      <c r="AES18" s="402"/>
      <c r="AET18" s="417"/>
      <c r="AEU18" s="412"/>
      <c r="AEV18" s="402"/>
      <c r="AEW18" s="402"/>
      <c r="AEX18" s="417"/>
      <c r="AEY18" s="412"/>
      <c r="AEZ18" s="417"/>
      <c r="AFA18" s="412"/>
      <c r="AFB18" s="417"/>
      <c r="AFC18" s="412"/>
      <c r="AFD18" s="417"/>
      <c r="AFE18" s="412"/>
      <c r="AFF18" s="402"/>
      <c r="AFG18" s="402"/>
      <c r="AFH18" s="417"/>
      <c r="AFI18" s="412"/>
      <c r="AFJ18" s="402"/>
      <c r="AFK18" s="402"/>
      <c r="AFL18" s="417"/>
      <c r="AFM18" s="412"/>
      <c r="AFN18" s="417"/>
      <c r="AFO18" s="412"/>
      <c r="AFP18" s="417"/>
      <c r="AFQ18" s="412"/>
      <c r="AFR18" s="402"/>
      <c r="AFS18" s="402"/>
      <c r="AFT18" s="417"/>
      <c r="AFU18" s="412"/>
      <c r="AFV18" s="402"/>
      <c r="AFW18" s="402"/>
      <c r="AFX18" s="417"/>
      <c r="AFY18" s="402"/>
      <c r="AFZ18" s="417"/>
      <c r="AGA18" s="412"/>
      <c r="AGB18" s="417"/>
      <c r="AGC18" s="412"/>
      <c r="AGD18" s="402"/>
      <c r="AGE18" s="402"/>
      <c r="AGF18" s="417"/>
      <c r="AGG18" s="412"/>
      <c r="AGH18" s="417"/>
      <c r="AGI18" s="412"/>
      <c r="AGJ18" s="402"/>
      <c r="AGK18" s="402"/>
      <c r="AGL18" s="417"/>
      <c r="AGM18" s="412"/>
      <c r="AGN18" s="417"/>
      <c r="AGO18" s="412"/>
      <c r="AGP18" s="417"/>
      <c r="AGQ18" s="412"/>
      <c r="AGR18" s="417"/>
      <c r="AGS18" s="412"/>
      <c r="AGT18" s="417"/>
      <c r="AGU18" s="412"/>
      <c r="AGV18" s="402"/>
      <c r="AGW18" s="412"/>
      <c r="AGX18" s="417"/>
      <c r="AGY18" s="412"/>
      <c r="AGZ18" s="417"/>
      <c r="AHA18" s="412"/>
      <c r="AHB18" s="417"/>
      <c r="AHC18" s="412"/>
      <c r="AHD18" s="417"/>
      <c r="AHE18" s="412"/>
      <c r="AHF18" s="417"/>
      <c r="AHG18" s="412"/>
      <c r="AHH18" s="417"/>
      <c r="AHI18" s="402"/>
      <c r="AHJ18" s="417"/>
      <c r="AHK18" s="412"/>
      <c r="AHL18" s="402"/>
      <c r="AHM18" s="412"/>
      <c r="AHN18" s="417"/>
      <c r="AHO18" s="412"/>
      <c r="AHP18" s="417"/>
      <c r="AHQ18" s="412"/>
      <c r="AHR18" s="417"/>
      <c r="AHS18" s="402"/>
      <c r="AHT18" s="417"/>
      <c r="AHU18" s="402"/>
      <c r="AHV18" s="417"/>
      <c r="AHW18" s="412"/>
      <c r="AHX18" s="417"/>
      <c r="AHY18" s="412"/>
      <c r="AHZ18" s="417"/>
      <c r="AIA18" s="412"/>
    </row>
    <row r="19" spans="1:911" ht="15.75" customHeight="1" x14ac:dyDescent="0.2">
      <c r="A19" s="456">
        <v>2019</v>
      </c>
      <c r="B19" s="432" t="s">
        <v>22</v>
      </c>
      <c r="C19" s="456" t="s">
        <v>22</v>
      </c>
      <c r="D19" s="432" t="s">
        <v>22</v>
      </c>
      <c r="E19" s="456" t="s">
        <v>22</v>
      </c>
      <c r="F19" s="432" t="s">
        <v>22</v>
      </c>
      <c r="G19" s="456" t="s">
        <v>22</v>
      </c>
      <c r="H19" s="432" t="s">
        <v>22</v>
      </c>
      <c r="I19" s="456" t="s">
        <v>22</v>
      </c>
      <c r="J19" s="432" t="s">
        <v>22</v>
      </c>
      <c r="K19" s="456" t="s">
        <v>22</v>
      </c>
      <c r="L19" s="432" t="s">
        <v>22</v>
      </c>
      <c r="M19" s="456" t="s">
        <v>22</v>
      </c>
      <c r="N19" s="432" t="s">
        <v>22</v>
      </c>
      <c r="O19" s="456" t="s">
        <v>22</v>
      </c>
      <c r="P19" s="432" t="s">
        <v>22</v>
      </c>
      <c r="Q19" s="456" t="s">
        <v>22</v>
      </c>
      <c r="R19" s="432" t="s">
        <v>22</v>
      </c>
      <c r="S19" s="456" t="s">
        <v>22</v>
      </c>
      <c r="T19" s="432" t="s">
        <v>22</v>
      </c>
      <c r="U19" s="456" t="s">
        <v>22</v>
      </c>
      <c r="V19" s="432" t="s">
        <v>22</v>
      </c>
      <c r="W19" s="456" t="s">
        <v>22</v>
      </c>
      <c r="X19" s="432" t="s">
        <v>22</v>
      </c>
      <c r="Y19" s="456" t="s">
        <v>22</v>
      </c>
      <c r="Z19" s="432" t="s">
        <v>22</v>
      </c>
      <c r="AA19" s="456" t="s">
        <v>22</v>
      </c>
      <c r="AB19" s="432" t="s">
        <v>22</v>
      </c>
      <c r="AC19" s="456" t="s">
        <v>22</v>
      </c>
      <c r="AD19" s="425" t="s">
        <v>22</v>
      </c>
      <c r="AE19" s="425" t="s">
        <v>22</v>
      </c>
      <c r="AF19" s="432" t="s">
        <v>22</v>
      </c>
      <c r="AG19" s="425" t="s">
        <v>22</v>
      </c>
      <c r="AH19" s="432" t="s">
        <v>22</v>
      </c>
      <c r="AI19" s="456" t="s">
        <v>22</v>
      </c>
      <c r="AJ19" s="425" t="s">
        <v>22</v>
      </c>
      <c r="AK19" s="425" t="s">
        <v>22</v>
      </c>
      <c r="AL19" s="495">
        <v>43490</v>
      </c>
      <c r="AM19" s="502" t="str">
        <f>CHOOSE(WEEKDAY(AL19,2),"Monday","Tuesday","Wednesday","Thursday","Friday","Saturday","Sunday")</f>
        <v>Friday</v>
      </c>
      <c r="AN19" s="432" t="s">
        <v>22</v>
      </c>
      <c r="AO19" s="456" t="s">
        <v>22</v>
      </c>
      <c r="AP19" s="432" t="s">
        <v>22</v>
      </c>
      <c r="AQ19" s="456" t="s">
        <v>22</v>
      </c>
      <c r="AR19" s="432" t="s">
        <v>22</v>
      </c>
      <c r="AS19" s="456" t="s">
        <v>22</v>
      </c>
      <c r="AT19" s="432" t="s">
        <v>22</v>
      </c>
      <c r="AU19" s="456" t="s">
        <v>22</v>
      </c>
      <c r="AV19" s="425" t="s">
        <v>22</v>
      </c>
      <c r="AW19" s="425" t="s">
        <v>22</v>
      </c>
      <c r="AX19" s="432" t="s">
        <v>22</v>
      </c>
      <c r="AY19" s="456" t="s">
        <v>22</v>
      </c>
      <c r="AZ19" s="432" t="s">
        <v>22</v>
      </c>
      <c r="BA19" s="456" t="s">
        <v>22</v>
      </c>
      <c r="BB19" s="425" t="s">
        <v>22</v>
      </c>
      <c r="BC19" s="425" t="s">
        <v>22</v>
      </c>
      <c r="BD19" s="432" t="s">
        <v>22</v>
      </c>
      <c r="BE19" s="456" t="s">
        <v>22</v>
      </c>
      <c r="BF19" s="432" t="s">
        <v>22</v>
      </c>
      <c r="BG19" s="456" t="s">
        <v>22</v>
      </c>
      <c r="BH19" s="432" t="s">
        <v>22</v>
      </c>
      <c r="BI19" s="456" t="s">
        <v>22</v>
      </c>
      <c r="BJ19" s="432" t="s">
        <v>22</v>
      </c>
      <c r="BK19" s="456" t="s">
        <v>22</v>
      </c>
      <c r="BL19" s="425" t="s">
        <v>22</v>
      </c>
      <c r="BM19" s="425" t="s">
        <v>22</v>
      </c>
      <c r="BN19" s="432" t="s">
        <v>22</v>
      </c>
      <c r="BO19" s="456" t="s">
        <v>22</v>
      </c>
      <c r="BP19" s="432" t="s">
        <v>22</v>
      </c>
      <c r="BQ19" s="456" t="s">
        <v>22</v>
      </c>
      <c r="BR19" s="432" t="s">
        <v>22</v>
      </c>
      <c r="BS19" s="456" t="s">
        <v>22</v>
      </c>
      <c r="BT19" s="497">
        <v>43501</v>
      </c>
      <c r="BU19" s="517" t="str">
        <f>CHOOSE(WEEKDAY(BT19,2),"Monday","Tuesday","Wednesday","Thursday","Friday","Saturday","Sunday")</f>
        <v>Tuesday</v>
      </c>
      <c r="BV19" s="432" t="s">
        <v>22</v>
      </c>
      <c r="BW19" s="456" t="s">
        <v>22</v>
      </c>
      <c r="BX19" s="425" t="s">
        <v>22</v>
      </c>
      <c r="BY19" s="425" t="s">
        <v>22</v>
      </c>
      <c r="BZ19" s="432" t="s">
        <v>22</v>
      </c>
      <c r="CA19" s="456" t="s">
        <v>22</v>
      </c>
      <c r="CB19" s="432" t="s">
        <v>22</v>
      </c>
      <c r="CC19" s="456" t="s">
        <v>22</v>
      </c>
      <c r="CD19" s="432" t="s">
        <v>22</v>
      </c>
      <c r="CE19" s="456" t="s">
        <v>22</v>
      </c>
      <c r="CF19" s="432" t="s">
        <v>22</v>
      </c>
      <c r="CG19" s="456" t="s">
        <v>22</v>
      </c>
      <c r="CH19" s="432" t="s">
        <v>22</v>
      </c>
      <c r="CI19" s="456" t="s">
        <v>22</v>
      </c>
      <c r="CJ19" s="432" t="s">
        <v>22</v>
      </c>
      <c r="CK19" s="456" t="s">
        <v>22</v>
      </c>
      <c r="CL19" s="425" t="s">
        <v>22</v>
      </c>
      <c r="CM19" s="425" t="s">
        <v>22</v>
      </c>
      <c r="CN19" s="495">
        <v>43510</v>
      </c>
      <c r="CO19" s="508" t="str">
        <f>CHOOSE(WEEKDAY(CN19,2),"Monday","Tuesday","Wednesday","Thursday","Friday","Saturday","Sunday")</f>
        <v>Thursday</v>
      </c>
      <c r="CP19" s="432" t="s">
        <v>22</v>
      </c>
      <c r="CQ19" s="456" t="s">
        <v>22</v>
      </c>
      <c r="CR19" s="432" t="s">
        <v>22</v>
      </c>
      <c r="CS19" s="456" t="s">
        <v>22</v>
      </c>
      <c r="CT19" s="425" t="s">
        <v>22</v>
      </c>
      <c r="CU19" s="425" t="s">
        <v>22</v>
      </c>
      <c r="CV19" s="432" t="s">
        <v>22</v>
      </c>
      <c r="CW19" s="456" t="s">
        <v>22</v>
      </c>
      <c r="CX19" s="432" t="s">
        <v>22</v>
      </c>
      <c r="CY19" s="456" t="s">
        <v>22</v>
      </c>
      <c r="CZ19" s="425" t="s">
        <v>22</v>
      </c>
      <c r="DA19" s="425" t="s">
        <v>22</v>
      </c>
      <c r="DB19" s="495">
        <v>43514</v>
      </c>
      <c r="DC19" s="501" t="str">
        <f>CHOOSE(WEEKDAY(DB19,2),"Monday","Tuesday","Wednesday","Thursday","Friday","Saturday","Sunday")</f>
        <v>Monday</v>
      </c>
      <c r="DD19" s="432" t="s">
        <v>22</v>
      </c>
      <c r="DE19" s="456" t="s">
        <v>22</v>
      </c>
      <c r="DF19" s="425" t="s">
        <v>22</v>
      </c>
      <c r="DG19" s="425" t="s">
        <v>22</v>
      </c>
      <c r="DH19" s="432" t="s">
        <v>22</v>
      </c>
      <c r="DI19" s="456" t="s">
        <v>22</v>
      </c>
      <c r="DJ19" s="432" t="s">
        <v>22</v>
      </c>
      <c r="DK19" s="456" t="s">
        <v>22</v>
      </c>
      <c r="DL19" s="432" t="s">
        <v>22</v>
      </c>
      <c r="DM19" s="456" t="s">
        <v>22</v>
      </c>
      <c r="DN19" s="425" t="s">
        <v>22</v>
      </c>
      <c r="DO19" s="425" t="s">
        <v>22</v>
      </c>
      <c r="DP19" s="432" t="s">
        <v>22</v>
      </c>
      <c r="DQ19" s="456" t="s">
        <v>22</v>
      </c>
      <c r="DR19" s="432" t="s">
        <v>22</v>
      </c>
      <c r="DS19" s="456" t="s">
        <v>22</v>
      </c>
      <c r="DT19" s="497">
        <v>43518</v>
      </c>
      <c r="DU19" s="500" t="str">
        <f>CHOOSE(WEEKDAY(DT19,2),"Monday","Tuesday","Wednesday","Thursday","Friday","Saturday","Sunday")</f>
        <v>Friday</v>
      </c>
      <c r="DV19" s="432" t="s">
        <v>22</v>
      </c>
      <c r="DW19" s="456" t="s">
        <v>22</v>
      </c>
      <c r="DX19" s="432" t="s">
        <v>22</v>
      </c>
      <c r="DY19" s="456" t="s">
        <v>22</v>
      </c>
      <c r="DZ19" s="425" t="s">
        <v>22</v>
      </c>
      <c r="EA19" s="425" t="s">
        <v>22</v>
      </c>
      <c r="EB19" s="432" t="s">
        <v>22</v>
      </c>
      <c r="EC19" s="456" t="s">
        <v>22</v>
      </c>
      <c r="ED19" s="425" t="s">
        <v>22</v>
      </c>
      <c r="EE19" s="425" t="s">
        <v>22</v>
      </c>
      <c r="EF19" s="432" t="s">
        <v>22</v>
      </c>
      <c r="EG19" s="456" t="s">
        <v>22</v>
      </c>
      <c r="EH19" s="432" t="s">
        <v>22</v>
      </c>
      <c r="EI19" s="456" t="s">
        <v>22</v>
      </c>
      <c r="EJ19" s="432" t="s">
        <v>22</v>
      </c>
      <c r="EK19" s="456" t="s">
        <v>22</v>
      </c>
      <c r="EL19" s="425" t="s">
        <v>22</v>
      </c>
      <c r="EM19" s="425" t="s">
        <v>22</v>
      </c>
      <c r="EN19" s="432" t="s">
        <v>22</v>
      </c>
      <c r="EO19" s="456" t="s">
        <v>22</v>
      </c>
      <c r="EP19" s="432" t="s">
        <v>22</v>
      </c>
      <c r="EQ19" s="456" t="s">
        <v>22</v>
      </c>
      <c r="ER19" s="432" t="s">
        <v>22</v>
      </c>
      <c r="ES19" s="456" t="s">
        <v>22</v>
      </c>
      <c r="ET19" s="425" t="s">
        <v>22</v>
      </c>
      <c r="EU19" s="425" t="s">
        <v>22</v>
      </c>
      <c r="EV19" s="432" t="s">
        <v>22</v>
      </c>
      <c r="EW19" s="456" t="s">
        <v>22</v>
      </c>
      <c r="EX19" s="432" t="s">
        <v>22</v>
      </c>
      <c r="EY19" s="456" t="s">
        <v>22</v>
      </c>
      <c r="EZ19" s="495">
        <v>43532</v>
      </c>
      <c r="FA19" s="502" t="str">
        <f>CHOOSE(WEEKDAY(EZ19,2),"Monday","Tuesday","Wednesday","Thursday","Friday","Saturday","Sunday")</f>
        <v>Friday</v>
      </c>
      <c r="FB19" s="425" t="s">
        <v>22</v>
      </c>
      <c r="FC19" s="425" t="s">
        <v>22</v>
      </c>
      <c r="FD19" s="432" t="s">
        <v>22</v>
      </c>
      <c r="FE19" s="456" t="s">
        <v>22</v>
      </c>
      <c r="FF19" s="425" t="s">
        <v>22</v>
      </c>
      <c r="FG19" s="456" t="s">
        <v>22</v>
      </c>
      <c r="FH19" s="425" t="s">
        <v>22</v>
      </c>
      <c r="FI19" s="425" t="s">
        <v>22</v>
      </c>
      <c r="FJ19" s="432" t="s">
        <v>22</v>
      </c>
      <c r="FK19" s="456" t="s">
        <v>22</v>
      </c>
      <c r="FL19" s="432" t="s">
        <v>22</v>
      </c>
      <c r="FM19" s="456" t="s">
        <v>22</v>
      </c>
      <c r="FN19" s="432" t="s">
        <v>22</v>
      </c>
      <c r="FO19" s="456" t="s">
        <v>22</v>
      </c>
      <c r="FP19" s="425" t="s">
        <v>22</v>
      </c>
      <c r="FQ19" s="425" t="s">
        <v>22</v>
      </c>
      <c r="FR19" s="432" t="s">
        <v>22</v>
      </c>
      <c r="FS19" s="456" t="s">
        <v>22</v>
      </c>
      <c r="FT19" s="432" t="s">
        <v>22</v>
      </c>
      <c r="FU19" s="456" t="s">
        <v>22</v>
      </c>
      <c r="FV19" s="432" t="s">
        <v>22</v>
      </c>
      <c r="FW19" s="456" t="s">
        <v>22</v>
      </c>
      <c r="FX19" s="425" t="s">
        <v>22</v>
      </c>
      <c r="FY19" s="425" t="s">
        <v>22</v>
      </c>
      <c r="FZ19" s="432" t="s">
        <v>22</v>
      </c>
      <c r="GA19" s="456" t="s">
        <v>22</v>
      </c>
      <c r="GB19" s="432" t="s">
        <v>22</v>
      </c>
      <c r="GC19" s="456" t="s">
        <v>22</v>
      </c>
      <c r="GD19" s="425" t="s">
        <v>22</v>
      </c>
      <c r="GE19" s="425" t="s">
        <v>22</v>
      </c>
      <c r="GF19" s="432" t="s">
        <v>22</v>
      </c>
      <c r="GG19" s="456" t="s">
        <v>22</v>
      </c>
      <c r="GH19" s="497">
        <v>43543</v>
      </c>
      <c r="GI19" s="517" t="str">
        <f>CHOOSE(WEEKDAY(GH19,2),"Monday","Tuesday","Wednesday","Thursday","Friday","Saturday","Sunday")</f>
        <v>Tuesday</v>
      </c>
      <c r="GJ19" s="432" t="s">
        <v>22</v>
      </c>
      <c r="GK19" s="456" t="s">
        <v>22</v>
      </c>
      <c r="GL19" s="432" t="s">
        <v>22</v>
      </c>
      <c r="GM19" s="456" t="s">
        <v>22</v>
      </c>
      <c r="GN19" s="425" t="s">
        <v>22</v>
      </c>
      <c r="GO19" s="425" t="s">
        <v>22</v>
      </c>
      <c r="GP19" s="432" t="s">
        <v>22</v>
      </c>
      <c r="GQ19" s="456" t="s">
        <v>22</v>
      </c>
      <c r="GR19" s="432" t="s">
        <v>22</v>
      </c>
      <c r="GS19" s="456" t="s">
        <v>22</v>
      </c>
      <c r="GT19" s="432" t="s">
        <v>22</v>
      </c>
      <c r="GU19" s="456" t="s">
        <v>22</v>
      </c>
      <c r="GV19" s="425" t="s">
        <v>22</v>
      </c>
      <c r="GW19" s="425" t="s">
        <v>22</v>
      </c>
      <c r="GX19" s="432" t="s">
        <v>22</v>
      </c>
      <c r="GY19" s="456" t="s">
        <v>22</v>
      </c>
      <c r="GZ19" s="432" t="s">
        <v>22</v>
      </c>
      <c r="HA19" s="456" t="s">
        <v>22</v>
      </c>
      <c r="HB19" s="432" t="s">
        <v>22</v>
      </c>
      <c r="HC19" s="456" t="s">
        <v>22</v>
      </c>
      <c r="HD19" s="432" t="s">
        <v>22</v>
      </c>
      <c r="HE19" s="456" t="s">
        <v>22</v>
      </c>
      <c r="HF19" s="432" t="s">
        <v>22</v>
      </c>
      <c r="HG19" s="456" t="s">
        <v>22</v>
      </c>
      <c r="HH19" s="425" t="s">
        <v>22</v>
      </c>
      <c r="HI19" s="425" t="s">
        <v>22</v>
      </c>
      <c r="HJ19" s="432" t="s">
        <v>22</v>
      </c>
      <c r="HK19" s="456" t="s">
        <v>22</v>
      </c>
      <c r="HL19" s="432" t="s">
        <v>22</v>
      </c>
      <c r="HM19" s="456" t="s">
        <v>22</v>
      </c>
      <c r="HN19" s="286">
        <v>43556</v>
      </c>
      <c r="HO19" s="289" t="str">
        <f t="shared" si="56"/>
        <v>Monday</v>
      </c>
      <c r="HP19" s="432" t="s">
        <v>22</v>
      </c>
      <c r="HQ19" s="456" t="s">
        <v>22</v>
      </c>
      <c r="HR19" s="432" t="s">
        <v>22</v>
      </c>
      <c r="HS19" s="456" t="s">
        <v>22</v>
      </c>
      <c r="HT19" s="432" t="s">
        <v>22</v>
      </c>
      <c r="HU19" s="456" t="s">
        <v>22</v>
      </c>
      <c r="HV19" s="432" t="s">
        <v>22</v>
      </c>
      <c r="HW19" s="456" t="s">
        <v>22</v>
      </c>
      <c r="HX19" s="425" t="s">
        <v>22</v>
      </c>
      <c r="HY19" s="425" t="s">
        <v>22</v>
      </c>
      <c r="HZ19" s="432" t="s">
        <v>22</v>
      </c>
      <c r="IA19" s="456" t="s">
        <v>22</v>
      </c>
      <c r="IB19" s="432" t="s">
        <v>22</v>
      </c>
      <c r="IC19" s="456" t="s">
        <v>22</v>
      </c>
      <c r="ID19" s="432" t="s">
        <v>22</v>
      </c>
      <c r="IE19" s="456" t="s">
        <v>22</v>
      </c>
      <c r="IF19" s="425" t="s">
        <v>22</v>
      </c>
      <c r="IG19" s="425" t="s">
        <v>22</v>
      </c>
      <c r="IH19" s="432" t="s">
        <v>22</v>
      </c>
      <c r="II19" s="456" t="s">
        <v>22</v>
      </c>
      <c r="IJ19" s="432" t="s">
        <v>22</v>
      </c>
      <c r="IK19" s="456" t="s">
        <v>22</v>
      </c>
      <c r="IL19" s="432" t="s">
        <v>22</v>
      </c>
      <c r="IM19" s="456" t="s">
        <v>22</v>
      </c>
      <c r="IN19" s="432" t="s">
        <v>22</v>
      </c>
      <c r="IO19" s="456" t="s">
        <v>22</v>
      </c>
      <c r="IP19" s="425" t="s">
        <v>22</v>
      </c>
      <c r="IQ19" s="425" t="s">
        <v>22</v>
      </c>
      <c r="IR19" s="432" t="s">
        <v>22</v>
      </c>
      <c r="IS19" s="456" t="s">
        <v>22</v>
      </c>
      <c r="IT19" s="432" t="s">
        <v>22</v>
      </c>
      <c r="IU19" s="456" t="s">
        <v>22</v>
      </c>
      <c r="IV19" s="432" t="s">
        <v>22</v>
      </c>
      <c r="IW19" s="456" t="s">
        <v>22</v>
      </c>
      <c r="IX19" s="432" t="s">
        <v>22</v>
      </c>
      <c r="IY19" s="456" t="s">
        <v>22</v>
      </c>
      <c r="IZ19" s="432" t="s">
        <v>22</v>
      </c>
      <c r="JA19" s="456" t="s">
        <v>22</v>
      </c>
      <c r="JB19" s="432" t="s">
        <v>22</v>
      </c>
      <c r="JC19" s="456" t="s">
        <v>22</v>
      </c>
      <c r="JD19" s="432" t="s">
        <v>22</v>
      </c>
      <c r="JE19" s="456" t="s">
        <v>22</v>
      </c>
      <c r="JF19" s="425" t="s">
        <v>22</v>
      </c>
      <c r="JG19" s="425" t="s">
        <v>22</v>
      </c>
      <c r="JH19" s="432" t="s">
        <v>22</v>
      </c>
      <c r="JI19" s="456" t="s">
        <v>22</v>
      </c>
      <c r="JJ19" s="432" t="s">
        <v>22</v>
      </c>
      <c r="JK19" s="456" t="s">
        <v>22</v>
      </c>
      <c r="JL19" s="432" t="s">
        <v>22</v>
      </c>
      <c r="JM19" s="456" t="s">
        <v>22</v>
      </c>
      <c r="JN19" s="432" t="s">
        <v>22</v>
      </c>
      <c r="JO19" s="456" t="s">
        <v>22</v>
      </c>
      <c r="JP19" s="425" t="s">
        <v>22</v>
      </c>
      <c r="JQ19" s="425" t="s">
        <v>22</v>
      </c>
      <c r="JR19" s="432" t="s">
        <v>22</v>
      </c>
      <c r="JS19" s="456" t="s">
        <v>22</v>
      </c>
      <c r="JT19" s="432" t="s">
        <v>22</v>
      </c>
      <c r="JU19" s="456" t="s">
        <v>22</v>
      </c>
      <c r="JV19" s="432" t="s">
        <v>22</v>
      </c>
      <c r="JW19" s="456" t="s">
        <v>22</v>
      </c>
      <c r="JX19" s="432" t="s">
        <v>22</v>
      </c>
      <c r="JY19" s="456" t="s">
        <v>22</v>
      </c>
      <c r="JZ19" s="432" t="s">
        <v>22</v>
      </c>
      <c r="KA19" s="456" t="s">
        <v>22</v>
      </c>
      <c r="KB19" s="432" t="s">
        <v>22</v>
      </c>
      <c r="KC19" s="456" t="s">
        <v>22</v>
      </c>
      <c r="KD19" s="425" t="s">
        <v>22</v>
      </c>
      <c r="KE19" s="425" t="s">
        <v>22</v>
      </c>
      <c r="KF19" s="432" t="s">
        <v>22</v>
      </c>
      <c r="KG19" s="456" t="s">
        <v>22</v>
      </c>
      <c r="KH19" s="425" t="s">
        <v>22</v>
      </c>
      <c r="KI19" s="425" t="s">
        <v>22</v>
      </c>
      <c r="KJ19" s="432" t="s">
        <v>22</v>
      </c>
      <c r="KK19" s="456" t="s">
        <v>22</v>
      </c>
      <c r="KL19" s="432" t="s">
        <v>22</v>
      </c>
      <c r="KM19" s="456" t="s">
        <v>22</v>
      </c>
      <c r="KN19" s="432" t="s">
        <v>22</v>
      </c>
      <c r="KO19" s="456" t="s">
        <v>22</v>
      </c>
      <c r="KP19" s="432" t="s">
        <v>22</v>
      </c>
      <c r="KQ19" s="456" t="s">
        <v>22</v>
      </c>
      <c r="KR19" s="432" t="s">
        <v>22</v>
      </c>
      <c r="KS19" s="456" t="s">
        <v>22</v>
      </c>
      <c r="KT19" s="432" t="s">
        <v>22</v>
      </c>
      <c r="KU19" s="456" t="s">
        <v>22</v>
      </c>
      <c r="KV19" s="432" t="s">
        <v>22</v>
      </c>
      <c r="KW19" s="456" t="s">
        <v>22</v>
      </c>
      <c r="KX19" s="432" t="s">
        <v>22</v>
      </c>
      <c r="KY19" s="456" t="s">
        <v>22</v>
      </c>
      <c r="KZ19" s="432" t="s">
        <v>22</v>
      </c>
      <c r="LA19" s="456" t="s">
        <v>22</v>
      </c>
      <c r="LB19" s="432" t="s">
        <v>22</v>
      </c>
      <c r="LC19" s="456" t="s">
        <v>22</v>
      </c>
      <c r="LD19" s="425" t="s">
        <v>22</v>
      </c>
      <c r="LE19" s="425" t="s">
        <v>22</v>
      </c>
      <c r="LF19" s="432" t="s">
        <v>22</v>
      </c>
      <c r="LG19" s="456" t="s">
        <v>22</v>
      </c>
      <c r="LH19" s="432" t="s">
        <v>22</v>
      </c>
      <c r="LI19" s="456" t="s">
        <v>22</v>
      </c>
      <c r="LJ19" s="425" t="s">
        <v>22</v>
      </c>
      <c r="LK19" s="425" t="s">
        <v>22</v>
      </c>
      <c r="LL19" s="495">
        <v>43593</v>
      </c>
      <c r="LM19" s="507" t="str">
        <f>CHOOSE(WEEKDAY(LL19,2),"Monday","Tuesday","Wednesday","Thursday","Friday","Saturday","Sunday")</f>
        <v>Wednesday</v>
      </c>
      <c r="LN19" s="425" t="s">
        <v>22</v>
      </c>
      <c r="LO19" s="425" t="s">
        <v>22</v>
      </c>
      <c r="LP19" s="432" t="s">
        <v>22</v>
      </c>
      <c r="LQ19" s="456" t="s">
        <v>22</v>
      </c>
      <c r="LR19" s="432" t="s">
        <v>22</v>
      </c>
      <c r="LS19" s="456" t="s">
        <v>22</v>
      </c>
      <c r="LT19" s="495">
        <v>43599</v>
      </c>
      <c r="LU19" s="496" t="str">
        <f>CHOOSE(WEEKDAY(LT19,2),"Monday","Tuesday","Wednesday","Thursday","Friday","Saturday","Sunday")</f>
        <v>Tuesday</v>
      </c>
      <c r="LV19" s="425" t="s">
        <v>22</v>
      </c>
      <c r="LW19" s="425" t="s">
        <v>22</v>
      </c>
      <c r="LX19" s="432" t="s">
        <v>22</v>
      </c>
      <c r="LY19" s="456" t="s">
        <v>22</v>
      </c>
      <c r="LZ19" s="425" t="s">
        <v>22</v>
      </c>
      <c r="MA19" s="425" t="s">
        <v>22</v>
      </c>
      <c r="MB19" s="432" t="s">
        <v>22</v>
      </c>
      <c r="MC19" s="456" t="s">
        <v>22</v>
      </c>
      <c r="MD19" s="432" t="s">
        <v>22</v>
      </c>
      <c r="ME19" s="456" t="s">
        <v>22</v>
      </c>
      <c r="MF19" s="432" t="s">
        <v>22</v>
      </c>
      <c r="MG19" s="456" t="s">
        <v>22</v>
      </c>
      <c r="MH19" s="432" t="s">
        <v>22</v>
      </c>
      <c r="MI19" s="456" t="s">
        <v>22</v>
      </c>
      <c r="MJ19" s="432" t="s">
        <v>22</v>
      </c>
      <c r="MK19" s="456" t="s">
        <v>22</v>
      </c>
      <c r="ML19" s="425" t="s">
        <v>22</v>
      </c>
      <c r="MM19" s="425" t="s">
        <v>22</v>
      </c>
      <c r="MN19" s="432" t="s">
        <v>22</v>
      </c>
      <c r="MO19" s="456" t="s">
        <v>22</v>
      </c>
      <c r="MP19" s="432" t="s">
        <v>22</v>
      </c>
      <c r="MQ19" s="456" t="s">
        <v>22</v>
      </c>
      <c r="MR19" s="432" t="s">
        <v>22</v>
      </c>
      <c r="MS19" s="456" t="s">
        <v>22</v>
      </c>
      <c r="MT19" s="432" t="s">
        <v>22</v>
      </c>
      <c r="MU19" s="456" t="s">
        <v>22</v>
      </c>
      <c r="MV19" s="425" t="s">
        <v>22</v>
      </c>
      <c r="MW19" s="425" t="s">
        <v>22</v>
      </c>
      <c r="MX19" s="432" t="s">
        <v>22</v>
      </c>
      <c r="MY19" s="456" t="s">
        <v>22</v>
      </c>
      <c r="MZ19" s="432" t="s">
        <v>22</v>
      </c>
      <c r="NA19" s="456" t="s">
        <v>22</v>
      </c>
      <c r="NB19" s="432" t="s">
        <v>22</v>
      </c>
      <c r="NC19" s="456" t="s">
        <v>22</v>
      </c>
      <c r="ND19" s="425" t="s">
        <v>22</v>
      </c>
      <c r="NE19" s="425" t="s">
        <v>22</v>
      </c>
      <c r="NF19" s="432" t="s">
        <v>22</v>
      </c>
      <c r="NG19" s="456" t="s">
        <v>22</v>
      </c>
      <c r="NH19" s="432" t="s">
        <v>22</v>
      </c>
      <c r="NI19" s="456" t="s">
        <v>22</v>
      </c>
      <c r="NJ19" s="432" t="s">
        <v>22</v>
      </c>
      <c r="NK19" s="456" t="s">
        <v>22</v>
      </c>
      <c r="NL19" s="425" t="s">
        <v>22</v>
      </c>
      <c r="NM19" s="425" t="s">
        <v>22</v>
      </c>
      <c r="NN19" s="432" t="s">
        <v>22</v>
      </c>
      <c r="NO19" s="456" t="s">
        <v>22</v>
      </c>
      <c r="NP19" s="432" t="s">
        <v>22</v>
      </c>
      <c r="NQ19" s="456" t="s">
        <v>22</v>
      </c>
      <c r="NR19" s="425" t="s">
        <v>22</v>
      </c>
      <c r="NS19" s="456" t="s">
        <v>22</v>
      </c>
      <c r="NT19" s="432" t="s">
        <v>22</v>
      </c>
      <c r="NU19" s="456" t="s">
        <v>22</v>
      </c>
      <c r="NV19" s="432" t="s">
        <v>22</v>
      </c>
      <c r="NW19" s="456" t="s">
        <v>22</v>
      </c>
      <c r="NX19" s="432" t="s">
        <v>22</v>
      </c>
      <c r="NY19" s="456" t="s">
        <v>22</v>
      </c>
      <c r="NZ19" s="432" t="s">
        <v>22</v>
      </c>
      <c r="OA19" s="425" t="s">
        <v>22</v>
      </c>
      <c r="OB19" s="432" t="s">
        <v>22</v>
      </c>
      <c r="OC19" s="456" t="s">
        <v>22</v>
      </c>
      <c r="OD19" s="495">
        <v>43622</v>
      </c>
      <c r="OE19" s="508" t="str">
        <f>CHOOSE(WEEKDAY(OD19,2),"Monday","Tuesday","Wednesday","Thursday","Friday","Saturday","Sunday")</f>
        <v>Thursday</v>
      </c>
      <c r="OF19" s="425" t="s">
        <v>22</v>
      </c>
      <c r="OG19" s="425" t="s">
        <v>22</v>
      </c>
      <c r="OH19" s="432" t="s">
        <v>22</v>
      </c>
      <c r="OI19" s="456" t="s">
        <v>22</v>
      </c>
      <c r="OJ19" s="432" t="s">
        <v>22</v>
      </c>
      <c r="OK19" s="456" t="s">
        <v>22</v>
      </c>
      <c r="OL19" s="432" t="s">
        <v>22</v>
      </c>
      <c r="OM19" s="456" t="s">
        <v>22</v>
      </c>
      <c r="ON19" s="432" t="s">
        <v>22</v>
      </c>
      <c r="OO19" s="456" t="s">
        <v>22</v>
      </c>
      <c r="OP19" s="497">
        <v>43628</v>
      </c>
      <c r="OQ19" s="516" t="str">
        <f>CHOOSE(WEEKDAY(OP19,2),"Monday","Tuesday","Wednesday","Thursday","Friday","Saturday","Sunday")</f>
        <v>Wednesday</v>
      </c>
      <c r="OR19" s="432" t="s">
        <v>22</v>
      </c>
      <c r="OS19" s="456" t="s">
        <v>22</v>
      </c>
      <c r="OT19" s="432" t="s">
        <v>22</v>
      </c>
      <c r="OU19" s="456" t="s">
        <v>22</v>
      </c>
      <c r="OV19" s="425" t="s">
        <v>22</v>
      </c>
      <c r="OW19" s="425" t="s">
        <v>22</v>
      </c>
      <c r="OX19" s="432" t="s">
        <v>22</v>
      </c>
      <c r="OY19" s="456" t="s">
        <v>22</v>
      </c>
      <c r="OZ19" s="432" t="s">
        <v>22</v>
      </c>
      <c r="PA19" s="456" t="s">
        <v>22</v>
      </c>
      <c r="PB19" s="432" t="s">
        <v>22</v>
      </c>
      <c r="PC19" s="456" t="s">
        <v>22</v>
      </c>
      <c r="PD19" s="432" t="s">
        <v>22</v>
      </c>
      <c r="PE19" s="456" t="s">
        <v>22</v>
      </c>
      <c r="PF19" s="432" t="s">
        <v>22</v>
      </c>
      <c r="PG19" s="456" t="s">
        <v>22</v>
      </c>
      <c r="PH19" s="286">
        <v>43641</v>
      </c>
      <c r="PI19" s="304" t="str">
        <f t="shared" ref="PI19:PI20" si="60">CHOOSE(WEEKDAY(PH19,2),"Monday","Tuesday","Wednesday","Thursday","Friday","Saturday","Sunday")</f>
        <v>Tuesday</v>
      </c>
      <c r="PJ19" s="432" t="s">
        <v>22</v>
      </c>
      <c r="PK19" s="456" t="s">
        <v>22</v>
      </c>
      <c r="PL19" s="425" t="s">
        <v>22</v>
      </c>
      <c r="PM19" s="425" t="s">
        <v>22</v>
      </c>
      <c r="PN19" s="432" t="s">
        <v>22</v>
      </c>
      <c r="PO19" s="456" t="s">
        <v>22</v>
      </c>
      <c r="PP19" s="432" t="s">
        <v>22</v>
      </c>
      <c r="PQ19" s="456" t="s">
        <v>22</v>
      </c>
      <c r="PR19" s="497">
        <v>43637</v>
      </c>
      <c r="PS19" s="500" t="str">
        <f>CHOOSE(WEEKDAY(PR19,2),"Monday","Tuesday","Wednesday","Thursday","Friday","Saturday","Sunday")</f>
        <v>Friday</v>
      </c>
      <c r="PT19" s="283">
        <v>43644</v>
      </c>
      <c r="PU19" s="288" t="str">
        <f t="shared" ref="PU19:PU20" si="61">CHOOSE(WEEKDAY(PT19,2),"Monday","Tuesday","Wednesday","Thursday","Friday","Saturday","Sunday")</f>
        <v>Friday</v>
      </c>
      <c r="PV19" s="425" t="s">
        <v>22</v>
      </c>
      <c r="PW19" s="425" t="s">
        <v>22</v>
      </c>
      <c r="PX19" s="432" t="s">
        <v>22</v>
      </c>
      <c r="PY19" s="456" t="s">
        <v>22</v>
      </c>
      <c r="PZ19" s="432" t="s">
        <v>22</v>
      </c>
      <c r="QA19" s="456" t="s">
        <v>22</v>
      </c>
      <c r="QB19" s="432" t="s">
        <v>22</v>
      </c>
      <c r="QC19" s="456" t="s">
        <v>22</v>
      </c>
      <c r="QD19" s="432" t="s">
        <v>22</v>
      </c>
      <c r="QE19" s="456" t="s">
        <v>22</v>
      </c>
      <c r="QF19" s="495">
        <v>43665</v>
      </c>
      <c r="QG19" s="502" t="str">
        <f>CHOOSE(WEEKDAY(QF19,2),"Monday","Tuesday","Wednesday","Thursday","Friday","Saturday","Sunday")</f>
        <v>Friday</v>
      </c>
      <c r="QH19" s="425" t="s">
        <v>22</v>
      </c>
      <c r="QI19" s="425" t="s">
        <v>22</v>
      </c>
      <c r="QJ19" s="432" t="s">
        <v>22</v>
      </c>
      <c r="QK19" s="456" t="s">
        <v>22</v>
      </c>
      <c r="QL19" s="432" t="s">
        <v>22</v>
      </c>
      <c r="QM19" s="456" t="s">
        <v>22</v>
      </c>
      <c r="QN19" s="425" t="s">
        <v>22</v>
      </c>
      <c r="QO19" s="425" t="s">
        <v>22</v>
      </c>
      <c r="QP19" s="432" t="s">
        <v>22</v>
      </c>
      <c r="QQ19" s="456" t="s">
        <v>22</v>
      </c>
      <c r="QR19" s="432" t="s">
        <v>22</v>
      </c>
      <c r="QS19" s="456" t="s">
        <v>22</v>
      </c>
      <c r="QT19" s="432" t="s">
        <v>22</v>
      </c>
      <c r="QU19" s="456" t="s">
        <v>22</v>
      </c>
      <c r="QV19" s="425" t="s">
        <v>22</v>
      </c>
      <c r="QW19" s="456" t="s">
        <v>22</v>
      </c>
      <c r="QX19" s="425" t="s">
        <v>22</v>
      </c>
      <c r="QY19" s="456" t="s">
        <v>22</v>
      </c>
      <c r="QZ19" s="432" t="s">
        <v>22</v>
      </c>
      <c r="RA19" s="456" t="s">
        <v>22</v>
      </c>
      <c r="RB19" s="432" t="s">
        <v>22</v>
      </c>
      <c r="RC19" s="456" t="s">
        <v>22</v>
      </c>
      <c r="RD19" s="432" t="s">
        <v>22</v>
      </c>
      <c r="RE19" s="456" t="s">
        <v>22</v>
      </c>
      <c r="RF19" s="432" t="s">
        <v>22</v>
      </c>
      <c r="RG19" s="456" t="s">
        <v>22</v>
      </c>
      <c r="RH19" s="432" t="s">
        <v>22</v>
      </c>
      <c r="RI19" s="456" t="s">
        <v>22</v>
      </c>
      <c r="RJ19" s="495">
        <v>43650</v>
      </c>
      <c r="RK19" s="508" t="str">
        <f>CHOOSE(WEEKDAY(RJ19,2),"Monday","Tuesday","Wednesday","Thursday","Friday","Saturday","Sunday")</f>
        <v>Thursday</v>
      </c>
      <c r="RL19" s="497">
        <v>43700</v>
      </c>
      <c r="RM19" s="500" t="str">
        <f>CHOOSE(WEEKDAY(RL19,2),"Monday","Tuesday","Wednesday","Thursday","Friday","Saturday","Sunday")</f>
        <v>Friday</v>
      </c>
      <c r="RN19" s="495">
        <v>43546</v>
      </c>
      <c r="RO19" s="502" t="str">
        <f>CHOOSE(WEEKDAY(RN19,2),"Monday","Tuesday","Wednesday","Thursday","Friday","Saturday","Sunday")</f>
        <v>Friday</v>
      </c>
      <c r="RP19" s="497">
        <v>43651</v>
      </c>
      <c r="RQ19" s="500" t="str">
        <f>CHOOSE(WEEKDAY(RP19,2),"Monday","Tuesday","Wednesday","Thursday","Friday","Saturday","Sunday")</f>
        <v>Friday</v>
      </c>
      <c r="RR19" s="432" t="s">
        <v>22</v>
      </c>
      <c r="RS19" s="456" t="s">
        <v>22</v>
      </c>
      <c r="RT19" s="432" t="s">
        <v>22</v>
      </c>
      <c r="RU19" s="456" t="s">
        <v>22</v>
      </c>
      <c r="RV19" s="425" t="s">
        <v>22</v>
      </c>
      <c r="RW19" s="425" t="s">
        <v>22</v>
      </c>
      <c r="RX19" s="432" t="s">
        <v>22</v>
      </c>
      <c r="RY19" s="456" t="s">
        <v>22</v>
      </c>
      <c r="RZ19" s="432" t="s">
        <v>22</v>
      </c>
      <c r="SA19" s="425" t="s">
        <v>22</v>
      </c>
      <c r="SB19" s="432" t="s">
        <v>22</v>
      </c>
      <c r="SC19" s="456" t="s">
        <v>22</v>
      </c>
      <c r="SD19" s="432" t="s">
        <v>22</v>
      </c>
      <c r="SE19" s="456" t="s">
        <v>22</v>
      </c>
      <c r="SF19" s="432" t="s">
        <v>22</v>
      </c>
      <c r="SG19" s="456" t="s">
        <v>22</v>
      </c>
      <c r="SH19" s="432" t="s">
        <v>22</v>
      </c>
      <c r="SI19" s="456" t="s">
        <v>22</v>
      </c>
      <c r="SJ19" s="425" t="s">
        <v>22</v>
      </c>
      <c r="SK19" s="425" t="s">
        <v>22</v>
      </c>
      <c r="SL19" s="432" t="s">
        <v>22</v>
      </c>
      <c r="SM19" s="456" t="s">
        <v>22</v>
      </c>
      <c r="SN19" s="432" t="s">
        <v>22</v>
      </c>
      <c r="SO19" s="456" t="s">
        <v>22</v>
      </c>
      <c r="SP19" s="497">
        <v>43686</v>
      </c>
      <c r="SQ19" s="500" t="str">
        <f>CHOOSE(WEEKDAY(SP19,2),"Monday","Tuesday","Wednesday","Thursday","Friday","Saturday","Sunday")</f>
        <v>Friday</v>
      </c>
      <c r="SR19" s="495">
        <v>43658</v>
      </c>
      <c r="SS19" s="502" t="str">
        <f>CHOOSE(WEEKDAY(SR19,2),"Monday","Tuesday","Wednesday","Thursday","Friday","Saturday","Sunday")</f>
        <v>Friday</v>
      </c>
      <c r="ST19" s="425" t="s">
        <v>22</v>
      </c>
      <c r="SU19" s="425" t="s">
        <v>22</v>
      </c>
      <c r="SV19" s="432" t="s">
        <v>22</v>
      </c>
      <c r="SW19" s="456" t="s">
        <v>22</v>
      </c>
      <c r="SX19" s="432" t="s">
        <v>22</v>
      </c>
      <c r="SY19" s="456" t="s">
        <v>22</v>
      </c>
      <c r="SZ19" s="432" t="s">
        <v>22</v>
      </c>
      <c r="TA19" s="456" t="s">
        <v>22</v>
      </c>
      <c r="TB19" s="432" t="s">
        <v>22</v>
      </c>
      <c r="TC19" s="456" t="s">
        <v>22</v>
      </c>
      <c r="TD19" s="425" t="s">
        <v>22</v>
      </c>
      <c r="TE19" s="425" t="s">
        <v>22</v>
      </c>
      <c r="TF19" s="432" t="s">
        <v>22</v>
      </c>
      <c r="TG19" s="456" t="s">
        <v>22</v>
      </c>
      <c r="TH19" s="432" t="s">
        <v>22</v>
      </c>
      <c r="TI19" s="456" t="s">
        <v>22</v>
      </c>
      <c r="TJ19" s="497">
        <v>43672</v>
      </c>
      <c r="TK19" s="500" t="str">
        <f>CHOOSE(WEEKDAY(TJ19,2),"Monday","Tuesday","Wednesday","Thursday","Friday","Saturday","Sunday")</f>
        <v>Friday</v>
      </c>
      <c r="TL19" s="432" t="s">
        <v>22</v>
      </c>
      <c r="TM19" s="456" t="s">
        <v>22</v>
      </c>
      <c r="TN19" s="432" t="s">
        <v>22</v>
      </c>
      <c r="TO19" s="456" t="s">
        <v>22</v>
      </c>
      <c r="TP19" s="432" t="s">
        <v>22</v>
      </c>
      <c r="TQ19" s="456" t="s">
        <v>22</v>
      </c>
      <c r="TR19" s="432" t="s">
        <v>22</v>
      </c>
      <c r="TS19" s="456" t="s">
        <v>22</v>
      </c>
      <c r="TT19" s="432" t="s">
        <v>22</v>
      </c>
      <c r="TU19" s="456" t="s">
        <v>22</v>
      </c>
      <c r="TV19" s="432" t="s">
        <v>22</v>
      </c>
      <c r="TW19" s="456" t="s">
        <v>22</v>
      </c>
      <c r="TX19" s="432" t="s">
        <v>22</v>
      </c>
      <c r="TY19" s="456" t="s">
        <v>22</v>
      </c>
      <c r="TZ19" s="425" t="s">
        <v>22</v>
      </c>
      <c r="UA19" s="425" t="s">
        <v>22</v>
      </c>
      <c r="UB19" s="432" t="s">
        <v>22</v>
      </c>
      <c r="UC19" s="456" t="s">
        <v>22</v>
      </c>
      <c r="UD19" s="432" t="s">
        <v>22</v>
      </c>
      <c r="UE19" s="456" t="s">
        <v>22</v>
      </c>
      <c r="UF19" s="432" t="s">
        <v>22</v>
      </c>
      <c r="UG19" s="456" t="s">
        <v>22</v>
      </c>
      <c r="UH19" s="425" t="s">
        <v>22</v>
      </c>
      <c r="UI19" s="425" t="s">
        <v>22</v>
      </c>
      <c r="UJ19" s="432" t="s">
        <v>22</v>
      </c>
      <c r="UK19" s="456" t="s">
        <v>22</v>
      </c>
      <c r="UL19" s="432" t="s">
        <v>22</v>
      </c>
      <c r="UM19" s="456" t="s">
        <v>22</v>
      </c>
      <c r="UN19" s="495">
        <v>43687</v>
      </c>
      <c r="UO19" s="499" t="str">
        <f>CHOOSE(WEEKDAY(UN19,2),"Monday","Tuesday","Wednesday","Thursday","Friday","Saturday","Sunday")</f>
        <v>Saturday</v>
      </c>
      <c r="UP19" s="432" t="s">
        <v>22</v>
      </c>
      <c r="UQ19" s="456" t="s">
        <v>22</v>
      </c>
      <c r="UR19" s="425" t="s">
        <v>22</v>
      </c>
      <c r="US19" s="425" t="s">
        <v>22</v>
      </c>
      <c r="UT19" s="432" t="s">
        <v>22</v>
      </c>
      <c r="UU19" s="456" t="s">
        <v>22</v>
      </c>
      <c r="UV19" s="432" t="s">
        <v>22</v>
      </c>
      <c r="UW19" s="456" t="s">
        <v>22</v>
      </c>
      <c r="UX19" s="432" t="s">
        <v>22</v>
      </c>
      <c r="UY19" s="456" t="s">
        <v>22</v>
      </c>
      <c r="UZ19" s="425" t="s">
        <v>22</v>
      </c>
      <c r="VA19" s="425" t="s">
        <v>22</v>
      </c>
      <c r="VB19" s="432" t="s">
        <v>22</v>
      </c>
      <c r="VC19" s="456" t="s">
        <v>22</v>
      </c>
      <c r="VD19" s="432" t="s">
        <v>22</v>
      </c>
      <c r="VE19" s="456" t="s">
        <v>22</v>
      </c>
      <c r="VF19" s="432" t="s">
        <v>22</v>
      </c>
      <c r="VG19" s="456" t="s">
        <v>22</v>
      </c>
      <c r="VH19" s="425" t="s">
        <v>22</v>
      </c>
      <c r="VI19" s="425" t="s">
        <v>22</v>
      </c>
      <c r="VJ19" s="432" t="s">
        <v>22</v>
      </c>
      <c r="VK19" s="456" t="s">
        <v>22</v>
      </c>
      <c r="VL19" s="432" t="s">
        <v>22</v>
      </c>
      <c r="VM19" s="456" t="s">
        <v>22</v>
      </c>
      <c r="VN19" s="425" t="s">
        <v>22</v>
      </c>
      <c r="VO19" s="425" t="s">
        <v>22</v>
      </c>
      <c r="VP19" s="432" t="s">
        <v>22</v>
      </c>
      <c r="VQ19" s="456" t="s">
        <v>22</v>
      </c>
      <c r="VR19" s="432" t="s">
        <v>22</v>
      </c>
      <c r="VS19" s="456" t="s">
        <v>22</v>
      </c>
      <c r="VT19" s="432" t="s">
        <v>22</v>
      </c>
      <c r="VU19" s="456" t="s">
        <v>22</v>
      </c>
      <c r="VV19" s="432" t="s">
        <v>22</v>
      </c>
      <c r="VW19" s="456" t="s">
        <v>22</v>
      </c>
      <c r="VX19" s="432" t="s">
        <v>22</v>
      </c>
      <c r="VY19" s="456" t="s">
        <v>22</v>
      </c>
      <c r="VZ19" s="425" t="s">
        <v>22</v>
      </c>
      <c r="WA19" s="425" t="s">
        <v>22</v>
      </c>
      <c r="WB19" s="432" t="s">
        <v>22</v>
      </c>
      <c r="WC19" s="456" t="s">
        <v>22</v>
      </c>
      <c r="WD19" s="432" t="s">
        <v>22</v>
      </c>
      <c r="WE19" s="456" t="s">
        <v>22</v>
      </c>
      <c r="WF19" s="432" t="s">
        <v>22</v>
      </c>
      <c r="WG19" s="456" t="s">
        <v>22</v>
      </c>
      <c r="WH19" s="432" t="s">
        <v>22</v>
      </c>
      <c r="WI19" s="456" t="s">
        <v>22</v>
      </c>
      <c r="WJ19" s="432" t="s">
        <v>22</v>
      </c>
      <c r="WK19" s="456" t="s">
        <v>22</v>
      </c>
      <c r="WL19" s="425" t="s">
        <v>22</v>
      </c>
      <c r="WM19" s="425" t="s">
        <v>22</v>
      </c>
      <c r="WN19" s="432" t="s">
        <v>22</v>
      </c>
      <c r="WO19" s="456" t="s">
        <v>22</v>
      </c>
      <c r="WP19" s="425" t="s">
        <v>22</v>
      </c>
      <c r="WQ19" s="425" t="s">
        <v>22</v>
      </c>
      <c r="WR19" s="432" t="s">
        <v>22</v>
      </c>
      <c r="WS19" s="425" t="s">
        <v>22</v>
      </c>
      <c r="WT19" s="432" t="s">
        <v>22</v>
      </c>
      <c r="WU19" s="456" t="s">
        <v>22</v>
      </c>
      <c r="WV19" s="432" t="s">
        <v>22</v>
      </c>
      <c r="WW19" s="456" t="s">
        <v>22</v>
      </c>
      <c r="WX19" s="497">
        <v>43714</v>
      </c>
      <c r="WY19" s="500" t="str">
        <f>CHOOSE(WEEKDAY(WX19,2),"Monday","Tuesday","Wednesday","Thursday","Friday","Saturday","Sunday")</f>
        <v>Friday</v>
      </c>
      <c r="WZ19" s="432" t="s">
        <v>22</v>
      </c>
      <c r="XA19" s="456" t="s">
        <v>22</v>
      </c>
      <c r="XB19" s="432" t="s">
        <v>22</v>
      </c>
      <c r="XC19" s="456" t="s">
        <v>22</v>
      </c>
      <c r="XD19" s="432" t="s">
        <v>22</v>
      </c>
      <c r="XE19" s="456" t="s">
        <v>22</v>
      </c>
      <c r="XF19" s="432" t="s">
        <v>22</v>
      </c>
      <c r="XG19" s="456" t="s">
        <v>22</v>
      </c>
      <c r="XH19" s="425" t="s">
        <v>22</v>
      </c>
      <c r="XI19" s="425" t="s">
        <v>22</v>
      </c>
      <c r="XJ19" s="432" t="s">
        <v>22</v>
      </c>
      <c r="XK19" s="456" t="s">
        <v>22</v>
      </c>
      <c r="XL19" s="425" t="s">
        <v>22</v>
      </c>
      <c r="XM19" s="425" t="s">
        <v>22</v>
      </c>
      <c r="XN19" s="432" t="s">
        <v>22</v>
      </c>
      <c r="XO19" s="456" t="s">
        <v>22</v>
      </c>
      <c r="XP19" s="432" t="s">
        <v>22</v>
      </c>
      <c r="XQ19" s="456" t="s">
        <v>22</v>
      </c>
      <c r="XR19" s="520">
        <v>43721</v>
      </c>
      <c r="XS19" s="500" t="str">
        <f>CHOOSE(WEEKDAY(XR19,2),"Monday","Tuesday","Wednesday","Thursday","Friday","Saturday","Sunday")</f>
        <v>Friday</v>
      </c>
      <c r="XT19" s="432" t="s">
        <v>22</v>
      </c>
      <c r="XU19" s="456" t="s">
        <v>22</v>
      </c>
      <c r="XV19" s="512">
        <v>43721</v>
      </c>
      <c r="XW19" s="502" t="str">
        <f>CHOOSE(WEEKDAY(XV19,2),"Monday","Tuesday","Wednesday","Thursday","Friday","Saturday","Sunday")</f>
        <v>Friday</v>
      </c>
      <c r="XX19" s="432" t="s">
        <v>22</v>
      </c>
      <c r="XY19" s="456" t="s">
        <v>22</v>
      </c>
      <c r="XZ19" s="425" t="s">
        <v>22</v>
      </c>
      <c r="YA19" s="425" t="s">
        <v>22</v>
      </c>
      <c r="YB19" s="432" t="s">
        <v>22</v>
      </c>
      <c r="YC19" s="456" t="s">
        <v>22</v>
      </c>
      <c r="YD19" s="432" t="s">
        <v>22</v>
      </c>
      <c r="YE19" s="456" t="s">
        <v>22</v>
      </c>
      <c r="YF19" s="495">
        <v>43726</v>
      </c>
      <c r="YG19" s="507" t="str">
        <f>CHOOSE(WEEKDAY(YF19,2),"Monday","Tuesday","Wednesday","Thursday","Friday","Saturday","Sunday")</f>
        <v>Wednesday</v>
      </c>
      <c r="YH19" s="432" t="s">
        <v>22</v>
      </c>
      <c r="YI19" s="456" t="s">
        <v>22</v>
      </c>
      <c r="YJ19" s="425" t="s">
        <v>22</v>
      </c>
      <c r="YK19" s="425" t="s">
        <v>22</v>
      </c>
      <c r="YL19" s="432" t="s">
        <v>22</v>
      </c>
      <c r="YM19" s="456" t="s">
        <v>22</v>
      </c>
      <c r="YN19" s="432" t="s">
        <v>22</v>
      </c>
      <c r="YO19" s="456" t="s">
        <v>22</v>
      </c>
      <c r="YP19" s="432" t="s">
        <v>22</v>
      </c>
      <c r="YQ19" s="456" t="s">
        <v>22</v>
      </c>
      <c r="YR19" s="432" t="s">
        <v>22</v>
      </c>
      <c r="YS19" s="456" t="s">
        <v>22</v>
      </c>
      <c r="YT19" s="425" t="s">
        <v>22</v>
      </c>
      <c r="YU19" s="425" t="s">
        <v>22</v>
      </c>
      <c r="YV19" s="432" t="s">
        <v>22</v>
      </c>
      <c r="YW19" s="456" t="s">
        <v>22</v>
      </c>
      <c r="YX19" s="432" t="s">
        <v>22</v>
      </c>
      <c r="YY19" s="456" t="s">
        <v>22</v>
      </c>
      <c r="YZ19" s="425" t="s">
        <v>22</v>
      </c>
      <c r="ZA19" s="425" t="s">
        <v>22</v>
      </c>
      <c r="ZB19" s="432" t="s">
        <v>22</v>
      </c>
      <c r="ZC19" s="456" t="s">
        <v>22</v>
      </c>
      <c r="ZD19" s="425" t="s">
        <v>22</v>
      </c>
      <c r="ZE19" s="425" t="s">
        <v>22</v>
      </c>
      <c r="ZF19" s="432" t="s">
        <v>22</v>
      </c>
      <c r="ZG19" s="456" t="s">
        <v>22</v>
      </c>
      <c r="ZH19" s="432" t="s">
        <v>22</v>
      </c>
      <c r="ZI19" s="456" t="s">
        <v>22</v>
      </c>
      <c r="ZJ19" s="432" t="s">
        <v>22</v>
      </c>
      <c r="ZK19" s="456" t="s">
        <v>22</v>
      </c>
      <c r="ZL19" s="425" t="s">
        <v>22</v>
      </c>
      <c r="ZM19" s="425" t="s">
        <v>22</v>
      </c>
      <c r="ZN19" s="495">
        <v>43739</v>
      </c>
      <c r="ZO19" s="496" t="str">
        <f>CHOOSE(WEEKDAY(ZN19,2),"Monday","Tuesday","Wednesday","Thursday","Friday","Saturday","Sunday")</f>
        <v>Tuesday</v>
      </c>
      <c r="ZP19" s="432" t="s">
        <v>22</v>
      </c>
      <c r="ZQ19" s="456" t="s">
        <v>22</v>
      </c>
      <c r="ZR19" s="497">
        <v>43741</v>
      </c>
      <c r="ZS19" s="513" t="str">
        <f>CHOOSE(WEEKDAY(ZR19,2),"Monday","Tuesday","Wednesday","Thursday","Friday","Saturday","Sunday")</f>
        <v>Thursday</v>
      </c>
      <c r="ZT19" s="432" t="s">
        <v>22</v>
      </c>
      <c r="ZU19" s="456" t="s">
        <v>22</v>
      </c>
      <c r="ZV19" s="432" t="s">
        <v>22</v>
      </c>
      <c r="ZW19" s="456" t="s">
        <v>22</v>
      </c>
      <c r="ZX19" s="425" t="s">
        <v>22</v>
      </c>
      <c r="ZY19" s="425" t="s">
        <v>22</v>
      </c>
      <c r="ZZ19" s="432" t="s">
        <v>22</v>
      </c>
      <c r="AAA19" s="456" t="s">
        <v>22</v>
      </c>
      <c r="AAB19" s="432" t="s">
        <v>22</v>
      </c>
      <c r="AAC19" s="456" t="s">
        <v>22</v>
      </c>
      <c r="AAD19" s="432" t="s">
        <v>22</v>
      </c>
      <c r="AAE19" s="456" t="s">
        <v>22</v>
      </c>
      <c r="AAF19" s="432" t="s">
        <v>22</v>
      </c>
      <c r="AAG19" s="456" t="s">
        <v>22</v>
      </c>
      <c r="AAH19" s="425" t="s">
        <v>22</v>
      </c>
      <c r="AAI19" s="425" t="s">
        <v>22</v>
      </c>
      <c r="AAJ19" s="432" t="s">
        <v>22</v>
      </c>
      <c r="AAK19" s="456" t="s">
        <v>22</v>
      </c>
      <c r="AAL19" s="432" t="s">
        <v>22</v>
      </c>
      <c r="AAM19" s="456" t="s">
        <v>22</v>
      </c>
      <c r="AAN19" s="432" t="s">
        <v>22</v>
      </c>
      <c r="AAO19" s="456" t="s">
        <v>22</v>
      </c>
      <c r="AAP19" s="432" t="s">
        <v>22</v>
      </c>
      <c r="AAQ19" s="456" t="s">
        <v>22</v>
      </c>
      <c r="AAR19" s="432" t="s">
        <v>22</v>
      </c>
      <c r="AAS19" s="456" t="s">
        <v>22</v>
      </c>
      <c r="AAT19" s="425" t="s">
        <v>22</v>
      </c>
      <c r="AAU19" s="425" t="s">
        <v>22</v>
      </c>
      <c r="AAV19" s="432" t="s">
        <v>22</v>
      </c>
      <c r="AAW19" s="456" t="s">
        <v>22</v>
      </c>
      <c r="AAX19" s="425" t="s">
        <v>22</v>
      </c>
      <c r="AAY19" s="425" t="s">
        <v>22</v>
      </c>
      <c r="AAZ19" s="432" t="s">
        <v>22</v>
      </c>
      <c r="ABA19" s="456" t="s">
        <v>22</v>
      </c>
      <c r="ABB19" s="432" t="s">
        <v>22</v>
      </c>
      <c r="ABC19" s="456" t="s">
        <v>22</v>
      </c>
      <c r="ABD19" s="432" t="s">
        <v>22</v>
      </c>
      <c r="ABE19" s="456" t="s">
        <v>22</v>
      </c>
      <c r="ABF19" s="425" t="s">
        <v>22</v>
      </c>
      <c r="ABG19" s="425" t="s">
        <v>22</v>
      </c>
      <c r="ABH19" s="432" t="s">
        <v>22</v>
      </c>
      <c r="ABI19" s="456" t="s">
        <v>22</v>
      </c>
      <c r="ABJ19" s="432" t="s">
        <v>22</v>
      </c>
      <c r="ABK19" s="456" t="s">
        <v>22</v>
      </c>
      <c r="ABL19" s="432" t="s">
        <v>22</v>
      </c>
      <c r="ABM19" s="456" t="s">
        <v>22</v>
      </c>
      <c r="ABN19" s="432" t="s">
        <v>22</v>
      </c>
      <c r="ABO19" s="456" t="s">
        <v>22</v>
      </c>
      <c r="ABP19" s="425" t="s">
        <v>22</v>
      </c>
      <c r="ABQ19" s="425" t="s">
        <v>22</v>
      </c>
      <c r="ABR19" s="432" t="s">
        <v>22</v>
      </c>
      <c r="ABS19" s="456" t="s">
        <v>22</v>
      </c>
      <c r="ABT19" s="432" t="s">
        <v>22</v>
      </c>
      <c r="ABU19" s="456" t="s">
        <v>22</v>
      </c>
      <c r="ABV19" s="432" t="s">
        <v>22</v>
      </c>
      <c r="ABW19" s="456" t="s">
        <v>22</v>
      </c>
      <c r="ABX19" s="425" t="s">
        <v>22</v>
      </c>
      <c r="ABY19" s="425" t="s">
        <v>22</v>
      </c>
      <c r="ABZ19" s="432" t="s">
        <v>22</v>
      </c>
      <c r="ACA19" s="456" t="s">
        <v>22</v>
      </c>
      <c r="ACB19" s="432" t="s">
        <v>22</v>
      </c>
      <c r="ACC19" s="456" t="s">
        <v>22</v>
      </c>
      <c r="ACD19" s="432" t="s">
        <v>22</v>
      </c>
      <c r="ACE19" s="456" t="s">
        <v>22</v>
      </c>
      <c r="ACF19" s="432" t="s">
        <v>22</v>
      </c>
      <c r="ACG19" s="456" t="s">
        <v>22</v>
      </c>
      <c r="ACH19" s="432" t="s">
        <v>22</v>
      </c>
      <c r="ACI19" s="456" t="s">
        <v>22</v>
      </c>
      <c r="ACJ19" s="425" t="s">
        <v>22</v>
      </c>
      <c r="ACK19" s="425" t="s">
        <v>22</v>
      </c>
      <c r="ACL19" s="432" t="s">
        <v>22</v>
      </c>
      <c r="ACM19" s="456" t="s">
        <v>22</v>
      </c>
      <c r="ACN19" s="497">
        <v>43769</v>
      </c>
      <c r="ACO19" s="513" t="str">
        <f>CHOOSE(WEEKDAY(ACN19,2),"Monday","Tuesday","Wednesday","Thursday","Friday","Saturday","Sunday")</f>
        <v>Thursday</v>
      </c>
      <c r="ACP19" s="432" t="s">
        <v>22</v>
      </c>
      <c r="ACQ19" s="456" t="s">
        <v>22</v>
      </c>
      <c r="ACR19" s="432" t="s">
        <v>22</v>
      </c>
      <c r="ACS19" s="456" t="s">
        <v>22</v>
      </c>
      <c r="ACT19" s="283">
        <v>43761</v>
      </c>
      <c r="ACU19" s="292" t="str">
        <f t="shared" ref="ACU19:ACU20" si="62">CHOOSE(WEEKDAY(ACT19,2),"Monday","Tuesday","Wednesday","Thursday","Friday","Saturday","Sunday")</f>
        <v>Wednesday</v>
      </c>
      <c r="ACV19" s="432" t="s">
        <v>22</v>
      </c>
      <c r="ACW19" s="456" t="s">
        <v>22</v>
      </c>
      <c r="ACX19" s="425" t="s">
        <v>22</v>
      </c>
      <c r="ACY19" s="425" t="s">
        <v>22</v>
      </c>
      <c r="ACZ19" s="432" t="s">
        <v>22</v>
      </c>
      <c r="ADA19" s="456" t="s">
        <v>22</v>
      </c>
      <c r="ADB19" s="432" t="s">
        <v>22</v>
      </c>
      <c r="ADC19" s="456" t="s">
        <v>22</v>
      </c>
      <c r="ADD19" s="432" t="s">
        <v>22</v>
      </c>
      <c r="ADE19" s="456" t="s">
        <v>22</v>
      </c>
      <c r="ADF19" s="432" t="s">
        <v>22</v>
      </c>
      <c r="ADG19" s="456" t="s">
        <v>22</v>
      </c>
      <c r="ADH19" s="432" t="s">
        <v>22</v>
      </c>
      <c r="ADI19" s="456" t="s">
        <v>22</v>
      </c>
      <c r="ADJ19" s="432" t="s">
        <v>22</v>
      </c>
      <c r="ADK19" s="456" t="s">
        <v>22</v>
      </c>
      <c r="ADL19" s="497">
        <v>43780</v>
      </c>
      <c r="ADM19" s="501" t="str">
        <f>CHOOSE(WEEKDAY(ADL19,2),"Monday","Tuesday","Wednesday","Thursday","Friday","Saturday","Sunday")</f>
        <v>Monday</v>
      </c>
      <c r="ADN19" s="425" t="s">
        <v>22</v>
      </c>
      <c r="ADO19" s="456" t="s">
        <v>22</v>
      </c>
      <c r="ADP19" s="432" t="s">
        <v>22</v>
      </c>
      <c r="ADQ19" s="456" t="s">
        <v>22</v>
      </c>
      <c r="ADR19" s="425" t="s">
        <v>22</v>
      </c>
      <c r="ADS19" s="456" t="s">
        <v>22</v>
      </c>
      <c r="ADT19" s="432" t="s">
        <v>22</v>
      </c>
      <c r="ADU19" s="456" t="s">
        <v>22</v>
      </c>
      <c r="ADV19" s="425" t="s">
        <v>22</v>
      </c>
      <c r="ADW19" s="425" t="s">
        <v>22</v>
      </c>
      <c r="ADX19" s="432" t="s">
        <v>22</v>
      </c>
      <c r="ADY19" s="456" t="s">
        <v>22</v>
      </c>
      <c r="ADZ19" s="432" t="s">
        <v>22</v>
      </c>
      <c r="AEA19" s="456" t="s">
        <v>22</v>
      </c>
      <c r="AEB19" s="432" t="s">
        <v>22</v>
      </c>
      <c r="AEC19" s="456" t="s">
        <v>22</v>
      </c>
      <c r="AED19" s="425" t="s">
        <v>22</v>
      </c>
      <c r="AEE19" s="425" t="s">
        <v>22</v>
      </c>
      <c r="AEF19" s="432" t="s">
        <v>22</v>
      </c>
      <c r="AEG19" s="456" t="s">
        <v>22</v>
      </c>
      <c r="AEH19" s="495">
        <v>43797</v>
      </c>
      <c r="AEI19" s="513" t="str">
        <f>CHOOSE(WEEKDAY(AEH19,2),"Monday","Tuesday","Wednesday","Thursday","Friday","Saturday","Sunday")</f>
        <v>Thursday</v>
      </c>
      <c r="AEJ19" s="432" t="s">
        <v>22</v>
      </c>
      <c r="AEK19" s="456" t="s">
        <v>22</v>
      </c>
      <c r="AEL19" s="432" t="s">
        <v>22</v>
      </c>
      <c r="AEM19" s="456" t="s">
        <v>22</v>
      </c>
      <c r="AEN19" s="432" t="s">
        <v>22</v>
      </c>
      <c r="AEO19" s="456" t="s">
        <v>22</v>
      </c>
      <c r="AEP19" s="432" t="s">
        <v>22</v>
      </c>
      <c r="AEQ19" s="456" t="s">
        <v>22</v>
      </c>
      <c r="AER19" s="425" t="s">
        <v>22</v>
      </c>
      <c r="AES19" s="425" t="s">
        <v>22</v>
      </c>
      <c r="AET19" s="432" t="s">
        <v>22</v>
      </c>
      <c r="AEU19" s="456" t="s">
        <v>22</v>
      </c>
      <c r="AEV19" s="425" t="s">
        <v>22</v>
      </c>
      <c r="AEW19" s="425" t="s">
        <v>22</v>
      </c>
      <c r="AEX19" s="432" t="s">
        <v>22</v>
      </c>
      <c r="AEY19" s="456" t="s">
        <v>22</v>
      </c>
      <c r="AEZ19" s="432" t="s">
        <v>22</v>
      </c>
      <c r="AFA19" s="456" t="s">
        <v>22</v>
      </c>
      <c r="AFB19" s="432" t="s">
        <v>22</v>
      </c>
      <c r="AFC19" s="456" t="s">
        <v>22</v>
      </c>
      <c r="AFD19" s="432" t="s">
        <v>22</v>
      </c>
      <c r="AFE19" s="456" t="s">
        <v>22</v>
      </c>
      <c r="AFF19" s="425" t="s">
        <v>22</v>
      </c>
      <c r="AFG19" s="425" t="s">
        <v>22</v>
      </c>
      <c r="AFH19" s="432" t="s">
        <v>22</v>
      </c>
      <c r="AFI19" s="456" t="s">
        <v>22</v>
      </c>
      <c r="AFJ19" s="425" t="s">
        <v>22</v>
      </c>
      <c r="AFK19" s="425" t="s">
        <v>22</v>
      </c>
      <c r="AFL19" s="432" t="s">
        <v>22</v>
      </c>
      <c r="AFM19" s="456" t="s">
        <v>22</v>
      </c>
      <c r="AFN19" s="432" t="s">
        <v>22</v>
      </c>
      <c r="AFO19" s="456" t="s">
        <v>22</v>
      </c>
      <c r="AFP19" s="432" t="s">
        <v>22</v>
      </c>
      <c r="AFQ19" s="456" t="s">
        <v>22</v>
      </c>
      <c r="AFR19" s="425" t="s">
        <v>22</v>
      </c>
      <c r="AFS19" s="425" t="s">
        <v>22</v>
      </c>
      <c r="AFT19" s="432" t="s">
        <v>22</v>
      </c>
      <c r="AFU19" s="456" t="s">
        <v>22</v>
      </c>
      <c r="AFV19" s="425" t="s">
        <v>22</v>
      </c>
      <c r="AFW19" s="425" t="s">
        <v>22</v>
      </c>
      <c r="AFX19" s="432" t="s">
        <v>22</v>
      </c>
      <c r="AFY19" s="425" t="s">
        <v>22</v>
      </c>
      <c r="AFZ19" s="432" t="s">
        <v>22</v>
      </c>
      <c r="AGA19" s="456" t="s">
        <v>22</v>
      </c>
      <c r="AGB19" s="432" t="s">
        <v>22</v>
      </c>
      <c r="AGC19" s="456" t="s">
        <v>22</v>
      </c>
      <c r="AGD19" s="425" t="s">
        <v>22</v>
      </c>
      <c r="AGE19" s="425" t="s">
        <v>22</v>
      </c>
      <c r="AGF19" s="432" t="s">
        <v>22</v>
      </c>
      <c r="AGG19" s="456" t="s">
        <v>22</v>
      </c>
      <c r="AGH19" s="432" t="s">
        <v>22</v>
      </c>
      <c r="AGI19" s="456" t="s">
        <v>22</v>
      </c>
      <c r="AGJ19" s="425" t="s">
        <v>22</v>
      </c>
      <c r="AGK19" s="425" t="s">
        <v>22</v>
      </c>
      <c r="AGL19" s="432" t="s">
        <v>22</v>
      </c>
      <c r="AGM19" s="456" t="s">
        <v>22</v>
      </c>
      <c r="AGN19" s="432" t="s">
        <v>22</v>
      </c>
      <c r="AGO19" s="456" t="s">
        <v>22</v>
      </c>
      <c r="AGP19" s="432" t="s">
        <v>22</v>
      </c>
      <c r="AGQ19" s="456" t="s">
        <v>22</v>
      </c>
      <c r="AGR19" s="432" t="s">
        <v>22</v>
      </c>
      <c r="AGS19" s="456" t="s">
        <v>22</v>
      </c>
      <c r="AGT19" s="432" t="s">
        <v>22</v>
      </c>
      <c r="AGU19" s="456" t="s">
        <v>22</v>
      </c>
      <c r="AGV19" s="425" t="s">
        <v>22</v>
      </c>
      <c r="AGW19" s="456" t="s">
        <v>22</v>
      </c>
      <c r="AGX19" s="432" t="s">
        <v>22</v>
      </c>
      <c r="AGY19" s="456" t="s">
        <v>22</v>
      </c>
      <c r="AGZ19" s="432" t="s">
        <v>22</v>
      </c>
      <c r="AHA19" s="456" t="s">
        <v>22</v>
      </c>
      <c r="AHB19" s="432" t="s">
        <v>22</v>
      </c>
      <c r="AHC19" s="456" t="s">
        <v>22</v>
      </c>
      <c r="AHD19" s="432" t="s">
        <v>22</v>
      </c>
      <c r="AHE19" s="456" t="s">
        <v>22</v>
      </c>
      <c r="AHF19" s="432" t="s">
        <v>22</v>
      </c>
      <c r="AHG19" s="456" t="s">
        <v>22</v>
      </c>
      <c r="AHH19" s="495">
        <v>43823</v>
      </c>
      <c r="AHI19" s="517" t="str">
        <f>CHOOSE(WEEKDAY(AHH19,2),"Monday","Tuesday","Wednesday","Thursday","Friday","Saturday","Sunday")</f>
        <v>Tuesday</v>
      </c>
      <c r="AHJ19" s="432" t="s">
        <v>22</v>
      </c>
      <c r="AHK19" s="456" t="s">
        <v>22</v>
      </c>
      <c r="AHL19" s="425" t="s">
        <v>22</v>
      </c>
      <c r="AHM19" s="456" t="s">
        <v>22</v>
      </c>
      <c r="AHN19" s="432" t="s">
        <v>22</v>
      </c>
      <c r="AHO19" s="456" t="s">
        <v>22</v>
      </c>
      <c r="AHP19" s="432" t="s">
        <v>22</v>
      </c>
      <c r="AHQ19" s="456" t="s">
        <v>22</v>
      </c>
      <c r="AHR19" s="432" t="s">
        <v>22</v>
      </c>
      <c r="AHS19" s="425" t="s">
        <v>22</v>
      </c>
      <c r="AHT19" s="432" t="s">
        <v>22</v>
      </c>
      <c r="AHU19" s="425" t="s">
        <v>22</v>
      </c>
      <c r="AHV19" s="506">
        <v>43819</v>
      </c>
      <c r="AHW19" s="496" t="str">
        <f>CHOOSE(WEEKDAY(AHV19,2),"Monday","Tuesday","Wednesday","Thursday","Friday","Saturday","Sunday")</f>
        <v>Friday</v>
      </c>
      <c r="AHX19" s="283">
        <v>43819</v>
      </c>
      <c r="AHY19" s="288" t="str">
        <f t="shared" ref="AHY19:AHY20" si="63">CHOOSE(WEEKDAY(AHX19,2),"Monday","Tuesday","Wednesday","Thursday","Friday","Saturday","Sunday")</f>
        <v>Friday</v>
      </c>
      <c r="AHZ19" s="506">
        <v>43830</v>
      </c>
      <c r="AIA19" s="496" t="str">
        <f>CHOOSE(WEEKDAY(AHZ19,2),"Monday","Tuesday","Wednesday","Thursday","Friday","Saturday","Sunday")</f>
        <v>Tuesday</v>
      </c>
    </row>
    <row r="20" spans="1:911" ht="15.75" customHeight="1" x14ac:dyDescent="0.2">
      <c r="A20" s="412"/>
      <c r="B20" s="417"/>
      <c r="C20" s="412"/>
      <c r="D20" s="417"/>
      <c r="E20" s="412"/>
      <c r="F20" s="417"/>
      <c r="G20" s="412"/>
      <c r="H20" s="417"/>
      <c r="I20" s="412"/>
      <c r="J20" s="417"/>
      <c r="K20" s="412"/>
      <c r="L20" s="417"/>
      <c r="M20" s="412"/>
      <c r="N20" s="417"/>
      <c r="O20" s="412"/>
      <c r="P20" s="417"/>
      <c r="Q20" s="412"/>
      <c r="R20" s="417"/>
      <c r="S20" s="412"/>
      <c r="T20" s="417"/>
      <c r="U20" s="412"/>
      <c r="V20" s="417"/>
      <c r="W20" s="412"/>
      <c r="X20" s="417"/>
      <c r="Y20" s="412"/>
      <c r="Z20" s="417"/>
      <c r="AA20" s="412"/>
      <c r="AB20" s="417"/>
      <c r="AC20" s="412"/>
      <c r="AD20" s="402"/>
      <c r="AE20" s="402"/>
      <c r="AF20" s="417"/>
      <c r="AG20" s="402"/>
      <c r="AH20" s="417"/>
      <c r="AI20" s="412"/>
      <c r="AJ20" s="402"/>
      <c r="AK20" s="402"/>
      <c r="AL20" s="417"/>
      <c r="AM20" s="412"/>
      <c r="AN20" s="417"/>
      <c r="AO20" s="412"/>
      <c r="AP20" s="417"/>
      <c r="AQ20" s="412"/>
      <c r="AR20" s="417"/>
      <c r="AS20" s="412"/>
      <c r="AT20" s="417"/>
      <c r="AU20" s="412"/>
      <c r="AV20" s="402"/>
      <c r="AW20" s="402"/>
      <c r="AX20" s="417"/>
      <c r="AY20" s="412"/>
      <c r="AZ20" s="417"/>
      <c r="BA20" s="412"/>
      <c r="BB20" s="402"/>
      <c r="BC20" s="402"/>
      <c r="BD20" s="417"/>
      <c r="BE20" s="412"/>
      <c r="BF20" s="417"/>
      <c r="BG20" s="412"/>
      <c r="BH20" s="417"/>
      <c r="BI20" s="412"/>
      <c r="BJ20" s="417"/>
      <c r="BK20" s="412"/>
      <c r="BL20" s="402"/>
      <c r="BM20" s="402"/>
      <c r="BN20" s="417"/>
      <c r="BO20" s="412"/>
      <c r="BP20" s="417"/>
      <c r="BQ20" s="412"/>
      <c r="BR20" s="417"/>
      <c r="BS20" s="412"/>
      <c r="BT20" s="402"/>
      <c r="BU20" s="402"/>
      <c r="BV20" s="417"/>
      <c r="BW20" s="412"/>
      <c r="BX20" s="402"/>
      <c r="BY20" s="402"/>
      <c r="BZ20" s="417"/>
      <c r="CA20" s="412"/>
      <c r="CB20" s="417"/>
      <c r="CC20" s="412"/>
      <c r="CD20" s="417"/>
      <c r="CE20" s="412"/>
      <c r="CF20" s="417"/>
      <c r="CG20" s="412"/>
      <c r="CH20" s="417"/>
      <c r="CI20" s="412"/>
      <c r="CJ20" s="417"/>
      <c r="CK20" s="412"/>
      <c r="CL20" s="402"/>
      <c r="CM20" s="402"/>
      <c r="CN20" s="417"/>
      <c r="CO20" s="412"/>
      <c r="CP20" s="417"/>
      <c r="CQ20" s="412"/>
      <c r="CR20" s="417"/>
      <c r="CS20" s="412"/>
      <c r="CT20" s="402"/>
      <c r="CU20" s="402"/>
      <c r="CV20" s="417"/>
      <c r="CW20" s="412"/>
      <c r="CX20" s="417"/>
      <c r="CY20" s="412"/>
      <c r="CZ20" s="402"/>
      <c r="DA20" s="402"/>
      <c r="DB20" s="417"/>
      <c r="DC20" s="412"/>
      <c r="DD20" s="417"/>
      <c r="DE20" s="412"/>
      <c r="DF20" s="402"/>
      <c r="DG20" s="402"/>
      <c r="DH20" s="417"/>
      <c r="DI20" s="412"/>
      <c r="DJ20" s="417"/>
      <c r="DK20" s="412"/>
      <c r="DL20" s="417"/>
      <c r="DM20" s="412"/>
      <c r="DN20" s="402"/>
      <c r="DO20" s="402"/>
      <c r="DP20" s="417"/>
      <c r="DQ20" s="412"/>
      <c r="DR20" s="417"/>
      <c r="DS20" s="412"/>
      <c r="DT20" s="402"/>
      <c r="DU20" s="402"/>
      <c r="DV20" s="417"/>
      <c r="DW20" s="412"/>
      <c r="DX20" s="417"/>
      <c r="DY20" s="412"/>
      <c r="DZ20" s="402"/>
      <c r="EA20" s="402"/>
      <c r="EB20" s="417"/>
      <c r="EC20" s="412"/>
      <c r="ED20" s="402"/>
      <c r="EE20" s="402"/>
      <c r="EF20" s="417"/>
      <c r="EG20" s="412"/>
      <c r="EH20" s="417"/>
      <c r="EI20" s="412"/>
      <c r="EJ20" s="417"/>
      <c r="EK20" s="412"/>
      <c r="EL20" s="402"/>
      <c r="EM20" s="402"/>
      <c r="EN20" s="417"/>
      <c r="EO20" s="412"/>
      <c r="EP20" s="417"/>
      <c r="EQ20" s="412"/>
      <c r="ER20" s="417"/>
      <c r="ES20" s="412"/>
      <c r="ET20" s="402"/>
      <c r="EU20" s="402"/>
      <c r="EV20" s="417"/>
      <c r="EW20" s="412"/>
      <c r="EX20" s="417"/>
      <c r="EY20" s="412"/>
      <c r="EZ20" s="417"/>
      <c r="FA20" s="412"/>
      <c r="FB20" s="402"/>
      <c r="FC20" s="402"/>
      <c r="FD20" s="417"/>
      <c r="FE20" s="412"/>
      <c r="FF20" s="402"/>
      <c r="FG20" s="412"/>
      <c r="FH20" s="402"/>
      <c r="FI20" s="402"/>
      <c r="FJ20" s="417"/>
      <c r="FK20" s="412"/>
      <c r="FL20" s="417"/>
      <c r="FM20" s="412"/>
      <c r="FN20" s="417"/>
      <c r="FO20" s="412"/>
      <c r="FP20" s="402"/>
      <c r="FQ20" s="402"/>
      <c r="FR20" s="417"/>
      <c r="FS20" s="412"/>
      <c r="FT20" s="417"/>
      <c r="FU20" s="412"/>
      <c r="FV20" s="417"/>
      <c r="FW20" s="412"/>
      <c r="FX20" s="402"/>
      <c r="FY20" s="402"/>
      <c r="FZ20" s="417"/>
      <c r="GA20" s="412"/>
      <c r="GB20" s="417"/>
      <c r="GC20" s="412"/>
      <c r="GD20" s="402"/>
      <c r="GE20" s="402"/>
      <c r="GF20" s="417"/>
      <c r="GG20" s="412"/>
      <c r="GH20" s="402"/>
      <c r="GI20" s="402"/>
      <c r="GJ20" s="417"/>
      <c r="GK20" s="412"/>
      <c r="GL20" s="417"/>
      <c r="GM20" s="412"/>
      <c r="GN20" s="402"/>
      <c r="GO20" s="402"/>
      <c r="GP20" s="417"/>
      <c r="GQ20" s="412"/>
      <c r="GR20" s="417"/>
      <c r="GS20" s="412"/>
      <c r="GT20" s="417"/>
      <c r="GU20" s="412"/>
      <c r="GV20" s="402"/>
      <c r="GW20" s="402"/>
      <c r="GX20" s="417"/>
      <c r="GY20" s="412"/>
      <c r="GZ20" s="417"/>
      <c r="HA20" s="412"/>
      <c r="HB20" s="417"/>
      <c r="HC20" s="412"/>
      <c r="HD20" s="417"/>
      <c r="HE20" s="412"/>
      <c r="HF20" s="417"/>
      <c r="HG20" s="412"/>
      <c r="HH20" s="402"/>
      <c r="HI20" s="402"/>
      <c r="HJ20" s="417"/>
      <c r="HK20" s="412"/>
      <c r="HL20" s="417"/>
      <c r="HM20" s="412"/>
      <c r="HN20" s="524">
        <v>43556</v>
      </c>
      <c r="HO20" s="486" t="str">
        <f t="shared" si="56"/>
        <v>Monday</v>
      </c>
      <c r="HP20" s="417"/>
      <c r="HQ20" s="412"/>
      <c r="HR20" s="417"/>
      <c r="HS20" s="412"/>
      <c r="HT20" s="417"/>
      <c r="HU20" s="412"/>
      <c r="HV20" s="417"/>
      <c r="HW20" s="412"/>
      <c r="HX20" s="402"/>
      <c r="HY20" s="402"/>
      <c r="HZ20" s="417"/>
      <c r="IA20" s="412"/>
      <c r="IB20" s="417"/>
      <c r="IC20" s="412"/>
      <c r="ID20" s="417"/>
      <c r="IE20" s="412"/>
      <c r="IF20" s="402"/>
      <c r="IG20" s="402"/>
      <c r="IH20" s="417"/>
      <c r="II20" s="412"/>
      <c r="IJ20" s="417"/>
      <c r="IK20" s="412"/>
      <c r="IL20" s="417"/>
      <c r="IM20" s="412"/>
      <c r="IN20" s="417"/>
      <c r="IO20" s="412"/>
      <c r="IP20" s="402"/>
      <c r="IQ20" s="402"/>
      <c r="IR20" s="417"/>
      <c r="IS20" s="412"/>
      <c r="IT20" s="417"/>
      <c r="IU20" s="412"/>
      <c r="IV20" s="417"/>
      <c r="IW20" s="412"/>
      <c r="IX20" s="417"/>
      <c r="IY20" s="412"/>
      <c r="IZ20" s="417"/>
      <c r="JA20" s="412"/>
      <c r="JB20" s="417"/>
      <c r="JC20" s="412"/>
      <c r="JD20" s="417"/>
      <c r="JE20" s="412"/>
      <c r="JF20" s="402"/>
      <c r="JG20" s="402"/>
      <c r="JH20" s="417"/>
      <c r="JI20" s="412"/>
      <c r="JJ20" s="417"/>
      <c r="JK20" s="412"/>
      <c r="JL20" s="417"/>
      <c r="JM20" s="412"/>
      <c r="JN20" s="417"/>
      <c r="JO20" s="412"/>
      <c r="JP20" s="402"/>
      <c r="JQ20" s="402"/>
      <c r="JR20" s="417"/>
      <c r="JS20" s="412"/>
      <c r="JT20" s="417"/>
      <c r="JU20" s="412"/>
      <c r="JV20" s="417"/>
      <c r="JW20" s="412"/>
      <c r="JX20" s="417"/>
      <c r="JY20" s="412"/>
      <c r="JZ20" s="417"/>
      <c r="KA20" s="412"/>
      <c r="KB20" s="417"/>
      <c r="KC20" s="412"/>
      <c r="KD20" s="402"/>
      <c r="KE20" s="402"/>
      <c r="KF20" s="417"/>
      <c r="KG20" s="412"/>
      <c r="KH20" s="402"/>
      <c r="KI20" s="402"/>
      <c r="KJ20" s="417"/>
      <c r="KK20" s="412"/>
      <c r="KL20" s="417"/>
      <c r="KM20" s="412"/>
      <c r="KN20" s="417"/>
      <c r="KO20" s="412"/>
      <c r="KP20" s="417"/>
      <c r="KQ20" s="412"/>
      <c r="KR20" s="417"/>
      <c r="KS20" s="412"/>
      <c r="KT20" s="417"/>
      <c r="KU20" s="412"/>
      <c r="KV20" s="417"/>
      <c r="KW20" s="412"/>
      <c r="KX20" s="417"/>
      <c r="KY20" s="412"/>
      <c r="KZ20" s="417"/>
      <c r="LA20" s="412"/>
      <c r="LB20" s="417"/>
      <c r="LC20" s="412"/>
      <c r="LD20" s="402"/>
      <c r="LE20" s="402"/>
      <c r="LF20" s="417"/>
      <c r="LG20" s="412"/>
      <c r="LH20" s="417"/>
      <c r="LI20" s="412"/>
      <c r="LJ20" s="402"/>
      <c r="LK20" s="402"/>
      <c r="LL20" s="417"/>
      <c r="LM20" s="412"/>
      <c r="LN20" s="402"/>
      <c r="LO20" s="402"/>
      <c r="LP20" s="417"/>
      <c r="LQ20" s="412"/>
      <c r="LR20" s="417"/>
      <c r="LS20" s="412"/>
      <c r="LT20" s="417"/>
      <c r="LU20" s="412"/>
      <c r="LV20" s="402"/>
      <c r="LW20" s="402"/>
      <c r="LX20" s="417"/>
      <c r="LY20" s="412"/>
      <c r="LZ20" s="402"/>
      <c r="MA20" s="402"/>
      <c r="MB20" s="417"/>
      <c r="MC20" s="412"/>
      <c r="MD20" s="417"/>
      <c r="ME20" s="412"/>
      <c r="MF20" s="417"/>
      <c r="MG20" s="412"/>
      <c r="MH20" s="417"/>
      <c r="MI20" s="412"/>
      <c r="MJ20" s="417"/>
      <c r="MK20" s="412"/>
      <c r="ML20" s="402"/>
      <c r="MM20" s="402"/>
      <c r="MN20" s="417"/>
      <c r="MO20" s="412"/>
      <c r="MP20" s="417"/>
      <c r="MQ20" s="412"/>
      <c r="MR20" s="417"/>
      <c r="MS20" s="412"/>
      <c r="MT20" s="417"/>
      <c r="MU20" s="412"/>
      <c r="MV20" s="402"/>
      <c r="MW20" s="402"/>
      <c r="MX20" s="417"/>
      <c r="MY20" s="412"/>
      <c r="MZ20" s="417"/>
      <c r="NA20" s="412"/>
      <c r="NB20" s="417"/>
      <c r="NC20" s="412"/>
      <c r="ND20" s="402"/>
      <c r="NE20" s="402"/>
      <c r="NF20" s="417"/>
      <c r="NG20" s="412"/>
      <c r="NH20" s="417"/>
      <c r="NI20" s="412"/>
      <c r="NJ20" s="417"/>
      <c r="NK20" s="412"/>
      <c r="NL20" s="402"/>
      <c r="NM20" s="402"/>
      <c r="NN20" s="417"/>
      <c r="NO20" s="412"/>
      <c r="NP20" s="417"/>
      <c r="NQ20" s="412"/>
      <c r="NR20" s="402"/>
      <c r="NS20" s="412"/>
      <c r="NT20" s="417"/>
      <c r="NU20" s="412"/>
      <c r="NV20" s="417"/>
      <c r="NW20" s="412"/>
      <c r="NX20" s="417"/>
      <c r="NY20" s="412"/>
      <c r="NZ20" s="417"/>
      <c r="OA20" s="402"/>
      <c r="OB20" s="417"/>
      <c r="OC20" s="412"/>
      <c r="OD20" s="417"/>
      <c r="OE20" s="412"/>
      <c r="OF20" s="402"/>
      <c r="OG20" s="402"/>
      <c r="OH20" s="417"/>
      <c r="OI20" s="412"/>
      <c r="OJ20" s="417"/>
      <c r="OK20" s="412"/>
      <c r="OL20" s="417"/>
      <c r="OM20" s="412"/>
      <c r="ON20" s="417"/>
      <c r="OO20" s="412"/>
      <c r="OP20" s="402"/>
      <c r="OQ20" s="402"/>
      <c r="OR20" s="417"/>
      <c r="OS20" s="412"/>
      <c r="OT20" s="417"/>
      <c r="OU20" s="412"/>
      <c r="OV20" s="402"/>
      <c r="OW20" s="402"/>
      <c r="OX20" s="417"/>
      <c r="OY20" s="412"/>
      <c r="OZ20" s="417"/>
      <c r="PA20" s="412"/>
      <c r="PB20" s="417"/>
      <c r="PC20" s="412"/>
      <c r="PD20" s="417"/>
      <c r="PE20" s="412"/>
      <c r="PF20" s="417"/>
      <c r="PG20" s="412"/>
      <c r="PH20" s="524">
        <v>43648</v>
      </c>
      <c r="PI20" s="493" t="str">
        <f t="shared" si="60"/>
        <v>Tuesday</v>
      </c>
      <c r="PJ20" s="417"/>
      <c r="PK20" s="412"/>
      <c r="PL20" s="402"/>
      <c r="PM20" s="402"/>
      <c r="PN20" s="417"/>
      <c r="PO20" s="412"/>
      <c r="PP20" s="417"/>
      <c r="PQ20" s="412"/>
      <c r="PR20" s="402"/>
      <c r="PS20" s="402"/>
      <c r="PT20" s="515">
        <v>43658</v>
      </c>
      <c r="PU20" s="482" t="str">
        <f t="shared" si="61"/>
        <v>Friday</v>
      </c>
      <c r="PV20" s="402"/>
      <c r="PW20" s="402"/>
      <c r="PX20" s="417"/>
      <c r="PY20" s="412"/>
      <c r="PZ20" s="417"/>
      <c r="QA20" s="412"/>
      <c r="QB20" s="417"/>
      <c r="QC20" s="412"/>
      <c r="QD20" s="417"/>
      <c r="QE20" s="412"/>
      <c r="QF20" s="417"/>
      <c r="QG20" s="412"/>
      <c r="QH20" s="402"/>
      <c r="QI20" s="402"/>
      <c r="QJ20" s="417"/>
      <c r="QK20" s="412"/>
      <c r="QL20" s="417"/>
      <c r="QM20" s="412"/>
      <c r="QN20" s="402"/>
      <c r="QO20" s="402"/>
      <c r="QP20" s="417"/>
      <c r="QQ20" s="412"/>
      <c r="QR20" s="417"/>
      <c r="QS20" s="412"/>
      <c r="QT20" s="417"/>
      <c r="QU20" s="412"/>
      <c r="QV20" s="402"/>
      <c r="QW20" s="412"/>
      <c r="QX20" s="402"/>
      <c r="QY20" s="412"/>
      <c r="QZ20" s="417"/>
      <c r="RA20" s="412"/>
      <c r="RB20" s="417"/>
      <c r="RC20" s="412"/>
      <c r="RD20" s="417"/>
      <c r="RE20" s="412"/>
      <c r="RF20" s="417"/>
      <c r="RG20" s="412"/>
      <c r="RH20" s="417"/>
      <c r="RI20" s="412"/>
      <c r="RJ20" s="417"/>
      <c r="RK20" s="412"/>
      <c r="RL20" s="402"/>
      <c r="RM20" s="402"/>
      <c r="RN20" s="417"/>
      <c r="RO20" s="412"/>
      <c r="RP20" s="402"/>
      <c r="RQ20" s="402"/>
      <c r="RR20" s="417"/>
      <c r="RS20" s="412"/>
      <c r="RT20" s="417"/>
      <c r="RU20" s="412"/>
      <c r="RV20" s="402"/>
      <c r="RW20" s="402"/>
      <c r="RX20" s="417"/>
      <c r="RY20" s="412"/>
      <c r="RZ20" s="417"/>
      <c r="SA20" s="402"/>
      <c r="SB20" s="417"/>
      <c r="SC20" s="412"/>
      <c r="SD20" s="417"/>
      <c r="SE20" s="412"/>
      <c r="SF20" s="417"/>
      <c r="SG20" s="412"/>
      <c r="SH20" s="417"/>
      <c r="SI20" s="412"/>
      <c r="SJ20" s="402"/>
      <c r="SK20" s="402"/>
      <c r="SL20" s="417"/>
      <c r="SM20" s="412"/>
      <c r="SN20" s="417"/>
      <c r="SO20" s="412"/>
      <c r="SP20" s="402"/>
      <c r="SQ20" s="402"/>
      <c r="SR20" s="417"/>
      <c r="SS20" s="412"/>
      <c r="ST20" s="402"/>
      <c r="SU20" s="402"/>
      <c r="SV20" s="417"/>
      <c r="SW20" s="412"/>
      <c r="SX20" s="417"/>
      <c r="SY20" s="412"/>
      <c r="SZ20" s="417"/>
      <c r="TA20" s="412"/>
      <c r="TB20" s="417"/>
      <c r="TC20" s="412"/>
      <c r="TD20" s="402"/>
      <c r="TE20" s="402"/>
      <c r="TF20" s="417"/>
      <c r="TG20" s="412"/>
      <c r="TH20" s="417"/>
      <c r="TI20" s="412"/>
      <c r="TJ20" s="402"/>
      <c r="TK20" s="402"/>
      <c r="TL20" s="417"/>
      <c r="TM20" s="412"/>
      <c r="TN20" s="417"/>
      <c r="TO20" s="412"/>
      <c r="TP20" s="417"/>
      <c r="TQ20" s="412"/>
      <c r="TR20" s="417"/>
      <c r="TS20" s="412"/>
      <c r="TT20" s="417"/>
      <c r="TU20" s="412"/>
      <c r="TV20" s="417"/>
      <c r="TW20" s="412"/>
      <c r="TX20" s="417"/>
      <c r="TY20" s="412"/>
      <c r="TZ20" s="402"/>
      <c r="UA20" s="402"/>
      <c r="UB20" s="417"/>
      <c r="UC20" s="412"/>
      <c r="UD20" s="417"/>
      <c r="UE20" s="412"/>
      <c r="UF20" s="417"/>
      <c r="UG20" s="412"/>
      <c r="UH20" s="402"/>
      <c r="UI20" s="402"/>
      <c r="UJ20" s="417"/>
      <c r="UK20" s="412"/>
      <c r="UL20" s="417"/>
      <c r="UM20" s="412"/>
      <c r="UN20" s="417"/>
      <c r="UO20" s="412"/>
      <c r="UP20" s="417"/>
      <c r="UQ20" s="412"/>
      <c r="UR20" s="402"/>
      <c r="US20" s="402"/>
      <c r="UT20" s="417"/>
      <c r="UU20" s="412"/>
      <c r="UV20" s="417"/>
      <c r="UW20" s="412"/>
      <c r="UX20" s="417"/>
      <c r="UY20" s="412"/>
      <c r="UZ20" s="402"/>
      <c r="VA20" s="402"/>
      <c r="VB20" s="417"/>
      <c r="VC20" s="412"/>
      <c r="VD20" s="417"/>
      <c r="VE20" s="412"/>
      <c r="VF20" s="417"/>
      <c r="VG20" s="412"/>
      <c r="VH20" s="402"/>
      <c r="VI20" s="402"/>
      <c r="VJ20" s="417"/>
      <c r="VK20" s="412"/>
      <c r="VL20" s="417"/>
      <c r="VM20" s="412"/>
      <c r="VN20" s="402"/>
      <c r="VO20" s="402"/>
      <c r="VP20" s="417"/>
      <c r="VQ20" s="412"/>
      <c r="VR20" s="417"/>
      <c r="VS20" s="412"/>
      <c r="VT20" s="417"/>
      <c r="VU20" s="412"/>
      <c r="VV20" s="417"/>
      <c r="VW20" s="412"/>
      <c r="VX20" s="417"/>
      <c r="VY20" s="412"/>
      <c r="VZ20" s="402"/>
      <c r="WA20" s="402"/>
      <c r="WB20" s="417"/>
      <c r="WC20" s="412"/>
      <c r="WD20" s="417"/>
      <c r="WE20" s="412"/>
      <c r="WF20" s="417"/>
      <c r="WG20" s="412"/>
      <c r="WH20" s="417"/>
      <c r="WI20" s="412"/>
      <c r="WJ20" s="417"/>
      <c r="WK20" s="412"/>
      <c r="WL20" s="402"/>
      <c r="WM20" s="402"/>
      <c r="WN20" s="417"/>
      <c r="WO20" s="412"/>
      <c r="WP20" s="402"/>
      <c r="WQ20" s="402"/>
      <c r="WR20" s="417"/>
      <c r="WS20" s="402"/>
      <c r="WT20" s="417"/>
      <c r="WU20" s="412"/>
      <c r="WV20" s="417"/>
      <c r="WW20" s="412"/>
      <c r="WX20" s="402"/>
      <c r="WY20" s="402"/>
      <c r="WZ20" s="417"/>
      <c r="XA20" s="412"/>
      <c r="XB20" s="417"/>
      <c r="XC20" s="412"/>
      <c r="XD20" s="417"/>
      <c r="XE20" s="412"/>
      <c r="XF20" s="417"/>
      <c r="XG20" s="412"/>
      <c r="XH20" s="402"/>
      <c r="XI20" s="402"/>
      <c r="XJ20" s="417"/>
      <c r="XK20" s="412"/>
      <c r="XL20" s="402"/>
      <c r="XM20" s="402"/>
      <c r="XN20" s="417"/>
      <c r="XO20" s="412"/>
      <c r="XP20" s="417"/>
      <c r="XQ20" s="412"/>
      <c r="XR20" s="402"/>
      <c r="XS20" s="402"/>
      <c r="XT20" s="417"/>
      <c r="XU20" s="412"/>
      <c r="XV20" s="417"/>
      <c r="XW20" s="412"/>
      <c r="XX20" s="417"/>
      <c r="XY20" s="412"/>
      <c r="XZ20" s="402"/>
      <c r="YA20" s="402"/>
      <c r="YB20" s="417"/>
      <c r="YC20" s="412"/>
      <c r="YD20" s="417"/>
      <c r="YE20" s="412"/>
      <c r="YF20" s="417"/>
      <c r="YG20" s="412"/>
      <c r="YH20" s="417"/>
      <c r="YI20" s="412"/>
      <c r="YJ20" s="402"/>
      <c r="YK20" s="402"/>
      <c r="YL20" s="417"/>
      <c r="YM20" s="412"/>
      <c r="YN20" s="417"/>
      <c r="YO20" s="412"/>
      <c r="YP20" s="417"/>
      <c r="YQ20" s="412"/>
      <c r="YR20" s="417"/>
      <c r="YS20" s="412"/>
      <c r="YT20" s="402"/>
      <c r="YU20" s="402"/>
      <c r="YV20" s="417"/>
      <c r="YW20" s="412"/>
      <c r="YX20" s="417"/>
      <c r="YY20" s="412"/>
      <c r="YZ20" s="402"/>
      <c r="ZA20" s="402"/>
      <c r="ZB20" s="417"/>
      <c r="ZC20" s="412"/>
      <c r="ZD20" s="402"/>
      <c r="ZE20" s="402"/>
      <c r="ZF20" s="417"/>
      <c r="ZG20" s="412"/>
      <c r="ZH20" s="417"/>
      <c r="ZI20" s="412"/>
      <c r="ZJ20" s="417"/>
      <c r="ZK20" s="412"/>
      <c r="ZL20" s="402"/>
      <c r="ZM20" s="402"/>
      <c r="ZN20" s="417"/>
      <c r="ZO20" s="412"/>
      <c r="ZP20" s="417"/>
      <c r="ZQ20" s="412"/>
      <c r="ZR20" s="402"/>
      <c r="ZS20" s="402"/>
      <c r="ZT20" s="417"/>
      <c r="ZU20" s="412"/>
      <c r="ZV20" s="417"/>
      <c r="ZW20" s="412"/>
      <c r="ZX20" s="402"/>
      <c r="ZY20" s="402"/>
      <c r="ZZ20" s="417"/>
      <c r="AAA20" s="412"/>
      <c r="AAB20" s="417"/>
      <c r="AAC20" s="412"/>
      <c r="AAD20" s="417"/>
      <c r="AAE20" s="412"/>
      <c r="AAF20" s="417"/>
      <c r="AAG20" s="412"/>
      <c r="AAH20" s="402"/>
      <c r="AAI20" s="402"/>
      <c r="AAJ20" s="417"/>
      <c r="AAK20" s="412"/>
      <c r="AAL20" s="417"/>
      <c r="AAM20" s="412"/>
      <c r="AAN20" s="417"/>
      <c r="AAO20" s="412"/>
      <c r="AAP20" s="417"/>
      <c r="AAQ20" s="412"/>
      <c r="AAR20" s="417"/>
      <c r="AAS20" s="412"/>
      <c r="AAT20" s="402"/>
      <c r="AAU20" s="402"/>
      <c r="AAV20" s="417"/>
      <c r="AAW20" s="412"/>
      <c r="AAX20" s="402"/>
      <c r="AAY20" s="402"/>
      <c r="AAZ20" s="417"/>
      <c r="ABA20" s="412"/>
      <c r="ABB20" s="417"/>
      <c r="ABC20" s="412"/>
      <c r="ABD20" s="417"/>
      <c r="ABE20" s="412"/>
      <c r="ABF20" s="402"/>
      <c r="ABG20" s="402"/>
      <c r="ABH20" s="417"/>
      <c r="ABI20" s="412"/>
      <c r="ABJ20" s="417"/>
      <c r="ABK20" s="412"/>
      <c r="ABL20" s="417"/>
      <c r="ABM20" s="412"/>
      <c r="ABN20" s="417"/>
      <c r="ABO20" s="412"/>
      <c r="ABP20" s="402"/>
      <c r="ABQ20" s="402"/>
      <c r="ABR20" s="417"/>
      <c r="ABS20" s="412"/>
      <c r="ABT20" s="417"/>
      <c r="ABU20" s="412"/>
      <c r="ABV20" s="417"/>
      <c r="ABW20" s="412"/>
      <c r="ABX20" s="402"/>
      <c r="ABY20" s="402"/>
      <c r="ABZ20" s="417"/>
      <c r="ACA20" s="412"/>
      <c r="ACB20" s="417"/>
      <c r="ACC20" s="412"/>
      <c r="ACD20" s="417"/>
      <c r="ACE20" s="412"/>
      <c r="ACF20" s="417"/>
      <c r="ACG20" s="412"/>
      <c r="ACH20" s="417"/>
      <c r="ACI20" s="412"/>
      <c r="ACJ20" s="402"/>
      <c r="ACK20" s="402"/>
      <c r="ACL20" s="417"/>
      <c r="ACM20" s="412"/>
      <c r="ACN20" s="402"/>
      <c r="ACO20" s="402"/>
      <c r="ACP20" s="417"/>
      <c r="ACQ20" s="412"/>
      <c r="ACR20" s="417"/>
      <c r="ACS20" s="412"/>
      <c r="ACT20" s="514">
        <v>43770</v>
      </c>
      <c r="ACU20" s="485" t="str">
        <f t="shared" si="62"/>
        <v>Friday</v>
      </c>
      <c r="ACV20" s="417"/>
      <c r="ACW20" s="412"/>
      <c r="ACX20" s="402"/>
      <c r="ACY20" s="402"/>
      <c r="ACZ20" s="417"/>
      <c r="ADA20" s="412"/>
      <c r="ADB20" s="417"/>
      <c r="ADC20" s="412"/>
      <c r="ADD20" s="417"/>
      <c r="ADE20" s="412"/>
      <c r="ADF20" s="417"/>
      <c r="ADG20" s="412"/>
      <c r="ADH20" s="417"/>
      <c r="ADI20" s="412"/>
      <c r="ADJ20" s="417"/>
      <c r="ADK20" s="412"/>
      <c r="ADL20" s="402"/>
      <c r="ADM20" s="412"/>
      <c r="ADN20" s="402"/>
      <c r="ADO20" s="412"/>
      <c r="ADP20" s="417"/>
      <c r="ADQ20" s="412"/>
      <c r="ADR20" s="402"/>
      <c r="ADS20" s="412"/>
      <c r="ADT20" s="417"/>
      <c r="ADU20" s="412"/>
      <c r="ADV20" s="402"/>
      <c r="ADW20" s="402"/>
      <c r="ADX20" s="417"/>
      <c r="ADY20" s="412"/>
      <c r="ADZ20" s="417"/>
      <c r="AEA20" s="412"/>
      <c r="AEB20" s="417"/>
      <c r="AEC20" s="412"/>
      <c r="AED20" s="402"/>
      <c r="AEE20" s="402"/>
      <c r="AEF20" s="417"/>
      <c r="AEG20" s="412"/>
      <c r="AEH20" s="417"/>
      <c r="AEI20" s="402"/>
      <c r="AEJ20" s="417"/>
      <c r="AEK20" s="412"/>
      <c r="AEL20" s="417"/>
      <c r="AEM20" s="412"/>
      <c r="AEN20" s="417"/>
      <c r="AEO20" s="412"/>
      <c r="AEP20" s="417"/>
      <c r="AEQ20" s="412"/>
      <c r="AER20" s="402"/>
      <c r="AES20" s="402"/>
      <c r="AET20" s="417"/>
      <c r="AEU20" s="412"/>
      <c r="AEV20" s="402"/>
      <c r="AEW20" s="402"/>
      <c r="AEX20" s="417"/>
      <c r="AEY20" s="412"/>
      <c r="AEZ20" s="417"/>
      <c r="AFA20" s="412"/>
      <c r="AFB20" s="417"/>
      <c r="AFC20" s="412"/>
      <c r="AFD20" s="417"/>
      <c r="AFE20" s="412"/>
      <c r="AFF20" s="402"/>
      <c r="AFG20" s="402"/>
      <c r="AFH20" s="417"/>
      <c r="AFI20" s="412"/>
      <c r="AFJ20" s="402"/>
      <c r="AFK20" s="402"/>
      <c r="AFL20" s="417"/>
      <c r="AFM20" s="412"/>
      <c r="AFN20" s="417"/>
      <c r="AFO20" s="412"/>
      <c r="AFP20" s="417"/>
      <c r="AFQ20" s="412"/>
      <c r="AFR20" s="402"/>
      <c r="AFS20" s="402"/>
      <c r="AFT20" s="417"/>
      <c r="AFU20" s="412"/>
      <c r="AFV20" s="402"/>
      <c r="AFW20" s="402"/>
      <c r="AFX20" s="417"/>
      <c r="AFY20" s="402"/>
      <c r="AFZ20" s="417"/>
      <c r="AGA20" s="412"/>
      <c r="AGB20" s="417"/>
      <c r="AGC20" s="412"/>
      <c r="AGD20" s="402"/>
      <c r="AGE20" s="402"/>
      <c r="AGF20" s="417"/>
      <c r="AGG20" s="412"/>
      <c r="AGH20" s="417"/>
      <c r="AGI20" s="412"/>
      <c r="AGJ20" s="402"/>
      <c r="AGK20" s="402"/>
      <c r="AGL20" s="417"/>
      <c r="AGM20" s="412"/>
      <c r="AGN20" s="417"/>
      <c r="AGO20" s="412"/>
      <c r="AGP20" s="417"/>
      <c r="AGQ20" s="412"/>
      <c r="AGR20" s="417"/>
      <c r="AGS20" s="412"/>
      <c r="AGT20" s="417"/>
      <c r="AGU20" s="412"/>
      <c r="AGV20" s="402"/>
      <c r="AGW20" s="412"/>
      <c r="AGX20" s="417"/>
      <c r="AGY20" s="412"/>
      <c r="AGZ20" s="417"/>
      <c r="AHA20" s="412"/>
      <c r="AHB20" s="417"/>
      <c r="AHC20" s="412"/>
      <c r="AHD20" s="417"/>
      <c r="AHE20" s="412"/>
      <c r="AHF20" s="417"/>
      <c r="AHG20" s="412"/>
      <c r="AHH20" s="417"/>
      <c r="AHI20" s="402"/>
      <c r="AHJ20" s="417"/>
      <c r="AHK20" s="412"/>
      <c r="AHL20" s="402"/>
      <c r="AHM20" s="412"/>
      <c r="AHN20" s="417"/>
      <c r="AHO20" s="412"/>
      <c r="AHP20" s="417"/>
      <c r="AHQ20" s="412"/>
      <c r="AHR20" s="417"/>
      <c r="AHS20" s="402"/>
      <c r="AHT20" s="417"/>
      <c r="AHU20" s="402"/>
      <c r="AHV20" s="417"/>
      <c r="AHW20" s="412"/>
      <c r="AHX20" s="515">
        <v>43823</v>
      </c>
      <c r="AHY20" s="485" t="str">
        <f t="shared" si="63"/>
        <v>Tuesday</v>
      </c>
      <c r="AHZ20" s="417"/>
      <c r="AIA20" s="412"/>
    </row>
    <row r="21" spans="1:911" ht="15.75" customHeight="1" x14ac:dyDescent="0.2">
      <c r="A21" s="398"/>
      <c r="B21" s="396"/>
      <c r="C21" s="398"/>
      <c r="D21" s="396"/>
      <c r="E21" s="398"/>
      <c r="F21" s="396"/>
      <c r="G21" s="398"/>
      <c r="H21" s="396"/>
      <c r="I21" s="398"/>
      <c r="J21" s="396"/>
      <c r="K21" s="398"/>
      <c r="L21" s="396"/>
      <c r="M21" s="398"/>
      <c r="N21" s="396"/>
      <c r="O21" s="398"/>
      <c r="P21" s="396"/>
      <c r="Q21" s="398"/>
      <c r="R21" s="396"/>
      <c r="S21" s="398"/>
      <c r="T21" s="396"/>
      <c r="U21" s="398"/>
      <c r="V21" s="396"/>
      <c r="W21" s="398"/>
      <c r="X21" s="396"/>
      <c r="Y21" s="398"/>
      <c r="Z21" s="396"/>
      <c r="AA21" s="398"/>
      <c r="AB21" s="396"/>
      <c r="AC21" s="398"/>
      <c r="AD21" s="397"/>
      <c r="AE21" s="397"/>
      <c r="AF21" s="396"/>
      <c r="AG21" s="397"/>
      <c r="AH21" s="396"/>
      <c r="AI21" s="398"/>
      <c r="AJ21" s="397"/>
      <c r="AK21" s="397"/>
      <c r="AL21" s="396"/>
      <c r="AM21" s="398"/>
      <c r="AN21" s="396"/>
      <c r="AO21" s="398"/>
      <c r="AP21" s="396"/>
      <c r="AQ21" s="398"/>
      <c r="AR21" s="396"/>
      <c r="AS21" s="398"/>
      <c r="AT21" s="396"/>
      <c r="AU21" s="398"/>
      <c r="AV21" s="397"/>
      <c r="AW21" s="397"/>
      <c r="AX21" s="396"/>
      <c r="AY21" s="398"/>
      <c r="AZ21" s="396"/>
      <c r="BA21" s="398"/>
      <c r="BB21" s="397"/>
      <c r="BC21" s="397"/>
      <c r="BD21" s="396"/>
      <c r="BE21" s="398"/>
      <c r="BF21" s="396"/>
      <c r="BG21" s="398"/>
      <c r="BH21" s="396"/>
      <c r="BI21" s="398"/>
      <c r="BJ21" s="396"/>
      <c r="BK21" s="398"/>
      <c r="BL21" s="397"/>
      <c r="BM21" s="397"/>
      <c r="BN21" s="396"/>
      <c r="BO21" s="398"/>
      <c r="BP21" s="396"/>
      <c r="BQ21" s="398"/>
      <c r="BR21" s="396"/>
      <c r="BS21" s="398"/>
      <c r="BT21" s="397"/>
      <c r="BU21" s="397"/>
      <c r="BV21" s="396"/>
      <c r="BW21" s="398"/>
      <c r="BX21" s="397"/>
      <c r="BY21" s="397"/>
      <c r="BZ21" s="396"/>
      <c r="CA21" s="398"/>
      <c r="CB21" s="396"/>
      <c r="CC21" s="398"/>
      <c r="CD21" s="396"/>
      <c r="CE21" s="398"/>
      <c r="CF21" s="396"/>
      <c r="CG21" s="398"/>
      <c r="CH21" s="396"/>
      <c r="CI21" s="398"/>
      <c r="CJ21" s="396"/>
      <c r="CK21" s="398"/>
      <c r="CL21" s="397"/>
      <c r="CM21" s="397"/>
      <c r="CN21" s="396"/>
      <c r="CO21" s="398"/>
      <c r="CP21" s="396"/>
      <c r="CQ21" s="398"/>
      <c r="CR21" s="396"/>
      <c r="CS21" s="398"/>
      <c r="CT21" s="397"/>
      <c r="CU21" s="397"/>
      <c r="CV21" s="396"/>
      <c r="CW21" s="398"/>
      <c r="CX21" s="396"/>
      <c r="CY21" s="398"/>
      <c r="CZ21" s="397"/>
      <c r="DA21" s="397"/>
      <c r="DB21" s="396"/>
      <c r="DC21" s="398"/>
      <c r="DD21" s="396"/>
      <c r="DE21" s="398"/>
      <c r="DF21" s="397"/>
      <c r="DG21" s="397"/>
      <c r="DH21" s="396"/>
      <c r="DI21" s="398"/>
      <c r="DJ21" s="396"/>
      <c r="DK21" s="398"/>
      <c r="DL21" s="396"/>
      <c r="DM21" s="398"/>
      <c r="DN21" s="397"/>
      <c r="DO21" s="397"/>
      <c r="DP21" s="396"/>
      <c r="DQ21" s="398"/>
      <c r="DR21" s="396"/>
      <c r="DS21" s="398"/>
      <c r="DT21" s="397"/>
      <c r="DU21" s="397"/>
      <c r="DV21" s="396"/>
      <c r="DW21" s="398"/>
      <c r="DX21" s="396"/>
      <c r="DY21" s="398"/>
      <c r="DZ21" s="397"/>
      <c r="EA21" s="397"/>
      <c r="EB21" s="396"/>
      <c r="EC21" s="398"/>
      <c r="ED21" s="397"/>
      <c r="EE21" s="397"/>
      <c r="EF21" s="396"/>
      <c r="EG21" s="398"/>
      <c r="EH21" s="396"/>
      <c r="EI21" s="398"/>
      <c r="EJ21" s="396"/>
      <c r="EK21" s="398"/>
      <c r="EL21" s="397"/>
      <c r="EM21" s="397"/>
      <c r="EN21" s="396"/>
      <c r="EO21" s="398"/>
      <c r="EP21" s="396"/>
      <c r="EQ21" s="398"/>
      <c r="ER21" s="396"/>
      <c r="ES21" s="398"/>
      <c r="ET21" s="397"/>
      <c r="EU21" s="397"/>
      <c r="EV21" s="396"/>
      <c r="EW21" s="398"/>
      <c r="EX21" s="396"/>
      <c r="EY21" s="398"/>
      <c r="EZ21" s="396"/>
      <c r="FA21" s="398"/>
      <c r="FB21" s="397"/>
      <c r="FC21" s="397"/>
      <c r="FD21" s="396"/>
      <c r="FE21" s="398"/>
      <c r="FF21" s="397"/>
      <c r="FG21" s="398"/>
      <c r="FH21" s="397"/>
      <c r="FI21" s="397"/>
      <c r="FJ21" s="396"/>
      <c r="FK21" s="398"/>
      <c r="FL21" s="396"/>
      <c r="FM21" s="398"/>
      <c r="FN21" s="396"/>
      <c r="FO21" s="398"/>
      <c r="FP21" s="397"/>
      <c r="FQ21" s="397"/>
      <c r="FR21" s="396"/>
      <c r="FS21" s="398"/>
      <c r="FT21" s="396"/>
      <c r="FU21" s="398"/>
      <c r="FV21" s="396"/>
      <c r="FW21" s="398"/>
      <c r="FX21" s="397"/>
      <c r="FY21" s="397"/>
      <c r="FZ21" s="396"/>
      <c r="GA21" s="398"/>
      <c r="GB21" s="396"/>
      <c r="GC21" s="398"/>
      <c r="GD21" s="397"/>
      <c r="GE21" s="397"/>
      <c r="GF21" s="396"/>
      <c r="GG21" s="398"/>
      <c r="GH21" s="397"/>
      <c r="GI21" s="397"/>
      <c r="GJ21" s="396"/>
      <c r="GK21" s="398"/>
      <c r="GL21" s="396"/>
      <c r="GM21" s="398"/>
      <c r="GN21" s="397"/>
      <c r="GO21" s="397"/>
      <c r="GP21" s="396"/>
      <c r="GQ21" s="398"/>
      <c r="GR21" s="396"/>
      <c r="GS21" s="398"/>
      <c r="GT21" s="396"/>
      <c r="GU21" s="398"/>
      <c r="GV21" s="397"/>
      <c r="GW21" s="397"/>
      <c r="GX21" s="396"/>
      <c r="GY21" s="398"/>
      <c r="GZ21" s="396"/>
      <c r="HA21" s="398"/>
      <c r="HB21" s="396"/>
      <c r="HC21" s="398"/>
      <c r="HD21" s="396"/>
      <c r="HE21" s="398"/>
      <c r="HF21" s="396"/>
      <c r="HG21" s="398"/>
      <c r="HH21" s="397"/>
      <c r="HI21" s="397"/>
      <c r="HJ21" s="396"/>
      <c r="HK21" s="398"/>
      <c r="HL21" s="396"/>
      <c r="HM21" s="398"/>
      <c r="HN21" s="397"/>
      <c r="HO21" s="397"/>
      <c r="HP21" s="396"/>
      <c r="HQ21" s="398"/>
      <c r="HR21" s="396"/>
      <c r="HS21" s="398"/>
      <c r="HT21" s="396"/>
      <c r="HU21" s="398"/>
      <c r="HV21" s="396"/>
      <c r="HW21" s="398"/>
      <c r="HX21" s="397"/>
      <c r="HY21" s="397"/>
      <c r="HZ21" s="396"/>
      <c r="IA21" s="398"/>
      <c r="IB21" s="396"/>
      <c r="IC21" s="398"/>
      <c r="ID21" s="396"/>
      <c r="IE21" s="398"/>
      <c r="IF21" s="397"/>
      <c r="IG21" s="397"/>
      <c r="IH21" s="396"/>
      <c r="II21" s="398"/>
      <c r="IJ21" s="396"/>
      <c r="IK21" s="398"/>
      <c r="IL21" s="396"/>
      <c r="IM21" s="398"/>
      <c r="IN21" s="396"/>
      <c r="IO21" s="398"/>
      <c r="IP21" s="397"/>
      <c r="IQ21" s="397"/>
      <c r="IR21" s="396"/>
      <c r="IS21" s="398"/>
      <c r="IT21" s="396"/>
      <c r="IU21" s="398"/>
      <c r="IV21" s="396"/>
      <c r="IW21" s="398"/>
      <c r="IX21" s="396"/>
      <c r="IY21" s="398"/>
      <c r="IZ21" s="396"/>
      <c r="JA21" s="398"/>
      <c r="JB21" s="396"/>
      <c r="JC21" s="398"/>
      <c r="JD21" s="396"/>
      <c r="JE21" s="398"/>
      <c r="JF21" s="397"/>
      <c r="JG21" s="397"/>
      <c r="JH21" s="396"/>
      <c r="JI21" s="398"/>
      <c r="JJ21" s="396"/>
      <c r="JK21" s="398"/>
      <c r="JL21" s="396"/>
      <c r="JM21" s="398"/>
      <c r="JN21" s="396"/>
      <c r="JO21" s="398"/>
      <c r="JP21" s="397"/>
      <c r="JQ21" s="397"/>
      <c r="JR21" s="396"/>
      <c r="JS21" s="398"/>
      <c r="JT21" s="396"/>
      <c r="JU21" s="398"/>
      <c r="JV21" s="396"/>
      <c r="JW21" s="398"/>
      <c r="JX21" s="396"/>
      <c r="JY21" s="398"/>
      <c r="JZ21" s="396"/>
      <c r="KA21" s="398"/>
      <c r="KB21" s="396"/>
      <c r="KC21" s="398"/>
      <c r="KD21" s="397"/>
      <c r="KE21" s="397"/>
      <c r="KF21" s="396"/>
      <c r="KG21" s="398"/>
      <c r="KH21" s="397"/>
      <c r="KI21" s="397"/>
      <c r="KJ21" s="396"/>
      <c r="KK21" s="398"/>
      <c r="KL21" s="396"/>
      <c r="KM21" s="398"/>
      <c r="KN21" s="396"/>
      <c r="KO21" s="398"/>
      <c r="KP21" s="396"/>
      <c r="KQ21" s="398"/>
      <c r="KR21" s="396"/>
      <c r="KS21" s="398"/>
      <c r="KT21" s="396"/>
      <c r="KU21" s="398"/>
      <c r="KV21" s="396"/>
      <c r="KW21" s="398"/>
      <c r="KX21" s="396"/>
      <c r="KY21" s="398"/>
      <c r="KZ21" s="396"/>
      <c r="LA21" s="398"/>
      <c r="LB21" s="396"/>
      <c r="LC21" s="398"/>
      <c r="LD21" s="397"/>
      <c r="LE21" s="397"/>
      <c r="LF21" s="396"/>
      <c r="LG21" s="398"/>
      <c r="LH21" s="396"/>
      <c r="LI21" s="398"/>
      <c r="LJ21" s="397"/>
      <c r="LK21" s="397"/>
      <c r="LL21" s="396"/>
      <c r="LM21" s="398"/>
      <c r="LN21" s="397"/>
      <c r="LO21" s="397"/>
      <c r="LP21" s="396"/>
      <c r="LQ21" s="398"/>
      <c r="LR21" s="396"/>
      <c r="LS21" s="398"/>
      <c r="LT21" s="396"/>
      <c r="LU21" s="398"/>
      <c r="LV21" s="397"/>
      <c r="LW21" s="397"/>
      <c r="LX21" s="396"/>
      <c r="LY21" s="398"/>
      <c r="LZ21" s="397"/>
      <c r="MA21" s="397"/>
      <c r="MB21" s="396"/>
      <c r="MC21" s="398"/>
      <c r="MD21" s="396"/>
      <c r="ME21" s="398"/>
      <c r="MF21" s="396"/>
      <c r="MG21" s="398"/>
      <c r="MH21" s="396"/>
      <c r="MI21" s="398"/>
      <c r="MJ21" s="396"/>
      <c r="MK21" s="398"/>
      <c r="ML21" s="397"/>
      <c r="MM21" s="397"/>
      <c r="MN21" s="396"/>
      <c r="MO21" s="398"/>
      <c r="MP21" s="396"/>
      <c r="MQ21" s="398"/>
      <c r="MR21" s="396"/>
      <c r="MS21" s="398"/>
      <c r="MT21" s="396"/>
      <c r="MU21" s="398"/>
      <c r="MV21" s="397"/>
      <c r="MW21" s="397"/>
      <c r="MX21" s="396"/>
      <c r="MY21" s="398"/>
      <c r="MZ21" s="396"/>
      <c r="NA21" s="398"/>
      <c r="NB21" s="396"/>
      <c r="NC21" s="398"/>
      <c r="ND21" s="397"/>
      <c r="NE21" s="397"/>
      <c r="NF21" s="396"/>
      <c r="NG21" s="398"/>
      <c r="NH21" s="396"/>
      <c r="NI21" s="398"/>
      <c r="NJ21" s="396"/>
      <c r="NK21" s="398"/>
      <c r="NL21" s="397"/>
      <c r="NM21" s="397"/>
      <c r="NN21" s="396"/>
      <c r="NO21" s="398"/>
      <c r="NP21" s="396"/>
      <c r="NQ21" s="398"/>
      <c r="NR21" s="397"/>
      <c r="NS21" s="398"/>
      <c r="NT21" s="396"/>
      <c r="NU21" s="398"/>
      <c r="NV21" s="396"/>
      <c r="NW21" s="398"/>
      <c r="NX21" s="396"/>
      <c r="NY21" s="398"/>
      <c r="NZ21" s="396"/>
      <c r="OA21" s="397"/>
      <c r="OB21" s="396"/>
      <c r="OC21" s="398"/>
      <c r="OD21" s="396"/>
      <c r="OE21" s="398"/>
      <c r="OF21" s="397"/>
      <c r="OG21" s="397"/>
      <c r="OH21" s="396"/>
      <c r="OI21" s="398"/>
      <c r="OJ21" s="396"/>
      <c r="OK21" s="398"/>
      <c r="OL21" s="396"/>
      <c r="OM21" s="398"/>
      <c r="ON21" s="396"/>
      <c r="OO21" s="398"/>
      <c r="OP21" s="397"/>
      <c r="OQ21" s="397"/>
      <c r="OR21" s="396"/>
      <c r="OS21" s="398"/>
      <c r="OT21" s="396"/>
      <c r="OU21" s="398"/>
      <c r="OV21" s="397"/>
      <c r="OW21" s="397"/>
      <c r="OX21" s="396"/>
      <c r="OY21" s="398"/>
      <c r="OZ21" s="396"/>
      <c r="PA21" s="398"/>
      <c r="PB21" s="396"/>
      <c r="PC21" s="398"/>
      <c r="PD21" s="396"/>
      <c r="PE21" s="398"/>
      <c r="PF21" s="396"/>
      <c r="PG21" s="398"/>
      <c r="PH21" s="397"/>
      <c r="PI21" s="397"/>
      <c r="PJ21" s="396"/>
      <c r="PK21" s="398"/>
      <c r="PL21" s="397"/>
      <c r="PM21" s="397"/>
      <c r="PN21" s="396"/>
      <c r="PO21" s="398"/>
      <c r="PP21" s="396"/>
      <c r="PQ21" s="398"/>
      <c r="PR21" s="397"/>
      <c r="PS21" s="397"/>
      <c r="PT21" s="396"/>
      <c r="PU21" s="398"/>
      <c r="PV21" s="397"/>
      <c r="PW21" s="397"/>
      <c r="PX21" s="396"/>
      <c r="PY21" s="398"/>
      <c r="PZ21" s="396"/>
      <c r="QA21" s="398"/>
      <c r="QB21" s="396"/>
      <c r="QC21" s="398"/>
      <c r="QD21" s="396"/>
      <c r="QE21" s="398"/>
      <c r="QF21" s="396"/>
      <c r="QG21" s="398"/>
      <c r="QH21" s="397"/>
      <c r="QI21" s="397"/>
      <c r="QJ21" s="396"/>
      <c r="QK21" s="398"/>
      <c r="QL21" s="396"/>
      <c r="QM21" s="398"/>
      <c r="QN21" s="397"/>
      <c r="QO21" s="397"/>
      <c r="QP21" s="396"/>
      <c r="QQ21" s="398"/>
      <c r="QR21" s="396"/>
      <c r="QS21" s="398"/>
      <c r="QT21" s="396"/>
      <c r="QU21" s="398"/>
      <c r="QV21" s="397"/>
      <c r="QW21" s="398"/>
      <c r="QX21" s="397"/>
      <c r="QY21" s="398"/>
      <c r="QZ21" s="396"/>
      <c r="RA21" s="398"/>
      <c r="RB21" s="396"/>
      <c r="RC21" s="398"/>
      <c r="RD21" s="396"/>
      <c r="RE21" s="398"/>
      <c r="RF21" s="396"/>
      <c r="RG21" s="398"/>
      <c r="RH21" s="396"/>
      <c r="RI21" s="398"/>
      <c r="RJ21" s="396"/>
      <c r="RK21" s="398"/>
      <c r="RL21" s="397"/>
      <c r="RM21" s="397"/>
      <c r="RN21" s="396"/>
      <c r="RO21" s="398"/>
      <c r="RP21" s="397"/>
      <c r="RQ21" s="397"/>
      <c r="RR21" s="396"/>
      <c r="RS21" s="398"/>
      <c r="RT21" s="396"/>
      <c r="RU21" s="398"/>
      <c r="RV21" s="397"/>
      <c r="RW21" s="397"/>
      <c r="RX21" s="396"/>
      <c r="RY21" s="398"/>
      <c r="RZ21" s="396"/>
      <c r="SA21" s="397"/>
      <c r="SB21" s="396"/>
      <c r="SC21" s="398"/>
      <c r="SD21" s="396"/>
      <c r="SE21" s="398"/>
      <c r="SF21" s="396"/>
      <c r="SG21" s="398"/>
      <c r="SH21" s="396"/>
      <c r="SI21" s="398"/>
      <c r="SJ21" s="397"/>
      <c r="SK21" s="397"/>
      <c r="SL21" s="396"/>
      <c r="SM21" s="398"/>
      <c r="SN21" s="396"/>
      <c r="SO21" s="398"/>
      <c r="SP21" s="397"/>
      <c r="SQ21" s="397"/>
      <c r="SR21" s="396"/>
      <c r="SS21" s="398"/>
      <c r="ST21" s="397"/>
      <c r="SU21" s="397"/>
      <c r="SV21" s="396"/>
      <c r="SW21" s="398"/>
      <c r="SX21" s="396"/>
      <c r="SY21" s="398"/>
      <c r="SZ21" s="396"/>
      <c r="TA21" s="398"/>
      <c r="TB21" s="396"/>
      <c r="TC21" s="398"/>
      <c r="TD21" s="397"/>
      <c r="TE21" s="397"/>
      <c r="TF21" s="396"/>
      <c r="TG21" s="398"/>
      <c r="TH21" s="396"/>
      <c r="TI21" s="398"/>
      <c r="TJ21" s="397"/>
      <c r="TK21" s="397"/>
      <c r="TL21" s="396"/>
      <c r="TM21" s="398"/>
      <c r="TN21" s="396"/>
      <c r="TO21" s="398"/>
      <c r="TP21" s="396"/>
      <c r="TQ21" s="398"/>
      <c r="TR21" s="396"/>
      <c r="TS21" s="398"/>
      <c r="TT21" s="396"/>
      <c r="TU21" s="398"/>
      <c r="TV21" s="396"/>
      <c r="TW21" s="398"/>
      <c r="TX21" s="396"/>
      <c r="TY21" s="398"/>
      <c r="TZ21" s="397"/>
      <c r="UA21" s="397"/>
      <c r="UB21" s="396"/>
      <c r="UC21" s="398"/>
      <c r="UD21" s="396"/>
      <c r="UE21" s="398"/>
      <c r="UF21" s="396"/>
      <c r="UG21" s="398"/>
      <c r="UH21" s="397"/>
      <c r="UI21" s="397"/>
      <c r="UJ21" s="396"/>
      <c r="UK21" s="398"/>
      <c r="UL21" s="396"/>
      <c r="UM21" s="398"/>
      <c r="UN21" s="396"/>
      <c r="UO21" s="398"/>
      <c r="UP21" s="396"/>
      <c r="UQ21" s="398"/>
      <c r="UR21" s="397"/>
      <c r="US21" s="397"/>
      <c r="UT21" s="396"/>
      <c r="UU21" s="398"/>
      <c r="UV21" s="396"/>
      <c r="UW21" s="398"/>
      <c r="UX21" s="396"/>
      <c r="UY21" s="398"/>
      <c r="UZ21" s="397"/>
      <c r="VA21" s="397"/>
      <c r="VB21" s="396"/>
      <c r="VC21" s="398"/>
      <c r="VD21" s="396"/>
      <c r="VE21" s="398"/>
      <c r="VF21" s="396"/>
      <c r="VG21" s="398"/>
      <c r="VH21" s="397"/>
      <c r="VI21" s="397"/>
      <c r="VJ21" s="396"/>
      <c r="VK21" s="398"/>
      <c r="VL21" s="396"/>
      <c r="VM21" s="398"/>
      <c r="VN21" s="397"/>
      <c r="VO21" s="397"/>
      <c r="VP21" s="396"/>
      <c r="VQ21" s="398"/>
      <c r="VR21" s="396"/>
      <c r="VS21" s="398"/>
      <c r="VT21" s="396"/>
      <c r="VU21" s="398"/>
      <c r="VV21" s="396"/>
      <c r="VW21" s="398"/>
      <c r="VX21" s="396"/>
      <c r="VY21" s="398"/>
      <c r="VZ21" s="397"/>
      <c r="WA21" s="397"/>
      <c r="WB21" s="396"/>
      <c r="WC21" s="398"/>
      <c r="WD21" s="396"/>
      <c r="WE21" s="398"/>
      <c r="WF21" s="396"/>
      <c r="WG21" s="398"/>
      <c r="WH21" s="396"/>
      <c r="WI21" s="398"/>
      <c r="WJ21" s="396"/>
      <c r="WK21" s="398"/>
      <c r="WL21" s="397"/>
      <c r="WM21" s="397"/>
      <c r="WN21" s="396"/>
      <c r="WO21" s="398"/>
      <c r="WP21" s="397"/>
      <c r="WQ21" s="397"/>
      <c r="WR21" s="396"/>
      <c r="WS21" s="397"/>
      <c r="WT21" s="396"/>
      <c r="WU21" s="398"/>
      <c r="WV21" s="396"/>
      <c r="WW21" s="398"/>
      <c r="WX21" s="397"/>
      <c r="WY21" s="397"/>
      <c r="WZ21" s="396"/>
      <c r="XA21" s="398"/>
      <c r="XB21" s="396"/>
      <c r="XC21" s="398"/>
      <c r="XD21" s="396"/>
      <c r="XE21" s="398"/>
      <c r="XF21" s="396"/>
      <c r="XG21" s="398"/>
      <c r="XH21" s="397"/>
      <c r="XI21" s="397"/>
      <c r="XJ21" s="396"/>
      <c r="XK21" s="398"/>
      <c r="XL21" s="397"/>
      <c r="XM21" s="397"/>
      <c r="XN21" s="396"/>
      <c r="XO21" s="398"/>
      <c r="XP21" s="396"/>
      <c r="XQ21" s="398"/>
      <c r="XR21" s="397"/>
      <c r="XS21" s="397"/>
      <c r="XT21" s="396"/>
      <c r="XU21" s="398"/>
      <c r="XV21" s="396"/>
      <c r="XW21" s="398"/>
      <c r="XX21" s="396"/>
      <c r="XY21" s="398"/>
      <c r="XZ21" s="397"/>
      <c r="YA21" s="397"/>
      <c r="YB21" s="396"/>
      <c r="YC21" s="398"/>
      <c r="YD21" s="396"/>
      <c r="YE21" s="398"/>
      <c r="YF21" s="396"/>
      <c r="YG21" s="398"/>
      <c r="YH21" s="396"/>
      <c r="YI21" s="398"/>
      <c r="YJ21" s="397"/>
      <c r="YK21" s="397"/>
      <c r="YL21" s="396"/>
      <c r="YM21" s="398"/>
      <c r="YN21" s="396"/>
      <c r="YO21" s="398"/>
      <c r="YP21" s="396"/>
      <c r="YQ21" s="398"/>
      <c r="YR21" s="396"/>
      <c r="YS21" s="398"/>
      <c r="YT21" s="397"/>
      <c r="YU21" s="397"/>
      <c r="YV21" s="396"/>
      <c r="YW21" s="398"/>
      <c r="YX21" s="396"/>
      <c r="YY21" s="398"/>
      <c r="YZ21" s="397"/>
      <c r="ZA21" s="397"/>
      <c r="ZB21" s="396"/>
      <c r="ZC21" s="398"/>
      <c r="ZD21" s="397"/>
      <c r="ZE21" s="397"/>
      <c r="ZF21" s="396"/>
      <c r="ZG21" s="398"/>
      <c r="ZH21" s="396"/>
      <c r="ZI21" s="398"/>
      <c r="ZJ21" s="396"/>
      <c r="ZK21" s="398"/>
      <c r="ZL21" s="397"/>
      <c r="ZM21" s="397"/>
      <c r="ZN21" s="396"/>
      <c r="ZO21" s="398"/>
      <c r="ZP21" s="396"/>
      <c r="ZQ21" s="398"/>
      <c r="ZR21" s="397"/>
      <c r="ZS21" s="397"/>
      <c r="ZT21" s="396"/>
      <c r="ZU21" s="398"/>
      <c r="ZV21" s="396"/>
      <c r="ZW21" s="398"/>
      <c r="ZX21" s="397"/>
      <c r="ZY21" s="397"/>
      <c r="ZZ21" s="396"/>
      <c r="AAA21" s="398"/>
      <c r="AAB21" s="396"/>
      <c r="AAC21" s="398"/>
      <c r="AAD21" s="396"/>
      <c r="AAE21" s="398"/>
      <c r="AAF21" s="396"/>
      <c r="AAG21" s="398"/>
      <c r="AAH21" s="397"/>
      <c r="AAI21" s="397"/>
      <c r="AAJ21" s="396"/>
      <c r="AAK21" s="398"/>
      <c r="AAL21" s="396"/>
      <c r="AAM21" s="398"/>
      <c r="AAN21" s="396"/>
      <c r="AAO21" s="398"/>
      <c r="AAP21" s="396"/>
      <c r="AAQ21" s="398"/>
      <c r="AAR21" s="396"/>
      <c r="AAS21" s="398"/>
      <c r="AAT21" s="397"/>
      <c r="AAU21" s="397"/>
      <c r="AAV21" s="396"/>
      <c r="AAW21" s="398"/>
      <c r="AAX21" s="397"/>
      <c r="AAY21" s="397"/>
      <c r="AAZ21" s="396"/>
      <c r="ABA21" s="398"/>
      <c r="ABB21" s="396"/>
      <c r="ABC21" s="398"/>
      <c r="ABD21" s="396"/>
      <c r="ABE21" s="398"/>
      <c r="ABF21" s="397"/>
      <c r="ABG21" s="397"/>
      <c r="ABH21" s="396"/>
      <c r="ABI21" s="398"/>
      <c r="ABJ21" s="396"/>
      <c r="ABK21" s="398"/>
      <c r="ABL21" s="396"/>
      <c r="ABM21" s="398"/>
      <c r="ABN21" s="396"/>
      <c r="ABO21" s="398"/>
      <c r="ABP21" s="397"/>
      <c r="ABQ21" s="397"/>
      <c r="ABR21" s="396"/>
      <c r="ABS21" s="398"/>
      <c r="ABT21" s="396"/>
      <c r="ABU21" s="398"/>
      <c r="ABV21" s="396"/>
      <c r="ABW21" s="398"/>
      <c r="ABX21" s="397"/>
      <c r="ABY21" s="397"/>
      <c r="ABZ21" s="396"/>
      <c r="ACA21" s="398"/>
      <c r="ACB21" s="396"/>
      <c r="ACC21" s="398"/>
      <c r="ACD21" s="396"/>
      <c r="ACE21" s="398"/>
      <c r="ACF21" s="396"/>
      <c r="ACG21" s="398"/>
      <c r="ACH21" s="396"/>
      <c r="ACI21" s="398"/>
      <c r="ACJ21" s="397"/>
      <c r="ACK21" s="397"/>
      <c r="ACL21" s="396"/>
      <c r="ACM21" s="398"/>
      <c r="ACN21" s="397"/>
      <c r="ACO21" s="397"/>
      <c r="ACP21" s="396"/>
      <c r="ACQ21" s="398"/>
      <c r="ACR21" s="396"/>
      <c r="ACS21" s="398"/>
      <c r="ACT21" s="396"/>
      <c r="ACU21" s="398"/>
      <c r="ACV21" s="396"/>
      <c r="ACW21" s="398"/>
      <c r="ACX21" s="397"/>
      <c r="ACY21" s="397"/>
      <c r="ACZ21" s="396"/>
      <c r="ADA21" s="398"/>
      <c r="ADB21" s="396"/>
      <c r="ADC21" s="398"/>
      <c r="ADD21" s="396"/>
      <c r="ADE21" s="398"/>
      <c r="ADF21" s="396"/>
      <c r="ADG21" s="398"/>
      <c r="ADH21" s="396"/>
      <c r="ADI21" s="398"/>
      <c r="ADJ21" s="396"/>
      <c r="ADK21" s="398"/>
      <c r="ADL21" s="397"/>
      <c r="ADM21" s="398"/>
      <c r="ADN21" s="397"/>
      <c r="ADO21" s="398"/>
      <c r="ADP21" s="396"/>
      <c r="ADQ21" s="398"/>
      <c r="ADR21" s="397"/>
      <c r="ADS21" s="398"/>
      <c r="ADT21" s="396"/>
      <c r="ADU21" s="398"/>
      <c r="ADV21" s="397"/>
      <c r="ADW21" s="397"/>
      <c r="ADX21" s="396"/>
      <c r="ADY21" s="398"/>
      <c r="ADZ21" s="396"/>
      <c r="AEA21" s="398"/>
      <c r="AEB21" s="396"/>
      <c r="AEC21" s="398"/>
      <c r="AED21" s="397"/>
      <c r="AEE21" s="397"/>
      <c r="AEF21" s="396"/>
      <c r="AEG21" s="398"/>
      <c r="AEH21" s="396"/>
      <c r="AEI21" s="397"/>
      <c r="AEJ21" s="396"/>
      <c r="AEK21" s="398"/>
      <c r="AEL21" s="396"/>
      <c r="AEM21" s="398"/>
      <c r="AEN21" s="396"/>
      <c r="AEO21" s="398"/>
      <c r="AEP21" s="396"/>
      <c r="AEQ21" s="398"/>
      <c r="AER21" s="397"/>
      <c r="AES21" s="397"/>
      <c r="AET21" s="396"/>
      <c r="AEU21" s="398"/>
      <c r="AEV21" s="397"/>
      <c r="AEW21" s="397"/>
      <c r="AEX21" s="396"/>
      <c r="AEY21" s="398"/>
      <c r="AEZ21" s="396"/>
      <c r="AFA21" s="398"/>
      <c r="AFB21" s="396"/>
      <c r="AFC21" s="398"/>
      <c r="AFD21" s="396"/>
      <c r="AFE21" s="398"/>
      <c r="AFF21" s="397"/>
      <c r="AFG21" s="397"/>
      <c r="AFH21" s="396"/>
      <c r="AFI21" s="398"/>
      <c r="AFJ21" s="397"/>
      <c r="AFK21" s="397"/>
      <c r="AFL21" s="396"/>
      <c r="AFM21" s="398"/>
      <c r="AFN21" s="396"/>
      <c r="AFO21" s="398"/>
      <c r="AFP21" s="396"/>
      <c r="AFQ21" s="398"/>
      <c r="AFR21" s="397"/>
      <c r="AFS21" s="397"/>
      <c r="AFT21" s="396"/>
      <c r="AFU21" s="398"/>
      <c r="AFV21" s="397"/>
      <c r="AFW21" s="397"/>
      <c r="AFX21" s="396"/>
      <c r="AFY21" s="397"/>
      <c r="AFZ21" s="396"/>
      <c r="AGA21" s="398"/>
      <c r="AGB21" s="396"/>
      <c r="AGC21" s="398"/>
      <c r="AGD21" s="397"/>
      <c r="AGE21" s="397"/>
      <c r="AGF21" s="396"/>
      <c r="AGG21" s="398"/>
      <c r="AGH21" s="396"/>
      <c r="AGI21" s="398"/>
      <c r="AGJ21" s="397"/>
      <c r="AGK21" s="397"/>
      <c r="AGL21" s="396"/>
      <c r="AGM21" s="398"/>
      <c r="AGN21" s="396"/>
      <c r="AGO21" s="398"/>
      <c r="AGP21" s="396"/>
      <c r="AGQ21" s="398"/>
      <c r="AGR21" s="396"/>
      <c r="AGS21" s="398"/>
      <c r="AGT21" s="396"/>
      <c r="AGU21" s="398"/>
      <c r="AGV21" s="397"/>
      <c r="AGW21" s="398"/>
      <c r="AGX21" s="396"/>
      <c r="AGY21" s="398"/>
      <c r="AGZ21" s="396"/>
      <c r="AHA21" s="398"/>
      <c r="AHB21" s="396"/>
      <c r="AHC21" s="398"/>
      <c r="AHD21" s="396"/>
      <c r="AHE21" s="398"/>
      <c r="AHF21" s="396"/>
      <c r="AHG21" s="398"/>
      <c r="AHH21" s="396"/>
      <c r="AHI21" s="397"/>
      <c r="AHJ21" s="396"/>
      <c r="AHK21" s="398"/>
      <c r="AHL21" s="397"/>
      <c r="AHM21" s="398"/>
      <c r="AHN21" s="396"/>
      <c r="AHO21" s="398"/>
      <c r="AHP21" s="396"/>
      <c r="AHQ21" s="398"/>
      <c r="AHR21" s="396"/>
      <c r="AHS21" s="397"/>
      <c r="AHT21" s="396"/>
      <c r="AHU21" s="397"/>
      <c r="AHV21" s="396"/>
      <c r="AHW21" s="398"/>
      <c r="AHX21" s="396"/>
      <c r="AHY21" s="398"/>
      <c r="AHZ21" s="396"/>
      <c r="AIA21" s="398"/>
    </row>
    <row r="22" spans="1:911" ht="15.75" customHeight="1" x14ac:dyDescent="0.2">
      <c r="A22" s="473">
        <v>2020</v>
      </c>
      <c r="B22" s="476" t="s">
        <v>22</v>
      </c>
      <c r="C22" s="473" t="s">
        <v>22</v>
      </c>
      <c r="D22" s="476" t="s">
        <v>22</v>
      </c>
      <c r="E22" s="473" t="s">
        <v>22</v>
      </c>
      <c r="F22" s="476" t="s">
        <v>22</v>
      </c>
      <c r="G22" s="473" t="s">
        <v>22</v>
      </c>
      <c r="H22" s="476" t="s">
        <v>22</v>
      </c>
      <c r="I22" s="473" t="s">
        <v>22</v>
      </c>
      <c r="J22" s="476" t="s">
        <v>22</v>
      </c>
      <c r="K22" s="473" t="s">
        <v>22</v>
      </c>
      <c r="L22" s="476" t="s">
        <v>22</v>
      </c>
      <c r="M22" s="473" t="s">
        <v>22</v>
      </c>
      <c r="N22" s="476" t="s">
        <v>22</v>
      </c>
      <c r="O22" s="473" t="s">
        <v>22</v>
      </c>
      <c r="P22" s="476" t="s">
        <v>22</v>
      </c>
      <c r="Q22" s="473" t="s">
        <v>22</v>
      </c>
      <c r="R22" s="476" t="s">
        <v>22</v>
      </c>
      <c r="S22" s="473" t="s">
        <v>22</v>
      </c>
      <c r="T22" s="476" t="s">
        <v>22</v>
      </c>
      <c r="U22" s="473" t="s">
        <v>22</v>
      </c>
      <c r="V22" s="476" t="s">
        <v>22</v>
      </c>
      <c r="W22" s="473" t="s">
        <v>22</v>
      </c>
      <c r="X22" s="476" t="s">
        <v>22</v>
      </c>
      <c r="Y22" s="473" t="s">
        <v>22</v>
      </c>
      <c r="Z22" s="476" t="s">
        <v>22</v>
      </c>
      <c r="AA22" s="473" t="s">
        <v>22</v>
      </c>
      <c r="AB22" s="476" t="s">
        <v>22</v>
      </c>
      <c r="AC22" s="473" t="s">
        <v>22</v>
      </c>
      <c r="AD22" s="426" t="s">
        <v>22</v>
      </c>
      <c r="AE22" s="426" t="s">
        <v>22</v>
      </c>
      <c r="AF22" s="476" t="s">
        <v>22</v>
      </c>
      <c r="AG22" s="426" t="s">
        <v>22</v>
      </c>
      <c r="AH22" s="476" t="s">
        <v>22</v>
      </c>
      <c r="AI22" s="473" t="s">
        <v>22</v>
      </c>
      <c r="AJ22" s="426" t="s">
        <v>22</v>
      </c>
      <c r="AK22" s="426" t="s">
        <v>22</v>
      </c>
      <c r="AL22" s="476" t="s">
        <v>22</v>
      </c>
      <c r="AM22" s="473" t="s">
        <v>22</v>
      </c>
      <c r="AN22" s="476" t="s">
        <v>22</v>
      </c>
      <c r="AO22" s="473" t="s">
        <v>22</v>
      </c>
      <c r="AP22" s="476" t="s">
        <v>22</v>
      </c>
      <c r="AQ22" s="473" t="s">
        <v>22</v>
      </c>
      <c r="AR22" s="476" t="s">
        <v>22</v>
      </c>
      <c r="AS22" s="473" t="s">
        <v>22</v>
      </c>
      <c r="AT22" s="476" t="s">
        <v>22</v>
      </c>
      <c r="AU22" s="473" t="s">
        <v>22</v>
      </c>
      <c r="AV22" s="426" t="s">
        <v>22</v>
      </c>
      <c r="AW22" s="426" t="s">
        <v>22</v>
      </c>
      <c r="AX22" s="476" t="s">
        <v>22</v>
      </c>
      <c r="AY22" s="473" t="s">
        <v>22</v>
      </c>
      <c r="AZ22" s="476" t="s">
        <v>22</v>
      </c>
      <c r="BA22" s="473" t="s">
        <v>22</v>
      </c>
      <c r="BB22" s="426" t="s">
        <v>22</v>
      </c>
      <c r="BC22" s="426" t="s">
        <v>22</v>
      </c>
      <c r="BD22" s="476" t="s">
        <v>22</v>
      </c>
      <c r="BE22" s="473" t="s">
        <v>22</v>
      </c>
      <c r="BF22" s="476" t="s">
        <v>22</v>
      </c>
      <c r="BG22" s="473" t="s">
        <v>22</v>
      </c>
      <c r="BH22" s="476" t="s">
        <v>22</v>
      </c>
      <c r="BI22" s="473" t="s">
        <v>22</v>
      </c>
      <c r="BJ22" s="476" t="s">
        <v>22</v>
      </c>
      <c r="BK22" s="473" t="s">
        <v>22</v>
      </c>
      <c r="BL22" s="426" t="s">
        <v>22</v>
      </c>
      <c r="BM22" s="426" t="s">
        <v>22</v>
      </c>
      <c r="BN22" s="476" t="s">
        <v>22</v>
      </c>
      <c r="BO22" s="473" t="s">
        <v>22</v>
      </c>
      <c r="BP22" s="476" t="s">
        <v>22</v>
      </c>
      <c r="BQ22" s="473" t="s">
        <v>22</v>
      </c>
      <c r="BR22" s="476" t="s">
        <v>22</v>
      </c>
      <c r="BS22" s="473" t="s">
        <v>22</v>
      </c>
      <c r="BT22" s="474">
        <v>43853</v>
      </c>
      <c r="BU22" s="491" t="str">
        <f>CHOOSE(WEEKDAY(BT22,2),"Monday","Tuesday","Wednesday","Thursday","Friday","Saturday","Sunday")</f>
        <v>Thursday</v>
      </c>
      <c r="BV22" s="476" t="s">
        <v>22</v>
      </c>
      <c r="BW22" s="473" t="s">
        <v>22</v>
      </c>
      <c r="BX22" s="426" t="s">
        <v>22</v>
      </c>
      <c r="BY22" s="426" t="s">
        <v>22</v>
      </c>
      <c r="BZ22" s="476" t="s">
        <v>22</v>
      </c>
      <c r="CA22" s="473" t="s">
        <v>22</v>
      </c>
      <c r="CB22" s="476" t="s">
        <v>22</v>
      </c>
      <c r="CC22" s="473" t="s">
        <v>22</v>
      </c>
      <c r="CD22" s="476" t="s">
        <v>22</v>
      </c>
      <c r="CE22" s="473" t="s">
        <v>22</v>
      </c>
      <c r="CF22" s="476" t="s">
        <v>22</v>
      </c>
      <c r="CG22" s="473" t="s">
        <v>22</v>
      </c>
      <c r="CH22" s="476" t="s">
        <v>22</v>
      </c>
      <c r="CI22" s="473" t="s">
        <v>22</v>
      </c>
      <c r="CJ22" s="476" t="s">
        <v>22</v>
      </c>
      <c r="CK22" s="473" t="s">
        <v>22</v>
      </c>
      <c r="CL22" s="426" t="s">
        <v>22</v>
      </c>
      <c r="CM22" s="426" t="s">
        <v>22</v>
      </c>
      <c r="CN22" s="489">
        <v>43875</v>
      </c>
      <c r="CO22" s="482" t="str">
        <f>CHOOSE(WEEKDAY(CN22,2),"Monday","Tuesday","Wednesday","Thursday","Friday","Saturday","Sunday")</f>
        <v>Friday</v>
      </c>
      <c r="CP22" s="476" t="s">
        <v>22</v>
      </c>
      <c r="CQ22" s="473" t="s">
        <v>22</v>
      </c>
      <c r="CR22" s="476" t="s">
        <v>22</v>
      </c>
      <c r="CS22" s="473" t="s">
        <v>22</v>
      </c>
      <c r="CT22" s="426" t="s">
        <v>22</v>
      </c>
      <c r="CU22" s="426" t="s">
        <v>22</v>
      </c>
      <c r="CV22" s="476" t="s">
        <v>22</v>
      </c>
      <c r="CW22" s="473" t="s">
        <v>22</v>
      </c>
      <c r="CX22" s="476" t="s">
        <v>22</v>
      </c>
      <c r="CY22" s="473" t="s">
        <v>22</v>
      </c>
      <c r="CZ22" s="426" t="s">
        <v>22</v>
      </c>
      <c r="DA22" s="426" t="s">
        <v>22</v>
      </c>
      <c r="DB22" s="476" t="s">
        <v>22</v>
      </c>
      <c r="DC22" s="473" t="s">
        <v>22</v>
      </c>
      <c r="DD22" s="476" t="s">
        <v>22</v>
      </c>
      <c r="DE22" s="473" t="s">
        <v>22</v>
      </c>
      <c r="DF22" s="426" t="s">
        <v>22</v>
      </c>
      <c r="DG22" s="426" t="s">
        <v>22</v>
      </c>
      <c r="DH22" s="476" t="s">
        <v>22</v>
      </c>
      <c r="DI22" s="473" t="s">
        <v>22</v>
      </c>
      <c r="DJ22" s="476" t="s">
        <v>22</v>
      </c>
      <c r="DK22" s="473" t="s">
        <v>22</v>
      </c>
      <c r="DL22" s="476" t="s">
        <v>22</v>
      </c>
      <c r="DM22" s="473" t="s">
        <v>22</v>
      </c>
      <c r="DN22" s="426" t="s">
        <v>22</v>
      </c>
      <c r="DO22" s="426" t="s">
        <v>22</v>
      </c>
      <c r="DP22" s="476" t="s">
        <v>22</v>
      </c>
      <c r="DQ22" s="473" t="s">
        <v>22</v>
      </c>
      <c r="DR22" s="476" t="s">
        <v>22</v>
      </c>
      <c r="DS22" s="473" t="s">
        <v>22</v>
      </c>
      <c r="DT22" s="474">
        <v>43882</v>
      </c>
      <c r="DU22" s="479" t="str">
        <f>CHOOSE(WEEKDAY(DT22,2),"Monday","Tuesday","Wednesday","Thursday","Friday","Saturday","Sunday")</f>
        <v>Friday</v>
      </c>
      <c r="DV22" s="476" t="s">
        <v>22</v>
      </c>
      <c r="DW22" s="473" t="s">
        <v>22</v>
      </c>
      <c r="DX22" s="476" t="s">
        <v>22</v>
      </c>
      <c r="DY22" s="473" t="s">
        <v>22</v>
      </c>
      <c r="DZ22" s="426" t="s">
        <v>22</v>
      </c>
      <c r="EA22" s="426" t="s">
        <v>22</v>
      </c>
      <c r="EB22" s="476" t="s">
        <v>22</v>
      </c>
      <c r="EC22" s="473" t="s">
        <v>22</v>
      </c>
      <c r="ED22" s="426" t="s">
        <v>22</v>
      </c>
      <c r="EE22" s="426" t="s">
        <v>22</v>
      </c>
      <c r="EF22" s="476" t="s">
        <v>22</v>
      </c>
      <c r="EG22" s="473" t="s">
        <v>22</v>
      </c>
      <c r="EH22" s="476" t="s">
        <v>22</v>
      </c>
      <c r="EI22" s="473" t="s">
        <v>22</v>
      </c>
      <c r="EJ22" s="476" t="s">
        <v>22</v>
      </c>
      <c r="EK22" s="473" t="s">
        <v>22</v>
      </c>
      <c r="EL22" s="426" t="s">
        <v>22</v>
      </c>
      <c r="EM22" s="426" t="s">
        <v>22</v>
      </c>
      <c r="EN22" s="476" t="s">
        <v>22</v>
      </c>
      <c r="EO22" s="473" t="s">
        <v>22</v>
      </c>
      <c r="EP22" s="476" t="s">
        <v>22</v>
      </c>
      <c r="EQ22" s="473" t="s">
        <v>22</v>
      </c>
      <c r="ER22" s="476" t="s">
        <v>22</v>
      </c>
      <c r="ES22" s="473" t="s">
        <v>22</v>
      </c>
      <c r="ET22" s="426" t="s">
        <v>22</v>
      </c>
      <c r="EU22" s="426" t="s">
        <v>22</v>
      </c>
      <c r="EV22" s="476" t="s">
        <v>22</v>
      </c>
      <c r="EW22" s="473" t="s">
        <v>22</v>
      </c>
      <c r="EX22" s="476" t="s">
        <v>22</v>
      </c>
      <c r="EY22" s="473" t="s">
        <v>22</v>
      </c>
      <c r="EZ22" s="480">
        <v>43896</v>
      </c>
      <c r="FA22" s="482" t="str">
        <f>CHOOSE(WEEKDAY(EZ22,2),"Monday","Tuesday","Wednesday","Thursday","Friday","Saturday","Sunday")</f>
        <v>Friday</v>
      </c>
      <c r="FB22" s="426" t="s">
        <v>22</v>
      </c>
      <c r="FC22" s="426" t="s">
        <v>22</v>
      </c>
      <c r="FD22" s="476" t="s">
        <v>22</v>
      </c>
      <c r="FE22" s="473" t="s">
        <v>22</v>
      </c>
      <c r="FF22" s="426" t="s">
        <v>22</v>
      </c>
      <c r="FG22" s="473" t="s">
        <v>22</v>
      </c>
      <c r="FH22" s="426" t="s">
        <v>22</v>
      </c>
      <c r="FI22" s="426" t="s">
        <v>22</v>
      </c>
      <c r="FJ22" s="476" t="s">
        <v>22</v>
      </c>
      <c r="FK22" s="473" t="s">
        <v>22</v>
      </c>
      <c r="FL22" s="476" t="s">
        <v>22</v>
      </c>
      <c r="FM22" s="473" t="s">
        <v>22</v>
      </c>
      <c r="FN22" s="476" t="s">
        <v>22</v>
      </c>
      <c r="FO22" s="473" t="s">
        <v>22</v>
      </c>
      <c r="FP22" s="426" t="s">
        <v>22</v>
      </c>
      <c r="FQ22" s="426" t="s">
        <v>22</v>
      </c>
      <c r="FR22" s="476" t="s">
        <v>22</v>
      </c>
      <c r="FS22" s="473" t="s">
        <v>22</v>
      </c>
      <c r="FT22" s="476" t="s">
        <v>22</v>
      </c>
      <c r="FU22" s="473" t="s">
        <v>22</v>
      </c>
      <c r="FV22" s="476" t="s">
        <v>22</v>
      </c>
      <c r="FW22" s="473" t="s">
        <v>22</v>
      </c>
      <c r="FX22" s="426" t="s">
        <v>22</v>
      </c>
      <c r="FY22" s="426" t="s">
        <v>22</v>
      </c>
      <c r="FZ22" s="476" t="s">
        <v>22</v>
      </c>
      <c r="GA22" s="473" t="s">
        <v>22</v>
      </c>
      <c r="GB22" s="480">
        <v>43909</v>
      </c>
      <c r="GC22" s="484" t="str">
        <f>CHOOSE(WEEKDAY(GB22,2),"Monday","Tuesday","Wednesday","Thursday","Friday","Saturday","Sunday")</f>
        <v>Thursday</v>
      </c>
      <c r="GD22" s="426" t="s">
        <v>22</v>
      </c>
      <c r="GE22" s="426" t="s">
        <v>22</v>
      </c>
      <c r="GF22" s="476" t="s">
        <v>22</v>
      </c>
      <c r="GG22" s="473" t="s">
        <v>22</v>
      </c>
      <c r="GH22" s="474">
        <v>43909</v>
      </c>
      <c r="GI22" s="491" t="str">
        <f>CHOOSE(WEEKDAY(GH22,2),"Monday","Tuesday","Wednesday","Thursday","Friday","Saturday","Sunday")</f>
        <v>Thursday</v>
      </c>
      <c r="GJ22" s="476" t="s">
        <v>22</v>
      </c>
      <c r="GK22" s="473" t="s">
        <v>22</v>
      </c>
      <c r="GL22" s="476" t="s">
        <v>22</v>
      </c>
      <c r="GM22" s="473" t="s">
        <v>22</v>
      </c>
      <c r="GN22" s="426" t="s">
        <v>22</v>
      </c>
      <c r="GO22" s="426" t="s">
        <v>22</v>
      </c>
      <c r="GP22" s="476" t="s">
        <v>22</v>
      </c>
      <c r="GQ22" s="473" t="s">
        <v>22</v>
      </c>
      <c r="GR22" s="476" t="s">
        <v>22</v>
      </c>
      <c r="GS22" s="473" t="s">
        <v>22</v>
      </c>
      <c r="GT22" s="476" t="s">
        <v>22</v>
      </c>
      <c r="GU22" s="473" t="s">
        <v>22</v>
      </c>
      <c r="GV22" s="426" t="s">
        <v>22</v>
      </c>
      <c r="GW22" s="426" t="s">
        <v>22</v>
      </c>
      <c r="GX22" s="476" t="s">
        <v>22</v>
      </c>
      <c r="GY22" s="473" t="s">
        <v>22</v>
      </c>
      <c r="GZ22" s="476" t="s">
        <v>22</v>
      </c>
      <c r="HA22" s="473" t="s">
        <v>22</v>
      </c>
      <c r="HB22" s="476" t="s">
        <v>22</v>
      </c>
      <c r="HC22" s="473" t="s">
        <v>22</v>
      </c>
      <c r="HD22" s="476" t="s">
        <v>22</v>
      </c>
      <c r="HE22" s="473" t="s">
        <v>22</v>
      </c>
      <c r="HF22" s="476" t="s">
        <v>22</v>
      </c>
      <c r="HG22" s="473" t="s">
        <v>22</v>
      </c>
      <c r="HH22" s="426" t="s">
        <v>22</v>
      </c>
      <c r="HI22" s="426" t="s">
        <v>22</v>
      </c>
      <c r="HJ22" s="476" t="s">
        <v>22</v>
      </c>
      <c r="HK22" s="473" t="s">
        <v>22</v>
      </c>
      <c r="HL22" s="476" t="s">
        <v>22</v>
      </c>
      <c r="HM22" s="473" t="s">
        <v>22</v>
      </c>
      <c r="HN22" s="474">
        <v>43922</v>
      </c>
      <c r="HO22" s="488" t="str">
        <f>CHOOSE(WEEKDAY(HN22,2),"Monday","Tuesday","Wednesday","Thursday","Friday","Saturday","Sunday")</f>
        <v>Wednesday</v>
      </c>
      <c r="HP22" s="476" t="s">
        <v>22</v>
      </c>
      <c r="HQ22" s="473" t="s">
        <v>22</v>
      </c>
      <c r="HR22" s="476" t="s">
        <v>22</v>
      </c>
      <c r="HS22" s="473" t="s">
        <v>22</v>
      </c>
      <c r="HT22" s="476" t="s">
        <v>22</v>
      </c>
      <c r="HU22" s="473" t="s">
        <v>22</v>
      </c>
      <c r="HV22" s="476" t="s">
        <v>22</v>
      </c>
      <c r="HW22" s="473" t="s">
        <v>22</v>
      </c>
      <c r="HX22" s="426" t="s">
        <v>22</v>
      </c>
      <c r="HY22" s="426" t="s">
        <v>22</v>
      </c>
      <c r="HZ22" s="476" t="s">
        <v>22</v>
      </c>
      <c r="IA22" s="473" t="s">
        <v>22</v>
      </c>
      <c r="IB22" s="476" t="s">
        <v>22</v>
      </c>
      <c r="IC22" s="473" t="s">
        <v>22</v>
      </c>
      <c r="ID22" s="476" t="s">
        <v>22</v>
      </c>
      <c r="IE22" s="473" t="s">
        <v>22</v>
      </c>
      <c r="IF22" s="426" t="s">
        <v>22</v>
      </c>
      <c r="IG22" s="426" t="s">
        <v>22</v>
      </c>
      <c r="IH22" s="476" t="s">
        <v>22</v>
      </c>
      <c r="II22" s="473" t="s">
        <v>22</v>
      </c>
      <c r="IJ22" s="476" t="s">
        <v>22</v>
      </c>
      <c r="IK22" s="473" t="s">
        <v>22</v>
      </c>
      <c r="IL22" s="480">
        <v>43932</v>
      </c>
      <c r="IM22" s="492" t="str">
        <f>CHOOSE(WEEKDAY(IL22,2),"Monday","Tuesday","Wednesday","Thursday","Friday","Saturday","Sunday")</f>
        <v>Saturday</v>
      </c>
      <c r="IN22" s="476" t="s">
        <v>22</v>
      </c>
      <c r="IO22" s="473" t="s">
        <v>22</v>
      </c>
      <c r="IP22" s="426" t="s">
        <v>22</v>
      </c>
      <c r="IQ22" s="426" t="s">
        <v>22</v>
      </c>
      <c r="IR22" s="476" t="s">
        <v>22</v>
      </c>
      <c r="IS22" s="473" t="s">
        <v>22</v>
      </c>
      <c r="IT22" s="476" t="s">
        <v>22</v>
      </c>
      <c r="IU22" s="473" t="s">
        <v>22</v>
      </c>
      <c r="IV22" s="476" t="s">
        <v>22</v>
      </c>
      <c r="IW22" s="473" t="s">
        <v>22</v>
      </c>
      <c r="IX22" s="476" t="s">
        <v>22</v>
      </c>
      <c r="IY22" s="473" t="s">
        <v>22</v>
      </c>
      <c r="IZ22" s="476" t="s">
        <v>22</v>
      </c>
      <c r="JA22" s="473" t="s">
        <v>22</v>
      </c>
      <c r="JB22" s="476" t="s">
        <v>22</v>
      </c>
      <c r="JC22" s="473" t="s">
        <v>22</v>
      </c>
      <c r="JD22" s="476" t="s">
        <v>22</v>
      </c>
      <c r="JE22" s="473" t="s">
        <v>22</v>
      </c>
      <c r="JF22" s="426" t="s">
        <v>22</v>
      </c>
      <c r="JG22" s="426" t="s">
        <v>22</v>
      </c>
      <c r="JH22" s="476" t="s">
        <v>22</v>
      </c>
      <c r="JI22" s="473" t="s">
        <v>22</v>
      </c>
      <c r="JJ22" s="476" t="s">
        <v>22</v>
      </c>
      <c r="JK22" s="473" t="s">
        <v>22</v>
      </c>
      <c r="JL22" s="476" t="s">
        <v>22</v>
      </c>
      <c r="JM22" s="473" t="s">
        <v>22</v>
      </c>
      <c r="JN22" s="476" t="s">
        <v>22</v>
      </c>
      <c r="JO22" s="473" t="s">
        <v>22</v>
      </c>
      <c r="JP22" s="426" t="s">
        <v>22</v>
      </c>
      <c r="JQ22" s="426" t="s">
        <v>22</v>
      </c>
      <c r="JR22" s="476" t="s">
        <v>22</v>
      </c>
      <c r="JS22" s="473" t="s">
        <v>22</v>
      </c>
      <c r="JT22" s="476" t="s">
        <v>22</v>
      </c>
      <c r="JU22" s="473" t="s">
        <v>22</v>
      </c>
      <c r="JV22" s="476" t="s">
        <v>22</v>
      </c>
      <c r="JW22" s="473" t="s">
        <v>22</v>
      </c>
      <c r="JX22" s="476" t="s">
        <v>22</v>
      </c>
      <c r="JY22" s="473" t="s">
        <v>22</v>
      </c>
      <c r="JZ22" s="476" t="s">
        <v>22</v>
      </c>
      <c r="KA22" s="473" t="s">
        <v>22</v>
      </c>
      <c r="KB22" s="476" t="s">
        <v>22</v>
      </c>
      <c r="KC22" s="473" t="s">
        <v>22</v>
      </c>
      <c r="KD22" s="426" t="s">
        <v>22</v>
      </c>
      <c r="KE22" s="426" t="s">
        <v>22</v>
      </c>
      <c r="KF22" s="476" t="s">
        <v>22</v>
      </c>
      <c r="KG22" s="473" t="s">
        <v>22</v>
      </c>
      <c r="KH22" s="474">
        <v>43952</v>
      </c>
      <c r="KI22" s="479" t="str">
        <f>CHOOSE(WEEKDAY(KH22,2),"Monday","Tuesday","Wednesday","Thursday","Friday","Saturday","Sunday")</f>
        <v>Friday</v>
      </c>
      <c r="KJ22" s="476" t="s">
        <v>22</v>
      </c>
      <c r="KK22" s="473" t="s">
        <v>22</v>
      </c>
      <c r="KL22" s="476" t="s">
        <v>22</v>
      </c>
      <c r="KM22" s="473" t="s">
        <v>22</v>
      </c>
      <c r="KN22" s="476" t="s">
        <v>22</v>
      </c>
      <c r="KO22" s="473" t="s">
        <v>22</v>
      </c>
      <c r="KP22" s="476" t="s">
        <v>22</v>
      </c>
      <c r="KQ22" s="473" t="s">
        <v>22</v>
      </c>
      <c r="KR22" s="476" t="s">
        <v>22</v>
      </c>
      <c r="KS22" s="473" t="s">
        <v>22</v>
      </c>
      <c r="KT22" s="476" t="s">
        <v>22</v>
      </c>
      <c r="KU22" s="473" t="s">
        <v>22</v>
      </c>
      <c r="KV22" s="476" t="s">
        <v>22</v>
      </c>
      <c r="KW22" s="473" t="s">
        <v>22</v>
      </c>
      <c r="KX22" s="476" t="s">
        <v>22</v>
      </c>
      <c r="KY22" s="473" t="s">
        <v>22</v>
      </c>
      <c r="KZ22" s="476" t="s">
        <v>22</v>
      </c>
      <c r="LA22" s="473" t="s">
        <v>22</v>
      </c>
      <c r="LB22" s="476" t="s">
        <v>22</v>
      </c>
      <c r="LC22" s="473" t="s">
        <v>22</v>
      </c>
      <c r="LD22" s="426" t="s">
        <v>22</v>
      </c>
      <c r="LE22" s="426" t="s">
        <v>22</v>
      </c>
      <c r="LF22" s="476" t="s">
        <v>22</v>
      </c>
      <c r="LG22" s="473" t="s">
        <v>22</v>
      </c>
      <c r="LH22" s="476" t="s">
        <v>22</v>
      </c>
      <c r="LI22" s="473" t="s">
        <v>22</v>
      </c>
      <c r="LJ22" s="426" t="s">
        <v>22</v>
      </c>
      <c r="LK22" s="426" t="s">
        <v>22</v>
      </c>
      <c r="LL22" s="281">
        <v>43952</v>
      </c>
      <c r="LM22" s="278" t="str">
        <f t="shared" ref="LM22:LM35" si="64">CHOOSE(WEEKDAY(LL22,2),"Monday","Tuesday","Wednesday","Thursday","Friday","Saturday","Sunday")</f>
        <v>Friday</v>
      </c>
      <c r="LN22" s="426" t="s">
        <v>22</v>
      </c>
      <c r="LO22" s="426" t="s">
        <v>22</v>
      </c>
      <c r="LP22" s="476" t="s">
        <v>22</v>
      </c>
      <c r="LQ22" s="473" t="s">
        <v>22</v>
      </c>
      <c r="LR22" s="476" t="s">
        <v>22</v>
      </c>
      <c r="LS22" s="473" t="s">
        <v>22</v>
      </c>
      <c r="LT22" s="262">
        <v>43854</v>
      </c>
      <c r="LU22" s="277" t="str">
        <f t="shared" ref="LU22:LU23" si="65">CHOOSE(WEEKDAY(LT22,2),"Monday","Tuesday","Wednesday","Thursday","Friday","Saturday","Sunday")</f>
        <v>Friday</v>
      </c>
      <c r="LV22" s="426" t="s">
        <v>22</v>
      </c>
      <c r="LW22" s="426" t="s">
        <v>22</v>
      </c>
      <c r="LX22" s="476" t="s">
        <v>22</v>
      </c>
      <c r="LY22" s="473" t="s">
        <v>22</v>
      </c>
      <c r="LZ22" s="426" t="s">
        <v>22</v>
      </c>
      <c r="MA22" s="426" t="s">
        <v>22</v>
      </c>
      <c r="MB22" s="476" t="s">
        <v>22</v>
      </c>
      <c r="MC22" s="473" t="s">
        <v>22</v>
      </c>
      <c r="MD22" s="476" t="s">
        <v>22</v>
      </c>
      <c r="ME22" s="473" t="s">
        <v>22</v>
      </c>
      <c r="MF22" s="476" t="s">
        <v>22</v>
      </c>
      <c r="MG22" s="473" t="s">
        <v>22</v>
      </c>
      <c r="MH22" s="476" t="s">
        <v>22</v>
      </c>
      <c r="MI22" s="473" t="s">
        <v>22</v>
      </c>
      <c r="MJ22" s="476" t="s">
        <v>22</v>
      </c>
      <c r="MK22" s="473" t="s">
        <v>22</v>
      </c>
      <c r="ML22" s="426" t="s">
        <v>22</v>
      </c>
      <c r="MM22" s="426" t="s">
        <v>22</v>
      </c>
      <c r="MN22" s="476" t="s">
        <v>22</v>
      </c>
      <c r="MO22" s="473" t="s">
        <v>22</v>
      </c>
      <c r="MP22" s="476" t="s">
        <v>22</v>
      </c>
      <c r="MQ22" s="473" t="s">
        <v>22</v>
      </c>
      <c r="MR22" s="476" t="s">
        <v>22</v>
      </c>
      <c r="MS22" s="473" t="s">
        <v>22</v>
      </c>
      <c r="MT22" s="476" t="s">
        <v>22</v>
      </c>
      <c r="MU22" s="473" t="s">
        <v>22</v>
      </c>
      <c r="MV22" s="426" t="s">
        <v>22</v>
      </c>
      <c r="MW22" s="426" t="s">
        <v>22</v>
      </c>
      <c r="MX22" s="476" t="s">
        <v>22</v>
      </c>
      <c r="MY22" s="473" t="s">
        <v>22</v>
      </c>
      <c r="MZ22" s="476" t="s">
        <v>22</v>
      </c>
      <c r="NA22" s="473" t="s">
        <v>22</v>
      </c>
      <c r="NB22" s="476" t="s">
        <v>22</v>
      </c>
      <c r="NC22" s="473" t="s">
        <v>22</v>
      </c>
      <c r="ND22" s="426" t="s">
        <v>22</v>
      </c>
      <c r="NE22" s="426" t="s">
        <v>22</v>
      </c>
      <c r="NF22" s="476" t="s">
        <v>22</v>
      </c>
      <c r="NG22" s="473" t="s">
        <v>22</v>
      </c>
      <c r="NH22" s="476" t="s">
        <v>22</v>
      </c>
      <c r="NI22" s="473" t="s">
        <v>22</v>
      </c>
      <c r="NJ22" s="476" t="s">
        <v>22</v>
      </c>
      <c r="NK22" s="473" t="s">
        <v>22</v>
      </c>
      <c r="NL22" s="426" t="s">
        <v>22</v>
      </c>
      <c r="NM22" s="426" t="s">
        <v>22</v>
      </c>
      <c r="NN22" s="476" t="s">
        <v>22</v>
      </c>
      <c r="NO22" s="473" t="s">
        <v>22</v>
      </c>
      <c r="NP22" s="476" t="s">
        <v>22</v>
      </c>
      <c r="NQ22" s="473" t="s">
        <v>22</v>
      </c>
      <c r="NR22" s="426" t="s">
        <v>22</v>
      </c>
      <c r="NS22" s="473" t="s">
        <v>22</v>
      </c>
      <c r="NT22" s="476" t="s">
        <v>22</v>
      </c>
      <c r="NU22" s="473" t="s">
        <v>22</v>
      </c>
      <c r="NV22" s="476" t="s">
        <v>22</v>
      </c>
      <c r="NW22" s="473" t="s">
        <v>22</v>
      </c>
      <c r="NX22" s="476" t="s">
        <v>22</v>
      </c>
      <c r="NY22" s="473" t="s">
        <v>22</v>
      </c>
      <c r="NZ22" s="476" t="s">
        <v>22</v>
      </c>
      <c r="OA22" s="426" t="s">
        <v>22</v>
      </c>
      <c r="OB22" s="476" t="s">
        <v>22</v>
      </c>
      <c r="OC22" s="473" t="s">
        <v>22</v>
      </c>
      <c r="OD22" s="480">
        <v>43987</v>
      </c>
      <c r="OE22" s="482" t="str">
        <f>CHOOSE(WEEKDAY(OD22,2),"Monday","Tuesday","Wednesday","Thursday","Friday","Saturday","Sunday")</f>
        <v>Friday</v>
      </c>
      <c r="OF22" s="426" t="s">
        <v>22</v>
      </c>
      <c r="OG22" s="426" t="s">
        <v>22</v>
      </c>
      <c r="OH22" s="476" t="s">
        <v>22</v>
      </c>
      <c r="OI22" s="473" t="s">
        <v>22</v>
      </c>
      <c r="OJ22" s="476" t="s">
        <v>22</v>
      </c>
      <c r="OK22" s="473" t="s">
        <v>22</v>
      </c>
      <c r="OL22" s="476" t="s">
        <v>22</v>
      </c>
      <c r="OM22" s="473" t="s">
        <v>22</v>
      </c>
      <c r="ON22" s="476" t="s">
        <v>22</v>
      </c>
      <c r="OO22" s="473" t="s">
        <v>22</v>
      </c>
      <c r="OP22" s="474">
        <v>43994</v>
      </c>
      <c r="OQ22" s="479" t="str">
        <f>CHOOSE(WEEKDAY(OP22,2),"Monday","Tuesday","Wednesday","Thursday","Friday","Saturday","Sunday")</f>
        <v>Friday</v>
      </c>
      <c r="OR22" s="476" t="s">
        <v>22</v>
      </c>
      <c r="OS22" s="473" t="s">
        <v>22</v>
      </c>
      <c r="OT22" s="476" t="s">
        <v>22</v>
      </c>
      <c r="OU22" s="473" t="s">
        <v>22</v>
      </c>
      <c r="OV22" s="426" t="s">
        <v>22</v>
      </c>
      <c r="OW22" s="426" t="s">
        <v>22</v>
      </c>
      <c r="OX22" s="476" t="s">
        <v>22</v>
      </c>
      <c r="OY22" s="473" t="s">
        <v>22</v>
      </c>
      <c r="OZ22" s="476" t="s">
        <v>22</v>
      </c>
      <c r="PA22" s="473" t="s">
        <v>22</v>
      </c>
      <c r="PB22" s="476" t="s">
        <v>22</v>
      </c>
      <c r="PC22" s="473" t="s">
        <v>22</v>
      </c>
      <c r="PD22" s="476" t="s">
        <v>22</v>
      </c>
      <c r="PE22" s="473" t="s">
        <v>22</v>
      </c>
      <c r="PF22" s="476" t="s">
        <v>22</v>
      </c>
      <c r="PG22" s="473" t="s">
        <v>22</v>
      </c>
      <c r="PH22" s="474">
        <v>44001</v>
      </c>
      <c r="PI22" s="479" t="str">
        <f>CHOOSE(WEEKDAY(PH22,2),"Monday","Tuesday","Wednesday","Thursday","Friday","Saturday","Sunday")</f>
        <v>Friday</v>
      </c>
      <c r="PJ22" s="476" t="s">
        <v>22</v>
      </c>
      <c r="PK22" s="473" t="s">
        <v>22</v>
      </c>
      <c r="PL22" s="426" t="s">
        <v>22</v>
      </c>
      <c r="PM22" s="426" t="s">
        <v>22</v>
      </c>
      <c r="PN22" s="476" t="s">
        <v>22</v>
      </c>
      <c r="PO22" s="473" t="s">
        <v>22</v>
      </c>
      <c r="PP22" s="476" t="s">
        <v>22</v>
      </c>
      <c r="PQ22" s="473" t="s">
        <v>22</v>
      </c>
      <c r="PR22" s="426" t="s">
        <v>22</v>
      </c>
      <c r="PS22" s="426" t="s">
        <v>22</v>
      </c>
      <c r="PT22" s="476" t="s">
        <v>22</v>
      </c>
      <c r="PU22" s="473" t="s">
        <v>22</v>
      </c>
      <c r="PV22" s="426" t="s">
        <v>22</v>
      </c>
      <c r="PW22" s="426" t="s">
        <v>22</v>
      </c>
      <c r="PX22" s="476" t="s">
        <v>22</v>
      </c>
      <c r="PY22" s="473" t="s">
        <v>22</v>
      </c>
      <c r="PZ22" s="476" t="s">
        <v>22</v>
      </c>
      <c r="QA22" s="473" t="s">
        <v>22</v>
      </c>
      <c r="QB22" s="476" t="s">
        <v>22</v>
      </c>
      <c r="QC22" s="473" t="s">
        <v>22</v>
      </c>
      <c r="QD22" s="476" t="s">
        <v>22</v>
      </c>
      <c r="QE22" s="473" t="s">
        <v>22</v>
      </c>
      <c r="QF22" s="476" t="s">
        <v>22</v>
      </c>
      <c r="QG22" s="473" t="s">
        <v>22</v>
      </c>
      <c r="QH22" s="426" t="s">
        <v>22</v>
      </c>
      <c r="QI22" s="426" t="s">
        <v>22</v>
      </c>
      <c r="QJ22" s="476" t="s">
        <v>22</v>
      </c>
      <c r="QK22" s="473" t="s">
        <v>22</v>
      </c>
      <c r="QL22" s="476" t="s">
        <v>22</v>
      </c>
      <c r="QM22" s="473" t="s">
        <v>22</v>
      </c>
      <c r="QN22" s="426" t="s">
        <v>22</v>
      </c>
      <c r="QO22" s="426" t="s">
        <v>22</v>
      </c>
      <c r="QP22" s="476" t="s">
        <v>22</v>
      </c>
      <c r="QQ22" s="473" t="s">
        <v>22</v>
      </c>
      <c r="QR22" s="476" t="s">
        <v>22</v>
      </c>
      <c r="QS22" s="473" t="s">
        <v>22</v>
      </c>
      <c r="QT22" s="476" t="s">
        <v>22</v>
      </c>
      <c r="QU22" s="473" t="s">
        <v>22</v>
      </c>
      <c r="QV22" s="426" t="s">
        <v>22</v>
      </c>
      <c r="QW22" s="473" t="s">
        <v>22</v>
      </c>
      <c r="QX22" s="426" t="s">
        <v>22</v>
      </c>
      <c r="QY22" s="473" t="s">
        <v>22</v>
      </c>
      <c r="QZ22" s="476" t="s">
        <v>22</v>
      </c>
      <c r="RA22" s="473" t="s">
        <v>22</v>
      </c>
      <c r="RB22" s="476" t="s">
        <v>22</v>
      </c>
      <c r="RC22" s="473" t="s">
        <v>22</v>
      </c>
      <c r="RD22" s="476" t="s">
        <v>22</v>
      </c>
      <c r="RE22" s="473" t="s">
        <v>22</v>
      </c>
      <c r="RF22" s="476" t="s">
        <v>22</v>
      </c>
      <c r="RG22" s="473" t="s">
        <v>22</v>
      </c>
      <c r="RH22" s="476" t="s">
        <v>22</v>
      </c>
      <c r="RI22" s="473" t="s">
        <v>22</v>
      </c>
      <c r="RJ22" s="480">
        <v>44015</v>
      </c>
      <c r="RK22" s="482" t="str">
        <f>CHOOSE(WEEKDAY(RJ22,2),"Monday","Tuesday","Wednesday","Thursday","Friday","Saturday","Sunday")</f>
        <v>Friday</v>
      </c>
      <c r="RL22" s="426" t="s">
        <v>22</v>
      </c>
      <c r="RM22" s="426" t="s">
        <v>22</v>
      </c>
      <c r="RN22" s="489">
        <v>44193</v>
      </c>
      <c r="RO22" s="492" t="str">
        <f>CHOOSE(WEEKDAY(RN22,2),"Monday","Tuesday","Wednesday","Thursday","Friday","Saturday","Sunday")</f>
        <v>Monday</v>
      </c>
      <c r="RP22" s="426" t="s">
        <v>22</v>
      </c>
      <c r="RQ22" s="426" t="s">
        <v>22</v>
      </c>
      <c r="RR22" s="476" t="s">
        <v>22</v>
      </c>
      <c r="RS22" s="473" t="s">
        <v>22</v>
      </c>
      <c r="RT22" s="476" t="s">
        <v>22</v>
      </c>
      <c r="RU22" s="473" t="s">
        <v>22</v>
      </c>
      <c r="RV22" s="426" t="s">
        <v>22</v>
      </c>
      <c r="RW22" s="426" t="s">
        <v>22</v>
      </c>
      <c r="RX22" s="476" t="s">
        <v>22</v>
      </c>
      <c r="RY22" s="473" t="s">
        <v>22</v>
      </c>
      <c r="RZ22" s="476" t="s">
        <v>22</v>
      </c>
      <c r="SA22" s="426" t="s">
        <v>22</v>
      </c>
      <c r="SB22" s="476" t="s">
        <v>22</v>
      </c>
      <c r="SC22" s="473" t="s">
        <v>22</v>
      </c>
      <c r="SD22" s="476" t="s">
        <v>22</v>
      </c>
      <c r="SE22" s="473" t="s">
        <v>22</v>
      </c>
      <c r="SF22" s="476" t="s">
        <v>22</v>
      </c>
      <c r="SG22" s="473" t="s">
        <v>22</v>
      </c>
      <c r="SH22" s="476" t="s">
        <v>22</v>
      </c>
      <c r="SI22" s="473" t="s">
        <v>22</v>
      </c>
      <c r="SJ22" s="426" t="s">
        <v>22</v>
      </c>
      <c r="SK22" s="426" t="s">
        <v>22</v>
      </c>
      <c r="SL22" s="476" t="s">
        <v>22</v>
      </c>
      <c r="SM22" s="473" t="s">
        <v>22</v>
      </c>
      <c r="SN22" s="476" t="s">
        <v>22</v>
      </c>
      <c r="SO22" s="473" t="s">
        <v>22</v>
      </c>
      <c r="SP22" s="426" t="s">
        <v>22</v>
      </c>
      <c r="SQ22" s="426" t="s">
        <v>22</v>
      </c>
      <c r="SR22" s="480">
        <v>44026</v>
      </c>
      <c r="SS22" s="485" t="str">
        <f>CHOOSE(WEEKDAY(SR22,2),"Monday","Tuesday","Wednesday","Thursday","Friday","Saturday","Sunday")</f>
        <v>Tuesday</v>
      </c>
      <c r="ST22" s="426" t="s">
        <v>22</v>
      </c>
      <c r="SU22" s="426" t="s">
        <v>22</v>
      </c>
      <c r="SV22" s="476" t="s">
        <v>22</v>
      </c>
      <c r="SW22" s="473" t="s">
        <v>22</v>
      </c>
      <c r="SX22" s="476" t="s">
        <v>22</v>
      </c>
      <c r="SY22" s="473" t="s">
        <v>22</v>
      </c>
      <c r="SZ22" s="476" t="s">
        <v>22</v>
      </c>
      <c r="TA22" s="473" t="s">
        <v>22</v>
      </c>
      <c r="TB22" s="476" t="s">
        <v>22</v>
      </c>
      <c r="TC22" s="473" t="s">
        <v>22</v>
      </c>
      <c r="TD22" s="426" t="s">
        <v>22</v>
      </c>
      <c r="TE22" s="426" t="s">
        <v>22</v>
      </c>
      <c r="TF22" s="476" t="s">
        <v>22</v>
      </c>
      <c r="TG22" s="473" t="s">
        <v>22</v>
      </c>
      <c r="TH22" s="476" t="s">
        <v>22</v>
      </c>
      <c r="TI22" s="473" t="s">
        <v>22</v>
      </c>
      <c r="TJ22" s="474">
        <v>44036</v>
      </c>
      <c r="TK22" s="479" t="str">
        <f>CHOOSE(WEEKDAY(TJ22,2),"Monday","Tuesday","Wednesday","Thursday","Friday","Saturday","Sunday")</f>
        <v>Friday</v>
      </c>
      <c r="TL22" s="476" t="s">
        <v>22</v>
      </c>
      <c r="TM22" s="473" t="s">
        <v>22</v>
      </c>
      <c r="TN22" s="476" t="s">
        <v>22</v>
      </c>
      <c r="TO22" s="473" t="s">
        <v>22</v>
      </c>
      <c r="TP22" s="476" t="s">
        <v>22</v>
      </c>
      <c r="TQ22" s="473" t="s">
        <v>22</v>
      </c>
      <c r="TR22" s="476" t="s">
        <v>22</v>
      </c>
      <c r="TS22" s="473" t="s">
        <v>22</v>
      </c>
      <c r="TT22" s="476" t="s">
        <v>22</v>
      </c>
      <c r="TU22" s="473" t="s">
        <v>22</v>
      </c>
      <c r="TV22" s="480">
        <v>44044</v>
      </c>
      <c r="TW22" s="492" t="str">
        <f>CHOOSE(WEEKDAY(TV22,2),"Monday","Tuesday","Wednesday","Thursday","Friday","Saturday","Sunday")</f>
        <v>Saturday</v>
      </c>
      <c r="TX22" s="476" t="s">
        <v>22</v>
      </c>
      <c r="TY22" s="473" t="s">
        <v>22</v>
      </c>
      <c r="TZ22" s="426" t="s">
        <v>22</v>
      </c>
      <c r="UA22" s="426" t="s">
        <v>22</v>
      </c>
      <c r="UB22" s="476" t="s">
        <v>22</v>
      </c>
      <c r="UC22" s="473" t="s">
        <v>22</v>
      </c>
      <c r="UD22" s="476" t="s">
        <v>22</v>
      </c>
      <c r="UE22" s="473" t="s">
        <v>22</v>
      </c>
      <c r="UF22" s="476" t="s">
        <v>22</v>
      </c>
      <c r="UG22" s="473" t="s">
        <v>22</v>
      </c>
      <c r="UH22" s="426" t="s">
        <v>22</v>
      </c>
      <c r="UI22" s="426" t="s">
        <v>22</v>
      </c>
      <c r="UJ22" s="476" t="s">
        <v>22</v>
      </c>
      <c r="UK22" s="473" t="s">
        <v>22</v>
      </c>
      <c r="UL22" s="476" t="s">
        <v>22</v>
      </c>
      <c r="UM22" s="473" t="s">
        <v>22</v>
      </c>
      <c r="UN22" s="480">
        <v>44055</v>
      </c>
      <c r="UO22" s="481" t="str">
        <f>CHOOSE(WEEKDAY(UN22,2),"Monday","Tuesday","Wednesday","Thursday","Friday","Saturday","Sunday")</f>
        <v>Wednesday</v>
      </c>
      <c r="UP22" s="476" t="s">
        <v>22</v>
      </c>
      <c r="UQ22" s="473" t="s">
        <v>22</v>
      </c>
      <c r="UR22" s="426" t="s">
        <v>22</v>
      </c>
      <c r="US22" s="426" t="s">
        <v>22</v>
      </c>
      <c r="UT22" s="476" t="s">
        <v>22</v>
      </c>
      <c r="UU22" s="473" t="s">
        <v>22</v>
      </c>
      <c r="UV22" s="476" t="s">
        <v>22</v>
      </c>
      <c r="UW22" s="473" t="s">
        <v>22</v>
      </c>
      <c r="UX22" s="476" t="s">
        <v>22</v>
      </c>
      <c r="UY22" s="473" t="s">
        <v>22</v>
      </c>
      <c r="UZ22" s="426" t="s">
        <v>22</v>
      </c>
      <c r="VA22" s="426" t="s">
        <v>22</v>
      </c>
      <c r="VB22" s="476" t="s">
        <v>22</v>
      </c>
      <c r="VC22" s="473" t="s">
        <v>22</v>
      </c>
      <c r="VD22" s="476" t="s">
        <v>22</v>
      </c>
      <c r="VE22" s="473" t="s">
        <v>22</v>
      </c>
      <c r="VF22" s="476" t="s">
        <v>22</v>
      </c>
      <c r="VG22" s="473" t="s">
        <v>22</v>
      </c>
      <c r="VH22" s="426" t="s">
        <v>22</v>
      </c>
      <c r="VI22" s="426" t="s">
        <v>22</v>
      </c>
      <c r="VJ22" s="476" t="s">
        <v>22</v>
      </c>
      <c r="VK22" s="473" t="s">
        <v>22</v>
      </c>
      <c r="VL22" s="476" t="s">
        <v>22</v>
      </c>
      <c r="VM22" s="473" t="s">
        <v>22</v>
      </c>
      <c r="VN22" s="426" t="s">
        <v>22</v>
      </c>
      <c r="VO22" s="426" t="s">
        <v>22</v>
      </c>
      <c r="VP22" s="464">
        <v>44065</v>
      </c>
      <c r="VQ22" s="492" t="str">
        <f>CHOOSE(WEEKDAY(VP22,2),"Monday","Tuesday","Wednesday","Thursday","Friday","Saturday","Sunday")</f>
        <v>Saturday</v>
      </c>
      <c r="VR22" s="476" t="s">
        <v>22</v>
      </c>
      <c r="VS22" s="473" t="s">
        <v>22</v>
      </c>
      <c r="VT22" s="476" t="s">
        <v>22</v>
      </c>
      <c r="VU22" s="473" t="s">
        <v>22</v>
      </c>
      <c r="VV22" s="476" t="s">
        <v>22</v>
      </c>
      <c r="VW22" s="473" t="s">
        <v>22</v>
      </c>
      <c r="VX22" s="476" t="s">
        <v>22</v>
      </c>
      <c r="VY22" s="473" t="s">
        <v>22</v>
      </c>
      <c r="VZ22" s="426" t="s">
        <v>22</v>
      </c>
      <c r="WA22" s="426" t="s">
        <v>22</v>
      </c>
      <c r="WB22" s="476" t="s">
        <v>22</v>
      </c>
      <c r="WC22" s="473" t="s">
        <v>22</v>
      </c>
      <c r="WD22" s="476" t="s">
        <v>22</v>
      </c>
      <c r="WE22" s="473" t="s">
        <v>22</v>
      </c>
      <c r="WF22" s="476" t="s">
        <v>22</v>
      </c>
      <c r="WG22" s="473" t="s">
        <v>22</v>
      </c>
      <c r="WH22" s="476" t="s">
        <v>22</v>
      </c>
      <c r="WI22" s="473" t="s">
        <v>22</v>
      </c>
      <c r="WJ22" s="476" t="s">
        <v>22</v>
      </c>
      <c r="WK22" s="473" t="s">
        <v>22</v>
      </c>
      <c r="WL22" s="426" t="s">
        <v>22</v>
      </c>
      <c r="WM22" s="426" t="s">
        <v>22</v>
      </c>
      <c r="WN22" s="476" t="s">
        <v>22</v>
      </c>
      <c r="WO22" s="473" t="s">
        <v>22</v>
      </c>
      <c r="WP22" s="426" t="s">
        <v>22</v>
      </c>
      <c r="WQ22" s="426" t="s">
        <v>22</v>
      </c>
      <c r="WR22" s="476" t="s">
        <v>22</v>
      </c>
      <c r="WS22" s="426" t="s">
        <v>22</v>
      </c>
      <c r="WT22" s="476" t="s">
        <v>22</v>
      </c>
      <c r="WU22" s="473" t="s">
        <v>22</v>
      </c>
      <c r="WV22" s="476" t="s">
        <v>22</v>
      </c>
      <c r="WW22" s="473" t="s">
        <v>22</v>
      </c>
      <c r="WX22" s="474">
        <v>44085</v>
      </c>
      <c r="WY22" s="479" t="str">
        <f>CHOOSE(WEEKDAY(WX22,2),"Monday","Tuesday","Wednesday","Thursday","Friday","Saturday","Sunday")</f>
        <v>Friday</v>
      </c>
      <c r="WZ22" s="476" t="s">
        <v>22</v>
      </c>
      <c r="XA22" s="473" t="s">
        <v>22</v>
      </c>
      <c r="XB22" s="476" t="s">
        <v>22</v>
      </c>
      <c r="XC22" s="473" t="s">
        <v>22</v>
      </c>
      <c r="XD22" s="476" t="s">
        <v>22</v>
      </c>
      <c r="XE22" s="473" t="s">
        <v>22</v>
      </c>
      <c r="XF22" s="476" t="s">
        <v>22</v>
      </c>
      <c r="XG22" s="473" t="s">
        <v>22</v>
      </c>
      <c r="XH22" s="426" t="s">
        <v>22</v>
      </c>
      <c r="XI22" s="426" t="s">
        <v>22</v>
      </c>
      <c r="XJ22" s="476" t="s">
        <v>22</v>
      </c>
      <c r="XK22" s="473" t="s">
        <v>22</v>
      </c>
      <c r="XL22" s="426" t="s">
        <v>22</v>
      </c>
      <c r="XM22" s="426" t="s">
        <v>22</v>
      </c>
      <c r="XN22" s="476" t="s">
        <v>22</v>
      </c>
      <c r="XO22" s="473" t="s">
        <v>22</v>
      </c>
      <c r="XP22" s="476" t="s">
        <v>22</v>
      </c>
      <c r="XQ22" s="473" t="s">
        <v>22</v>
      </c>
      <c r="XR22" s="426" t="s">
        <v>22</v>
      </c>
      <c r="XS22" s="426" t="s">
        <v>22</v>
      </c>
      <c r="XT22" s="476" t="s">
        <v>22</v>
      </c>
      <c r="XU22" s="473" t="s">
        <v>22</v>
      </c>
      <c r="XV22" s="480">
        <v>44088</v>
      </c>
      <c r="XW22" s="467" t="str">
        <f>CHOOSE(WEEKDAY(XV22,2),"Monday","Tuesday","Wednesday","Thursday","Friday","Saturday","Sunday")</f>
        <v>Monday</v>
      </c>
      <c r="XX22" s="476" t="s">
        <v>22</v>
      </c>
      <c r="XY22" s="473" t="s">
        <v>22</v>
      </c>
      <c r="XZ22" s="426" t="s">
        <v>22</v>
      </c>
      <c r="YA22" s="426" t="s">
        <v>22</v>
      </c>
      <c r="YB22" s="476" t="s">
        <v>22</v>
      </c>
      <c r="YC22" s="473" t="s">
        <v>22</v>
      </c>
      <c r="YD22" s="476" t="s">
        <v>22</v>
      </c>
      <c r="YE22" s="473" t="s">
        <v>22</v>
      </c>
      <c r="YF22" s="476" t="s">
        <v>22</v>
      </c>
      <c r="YG22" s="473" t="s">
        <v>22</v>
      </c>
      <c r="YH22" s="476" t="s">
        <v>22</v>
      </c>
      <c r="YI22" s="473" t="s">
        <v>22</v>
      </c>
      <c r="YJ22" s="426" t="s">
        <v>22</v>
      </c>
      <c r="YK22" s="426" t="s">
        <v>22</v>
      </c>
      <c r="YL22" s="476" t="s">
        <v>22</v>
      </c>
      <c r="YM22" s="473" t="s">
        <v>22</v>
      </c>
      <c r="YN22" s="476" t="s">
        <v>22</v>
      </c>
      <c r="YO22" s="473" t="s">
        <v>22</v>
      </c>
      <c r="YP22" s="476" t="s">
        <v>22</v>
      </c>
      <c r="YQ22" s="473" t="s">
        <v>22</v>
      </c>
      <c r="YR22" s="476" t="s">
        <v>22</v>
      </c>
      <c r="YS22" s="473" t="s">
        <v>22</v>
      </c>
      <c r="YT22" s="426" t="s">
        <v>22</v>
      </c>
      <c r="YU22" s="426" t="s">
        <v>22</v>
      </c>
      <c r="YV22" s="476" t="s">
        <v>22</v>
      </c>
      <c r="YW22" s="473" t="s">
        <v>22</v>
      </c>
      <c r="YX22" s="476" t="s">
        <v>22</v>
      </c>
      <c r="YY22" s="473" t="s">
        <v>22</v>
      </c>
      <c r="YZ22" s="426" t="s">
        <v>22</v>
      </c>
      <c r="ZA22" s="426" t="s">
        <v>22</v>
      </c>
      <c r="ZB22" s="476" t="s">
        <v>22</v>
      </c>
      <c r="ZC22" s="473" t="s">
        <v>22</v>
      </c>
      <c r="ZD22" s="426" t="s">
        <v>22</v>
      </c>
      <c r="ZE22" s="426" t="s">
        <v>22</v>
      </c>
      <c r="ZF22" s="476" t="s">
        <v>22</v>
      </c>
      <c r="ZG22" s="473" t="s">
        <v>22</v>
      </c>
      <c r="ZH22" s="476" t="s">
        <v>22</v>
      </c>
      <c r="ZI22" s="473" t="s">
        <v>22</v>
      </c>
      <c r="ZJ22" s="476" t="s">
        <v>22</v>
      </c>
      <c r="ZK22" s="473" t="s">
        <v>22</v>
      </c>
      <c r="ZL22" s="426" t="s">
        <v>22</v>
      </c>
      <c r="ZM22" s="426" t="s">
        <v>22</v>
      </c>
      <c r="ZN22" s="476" t="s">
        <v>22</v>
      </c>
      <c r="ZO22" s="473" t="s">
        <v>22</v>
      </c>
      <c r="ZP22" s="476" t="s">
        <v>22</v>
      </c>
      <c r="ZQ22" s="473" t="s">
        <v>22</v>
      </c>
      <c r="ZR22" s="474">
        <v>44106</v>
      </c>
      <c r="ZS22" s="479" t="str">
        <f>CHOOSE(WEEKDAY(ZR22,2),"Monday","Tuesday","Wednesday","Thursday","Friday","Saturday","Sunday")</f>
        <v>Friday</v>
      </c>
      <c r="ZT22" s="476" t="s">
        <v>22</v>
      </c>
      <c r="ZU22" s="473" t="s">
        <v>22</v>
      </c>
      <c r="ZV22" s="476" t="s">
        <v>22</v>
      </c>
      <c r="ZW22" s="473" t="s">
        <v>22</v>
      </c>
      <c r="ZX22" s="426" t="s">
        <v>22</v>
      </c>
      <c r="ZY22" s="426" t="s">
        <v>22</v>
      </c>
      <c r="ZZ22" s="476" t="s">
        <v>22</v>
      </c>
      <c r="AAA22" s="473" t="s">
        <v>22</v>
      </c>
      <c r="AAB22" s="476" t="s">
        <v>22</v>
      </c>
      <c r="AAC22" s="473" t="s">
        <v>22</v>
      </c>
      <c r="AAD22" s="476" t="s">
        <v>22</v>
      </c>
      <c r="AAE22" s="473" t="s">
        <v>22</v>
      </c>
      <c r="AAF22" s="476" t="s">
        <v>22</v>
      </c>
      <c r="AAG22" s="473" t="s">
        <v>22</v>
      </c>
      <c r="AAH22" s="426" t="s">
        <v>22</v>
      </c>
      <c r="AAI22" s="426" t="s">
        <v>22</v>
      </c>
      <c r="AAJ22" s="476" t="s">
        <v>22</v>
      </c>
      <c r="AAK22" s="473" t="s">
        <v>22</v>
      </c>
      <c r="AAL22" s="476" t="s">
        <v>22</v>
      </c>
      <c r="AAM22" s="473" t="s">
        <v>22</v>
      </c>
      <c r="AAN22" s="480">
        <v>44117</v>
      </c>
      <c r="AAO22" s="485" t="str">
        <f>CHOOSE(WEEKDAY(AAN22,2),"Monday","Tuesday","Wednesday","Thursday","Friday","Saturday","Sunday")</f>
        <v>Tuesday</v>
      </c>
      <c r="AAP22" s="476" t="s">
        <v>22</v>
      </c>
      <c r="AAQ22" s="473" t="s">
        <v>22</v>
      </c>
      <c r="AAR22" s="476" t="s">
        <v>22</v>
      </c>
      <c r="AAS22" s="473" t="s">
        <v>22</v>
      </c>
      <c r="AAT22" s="426" t="s">
        <v>22</v>
      </c>
      <c r="AAU22" s="426" t="s">
        <v>22</v>
      </c>
      <c r="AAV22" s="476" t="s">
        <v>22</v>
      </c>
      <c r="AAW22" s="473" t="s">
        <v>22</v>
      </c>
      <c r="AAX22" s="426" t="s">
        <v>22</v>
      </c>
      <c r="AAY22" s="426" t="s">
        <v>22</v>
      </c>
      <c r="AAZ22" s="476" t="s">
        <v>22</v>
      </c>
      <c r="ABA22" s="473" t="s">
        <v>22</v>
      </c>
      <c r="ABB22" s="476" t="s">
        <v>22</v>
      </c>
      <c r="ABC22" s="473" t="s">
        <v>22</v>
      </c>
      <c r="ABD22" s="476" t="s">
        <v>22</v>
      </c>
      <c r="ABE22" s="473" t="s">
        <v>22</v>
      </c>
      <c r="ABF22" s="426" t="s">
        <v>22</v>
      </c>
      <c r="ABG22" s="426" t="s">
        <v>22</v>
      </c>
      <c r="ABH22" s="476" t="s">
        <v>22</v>
      </c>
      <c r="ABI22" s="473" t="s">
        <v>22</v>
      </c>
      <c r="ABJ22" s="476" t="s">
        <v>22</v>
      </c>
      <c r="ABK22" s="473" t="s">
        <v>22</v>
      </c>
      <c r="ABL22" s="476" t="s">
        <v>22</v>
      </c>
      <c r="ABM22" s="473" t="s">
        <v>22</v>
      </c>
      <c r="ABN22" s="476" t="s">
        <v>22</v>
      </c>
      <c r="ABO22" s="473" t="s">
        <v>22</v>
      </c>
      <c r="ABP22" s="426" t="s">
        <v>22</v>
      </c>
      <c r="ABQ22" s="426" t="s">
        <v>22</v>
      </c>
      <c r="ABR22" s="476" t="s">
        <v>22</v>
      </c>
      <c r="ABS22" s="473" t="s">
        <v>22</v>
      </c>
      <c r="ABT22" s="476" t="s">
        <v>22</v>
      </c>
      <c r="ABU22" s="473" t="s">
        <v>22</v>
      </c>
      <c r="ABV22" s="476" t="s">
        <v>22</v>
      </c>
      <c r="ABW22" s="473" t="s">
        <v>22</v>
      </c>
      <c r="ABX22" s="426" t="s">
        <v>22</v>
      </c>
      <c r="ABY22" s="426" t="s">
        <v>22</v>
      </c>
      <c r="ABZ22" s="476" t="s">
        <v>22</v>
      </c>
      <c r="ACA22" s="473" t="s">
        <v>22</v>
      </c>
      <c r="ACB22" s="476" t="s">
        <v>22</v>
      </c>
      <c r="ACC22" s="473" t="s">
        <v>22</v>
      </c>
      <c r="ACD22" s="476" t="s">
        <v>22</v>
      </c>
      <c r="ACE22" s="473" t="s">
        <v>22</v>
      </c>
      <c r="ACF22" s="476" t="s">
        <v>22</v>
      </c>
      <c r="ACG22" s="473" t="s">
        <v>22</v>
      </c>
      <c r="ACH22" s="476" t="s">
        <v>22</v>
      </c>
      <c r="ACI22" s="473" t="s">
        <v>22</v>
      </c>
      <c r="ACJ22" s="426" t="s">
        <v>22</v>
      </c>
      <c r="ACK22" s="426" t="s">
        <v>22</v>
      </c>
      <c r="ACL22" s="476" t="s">
        <v>22</v>
      </c>
      <c r="ACM22" s="473" t="s">
        <v>22</v>
      </c>
      <c r="ACN22" s="474">
        <v>44135</v>
      </c>
      <c r="ACO22" s="475" t="str">
        <f>CHOOSE(WEEKDAY(ACN22,2),"Monday","Tuesday","Wednesday","Thursday","Friday","Saturday","Sunday")</f>
        <v>Saturday</v>
      </c>
      <c r="ACP22" s="476" t="s">
        <v>22</v>
      </c>
      <c r="ACQ22" s="473" t="s">
        <v>22</v>
      </c>
      <c r="ACR22" s="476" t="s">
        <v>22</v>
      </c>
      <c r="ACS22" s="473" t="s">
        <v>22</v>
      </c>
      <c r="ACT22" s="262">
        <v>44130</v>
      </c>
      <c r="ACU22" s="275" t="str">
        <f t="shared" ref="ACU22:ACU25" si="66">CHOOSE(WEEKDAY(ACT22,2),"Monday","Tuesday","Wednesday","Thursday","Friday","Saturday","Sunday")</f>
        <v>Monday</v>
      </c>
      <c r="ACV22" s="476" t="s">
        <v>22</v>
      </c>
      <c r="ACW22" s="473" t="s">
        <v>22</v>
      </c>
      <c r="ACX22" s="426" t="s">
        <v>22</v>
      </c>
      <c r="ACY22" s="426" t="s">
        <v>22</v>
      </c>
      <c r="ACZ22" s="476" t="s">
        <v>22</v>
      </c>
      <c r="ADA22" s="473" t="s">
        <v>22</v>
      </c>
      <c r="ADB22" s="476" t="s">
        <v>22</v>
      </c>
      <c r="ADC22" s="473" t="s">
        <v>22</v>
      </c>
      <c r="ADD22" s="476" t="s">
        <v>22</v>
      </c>
      <c r="ADE22" s="473" t="s">
        <v>22</v>
      </c>
      <c r="ADF22" s="476" t="s">
        <v>22</v>
      </c>
      <c r="ADG22" s="473" t="s">
        <v>22</v>
      </c>
      <c r="ADH22" s="476" t="s">
        <v>22</v>
      </c>
      <c r="ADI22" s="473" t="s">
        <v>22</v>
      </c>
      <c r="ADJ22" s="476" t="s">
        <v>22</v>
      </c>
      <c r="ADK22" s="473" t="s">
        <v>22</v>
      </c>
      <c r="ADL22" s="474">
        <v>44146</v>
      </c>
      <c r="ADM22" s="481" t="str">
        <f>CHOOSE(WEEKDAY(ADL22,2),"Monday","Tuesday","Wednesday","Thursday","Friday","Saturday","Sunday")</f>
        <v>Wednesday</v>
      </c>
      <c r="ADN22" s="426" t="s">
        <v>22</v>
      </c>
      <c r="ADO22" s="473" t="s">
        <v>22</v>
      </c>
      <c r="ADP22" s="476" t="s">
        <v>22</v>
      </c>
      <c r="ADQ22" s="473" t="s">
        <v>22</v>
      </c>
      <c r="ADR22" s="426" t="s">
        <v>22</v>
      </c>
      <c r="ADS22" s="473" t="s">
        <v>22</v>
      </c>
      <c r="ADT22" s="476" t="s">
        <v>22</v>
      </c>
      <c r="ADU22" s="473" t="s">
        <v>22</v>
      </c>
      <c r="ADV22" s="426" t="s">
        <v>22</v>
      </c>
      <c r="ADW22" s="426" t="s">
        <v>22</v>
      </c>
      <c r="ADX22" s="476" t="s">
        <v>22</v>
      </c>
      <c r="ADY22" s="473" t="s">
        <v>22</v>
      </c>
      <c r="ADZ22" s="476" t="s">
        <v>22</v>
      </c>
      <c r="AEA22" s="473" t="s">
        <v>22</v>
      </c>
      <c r="AEB22" s="476" t="s">
        <v>22</v>
      </c>
      <c r="AEC22" s="473" t="s">
        <v>22</v>
      </c>
      <c r="AED22" s="426" t="s">
        <v>22</v>
      </c>
      <c r="AEE22" s="426" t="s">
        <v>22</v>
      </c>
      <c r="AEF22" s="476" t="s">
        <v>22</v>
      </c>
      <c r="AEG22" s="473" t="s">
        <v>22</v>
      </c>
      <c r="AEH22" s="480">
        <v>44160</v>
      </c>
      <c r="AEI22" s="488" t="str">
        <f>CHOOSE(WEEKDAY(AEH22,2),"Monday","Tuesday","Wednesday","Thursday","Friday","Saturday","Sunday")</f>
        <v>Wednesday</v>
      </c>
      <c r="AEJ22" s="476" t="s">
        <v>22</v>
      </c>
      <c r="AEK22" s="473" t="s">
        <v>22</v>
      </c>
      <c r="AEL22" s="476" t="s">
        <v>22</v>
      </c>
      <c r="AEM22" s="473" t="s">
        <v>22</v>
      </c>
      <c r="AEN22" s="476" t="s">
        <v>22</v>
      </c>
      <c r="AEO22" s="473" t="s">
        <v>22</v>
      </c>
      <c r="AEP22" s="476" t="s">
        <v>22</v>
      </c>
      <c r="AEQ22" s="473" t="s">
        <v>22</v>
      </c>
      <c r="AER22" s="426" t="s">
        <v>22</v>
      </c>
      <c r="AES22" s="426" t="s">
        <v>22</v>
      </c>
      <c r="AET22" s="476" t="s">
        <v>22</v>
      </c>
      <c r="AEU22" s="473" t="s">
        <v>22</v>
      </c>
      <c r="AEV22" s="426" t="s">
        <v>22</v>
      </c>
      <c r="AEW22" s="426" t="s">
        <v>22</v>
      </c>
      <c r="AEX22" s="476" t="s">
        <v>22</v>
      </c>
      <c r="AEY22" s="473" t="s">
        <v>22</v>
      </c>
      <c r="AEZ22" s="476" t="s">
        <v>22</v>
      </c>
      <c r="AFA22" s="473" t="s">
        <v>22</v>
      </c>
      <c r="AFB22" s="476" t="s">
        <v>22</v>
      </c>
      <c r="AFC22" s="473" t="s">
        <v>22</v>
      </c>
      <c r="AFD22" s="476" t="s">
        <v>22</v>
      </c>
      <c r="AFE22" s="473" t="s">
        <v>22</v>
      </c>
      <c r="AFF22" s="426" t="s">
        <v>22</v>
      </c>
      <c r="AFG22" s="426" t="s">
        <v>22</v>
      </c>
      <c r="AFH22" s="476" t="s">
        <v>22</v>
      </c>
      <c r="AFI22" s="473" t="s">
        <v>22</v>
      </c>
      <c r="AFJ22" s="426" t="s">
        <v>22</v>
      </c>
      <c r="AFK22" s="426" t="s">
        <v>22</v>
      </c>
      <c r="AFL22" s="476" t="s">
        <v>22</v>
      </c>
      <c r="AFM22" s="473" t="s">
        <v>22</v>
      </c>
      <c r="AFN22" s="476" t="s">
        <v>22</v>
      </c>
      <c r="AFO22" s="473" t="s">
        <v>22</v>
      </c>
      <c r="AFP22" s="476" t="s">
        <v>22</v>
      </c>
      <c r="AFQ22" s="473" t="s">
        <v>22</v>
      </c>
      <c r="AFR22" s="426" t="s">
        <v>22</v>
      </c>
      <c r="AFS22" s="426" t="s">
        <v>22</v>
      </c>
      <c r="AFT22" s="476" t="s">
        <v>22</v>
      </c>
      <c r="AFU22" s="473" t="s">
        <v>22</v>
      </c>
      <c r="AFV22" s="426" t="s">
        <v>22</v>
      </c>
      <c r="AFW22" s="426" t="s">
        <v>22</v>
      </c>
      <c r="AFX22" s="476" t="s">
        <v>22</v>
      </c>
      <c r="AFY22" s="426" t="s">
        <v>22</v>
      </c>
      <c r="AFZ22" s="476" t="s">
        <v>22</v>
      </c>
      <c r="AGA22" s="473" t="s">
        <v>22</v>
      </c>
      <c r="AGB22" s="476" t="s">
        <v>22</v>
      </c>
      <c r="AGC22" s="473" t="s">
        <v>22</v>
      </c>
      <c r="AGD22" s="426" t="s">
        <v>22</v>
      </c>
      <c r="AGE22" s="426" t="s">
        <v>22</v>
      </c>
      <c r="AGF22" s="476" t="s">
        <v>22</v>
      </c>
      <c r="AGG22" s="473" t="s">
        <v>22</v>
      </c>
      <c r="AGH22" s="476" t="s">
        <v>22</v>
      </c>
      <c r="AGI22" s="473" t="s">
        <v>22</v>
      </c>
      <c r="AGJ22" s="426" t="s">
        <v>22</v>
      </c>
      <c r="AGK22" s="426" t="s">
        <v>22</v>
      </c>
      <c r="AGL22" s="476" t="s">
        <v>22</v>
      </c>
      <c r="AGM22" s="473" t="s">
        <v>22</v>
      </c>
      <c r="AGN22" s="476" t="s">
        <v>22</v>
      </c>
      <c r="AGO22" s="473" t="s">
        <v>22</v>
      </c>
      <c r="AGP22" s="476" t="s">
        <v>22</v>
      </c>
      <c r="AGQ22" s="473" t="s">
        <v>22</v>
      </c>
      <c r="AGR22" s="476" t="s">
        <v>22</v>
      </c>
      <c r="AGS22" s="473" t="s">
        <v>22</v>
      </c>
      <c r="AGT22" s="480">
        <v>44164</v>
      </c>
      <c r="AGU22" s="473" t="str">
        <f>CHOOSE(WEEKDAY(AGT22,2),"Monday","Tuesday","Wednesday","Thursday","Friday","Saturday","Sunday")</f>
        <v>Sunday</v>
      </c>
      <c r="AGV22" s="426" t="s">
        <v>22</v>
      </c>
      <c r="AGW22" s="473" t="s">
        <v>22</v>
      </c>
      <c r="AGX22" s="476" t="s">
        <v>22</v>
      </c>
      <c r="AGY22" s="473" t="s">
        <v>22</v>
      </c>
      <c r="AGZ22" s="476" t="s">
        <v>22</v>
      </c>
      <c r="AHA22" s="473" t="s">
        <v>22</v>
      </c>
      <c r="AHB22" s="476" t="s">
        <v>22</v>
      </c>
      <c r="AHC22" s="473" t="s">
        <v>22</v>
      </c>
      <c r="AHD22" s="476" t="s">
        <v>22</v>
      </c>
      <c r="AHE22" s="473" t="s">
        <v>22</v>
      </c>
      <c r="AHF22" s="476" t="s">
        <v>22</v>
      </c>
      <c r="AHG22" s="473" t="s">
        <v>22</v>
      </c>
      <c r="AHH22" s="489">
        <v>44189</v>
      </c>
      <c r="AHI22" s="491" t="str">
        <f>CHOOSE(WEEKDAY(AHH22,2),"Monday","Tuesday","Wednesday","Thursday","Friday","Saturday","Sunday")</f>
        <v>Thursday</v>
      </c>
      <c r="AHJ22" s="476" t="s">
        <v>22</v>
      </c>
      <c r="AHK22" s="473" t="s">
        <v>22</v>
      </c>
      <c r="AHL22" s="426" t="s">
        <v>22</v>
      </c>
      <c r="AHM22" s="473" t="s">
        <v>22</v>
      </c>
      <c r="AHN22" s="476" t="s">
        <v>22</v>
      </c>
      <c r="AHO22" s="473" t="s">
        <v>22</v>
      </c>
      <c r="AHP22" s="476" t="s">
        <v>22</v>
      </c>
      <c r="AHQ22" s="473" t="s">
        <v>22</v>
      </c>
      <c r="AHR22" s="476" t="s">
        <v>22</v>
      </c>
      <c r="AHS22" s="426" t="s">
        <v>22</v>
      </c>
      <c r="AHT22" s="476" t="s">
        <v>22</v>
      </c>
      <c r="AHU22" s="426" t="s">
        <v>22</v>
      </c>
      <c r="AHV22" s="476" t="s">
        <v>22</v>
      </c>
      <c r="AHW22" s="473" t="s">
        <v>22</v>
      </c>
      <c r="AHX22" s="281">
        <v>44188</v>
      </c>
      <c r="AHY22" s="279" t="str">
        <f t="shared" ref="AHY22:AHY25" si="67">CHOOSE(WEEKDAY(AHX22,2),"Monday","Tuesday","Wednesday","Thursday","Friday","Saturday","Sunday")</f>
        <v>Wednesday</v>
      </c>
      <c r="AHZ22" s="476" t="s">
        <v>22</v>
      </c>
      <c r="AIA22" s="473" t="s">
        <v>22</v>
      </c>
    </row>
    <row r="23" spans="1:911" ht="15.75" customHeight="1" x14ac:dyDescent="0.2">
      <c r="A23" s="412"/>
      <c r="B23" s="417"/>
      <c r="C23" s="412"/>
      <c r="D23" s="417"/>
      <c r="E23" s="412"/>
      <c r="F23" s="417"/>
      <c r="G23" s="412"/>
      <c r="H23" s="417"/>
      <c r="I23" s="412"/>
      <c r="J23" s="417"/>
      <c r="K23" s="412"/>
      <c r="L23" s="417"/>
      <c r="M23" s="412"/>
      <c r="N23" s="417"/>
      <c r="O23" s="412"/>
      <c r="P23" s="417"/>
      <c r="Q23" s="412"/>
      <c r="R23" s="417"/>
      <c r="S23" s="412"/>
      <c r="T23" s="417"/>
      <c r="U23" s="412"/>
      <c r="V23" s="417"/>
      <c r="W23" s="412"/>
      <c r="X23" s="417"/>
      <c r="Y23" s="412"/>
      <c r="Z23" s="417"/>
      <c r="AA23" s="412"/>
      <c r="AB23" s="417"/>
      <c r="AC23" s="412"/>
      <c r="AD23" s="402"/>
      <c r="AE23" s="402"/>
      <c r="AF23" s="417"/>
      <c r="AG23" s="402"/>
      <c r="AH23" s="417"/>
      <c r="AI23" s="412"/>
      <c r="AJ23" s="402"/>
      <c r="AK23" s="402"/>
      <c r="AL23" s="417"/>
      <c r="AM23" s="412"/>
      <c r="AN23" s="417"/>
      <c r="AO23" s="412"/>
      <c r="AP23" s="417"/>
      <c r="AQ23" s="412"/>
      <c r="AR23" s="417"/>
      <c r="AS23" s="412"/>
      <c r="AT23" s="417"/>
      <c r="AU23" s="412"/>
      <c r="AV23" s="402"/>
      <c r="AW23" s="402"/>
      <c r="AX23" s="417"/>
      <c r="AY23" s="412"/>
      <c r="AZ23" s="417"/>
      <c r="BA23" s="412"/>
      <c r="BB23" s="402"/>
      <c r="BC23" s="402"/>
      <c r="BD23" s="417"/>
      <c r="BE23" s="412"/>
      <c r="BF23" s="417"/>
      <c r="BG23" s="412"/>
      <c r="BH23" s="417"/>
      <c r="BI23" s="412"/>
      <c r="BJ23" s="417"/>
      <c r="BK23" s="412"/>
      <c r="BL23" s="402"/>
      <c r="BM23" s="402"/>
      <c r="BN23" s="417"/>
      <c r="BO23" s="412"/>
      <c r="BP23" s="417"/>
      <c r="BQ23" s="412"/>
      <c r="BR23" s="417"/>
      <c r="BS23" s="412"/>
      <c r="BT23" s="402"/>
      <c r="BU23" s="402"/>
      <c r="BV23" s="417"/>
      <c r="BW23" s="412"/>
      <c r="BX23" s="402"/>
      <c r="BY23" s="402"/>
      <c r="BZ23" s="417"/>
      <c r="CA23" s="412"/>
      <c r="CB23" s="417"/>
      <c r="CC23" s="412"/>
      <c r="CD23" s="417"/>
      <c r="CE23" s="412"/>
      <c r="CF23" s="417"/>
      <c r="CG23" s="412"/>
      <c r="CH23" s="417"/>
      <c r="CI23" s="412"/>
      <c r="CJ23" s="417"/>
      <c r="CK23" s="412"/>
      <c r="CL23" s="402"/>
      <c r="CM23" s="402"/>
      <c r="CN23" s="417"/>
      <c r="CO23" s="412"/>
      <c r="CP23" s="417"/>
      <c r="CQ23" s="412"/>
      <c r="CR23" s="417"/>
      <c r="CS23" s="412"/>
      <c r="CT23" s="402"/>
      <c r="CU23" s="402"/>
      <c r="CV23" s="417"/>
      <c r="CW23" s="412"/>
      <c r="CX23" s="417"/>
      <c r="CY23" s="412"/>
      <c r="CZ23" s="402"/>
      <c r="DA23" s="402"/>
      <c r="DB23" s="417"/>
      <c r="DC23" s="412"/>
      <c r="DD23" s="417"/>
      <c r="DE23" s="412"/>
      <c r="DF23" s="402"/>
      <c r="DG23" s="402"/>
      <c r="DH23" s="417"/>
      <c r="DI23" s="412"/>
      <c r="DJ23" s="417"/>
      <c r="DK23" s="412"/>
      <c r="DL23" s="417"/>
      <c r="DM23" s="412"/>
      <c r="DN23" s="402"/>
      <c r="DO23" s="402"/>
      <c r="DP23" s="417"/>
      <c r="DQ23" s="412"/>
      <c r="DR23" s="417"/>
      <c r="DS23" s="412"/>
      <c r="DT23" s="402"/>
      <c r="DU23" s="402"/>
      <c r="DV23" s="417"/>
      <c r="DW23" s="412"/>
      <c r="DX23" s="417"/>
      <c r="DY23" s="412"/>
      <c r="DZ23" s="402"/>
      <c r="EA23" s="402"/>
      <c r="EB23" s="417"/>
      <c r="EC23" s="412"/>
      <c r="ED23" s="402"/>
      <c r="EE23" s="402"/>
      <c r="EF23" s="417"/>
      <c r="EG23" s="412"/>
      <c r="EH23" s="417"/>
      <c r="EI23" s="412"/>
      <c r="EJ23" s="417"/>
      <c r="EK23" s="412"/>
      <c r="EL23" s="402"/>
      <c r="EM23" s="402"/>
      <c r="EN23" s="417"/>
      <c r="EO23" s="412"/>
      <c r="EP23" s="417"/>
      <c r="EQ23" s="412"/>
      <c r="ER23" s="417"/>
      <c r="ES23" s="412"/>
      <c r="ET23" s="402"/>
      <c r="EU23" s="402"/>
      <c r="EV23" s="417"/>
      <c r="EW23" s="412"/>
      <c r="EX23" s="417"/>
      <c r="EY23" s="412"/>
      <c r="EZ23" s="417"/>
      <c r="FA23" s="412"/>
      <c r="FB23" s="402"/>
      <c r="FC23" s="402"/>
      <c r="FD23" s="417"/>
      <c r="FE23" s="412"/>
      <c r="FF23" s="402"/>
      <c r="FG23" s="412"/>
      <c r="FH23" s="402"/>
      <c r="FI23" s="402"/>
      <c r="FJ23" s="417"/>
      <c r="FK23" s="412"/>
      <c r="FL23" s="417"/>
      <c r="FM23" s="412"/>
      <c r="FN23" s="417"/>
      <c r="FO23" s="412"/>
      <c r="FP23" s="402"/>
      <c r="FQ23" s="402"/>
      <c r="FR23" s="417"/>
      <c r="FS23" s="412"/>
      <c r="FT23" s="417"/>
      <c r="FU23" s="412"/>
      <c r="FV23" s="417"/>
      <c r="FW23" s="412"/>
      <c r="FX23" s="402"/>
      <c r="FY23" s="402"/>
      <c r="FZ23" s="417"/>
      <c r="GA23" s="412"/>
      <c r="GB23" s="417"/>
      <c r="GC23" s="412"/>
      <c r="GD23" s="402"/>
      <c r="GE23" s="402"/>
      <c r="GF23" s="417"/>
      <c r="GG23" s="412"/>
      <c r="GH23" s="402"/>
      <c r="GI23" s="402"/>
      <c r="GJ23" s="417"/>
      <c r="GK23" s="412"/>
      <c r="GL23" s="417"/>
      <c r="GM23" s="412"/>
      <c r="GN23" s="402"/>
      <c r="GO23" s="402"/>
      <c r="GP23" s="417"/>
      <c r="GQ23" s="412"/>
      <c r="GR23" s="417"/>
      <c r="GS23" s="412"/>
      <c r="GT23" s="417"/>
      <c r="GU23" s="412"/>
      <c r="GV23" s="402"/>
      <c r="GW23" s="402"/>
      <c r="GX23" s="417"/>
      <c r="GY23" s="412"/>
      <c r="GZ23" s="417"/>
      <c r="HA23" s="412"/>
      <c r="HB23" s="417"/>
      <c r="HC23" s="412"/>
      <c r="HD23" s="417"/>
      <c r="HE23" s="412"/>
      <c r="HF23" s="417"/>
      <c r="HG23" s="412"/>
      <c r="HH23" s="402"/>
      <c r="HI23" s="402"/>
      <c r="HJ23" s="417"/>
      <c r="HK23" s="412"/>
      <c r="HL23" s="417"/>
      <c r="HM23" s="412"/>
      <c r="HN23" s="402"/>
      <c r="HO23" s="402"/>
      <c r="HP23" s="417"/>
      <c r="HQ23" s="412"/>
      <c r="HR23" s="417"/>
      <c r="HS23" s="412"/>
      <c r="HT23" s="417"/>
      <c r="HU23" s="412"/>
      <c r="HV23" s="417"/>
      <c r="HW23" s="412"/>
      <c r="HX23" s="402"/>
      <c r="HY23" s="402"/>
      <c r="HZ23" s="417"/>
      <c r="IA23" s="412"/>
      <c r="IB23" s="417"/>
      <c r="IC23" s="412"/>
      <c r="ID23" s="417"/>
      <c r="IE23" s="412"/>
      <c r="IF23" s="402"/>
      <c r="IG23" s="402"/>
      <c r="IH23" s="417"/>
      <c r="II23" s="412"/>
      <c r="IJ23" s="417"/>
      <c r="IK23" s="412"/>
      <c r="IL23" s="417"/>
      <c r="IM23" s="412"/>
      <c r="IN23" s="417"/>
      <c r="IO23" s="412"/>
      <c r="IP23" s="402"/>
      <c r="IQ23" s="402"/>
      <c r="IR23" s="417"/>
      <c r="IS23" s="412"/>
      <c r="IT23" s="417"/>
      <c r="IU23" s="412"/>
      <c r="IV23" s="417"/>
      <c r="IW23" s="412"/>
      <c r="IX23" s="417"/>
      <c r="IY23" s="412"/>
      <c r="IZ23" s="417"/>
      <c r="JA23" s="412"/>
      <c r="JB23" s="417"/>
      <c r="JC23" s="412"/>
      <c r="JD23" s="417"/>
      <c r="JE23" s="412"/>
      <c r="JF23" s="402"/>
      <c r="JG23" s="402"/>
      <c r="JH23" s="417"/>
      <c r="JI23" s="412"/>
      <c r="JJ23" s="417"/>
      <c r="JK23" s="412"/>
      <c r="JL23" s="417"/>
      <c r="JM23" s="412"/>
      <c r="JN23" s="417"/>
      <c r="JO23" s="412"/>
      <c r="JP23" s="402"/>
      <c r="JQ23" s="402"/>
      <c r="JR23" s="417"/>
      <c r="JS23" s="412"/>
      <c r="JT23" s="417"/>
      <c r="JU23" s="412"/>
      <c r="JV23" s="417"/>
      <c r="JW23" s="412"/>
      <c r="JX23" s="417"/>
      <c r="JY23" s="412"/>
      <c r="JZ23" s="417"/>
      <c r="KA23" s="412"/>
      <c r="KB23" s="417"/>
      <c r="KC23" s="412"/>
      <c r="KD23" s="402"/>
      <c r="KE23" s="402"/>
      <c r="KF23" s="417"/>
      <c r="KG23" s="412"/>
      <c r="KH23" s="402"/>
      <c r="KI23" s="402"/>
      <c r="KJ23" s="417"/>
      <c r="KK23" s="412"/>
      <c r="KL23" s="417"/>
      <c r="KM23" s="412"/>
      <c r="KN23" s="417"/>
      <c r="KO23" s="412"/>
      <c r="KP23" s="417"/>
      <c r="KQ23" s="412"/>
      <c r="KR23" s="417"/>
      <c r="KS23" s="412"/>
      <c r="KT23" s="417"/>
      <c r="KU23" s="412"/>
      <c r="KV23" s="417"/>
      <c r="KW23" s="412"/>
      <c r="KX23" s="417"/>
      <c r="KY23" s="412"/>
      <c r="KZ23" s="417"/>
      <c r="LA23" s="412"/>
      <c r="LB23" s="417"/>
      <c r="LC23" s="412"/>
      <c r="LD23" s="402"/>
      <c r="LE23" s="402"/>
      <c r="LF23" s="417"/>
      <c r="LG23" s="412"/>
      <c r="LH23" s="417"/>
      <c r="LI23" s="412"/>
      <c r="LJ23" s="402"/>
      <c r="LK23" s="402"/>
      <c r="LL23" s="262">
        <v>43958</v>
      </c>
      <c r="LM23" s="278" t="str">
        <f t="shared" si="64"/>
        <v>Thursday</v>
      </c>
      <c r="LN23" s="402"/>
      <c r="LO23" s="402"/>
      <c r="LP23" s="417"/>
      <c r="LQ23" s="412"/>
      <c r="LR23" s="417"/>
      <c r="LS23" s="412"/>
      <c r="LT23" s="262">
        <v>44012</v>
      </c>
      <c r="LU23" s="279" t="str">
        <f t="shared" si="65"/>
        <v>Tuesday</v>
      </c>
      <c r="LV23" s="402"/>
      <c r="LW23" s="402"/>
      <c r="LX23" s="417"/>
      <c r="LY23" s="412"/>
      <c r="LZ23" s="402"/>
      <c r="MA23" s="402"/>
      <c r="MB23" s="417"/>
      <c r="MC23" s="412"/>
      <c r="MD23" s="417"/>
      <c r="ME23" s="412"/>
      <c r="MF23" s="417"/>
      <c r="MG23" s="412"/>
      <c r="MH23" s="417"/>
      <c r="MI23" s="412"/>
      <c r="MJ23" s="417"/>
      <c r="MK23" s="412"/>
      <c r="ML23" s="402"/>
      <c r="MM23" s="402"/>
      <c r="MN23" s="417"/>
      <c r="MO23" s="412"/>
      <c r="MP23" s="417"/>
      <c r="MQ23" s="412"/>
      <c r="MR23" s="417"/>
      <c r="MS23" s="412"/>
      <c r="MT23" s="417"/>
      <c r="MU23" s="412"/>
      <c r="MV23" s="402"/>
      <c r="MW23" s="402"/>
      <c r="MX23" s="417"/>
      <c r="MY23" s="412"/>
      <c r="MZ23" s="417"/>
      <c r="NA23" s="412"/>
      <c r="NB23" s="417"/>
      <c r="NC23" s="412"/>
      <c r="ND23" s="402"/>
      <c r="NE23" s="402"/>
      <c r="NF23" s="417"/>
      <c r="NG23" s="412"/>
      <c r="NH23" s="417"/>
      <c r="NI23" s="412"/>
      <c r="NJ23" s="417"/>
      <c r="NK23" s="412"/>
      <c r="NL23" s="402"/>
      <c r="NM23" s="402"/>
      <c r="NN23" s="417"/>
      <c r="NO23" s="412"/>
      <c r="NP23" s="417"/>
      <c r="NQ23" s="412"/>
      <c r="NR23" s="402"/>
      <c r="NS23" s="412"/>
      <c r="NT23" s="417"/>
      <c r="NU23" s="412"/>
      <c r="NV23" s="417"/>
      <c r="NW23" s="412"/>
      <c r="NX23" s="417"/>
      <c r="NY23" s="412"/>
      <c r="NZ23" s="417"/>
      <c r="OA23" s="402"/>
      <c r="OB23" s="417"/>
      <c r="OC23" s="412"/>
      <c r="OD23" s="417"/>
      <c r="OE23" s="412"/>
      <c r="OF23" s="402"/>
      <c r="OG23" s="402"/>
      <c r="OH23" s="417"/>
      <c r="OI23" s="412"/>
      <c r="OJ23" s="417"/>
      <c r="OK23" s="412"/>
      <c r="OL23" s="417"/>
      <c r="OM23" s="412"/>
      <c r="ON23" s="417"/>
      <c r="OO23" s="412"/>
      <c r="OP23" s="402"/>
      <c r="OQ23" s="402"/>
      <c r="OR23" s="417"/>
      <c r="OS23" s="412"/>
      <c r="OT23" s="417"/>
      <c r="OU23" s="412"/>
      <c r="OV23" s="402"/>
      <c r="OW23" s="402"/>
      <c r="OX23" s="417"/>
      <c r="OY23" s="412"/>
      <c r="OZ23" s="417"/>
      <c r="PA23" s="412"/>
      <c r="PB23" s="417"/>
      <c r="PC23" s="412"/>
      <c r="PD23" s="417"/>
      <c r="PE23" s="412"/>
      <c r="PF23" s="417"/>
      <c r="PG23" s="412"/>
      <c r="PH23" s="402"/>
      <c r="PI23" s="402"/>
      <c r="PJ23" s="417"/>
      <c r="PK23" s="412"/>
      <c r="PL23" s="402"/>
      <c r="PM23" s="402"/>
      <c r="PN23" s="417"/>
      <c r="PO23" s="412"/>
      <c r="PP23" s="417"/>
      <c r="PQ23" s="412"/>
      <c r="PR23" s="402"/>
      <c r="PS23" s="402"/>
      <c r="PT23" s="417"/>
      <c r="PU23" s="412"/>
      <c r="PV23" s="402"/>
      <c r="PW23" s="402"/>
      <c r="PX23" s="417"/>
      <c r="PY23" s="412"/>
      <c r="PZ23" s="417"/>
      <c r="QA23" s="412"/>
      <c r="QB23" s="417"/>
      <c r="QC23" s="412"/>
      <c r="QD23" s="417"/>
      <c r="QE23" s="412"/>
      <c r="QF23" s="417"/>
      <c r="QG23" s="412"/>
      <c r="QH23" s="402"/>
      <c r="QI23" s="402"/>
      <c r="QJ23" s="417"/>
      <c r="QK23" s="412"/>
      <c r="QL23" s="417"/>
      <c r="QM23" s="412"/>
      <c r="QN23" s="402"/>
      <c r="QO23" s="402"/>
      <c r="QP23" s="417"/>
      <c r="QQ23" s="412"/>
      <c r="QR23" s="417"/>
      <c r="QS23" s="412"/>
      <c r="QT23" s="417"/>
      <c r="QU23" s="412"/>
      <c r="QV23" s="402"/>
      <c r="QW23" s="412"/>
      <c r="QX23" s="402"/>
      <c r="QY23" s="412"/>
      <c r="QZ23" s="417"/>
      <c r="RA23" s="412"/>
      <c r="RB23" s="417"/>
      <c r="RC23" s="412"/>
      <c r="RD23" s="417"/>
      <c r="RE23" s="412"/>
      <c r="RF23" s="417"/>
      <c r="RG23" s="412"/>
      <c r="RH23" s="417"/>
      <c r="RI23" s="412"/>
      <c r="RJ23" s="417"/>
      <c r="RK23" s="412"/>
      <c r="RL23" s="402"/>
      <c r="RM23" s="402"/>
      <c r="RN23" s="417"/>
      <c r="RO23" s="412"/>
      <c r="RP23" s="402"/>
      <c r="RQ23" s="402"/>
      <c r="RR23" s="417"/>
      <c r="RS23" s="412"/>
      <c r="RT23" s="417"/>
      <c r="RU23" s="412"/>
      <c r="RV23" s="402"/>
      <c r="RW23" s="402"/>
      <c r="RX23" s="417"/>
      <c r="RY23" s="412"/>
      <c r="RZ23" s="417"/>
      <c r="SA23" s="402"/>
      <c r="SB23" s="417"/>
      <c r="SC23" s="412"/>
      <c r="SD23" s="417"/>
      <c r="SE23" s="412"/>
      <c r="SF23" s="417"/>
      <c r="SG23" s="412"/>
      <c r="SH23" s="417"/>
      <c r="SI23" s="412"/>
      <c r="SJ23" s="402"/>
      <c r="SK23" s="402"/>
      <c r="SL23" s="417"/>
      <c r="SM23" s="412"/>
      <c r="SN23" s="417"/>
      <c r="SO23" s="412"/>
      <c r="SP23" s="402"/>
      <c r="SQ23" s="402"/>
      <c r="SR23" s="417"/>
      <c r="SS23" s="412"/>
      <c r="ST23" s="402"/>
      <c r="SU23" s="402"/>
      <c r="SV23" s="417"/>
      <c r="SW23" s="412"/>
      <c r="SX23" s="417"/>
      <c r="SY23" s="412"/>
      <c r="SZ23" s="417"/>
      <c r="TA23" s="412"/>
      <c r="TB23" s="417"/>
      <c r="TC23" s="412"/>
      <c r="TD23" s="402"/>
      <c r="TE23" s="402"/>
      <c r="TF23" s="417"/>
      <c r="TG23" s="412"/>
      <c r="TH23" s="417"/>
      <c r="TI23" s="412"/>
      <c r="TJ23" s="402"/>
      <c r="TK23" s="402"/>
      <c r="TL23" s="417"/>
      <c r="TM23" s="412"/>
      <c r="TN23" s="417"/>
      <c r="TO23" s="412"/>
      <c r="TP23" s="417"/>
      <c r="TQ23" s="412"/>
      <c r="TR23" s="417"/>
      <c r="TS23" s="412"/>
      <c r="TT23" s="417"/>
      <c r="TU23" s="412"/>
      <c r="TV23" s="417"/>
      <c r="TW23" s="412"/>
      <c r="TX23" s="417"/>
      <c r="TY23" s="412"/>
      <c r="TZ23" s="402"/>
      <c r="UA23" s="402"/>
      <c r="UB23" s="417"/>
      <c r="UC23" s="412"/>
      <c r="UD23" s="417"/>
      <c r="UE23" s="412"/>
      <c r="UF23" s="417"/>
      <c r="UG23" s="412"/>
      <c r="UH23" s="402"/>
      <c r="UI23" s="402"/>
      <c r="UJ23" s="417"/>
      <c r="UK23" s="412"/>
      <c r="UL23" s="417"/>
      <c r="UM23" s="412"/>
      <c r="UN23" s="417"/>
      <c r="UO23" s="412"/>
      <c r="UP23" s="417"/>
      <c r="UQ23" s="412"/>
      <c r="UR23" s="402"/>
      <c r="US23" s="402"/>
      <c r="UT23" s="417"/>
      <c r="UU23" s="412"/>
      <c r="UV23" s="417"/>
      <c r="UW23" s="412"/>
      <c r="UX23" s="417"/>
      <c r="UY23" s="412"/>
      <c r="UZ23" s="402"/>
      <c r="VA23" s="402"/>
      <c r="VB23" s="417"/>
      <c r="VC23" s="412"/>
      <c r="VD23" s="417"/>
      <c r="VE23" s="412"/>
      <c r="VF23" s="417"/>
      <c r="VG23" s="412"/>
      <c r="VH23" s="402"/>
      <c r="VI23" s="402"/>
      <c r="VJ23" s="417"/>
      <c r="VK23" s="412"/>
      <c r="VL23" s="417"/>
      <c r="VM23" s="412"/>
      <c r="VN23" s="402"/>
      <c r="VO23" s="402"/>
      <c r="VP23" s="417"/>
      <c r="VQ23" s="412"/>
      <c r="VR23" s="417"/>
      <c r="VS23" s="412"/>
      <c r="VT23" s="417"/>
      <c r="VU23" s="412"/>
      <c r="VV23" s="417"/>
      <c r="VW23" s="412"/>
      <c r="VX23" s="417"/>
      <c r="VY23" s="412"/>
      <c r="VZ23" s="402"/>
      <c r="WA23" s="402"/>
      <c r="WB23" s="417"/>
      <c r="WC23" s="412"/>
      <c r="WD23" s="417"/>
      <c r="WE23" s="412"/>
      <c r="WF23" s="417"/>
      <c r="WG23" s="412"/>
      <c r="WH23" s="417"/>
      <c r="WI23" s="412"/>
      <c r="WJ23" s="417"/>
      <c r="WK23" s="412"/>
      <c r="WL23" s="402"/>
      <c r="WM23" s="402"/>
      <c r="WN23" s="417"/>
      <c r="WO23" s="412"/>
      <c r="WP23" s="402"/>
      <c r="WQ23" s="402"/>
      <c r="WR23" s="417"/>
      <c r="WS23" s="402"/>
      <c r="WT23" s="417"/>
      <c r="WU23" s="412"/>
      <c r="WV23" s="417"/>
      <c r="WW23" s="412"/>
      <c r="WX23" s="402"/>
      <c r="WY23" s="402"/>
      <c r="WZ23" s="417"/>
      <c r="XA23" s="412"/>
      <c r="XB23" s="417"/>
      <c r="XC23" s="412"/>
      <c r="XD23" s="417"/>
      <c r="XE23" s="412"/>
      <c r="XF23" s="417"/>
      <c r="XG23" s="412"/>
      <c r="XH23" s="402"/>
      <c r="XI23" s="402"/>
      <c r="XJ23" s="417"/>
      <c r="XK23" s="412"/>
      <c r="XL23" s="402"/>
      <c r="XM23" s="402"/>
      <c r="XN23" s="417"/>
      <c r="XO23" s="412"/>
      <c r="XP23" s="417"/>
      <c r="XQ23" s="412"/>
      <c r="XR23" s="402"/>
      <c r="XS23" s="402"/>
      <c r="XT23" s="417"/>
      <c r="XU23" s="412"/>
      <c r="XV23" s="417"/>
      <c r="XW23" s="412"/>
      <c r="XX23" s="417"/>
      <c r="XY23" s="412"/>
      <c r="XZ23" s="402"/>
      <c r="YA23" s="402"/>
      <c r="YB23" s="417"/>
      <c r="YC23" s="412"/>
      <c r="YD23" s="417"/>
      <c r="YE23" s="412"/>
      <c r="YF23" s="417"/>
      <c r="YG23" s="412"/>
      <c r="YH23" s="417"/>
      <c r="YI23" s="412"/>
      <c r="YJ23" s="402"/>
      <c r="YK23" s="402"/>
      <c r="YL23" s="417"/>
      <c r="YM23" s="412"/>
      <c r="YN23" s="417"/>
      <c r="YO23" s="412"/>
      <c r="YP23" s="417"/>
      <c r="YQ23" s="412"/>
      <c r="YR23" s="417"/>
      <c r="YS23" s="412"/>
      <c r="YT23" s="402"/>
      <c r="YU23" s="402"/>
      <c r="YV23" s="417"/>
      <c r="YW23" s="412"/>
      <c r="YX23" s="417"/>
      <c r="YY23" s="412"/>
      <c r="YZ23" s="402"/>
      <c r="ZA23" s="402"/>
      <c r="ZB23" s="417"/>
      <c r="ZC23" s="412"/>
      <c r="ZD23" s="402"/>
      <c r="ZE23" s="402"/>
      <c r="ZF23" s="417"/>
      <c r="ZG23" s="412"/>
      <c r="ZH23" s="417"/>
      <c r="ZI23" s="412"/>
      <c r="ZJ23" s="417"/>
      <c r="ZK23" s="412"/>
      <c r="ZL23" s="402"/>
      <c r="ZM23" s="402"/>
      <c r="ZN23" s="417"/>
      <c r="ZO23" s="412"/>
      <c r="ZP23" s="417"/>
      <c r="ZQ23" s="412"/>
      <c r="ZR23" s="402"/>
      <c r="ZS23" s="402"/>
      <c r="ZT23" s="417"/>
      <c r="ZU23" s="412"/>
      <c r="ZV23" s="417"/>
      <c r="ZW23" s="412"/>
      <c r="ZX23" s="402"/>
      <c r="ZY23" s="402"/>
      <c r="ZZ23" s="417"/>
      <c r="AAA23" s="412"/>
      <c r="AAB23" s="417"/>
      <c r="AAC23" s="412"/>
      <c r="AAD23" s="417"/>
      <c r="AAE23" s="412"/>
      <c r="AAF23" s="417"/>
      <c r="AAG23" s="412"/>
      <c r="AAH23" s="402"/>
      <c r="AAI23" s="402"/>
      <c r="AAJ23" s="417"/>
      <c r="AAK23" s="412"/>
      <c r="AAL23" s="417"/>
      <c r="AAM23" s="412"/>
      <c r="AAN23" s="417"/>
      <c r="AAO23" s="412"/>
      <c r="AAP23" s="417"/>
      <c r="AAQ23" s="412"/>
      <c r="AAR23" s="417"/>
      <c r="AAS23" s="412"/>
      <c r="AAT23" s="402"/>
      <c r="AAU23" s="402"/>
      <c r="AAV23" s="417"/>
      <c r="AAW23" s="412"/>
      <c r="AAX23" s="402"/>
      <c r="AAY23" s="402"/>
      <c r="AAZ23" s="417"/>
      <c r="ABA23" s="412"/>
      <c r="ABB23" s="417"/>
      <c r="ABC23" s="412"/>
      <c r="ABD23" s="417"/>
      <c r="ABE23" s="412"/>
      <c r="ABF23" s="402"/>
      <c r="ABG23" s="402"/>
      <c r="ABH23" s="417"/>
      <c r="ABI23" s="412"/>
      <c r="ABJ23" s="417"/>
      <c r="ABK23" s="412"/>
      <c r="ABL23" s="417"/>
      <c r="ABM23" s="412"/>
      <c r="ABN23" s="417"/>
      <c r="ABO23" s="412"/>
      <c r="ABP23" s="402"/>
      <c r="ABQ23" s="402"/>
      <c r="ABR23" s="417"/>
      <c r="ABS23" s="412"/>
      <c r="ABT23" s="417"/>
      <c r="ABU23" s="412"/>
      <c r="ABV23" s="417"/>
      <c r="ABW23" s="412"/>
      <c r="ABX23" s="402"/>
      <c r="ABY23" s="402"/>
      <c r="ABZ23" s="417"/>
      <c r="ACA23" s="412"/>
      <c r="ACB23" s="417"/>
      <c r="ACC23" s="412"/>
      <c r="ACD23" s="417"/>
      <c r="ACE23" s="412"/>
      <c r="ACF23" s="417"/>
      <c r="ACG23" s="412"/>
      <c r="ACH23" s="417"/>
      <c r="ACI23" s="412"/>
      <c r="ACJ23" s="402"/>
      <c r="ACK23" s="402"/>
      <c r="ACL23" s="417"/>
      <c r="ACM23" s="412"/>
      <c r="ACN23" s="402"/>
      <c r="ACO23" s="402"/>
      <c r="ACP23" s="417"/>
      <c r="ACQ23" s="412"/>
      <c r="ACR23" s="417"/>
      <c r="ACS23" s="412"/>
      <c r="ACT23" s="281">
        <v>44137</v>
      </c>
      <c r="ACU23" s="278" t="str">
        <f t="shared" si="66"/>
        <v>Monday</v>
      </c>
      <c r="ACV23" s="417"/>
      <c r="ACW23" s="412"/>
      <c r="ACX23" s="402"/>
      <c r="ACY23" s="402"/>
      <c r="ACZ23" s="417"/>
      <c r="ADA23" s="412"/>
      <c r="ADB23" s="417"/>
      <c r="ADC23" s="412"/>
      <c r="ADD23" s="417"/>
      <c r="ADE23" s="412"/>
      <c r="ADF23" s="417"/>
      <c r="ADG23" s="412"/>
      <c r="ADH23" s="417"/>
      <c r="ADI23" s="412"/>
      <c r="ADJ23" s="417"/>
      <c r="ADK23" s="412"/>
      <c r="ADL23" s="402"/>
      <c r="ADM23" s="412"/>
      <c r="ADN23" s="402"/>
      <c r="ADO23" s="412"/>
      <c r="ADP23" s="417"/>
      <c r="ADQ23" s="412"/>
      <c r="ADR23" s="402"/>
      <c r="ADS23" s="412"/>
      <c r="ADT23" s="417"/>
      <c r="ADU23" s="412"/>
      <c r="ADV23" s="402"/>
      <c r="ADW23" s="402"/>
      <c r="ADX23" s="417"/>
      <c r="ADY23" s="412"/>
      <c r="ADZ23" s="417"/>
      <c r="AEA23" s="412"/>
      <c r="AEB23" s="417"/>
      <c r="AEC23" s="412"/>
      <c r="AED23" s="402"/>
      <c r="AEE23" s="402"/>
      <c r="AEF23" s="417"/>
      <c r="AEG23" s="412"/>
      <c r="AEH23" s="417"/>
      <c r="AEI23" s="402"/>
      <c r="AEJ23" s="417"/>
      <c r="AEK23" s="412"/>
      <c r="AEL23" s="417"/>
      <c r="AEM23" s="412"/>
      <c r="AEN23" s="417"/>
      <c r="AEO23" s="412"/>
      <c r="AEP23" s="417"/>
      <c r="AEQ23" s="412"/>
      <c r="AER23" s="402"/>
      <c r="AES23" s="402"/>
      <c r="AET23" s="417"/>
      <c r="AEU23" s="412"/>
      <c r="AEV23" s="402"/>
      <c r="AEW23" s="402"/>
      <c r="AEX23" s="417"/>
      <c r="AEY23" s="412"/>
      <c r="AEZ23" s="417"/>
      <c r="AFA23" s="412"/>
      <c r="AFB23" s="417"/>
      <c r="AFC23" s="412"/>
      <c r="AFD23" s="417"/>
      <c r="AFE23" s="412"/>
      <c r="AFF23" s="402"/>
      <c r="AFG23" s="402"/>
      <c r="AFH23" s="417"/>
      <c r="AFI23" s="412"/>
      <c r="AFJ23" s="402"/>
      <c r="AFK23" s="402"/>
      <c r="AFL23" s="417"/>
      <c r="AFM23" s="412"/>
      <c r="AFN23" s="417"/>
      <c r="AFO23" s="412"/>
      <c r="AFP23" s="417"/>
      <c r="AFQ23" s="412"/>
      <c r="AFR23" s="402"/>
      <c r="AFS23" s="402"/>
      <c r="AFT23" s="417"/>
      <c r="AFU23" s="412"/>
      <c r="AFV23" s="402"/>
      <c r="AFW23" s="402"/>
      <c r="AFX23" s="417"/>
      <c r="AFY23" s="402"/>
      <c r="AFZ23" s="417"/>
      <c r="AGA23" s="412"/>
      <c r="AGB23" s="417"/>
      <c r="AGC23" s="412"/>
      <c r="AGD23" s="402"/>
      <c r="AGE23" s="402"/>
      <c r="AGF23" s="417"/>
      <c r="AGG23" s="412"/>
      <c r="AGH23" s="417"/>
      <c r="AGI23" s="412"/>
      <c r="AGJ23" s="402"/>
      <c r="AGK23" s="402"/>
      <c r="AGL23" s="417"/>
      <c r="AGM23" s="412"/>
      <c r="AGN23" s="417"/>
      <c r="AGO23" s="412"/>
      <c r="AGP23" s="417"/>
      <c r="AGQ23" s="412"/>
      <c r="AGR23" s="417"/>
      <c r="AGS23" s="412"/>
      <c r="AGT23" s="417"/>
      <c r="AGU23" s="412"/>
      <c r="AGV23" s="402"/>
      <c r="AGW23" s="412"/>
      <c r="AGX23" s="417"/>
      <c r="AGY23" s="412"/>
      <c r="AGZ23" s="417"/>
      <c r="AHA23" s="412"/>
      <c r="AHB23" s="417"/>
      <c r="AHC23" s="412"/>
      <c r="AHD23" s="417"/>
      <c r="AHE23" s="412"/>
      <c r="AHF23" s="417"/>
      <c r="AHG23" s="412"/>
      <c r="AHH23" s="417"/>
      <c r="AHI23" s="402"/>
      <c r="AHJ23" s="417"/>
      <c r="AHK23" s="412"/>
      <c r="AHL23" s="402"/>
      <c r="AHM23" s="412"/>
      <c r="AHN23" s="417"/>
      <c r="AHO23" s="412"/>
      <c r="AHP23" s="417"/>
      <c r="AHQ23" s="412"/>
      <c r="AHR23" s="417"/>
      <c r="AHS23" s="402"/>
      <c r="AHT23" s="417"/>
      <c r="AHU23" s="402"/>
      <c r="AHV23" s="417"/>
      <c r="AHW23" s="412"/>
      <c r="AHX23" s="281">
        <v>44193</v>
      </c>
      <c r="AHY23" s="279" t="str">
        <f t="shared" si="67"/>
        <v>Monday</v>
      </c>
      <c r="AHZ23" s="417"/>
      <c r="AIA23" s="412"/>
    </row>
    <row r="24" spans="1:911" ht="15.75" customHeight="1" x14ac:dyDescent="0.2">
      <c r="A24" s="456">
        <v>2021</v>
      </c>
      <c r="B24" s="432" t="s">
        <v>22</v>
      </c>
      <c r="C24" s="456" t="s">
        <v>22</v>
      </c>
      <c r="D24" s="432" t="s">
        <v>22</v>
      </c>
      <c r="E24" s="456" t="s">
        <v>22</v>
      </c>
      <c r="F24" s="432" t="s">
        <v>22</v>
      </c>
      <c r="G24" s="456" t="s">
        <v>22</v>
      </c>
      <c r="H24" s="432" t="s">
        <v>22</v>
      </c>
      <c r="I24" s="456" t="s">
        <v>22</v>
      </c>
      <c r="J24" s="432" t="s">
        <v>22</v>
      </c>
      <c r="K24" s="456" t="s">
        <v>22</v>
      </c>
      <c r="L24" s="432" t="s">
        <v>22</v>
      </c>
      <c r="M24" s="456" t="s">
        <v>22</v>
      </c>
      <c r="N24" s="432" t="s">
        <v>22</v>
      </c>
      <c r="O24" s="456" t="s">
        <v>22</v>
      </c>
      <c r="P24" s="432" t="s">
        <v>22</v>
      </c>
      <c r="Q24" s="456" t="s">
        <v>22</v>
      </c>
      <c r="R24" s="432" t="s">
        <v>22</v>
      </c>
      <c r="S24" s="456" t="s">
        <v>22</v>
      </c>
      <c r="T24" s="432" t="s">
        <v>22</v>
      </c>
      <c r="U24" s="456" t="s">
        <v>22</v>
      </c>
      <c r="V24" s="432" t="s">
        <v>22</v>
      </c>
      <c r="W24" s="456" t="s">
        <v>22</v>
      </c>
      <c r="X24" s="432" t="s">
        <v>22</v>
      </c>
      <c r="Y24" s="456" t="s">
        <v>22</v>
      </c>
      <c r="Z24" s="432" t="s">
        <v>22</v>
      </c>
      <c r="AA24" s="456" t="s">
        <v>22</v>
      </c>
      <c r="AB24" s="432" t="s">
        <v>22</v>
      </c>
      <c r="AC24" s="456" t="s">
        <v>22</v>
      </c>
      <c r="AD24" s="425" t="s">
        <v>22</v>
      </c>
      <c r="AE24" s="425" t="s">
        <v>22</v>
      </c>
      <c r="AF24" s="432" t="s">
        <v>22</v>
      </c>
      <c r="AG24" s="425" t="s">
        <v>22</v>
      </c>
      <c r="AH24" s="432" t="s">
        <v>22</v>
      </c>
      <c r="AI24" s="456" t="s">
        <v>22</v>
      </c>
      <c r="AJ24" s="425" t="s">
        <v>22</v>
      </c>
      <c r="AK24" s="425" t="s">
        <v>22</v>
      </c>
      <c r="AL24" s="432" t="s">
        <v>22</v>
      </c>
      <c r="AM24" s="456" t="s">
        <v>22</v>
      </c>
      <c r="AN24" s="432" t="s">
        <v>22</v>
      </c>
      <c r="AO24" s="456" t="s">
        <v>22</v>
      </c>
      <c r="AP24" s="432" t="s">
        <v>22</v>
      </c>
      <c r="AQ24" s="456" t="s">
        <v>22</v>
      </c>
      <c r="AR24" s="432" t="s">
        <v>22</v>
      </c>
      <c r="AS24" s="456" t="s">
        <v>22</v>
      </c>
      <c r="AT24" s="432" t="s">
        <v>22</v>
      </c>
      <c r="AU24" s="456" t="s">
        <v>22</v>
      </c>
      <c r="AV24" s="425" t="s">
        <v>22</v>
      </c>
      <c r="AW24" s="425" t="s">
        <v>22</v>
      </c>
      <c r="AX24" s="432" t="s">
        <v>22</v>
      </c>
      <c r="AY24" s="456" t="s">
        <v>22</v>
      </c>
      <c r="AZ24" s="432" t="s">
        <v>22</v>
      </c>
      <c r="BA24" s="456" t="s">
        <v>22</v>
      </c>
      <c r="BB24" s="425" t="s">
        <v>22</v>
      </c>
      <c r="BC24" s="425" t="s">
        <v>22</v>
      </c>
      <c r="BD24" s="432" t="s">
        <v>22</v>
      </c>
      <c r="BE24" s="456" t="s">
        <v>22</v>
      </c>
      <c r="BF24" s="432" t="s">
        <v>22</v>
      </c>
      <c r="BG24" s="456" t="s">
        <v>22</v>
      </c>
      <c r="BH24" s="432" t="s">
        <v>22</v>
      </c>
      <c r="BI24" s="456" t="s">
        <v>22</v>
      </c>
      <c r="BJ24" s="432" t="s">
        <v>22</v>
      </c>
      <c r="BK24" s="456" t="s">
        <v>22</v>
      </c>
      <c r="BL24" s="425" t="s">
        <v>22</v>
      </c>
      <c r="BM24" s="425" t="s">
        <v>22</v>
      </c>
      <c r="BN24" s="432" t="s">
        <v>22</v>
      </c>
      <c r="BO24" s="456" t="s">
        <v>22</v>
      </c>
      <c r="BP24" s="432" t="s">
        <v>22</v>
      </c>
      <c r="BQ24" s="456" t="s">
        <v>22</v>
      </c>
      <c r="BR24" s="432" t="s">
        <v>22</v>
      </c>
      <c r="BS24" s="456" t="s">
        <v>22</v>
      </c>
      <c r="BT24" s="518">
        <v>44239</v>
      </c>
      <c r="BU24" s="502" t="str">
        <f>CHOOSE(WEEKDAY(BT24,2),"Monday","Tuesday","Wednesday","Thursday","Friday","Saturday","Sunday")</f>
        <v>Friday</v>
      </c>
      <c r="BV24" s="432" t="s">
        <v>22</v>
      </c>
      <c r="BW24" s="456" t="s">
        <v>22</v>
      </c>
      <c r="BX24" s="425" t="s">
        <v>22</v>
      </c>
      <c r="BY24" s="425" t="s">
        <v>22</v>
      </c>
      <c r="BZ24" s="432" t="s">
        <v>22</v>
      </c>
      <c r="CA24" s="456" t="s">
        <v>22</v>
      </c>
      <c r="CB24" s="432" t="s">
        <v>22</v>
      </c>
      <c r="CC24" s="456" t="s">
        <v>22</v>
      </c>
      <c r="CD24" s="432" t="s">
        <v>22</v>
      </c>
      <c r="CE24" s="456" t="s">
        <v>22</v>
      </c>
      <c r="CF24" s="432" t="s">
        <v>22</v>
      </c>
      <c r="CG24" s="456" t="s">
        <v>22</v>
      </c>
      <c r="CH24" s="432" t="s">
        <v>22</v>
      </c>
      <c r="CI24" s="456" t="s">
        <v>22</v>
      </c>
      <c r="CJ24" s="432" t="s">
        <v>22</v>
      </c>
      <c r="CK24" s="456" t="s">
        <v>22</v>
      </c>
      <c r="CL24" s="425" t="s">
        <v>22</v>
      </c>
      <c r="CM24" s="425" t="s">
        <v>22</v>
      </c>
      <c r="CN24" s="506">
        <v>44239</v>
      </c>
      <c r="CO24" s="499" t="str">
        <f>CHOOSE(WEEKDAY(CN24,2),"Monday","Tuesday","Wednesday","Thursday","Friday","Saturday","Sunday")</f>
        <v>Friday</v>
      </c>
      <c r="CP24" s="432" t="s">
        <v>22</v>
      </c>
      <c r="CQ24" s="456" t="s">
        <v>22</v>
      </c>
      <c r="CR24" s="432" t="s">
        <v>22</v>
      </c>
      <c r="CS24" s="456" t="s">
        <v>22</v>
      </c>
      <c r="CT24" s="425" t="s">
        <v>22</v>
      </c>
      <c r="CU24" s="425" t="s">
        <v>22</v>
      </c>
      <c r="CV24" s="432" t="s">
        <v>22</v>
      </c>
      <c r="CW24" s="456" t="s">
        <v>22</v>
      </c>
      <c r="CX24" s="432" t="s">
        <v>22</v>
      </c>
      <c r="CY24" s="456" t="s">
        <v>22</v>
      </c>
      <c r="CZ24" s="425" t="s">
        <v>22</v>
      </c>
      <c r="DA24" s="425" t="s">
        <v>22</v>
      </c>
      <c r="DB24" s="432" t="s">
        <v>22</v>
      </c>
      <c r="DC24" s="456" t="s">
        <v>22</v>
      </c>
      <c r="DD24" s="432" t="s">
        <v>22</v>
      </c>
      <c r="DE24" s="456" t="s">
        <v>22</v>
      </c>
      <c r="DF24" s="425" t="s">
        <v>22</v>
      </c>
      <c r="DG24" s="425" t="s">
        <v>22</v>
      </c>
      <c r="DH24" s="432" t="s">
        <v>22</v>
      </c>
      <c r="DI24" s="456" t="s">
        <v>22</v>
      </c>
      <c r="DJ24" s="432" t="s">
        <v>22</v>
      </c>
      <c r="DK24" s="456" t="s">
        <v>22</v>
      </c>
      <c r="DL24" s="432" t="s">
        <v>22</v>
      </c>
      <c r="DM24" s="456" t="s">
        <v>22</v>
      </c>
      <c r="DN24" s="425" t="s">
        <v>22</v>
      </c>
      <c r="DO24" s="425" t="s">
        <v>22</v>
      </c>
      <c r="DP24" s="432" t="s">
        <v>22</v>
      </c>
      <c r="DQ24" s="456" t="s">
        <v>22</v>
      </c>
      <c r="DR24" s="432" t="s">
        <v>22</v>
      </c>
      <c r="DS24" s="456" t="s">
        <v>22</v>
      </c>
      <c r="DT24" s="518">
        <v>44246</v>
      </c>
      <c r="DU24" s="499" t="str">
        <f>CHOOSE(WEEKDAY(DT24,2),"Monday","Tuesday","Wednesday","Thursday","Friday","Saturday","Sunday")</f>
        <v>Friday</v>
      </c>
      <c r="DV24" s="432" t="s">
        <v>22</v>
      </c>
      <c r="DW24" s="456" t="s">
        <v>22</v>
      </c>
      <c r="DX24" s="432" t="s">
        <v>22</v>
      </c>
      <c r="DY24" s="456" t="s">
        <v>22</v>
      </c>
      <c r="DZ24" s="425" t="s">
        <v>22</v>
      </c>
      <c r="EA24" s="425" t="s">
        <v>22</v>
      </c>
      <c r="EB24" s="432" t="s">
        <v>22</v>
      </c>
      <c r="EC24" s="456" t="s">
        <v>22</v>
      </c>
      <c r="ED24" s="425" t="s">
        <v>22</v>
      </c>
      <c r="EE24" s="425" t="s">
        <v>22</v>
      </c>
      <c r="EF24" s="432" t="s">
        <v>22</v>
      </c>
      <c r="EG24" s="456" t="s">
        <v>22</v>
      </c>
      <c r="EH24" s="432" t="s">
        <v>22</v>
      </c>
      <c r="EI24" s="456" t="s">
        <v>22</v>
      </c>
      <c r="EJ24" s="432" t="s">
        <v>22</v>
      </c>
      <c r="EK24" s="456" t="s">
        <v>22</v>
      </c>
      <c r="EL24" s="425" t="s">
        <v>22</v>
      </c>
      <c r="EM24" s="425" t="s">
        <v>22</v>
      </c>
      <c r="EN24" s="432" t="s">
        <v>22</v>
      </c>
      <c r="EO24" s="456" t="s">
        <v>22</v>
      </c>
      <c r="EP24" s="432" t="s">
        <v>22</v>
      </c>
      <c r="EQ24" s="456" t="s">
        <v>22</v>
      </c>
      <c r="ER24" s="432" t="s">
        <v>22</v>
      </c>
      <c r="ES24" s="456" t="s">
        <v>22</v>
      </c>
      <c r="ET24" s="425" t="s">
        <v>22</v>
      </c>
      <c r="EU24" s="425" t="s">
        <v>22</v>
      </c>
      <c r="EV24" s="432" t="s">
        <v>22</v>
      </c>
      <c r="EW24" s="456" t="s">
        <v>22</v>
      </c>
      <c r="EX24" s="432" t="s">
        <v>22</v>
      </c>
      <c r="EY24" s="456" t="s">
        <v>22</v>
      </c>
      <c r="EZ24" s="506">
        <v>44260</v>
      </c>
      <c r="FA24" s="502" t="str">
        <f>CHOOSE(WEEKDAY(EZ24,2),"Monday","Tuesday","Wednesday","Thursday","Friday","Saturday","Sunday")</f>
        <v>Friday</v>
      </c>
      <c r="FB24" s="425" t="s">
        <v>22</v>
      </c>
      <c r="FC24" s="425" t="s">
        <v>22</v>
      </c>
      <c r="FD24" s="432" t="s">
        <v>22</v>
      </c>
      <c r="FE24" s="456" t="s">
        <v>22</v>
      </c>
      <c r="FF24" s="425" t="s">
        <v>22</v>
      </c>
      <c r="FG24" s="456" t="s">
        <v>22</v>
      </c>
      <c r="FH24" s="425" t="s">
        <v>22</v>
      </c>
      <c r="FI24" s="425" t="s">
        <v>22</v>
      </c>
      <c r="FJ24" s="432" t="s">
        <v>22</v>
      </c>
      <c r="FK24" s="456" t="s">
        <v>22</v>
      </c>
      <c r="FL24" s="432" t="s">
        <v>22</v>
      </c>
      <c r="FM24" s="456" t="s">
        <v>22</v>
      </c>
      <c r="FN24" s="432" t="s">
        <v>22</v>
      </c>
      <c r="FO24" s="456" t="s">
        <v>22</v>
      </c>
      <c r="FP24" s="425" t="s">
        <v>22</v>
      </c>
      <c r="FQ24" s="425" t="s">
        <v>22</v>
      </c>
      <c r="FR24" s="432" t="s">
        <v>22</v>
      </c>
      <c r="FS24" s="456" t="s">
        <v>22</v>
      </c>
      <c r="FT24" s="432" t="s">
        <v>22</v>
      </c>
      <c r="FU24" s="456" t="s">
        <v>22</v>
      </c>
      <c r="FV24" s="506">
        <v>44272</v>
      </c>
      <c r="FW24" s="456" t="str">
        <f>CHOOSE(WEEKDAY(FV24,2),"Monday","Tuesday","Wednesday","Thursday","Friday","Saturday","Sunday")</f>
        <v>Wednesday</v>
      </c>
      <c r="FX24" s="425" t="s">
        <v>22</v>
      </c>
      <c r="FY24" s="425" t="s">
        <v>22</v>
      </c>
      <c r="FZ24" s="432" t="s">
        <v>22</v>
      </c>
      <c r="GA24" s="456" t="s">
        <v>22</v>
      </c>
      <c r="GB24" s="432" t="s">
        <v>22</v>
      </c>
      <c r="GC24" s="456" t="s">
        <v>22</v>
      </c>
      <c r="GD24" s="425" t="s">
        <v>22</v>
      </c>
      <c r="GE24" s="425" t="s">
        <v>22</v>
      </c>
      <c r="GF24" s="432" t="s">
        <v>22</v>
      </c>
      <c r="GG24" s="456" t="s">
        <v>22</v>
      </c>
      <c r="GH24" s="518">
        <v>44274</v>
      </c>
      <c r="GI24" s="456" t="str">
        <f>CHOOSE(WEEKDAY(GH24,2),"Monday","Tuesday","Wednesday","Thursday","Friday","Saturday","Sunday")</f>
        <v>Friday</v>
      </c>
      <c r="GJ24" s="432" t="s">
        <v>22</v>
      </c>
      <c r="GK24" s="456" t="s">
        <v>22</v>
      </c>
      <c r="GL24" s="432" t="s">
        <v>22</v>
      </c>
      <c r="GM24" s="456" t="s">
        <v>22</v>
      </c>
      <c r="GN24" s="425" t="s">
        <v>22</v>
      </c>
      <c r="GO24" s="425" t="s">
        <v>22</v>
      </c>
      <c r="GP24" s="432" t="s">
        <v>22</v>
      </c>
      <c r="GQ24" s="456" t="s">
        <v>22</v>
      </c>
      <c r="GR24" s="432" t="s">
        <v>22</v>
      </c>
      <c r="GS24" s="456" t="s">
        <v>22</v>
      </c>
      <c r="GT24" s="432" t="s">
        <v>22</v>
      </c>
      <c r="GU24" s="456" t="s">
        <v>22</v>
      </c>
      <c r="GV24" s="425" t="s">
        <v>22</v>
      </c>
      <c r="GW24" s="425" t="s">
        <v>22</v>
      </c>
      <c r="GX24" s="432" t="s">
        <v>22</v>
      </c>
      <c r="GY24" s="456" t="s">
        <v>22</v>
      </c>
      <c r="GZ24" s="432" t="s">
        <v>22</v>
      </c>
      <c r="HA24" s="456" t="s">
        <v>22</v>
      </c>
      <c r="HB24" s="432" t="s">
        <v>22</v>
      </c>
      <c r="HC24" s="456" t="s">
        <v>22</v>
      </c>
      <c r="HD24" s="432" t="s">
        <v>22</v>
      </c>
      <c r="HE24" s="456" t="s">
        <v>22</v>
      </c>
      <c r="HF24" s="432" t="s">
        <v>22</v>
      </c>
      <c r="HG24" s="456" t="s">
        <v>22</v>
      </c>
      <c r="HH24" s="425" t="s">
        <v>22</v>
      </c>
      <c r="HI24" s="425" t="s">
        <v>22</v>
      </c>
      <c r="HJ24" s="432" t="s">
        <v>22</v>
      </c>
      <c r="HK24" s="456" t="s">
        <v>22</v>
      </c>
      <c r="HL24" s="432" t="s">
        <v>22</v>
      </c>
      <c r="HM24" s="425" t="s">
        <v>22</v>
      </c>
      <c r="HN24" s="293">
        <v>44287</v>
      </c>
      <c r="HO24" s="104" t="str">
        <f t="shared" ref="HO24:HO25" si="68">CHOOSE(WEEKDAY(HN24,2),"Monday","Tuesday","Wednesday","Thursday","Friday","Saturday","Sunday")</f>
        <v>Thursday</v>
      </c>
      <c r="HP24" s="432" t="s">
        <v>22</v>
      </c>
      <c r="HQ24" s="456" t="s">
        <v>22</v>
      </c>
      <c r="HR24" s="512">
        <v>44287</v>
      </c>
      <c r="HS24" s="456" t="str">
        <f>CHOOSE(WEEKDAY(HR24,2),"Monday","Tuesday","Wednesday","Thursday","Friday","Saturday","Sunday")</f>
        <v>Thursday</v>
      </c>
      <c r="HT24" s="432" t="s">
        <v>22</v>
      </c>
      <c r="HU24" s="456" t="s">
        <v>22</v>
      </c>
      <c r="HV24" s="432" t="s">
        <v>22</v>
      </c>
      <c r="HW24" s="456" t="s">
        <v>22</v>
      </c>
      <c r="HX24" s="425" t="s">
        <v>22</v>
      </c>
      <c r="HY24" s="425" t="s">
        <v>22</v>
      </c>
      <c r="HZ24" s="432" t="s">
        <v>22</v>
      </c>
      <c r="IA24" s="456" t="s">
        <v>22</v>
      </c>
      <c r="IB24" s="432" t="s">
        <v>22</v>
      </c>
      <c r="IC24" s="456" t="s">
        <v>22</v>
      </c>
      <c r="ID24" s="432" t="s">
        <v>22</v>
      </c>
      <c r="IE24" s="456" t="s">
        <v>22</v>
      </c>
      <c r="IF24" s="425" t="s">
        <v>22</v>
      </c>
      <c r="IG24" s="425" t="s">
        <v>22</v>
      </c>
      <c r="IH24" s="432" t="s">
        <v>22</v>
      </c>
      <c r="II24" s="456" t="s">
        <v>22</v>
      </c>
      <c r="IJ24" s="432" t="s">
        <v>22</v>
      </c>
      <c r="IK24" s="456" t="s">
        <v>22</v>
      </c>
      <c r="IL24" s="506">
        <v>44295</v>
      </c>
      <c r="IM24" s="456" t="str">
        <f>CHOOSE(WEEKDAY(IL24,2),"Monday","Tuesday","Wednesday","Thursday","Friday","Saturday","Sunday")</f>
        <v>Friday</v>
      </c>
      <c r="IN24" s="432" t="s">
        <v>22</v>
      </c>
      <c r="IO24" s="456" t="s">
        <v>22</v>
      </c>
      <c r="IP24" s="425" t="s">
        <v>22</v>
      </c>
      <c r="IQ24" s="425" t="s">
        <v>22</v>
      </c>
      <c r="IR24" s="432" t="s">
        <v>22</v>
      </c>
      <c r="IS24" s="456" t="s">
        <v>22</v>
      </c>
      <c r="IT24" s="432" t="s">
        <v>22</v>
      </c>
      <c r="IU24" s="456" t="s">
        <v>22</v>
      </c>
      <c r="IV24" s="432" t="s">
        <v>22</v>
      </c>
      <c r="IW24" s="456" t="s">
        <v>22</v>
      </c>
      <c r="IX24" s="432" t="s">
        <v>22</v>
      </c>
      <c r="IY24" s="456" t="s">
        <v>22</v>
      </c>
      <c r="IZ24" s="506">
        <v>44290</v>
      </c>
      <c r="JA24" s="456" t="str">
        <f>CHOOSE(WEEKDAY(IZ24,2),"Monday","Tuesday","Wednesday","Thursday","Friday","Saturday","Sunday")</f>
        <v>Sunday</v>
      </c>
      <c r="JB24" s="432" t="s">
        <v>22</v>
      </c>
      <c r="JC24" s="456" t="s">
        <v>22</v>
      </c>
      <c r="JD24" s="432" t="s">
        <v>22</v>
      </c>
      <c r="JE24" s="456" t="s">
        <v>22</v>
      </c>
      <c r="JF24" s="425" t="s">
        <v>22</v>
      </c>
      <c r="JG24" s="425" t="s">
        <v>22</v>
      </c>
      <c r="JH24" s="432" t="s">
        <v>22</v>
      </c>
      <c r="JI24" s="456" t="s">
        <v>22</v>
      </c>
      <c r="JJ24" s="432" t="s">
        <v>22</v>
      </c>
      <c r="JK24" s="456" t="s">
        <v>22</v>
      </c>
      <c r="JL24" s="432" t="s">
        <v>22</v>
      </c>
      <c r="JM24" s="456" t="s">
        <v>22</v>
      </c>
      <c r="JN24" s="432" t="s">
        <v>22</v>
      </c>
      <c r="JO24" s="456" t="s">
        <v>22</v>
      </c>
      <c r="JP24" s="425" t="s">
        <v>22</v>
      </c>
      <c r="JQ24" s="425" t="s">
        <v>22</v>
      </c>
      <c r="JR24" s="432" t="s">
        <v>22</v>
      </c>
      <c r="JS24" s="456" t="s">
        <v>22</v>
      </c>
      <c r="JT24" s="432" t="s">
        <v>22</v>
      </c>
      <c r="JU24" s="456" t="s">
        <v>22</v>
      </c>
      <c r="JV24" s="432" t="s">
        <v>22</v>
      </c>
      <c r="JW24" s="456" t="s">
        <v>22</v>
      </c>
      <c r="JX24" s="432" t="s">
        <v>22</v>
      </c>
      <c r="JY24" s="456" t="s">
        <v>22</v>
      </c>
      <c r="JZ24" s="432" t="s">
        <v>22</v>
      </c>
      <c r="KA24" s="456" t="s">
        <v>22</v>
      </c>
      <c r="KB24" s="432" t="s">
        <v>22</v>
      </c>
      <c r="KC24" s="456" t="s">
        <v>22</v>
      </c>
      <c r="KD24" s="425" t="s">
        <v>22</v>
      </c>
      <c r="KE24" s="425" t="s">
        <v>22</v>
      </c>
      <c r="KF24" s="432" t="s">
        <v>22</v>
      </c>
      <c r="KG24" s="456" t="s">
        <v>22</v>
      </c>
      <c r="KH24" s="432" t="s">
        <v>22</v>
      </c>
      <c r="KI24" s="425" t="s">
        <v>22</v>
      </c>
      <c r="KJ24" s="432" t="s">
        <v>22</v>
      </c>
      <c r="KK24" s="456" t="s">
        <v>22</v>
      </c>
      <c r="KL24" s="432" t="s">
        <v>22</v>
      </c>
      <c r="KM24" s="456" t="s">
        <v>22</v>
      </c>
      <c r="KN24" s="432" t="s">
        <v>22</v>
      </c>
      <c r="KO24" s="456" t="s">
        <v>22</v>
      </c>
      <c r="KP24" s="432" t="s">
        <v>22</v>
      </c>
      <c r="KQ24" s="456" t="s">
        <v>22</v>
      </c>
      <c r="KR24" s="432" t="s">
        <v>22</v>
      </c>
      <c r="KS24" s="456" t="s">
        <v>22</v>
      </c>
      <c r="KT24" s="432" t="s">
        <v>22</v>
      </c>
      <c r="KU24" s="456" t="s">
        <v>22</v>
      </c>
      <c r="KV24" s="432" t="s">
        <v>22</v>
      </c>
      <c r="KW24" s="456" t="s">
        <v>22</v>
      </c>
      <c r="KX24" s="432" t="s">
        <v>22</v>
      </c>
      <c r="KY24" s="456" t="s">
        <v>22</v>
      </c>
      <c r="KZ24" s="432" t="s">
        <v>22</v>
      </c>
      <c r="LA24" s="456" t="s">
        <v>22</v>
      </c>
      <c r="LB24" s="432" t="s">
        <v>22</v>
      </c>
      <c r="LC24" s="456" t="s">
        <v>22</v>
      </c>
      <c r="LD24" s="425" t="s">
        <v>22</v>
      </c>
      <c r="LE24" s="425" t="s">
        <v>22</v>
      </c>
      <c r="LF24" s="432" t="s">
        <v>22</v>
      </c>
      <c r="LG24" s="456" t="s">
        <v>22</v>
      </c>
      <c r="LH24" s="432" t="s">
        <v>22</v>
      </c>
      <c r="LI24" s="456" t="s">
        <v>22</v>
      </c>
      <c r="LJ24" s="425" t="s">
        <v>22</v>
      </c>
      <c r="LK24" s="425" t="s">
        <v>22</v>
      </c>
      <c r="LL24" s="293">
        <v>44316</v>
      </c>
      <c r="LM24" s="104" t="str">
        <f t="shared" si="64"/>
        <v>Friday</v>
      </c>
      <c r="LN24" s="425" t="s">
        <v>22</v>
      </c>
      <c r="LO24" s="425" t="s">
        <v>22</v>
      </c>
      <c r="LP24" s="432" t="s">
        <v>22</v>
      </c>
      <c r="LQ24" s="456" t="s">
        <v>22</v>
      </c>
      <c r="LR24" s="432" t="s">
        <v>22</v>
      </c>
      <c r="LS24" s="456" t="s">
        <v>22</v>
      </c>
      <c r="LT24" s="432" t="s">
        <v>22</v>
      </c>
      <c r="LU24" s="456" t="s">
        <v>22</v>
      </c>
      <c r="LV24" s="425" t="s">
        <v>22</v>
      </c>
      <c r="LW24" s="425" t="s">
        <v>22</v>
      </c>
      <c r="LX24" s="432" t="s">
        <v>22</v>
      </c>
      <c r="LY24" s="456" t="s">
        <v>22</v>
      </c>
      <c r="LZ24" s="425" t="s">
        <v>22</v>
      </c>
      <c r="MA24" s="425" t="s">
        <v>22</v>
      </c>
      <c r="MB24" s="432" t="s">
        <v>22</v>
      </c>
      <c r="MC24" s="456" t="s">
        <v>22</v>
      </c>
      <c r="MD24" s="432" t="s">
        <v>22</v>
      </c>
      <c r="ME24" s="456" t="s">
        <v>22</v>
      </c>
      <c r="MF24" s="432" t="s">
        <v>22</v>
      </c>
      <c r="MG24" s="456" t="s">
        <v>22</v>
      </c>
      <c r="MH24" s="432" t="s">
        <v>22</v>
      </c>
      <c r="MI24" s="456" t="s">
        <v>22</v>
      </c>
      <c r="MJ24" s="432" t="s">
        <v>22</v>
      </c>
      <c r="MK24" s="456" t="s">
        <v>22</v>
      </c>
      <c r="ML24" s="425" t="s">
        <v>22</v>
      </c>
      <c r="MM24" s="425" t="s">
        <v>22</v>
      </c>
      <c r="MN24" s="432" t="s">
        <v>22</v>
      </c>
      <c r="MO24" s="456" t="s">
        <v>22</v>
      </c>
      <c r="MP24" s="432" t="s">
        <v>22</v>
      </c>
      <c r="MQ24" s="456" t="s">
        <v>22</v>
      </c>
      <c r="MR24" s="432" t="s">
        <v>22</v>
      </c>
      <c r="MS24" s="456" t="s">
        <v>22</v>
      </c>
      <c r="MT24" s="432" t="s">
        <v>22</v>
      </c>
      <c r="MU24" s="456" t="s">
        <v>22</v>
      </c>
      <c r="MV24" s="425" t="s">
        <v>22</v>
      </c>
      <c r="MW24" s="425" t="s">
        <v>22</v>
      </c>
      <c r="MX24" s="432" t="s">
        <v>22</v>
      </c>
      <c r="MY24" s="456" t="s">
        <v>22</v>
      </c>
      <c r="MZ24" s="432" t="s">
        <v>22</v>
      </c>
      <c r="NA24" s="456" t="s">
        <v>22</v>
      </c>
      <c r="NB24" s="432" t="s">
        <v>22</v>
      </c>
      <c r="NC24" s="456" t="s">
        <v>22</v>
      </c>
      <c r="ND24" s="425" t="s">
        <v>22</v>
      </c>
      <c r="NE24" s="425" t="s">
        <v>22</v>
      </c>
      <c r="NF24" s="432" t="s">
        <v>22</v>
      </c>
      <c r="NG24" s="456" t="s">
        <v>22</v>
      </c>
      <c r="NH24" s="432" t="s">
        <v>22</v>
      </c>
      <c r="NI24" s="456" t="s">
        <v>22</v>
      </c>
      <c r="NJ24" s="432" t="s">
        <v>22</v>
      </c>
      <c r="NK24" s="456" t="s">
        <v>22</v>
      </c>
      <c r="NL24" s="425" t="s">
        <v>22</v>
      </c>
      <c r="NM24" s="425" t="s">
        <v>22</v>
      </c>
      <c r="NN24" s="432" t="s">
        <v>22</v>
      </c>
      <c r="NO24" s="456" t="s">
        <v>22</v>
      </c>
      <c r="NP24" s="432" t="s">
        <v>22</v>
      </c>
      <c r="NQ24" s="456" t="s">
        <v>22</v>
      </c>
      <c r="NR24" s="425" t="s">
        <v>22</v>
      </c>
      <c r="NS24" s="456" t="s">
        <v>22</v>
      </c>
      <c r="NT24" s="432" t="s">
        <v>22</v>
      </c>
      <c r="NU24" s="456" t="s">
        <v>22</v>
      </c>
      <c r="NV24" s="432" t="s">
        <v>22</v>
      </c>
      <c r="NW24" s="456" t="s">
        <v>22</v>
      </c>
      <c r="NX24" s="432" t="s">
        <v>22</v>
      </c>
      <c r="NY24" s="456" t="s">
        <v>22</v>
      </c>
      <c r="NZ24" s="432"/>
      <c r="OA24" s="425"/>
      <c r="OB24" s="432" t="s">
        <v>22</v>
      </c>
      <c r="OC24" s="456" t="s">
        <v>22</v>
      </c>
      <c r="OD24" s="506">
        <v>44351</v>
      </c>
      <c r="OE24" s="456" t="str">
        <f>CHOOSE(WEEKDAY(OD24,2),"Monday","Tuesday","Wednesday","Thursday","Friday","Saturday","Sunday")</f>
        <v>Friday</v>
      </c>
      <c r="OF24" s="425" t="s">
        <v>22</v>
      </c>
      <c r="OG24" s="425" t="s">
        <v>22</v>
      </c>
      <c r="OH24" s="432" t="s">
        <v>22</v>
      </c>
      <c r="OI24" s="456" t="s">
        <v>22</v>
      </c>
      <c r="OJ24" s="432" t="s">
        <v>22</v>
      </c>
      <c r="OK24" s="456" t="s">
        <v>22</v>
      </c>
      <c r="OL24" s="432" t="s">
        <v>22</v>
      </c>
      <c r="OM24" s="456" t="s">
        <v>22</v>
      </c>
      <c r="ON24" s="432" t="s">
        <v>22</v>
      </c>
      <c r="OO24" s="456" t="s">
        <v>22</v>
      </c>
      <c r="OP24" s="518">
        <v>44358</v>
      </c>
      <c r="OQ24" s="456" t="str">
        <f>CHOOSE(WEEKDAY(OP24,2),"Monday","Tuesday","Wednesday","Thursday","Friday","Saturday","Sunday")</f>
        <v>Friday</v>
      </c>
      <c r="OR24" s="432" t="s">
        <v>22</v>
      </c>
      <c r="OS24" s="456" t="s">
        <v>22</v>
      </c>
      <c r="OT24" s="432" t="s">
        <v>22</v>
      </c>
      <c r="OU24" s="456" t="s">
        <v>22</v>
      </c>
      <c r="OV24" s="425" t="s">
        <v>22</v>
      </c>
      <c r="OW24" s="425" t="s">
        <v>22</v>
      </c>
      <c r="OX24" s="432" t="s">
        <v>22</v>
      </c>
      <c r="OY24" s="456" t="s">
        <v>22</v>
      </c>
      <c r="OZ24" s="432" t="s">
        <v>22</v>
      </c>
      <c r="PA24" s="456" t="s">
        <v>22</v>
      </c>
      <c r="PB24" s="432" t="s">
        <v>22</v>
      </c>
      <c r="PC24" s="456" t="s">
        <v>22</v>
      </c>
      <c r="PD24" s="432" t="s">
        <v>22</v>
      </c>
      <c r="PE24" s="456" t="s">
        <v>22</v>
      </c>
      <c r="PF24" s="432" t="s">
        <v>22</v>
      </c>
      <c r="PG24" s="456" t="s">
        <v>22</v>
      </c>
      <c r="PH24" s="518">
        <v>44370</v>
      </c>
      <c r="PI24" s="456" t="str">
        <f>CHOOSE(WEEKDAY(PH24,2),"Monday","Tuesday","Wednesday","Thursday","Friday","Saturday","Sunday")</f>
        <v>Wednesday</v>
      </c>
      <c r="PJ24" s="432" t="s">
        <v>22</v>
      </c>
      <c r="PK24" s="456" t="s">
        <v>22</v>
      </c>
      <c r="PL24" s="425" t="s">
        <v>22</v>
      </c>
      <c r="PM24" s="425" t="s">
        <v>22</v>
      </c>
      <c r="PN24" s="432" t="s">
        <v>22</v>
      </c>
      <c r="PO24" s="456" t="s">
        <v>22</v>
      </c>
      <c r="PP24" s="432" t="s">
        <v>22</v>
      </c>
      <c r="PQ24" s="456" t="s">
        <v>22</v>
      </c>
      <c r="PR24" s="425" t="s">
        <v>22</v>
      </c>
      <c r="PS24" s="425" t="s">
        <v>22</v>
      </c>
      <c r="PT24" s="432" t="s">
        <v>22</v>
      </c>
      <c r="PU24" s="456" t="s">
        <v>22</v>
      </c>
      <c r="PV24" s="425" t="s">
        <v>22</v>
      </c>
      <c r="PW24" s="425" t="s">
        <v>22</v>
      </c>
      <c r="PX24" s="432" t="s">
        <v>22</v>
      </c>
      <c r="PY24" s="456" t="s">
        <v>22</v>
      </c>
      <c r="PZ24" s="432" t="s">
        <v>22</v>
      </c>
      <c r="QA24" s="456" t="s">
        <v>22</v>
      </c>
      <c r="QB24" s="432" t="s">
        <v>22</v>
      </c>
      <c r="QC24" s="456" t="s">
        <v>22</v>
      </c>
      <c r="QD24" s="432" t="s">
        <v>22</v>
      </c>
      <c r="QE24" s="456" t="s">
        <v>22</v>
      </c>
      <c r="QF24" s="432" t="s">
        <v>22</v>
      </c>
      <c r="QG24" s="456" t="s">
        <v>22</v>
      </c>
      <c r="QH24" s="425" t="s">
        <v>22</v>
      </c>
      <c r="QI24" s="425" t="s">
        <v>22</v>
      </c>
      <c r="QJ24" s="432" t="s">
        <v>22</v>
      </c>
      <c r="QK24" s="456" t="s">
        <v>22</v>
      </c>
      <c r="QL24" s="432" t="s">
        <v>22</v>
      </c>
      <c r="QM24" s="456" t="s">
        <v>22</v>
      </c>
      <c r="QN24" s="425" t="s">
        <v>22</v>
      </c>
      <c r="QO24" s="425" t="s">
        <v>22</v>
      </c>
      <c r="QP24" s="432" t="s">
        <v>22</v>
      </c>
      <c r="QQ24" s="456" t="s">
        <v>22</v>
      </c>
      <c r="QR24" s="432" t="s">
        <v>22</v>
      </c>
      <c r="QS24" s="456" t="s">
        <v>22</v>
      </c>
      <c r="QT24" s="432" t="s">
        <v>22</v>
      </c>
      <c r="QU24" s="456" t="s">
        <v>22</v>
      </c>
      <c r="QV24" s="425" t="s">
        <v>22</v>
      </c>
      <c r="QW24" s="456" t="s">
        <v>22</v>
      </c>
      <c r="QX24" s="521">
        <v>44378</v>
      </c>
      <c r="QY24" s="456" t="str">
        <f>CHOOSE(WEEKDAY(QX24,2),"Monday","Tuesday","Wednesday","Thursday","Friday","Saturday","Sunday")</f>
        <v>Thursday</v>
      </c>
      <c r="QZ24" s="432" t="s">
        <v>22</v>
      </c>
      <c r="RA24" s="456" t="s">
        <v>22</v>
      </c>
      <c r="RB24" s="432" t="s">
        <v>22</v>
      </c>
      <c r="RC24" s="456" t="s">
        <v>22</v>
      </c>
      <c r="RD24" s="432" t="s">
        <v>22</v>
      </c>
      <c r="RE24" s="456" t="s">
        <v>22</v>
      </c>
      <c r="RF24" s="432" t="s">
        <v>22</v>
      </c>
      <c r="RG24" s="456" t="s">
        <v>22</v>
      </c>
      <c r="RH24" s="432" t="s">
        <v>22</v>
      </c>
      <c r="RI24" s="456" t="s">
        <v>22</v>
      </c>
      <c r="RJ24" s="506">
        <v>44379</v>
      </c>
      <c r="RK24" s="456" t="str">
        <f>CHOOSE(WEEKDAY(RJ24,2),"Monday","Tuesday","Wednesday","Thursday","Friday","Saturday","Sunday")</f>
        <v>Friday</v>
      </c>
      <c r="RL24" s="425" t="s">
        <v>22</v>
      </c>
      <c r="RM24" s="425" t="s">
        <v>22</v>
      </c>
      <c r="RN24" s="432" t="s">
        <v>22</v>
      </c>
      <c r="RO24" s="456" t="s">
        <v>22</v>
      </c>
      <c r="RP24" s="425" t="s">
        <v>22</v>
      </c>
      <c r="RQ24" s="425" t="s">
        <v>22</v>
      </c>
      <c r="RR24" s="432" t="s">
        <v>22</v>
      </c>
      <c r="RS24" s="456" t="s">
        <v>22</v>
      </c>
      <c r="RT24" s="432" t="s">
        <v>22</v>
      </c>
      <c r="RU24" s="456" t="s">
        <v>22</v>
      </c>
      <c r="RV24" s="425" t="s">
        <v>22</v>
      </c>
      <c r="RW24" s="425" t="s">
        <v>22</v>
      </c>
      <c r="RX24" s="432" t="s">
        <v>22</v>
      </c>
      <c r="RY24" s="456" t="s">
        <v>22</v>
      </c>
      <c r="RZ24" s="432" t="s">
        <v>22</v>
      </c>
      <c r="SA24" s="425" t="s">
        <v>22</v>
      </c>
      <c r="SB24" s="432" t="s">
        <v>22</v>
      </c>
      <c r="SC24" s="456" t="s">
        <v>22</v>
      </c>
      <c r="SD24" s="432" t="s">
        <v>22</v>
      </c>
      <c r="SE24" s="456" t="s">
        <v>22</v>
      </c>
      <c r="SF24" s="432" t="s">
        <v>22</v>
      </c>
      <c r="SG24" s="456" t="s">
        <v>22</v>
      </c>
      <c r="SH24" s="432" t="s">
        <v>22</v>
      </c>
      <c r="SI24" s="456" t="s">
        <v>22</v>
      </c>
      <c r="SJ24" s="425" t="s">
        <v>22</v>
      </c>
      <c r="SK24" s="425" t="s">
        <v>22</v>
      </c>
      <c r="SL24" s="432" t="s">
        <v>22</v>
      </c>
      <c r="SM24" s="456" t="s">
        <v>22</v>
      </c>
      <c r="SN24" s="432" t="s">
        <v>22</v>
      </c>
      <c r="SO24" s="456" t="s">
        <v>22</v>
      </c>
      <c r="SP24" s="425" t="s">
        <v>22</v>
      </c>
      <c r="SQ24" s="425" t="s">
        <v>22</v>
      </c>
      <c r="SR24" s="506">
        <v>44391</v>
      </c>
      <c r="SS24" s="456" t="str">
        <f>CHOOSE(WEEKDAY(SR24,2),"Monday","Tuesday","Wednesday","Thursday","Friday","Saturday","Sunday")</f>
        <v>Wednesday</v>
      </c>
      <c r="ST24" s="425" t="s">
        <v>22</v>
      </c>
      <c r="SU24" s="425" t="s">
        <v>22</v>
      </c>
      <c r="SV24" s="432" t="s">
        <v>22</v>
      </c>
      <c r="SW24" s="456" t="s">
        <v>22</v>
      </c>
      <c r="SX24" s="432" t="s">
        <v>22</v>
      </c>
      <c r="SY24" s="456" t="s">
        <v>22</v>
      </c>
      <c r="SZ24" s="432" t="s">
        <v>22</v>
      </c>
      <c r="TA24" s="456" t="s">
        <v>22</v>
      </c>
      <c r="TB24" s="432" t="s">
        <v>22</v>
      </c>
      <c r="TC24" s="456" t="s">
        <v>22</v>
      </c>
      <c r="TD24" s="425" t="s">
        <v>22</v>
      </c>
      <c r="TE24" s="425" t="s">
        <v>22</v>
      </c>
      <c r="TF24" s="432" t="s">
        <v>22</v>
      </c>
      <c r="TG24" s="456" t="s">
        <v>22</v>
      </c>
      <c r="TH24" s="432" t="s">
        <v>22</v>
      </c>
      <c r="TI24" s="456" t="s">
        <v>22</v>
      </c>
      <c r="TJ24" s="518">
        <v>44400</v>
      </c>
      <c r="TK24" s="456" t="str">
        <f>CHOOSE(WEEKDAY(TJ24,2),"Monday","Tuesday","Wednesday","Thursday","Friday","Saturday","Sunday")</f>
        <v>Friday</v>
      </c>
      <c r="TL24" s="432" t="s">
        <v>22</v>
      </c>
      <c r="TM24" s="456" t="s">
        <v>22</v>
      </c>
      <c r="TN24" s="432" t="s">
        <v>22</v>
      </c>
      <c r="TO24" s="456" t="s">
        <v>22</v>
      </c>
      <c r="TP24" s="506">
        <v>44407</v>
      </c>
      <c r="TQ24" s="456" t="str">
        <f>CHOOSE(WEEKDAY(TP24,2),"Monday","Tuesday","Wednesday","Thursday","Friday","Saturday","Sunday")</f>
        <v>Friday</v>
      </c>
      <c r="TR24" s="432" t="s">
        <v>22</v>
      </c>
      <c r="TS24" s="456" t="s">
        <v>22</v>
      </c>
      <c r="TT24" s="432" t="s">
        <v>22</v>
      </c>
      <c r="TU24" s="456" t="s">
        <v>22</v>
      </c>
      <c r="TV24" s="506">
        <v>44410</v>
      </c>
      <c r="TW24" s="456" t="str">
        <f>CHOOSE(WEEKDAY(TV24,2),"Monday","Tuesday","Wednesday","Thursday","Friday","Saturday","Sunday")</f>
        <v>Monday</v>
      </c>
      <c r="TX24" s="432" t="s">
        <v>22</v>
      </c>
      <c r="TY24" s="456" t="s">
        <v>22</v>
      </c>
      <c r="TZ24" s="425" t="s">
        <v>22</v>
      </c>
      <c r="UA24" s="425" t="s">
        <v>22</v>
      </c>
      <c r="UB24" s="432" t="s">
        <v>22</v>
      </c>
      <c r="UC24" s="456" t="s">
        <v>22</v>
      </c>
      <c r="UD24" s="432" t="s">
        <v>22</v>
      </c>
      <c r="UE24" s="456" t="s">
        <v>22</v>
      </c>
      <c r="UF24" s="432" t="s">
        <v>22</v>
      </c>
      <c r="UG24" s="456" t="s">
        <v>22</v>
      </c>
      <c r="UH24" s="425" t="s">
        <v>22</v>
      </c>
      <c r="UI24" s="425" t="s">
        <v>22</v>
      </c>
      <c r="UJ24" s="432" t="s">
        <v>22</v>
      </c>
      <c r="UK24" s="456" t="s">
        <v>22</v>
      </c>
      <c r="UL24" s="432" t="s">
        <v>22</v>
      </c>
      <c r="UM24" s="456" t="s">
        <v>22</v>
      </c>
      <c r="UN24" s="506">
        <v>44420</v>
      </c>
      <c r="UO24" s="456" t="str">
        <f>CHOOSE(WEEKDAY(UN24,2),"Monday","Tuesday","Wednesday","Thursday","Friday","Saturday","Sunday")</f>
        <v>Thursday</v>
      </c>
      <c r="UP24" s="432" t="s">
        <v>22</v>
      </c>
      <c r="UQ24" s="456" t="s">
        <v>22</v>
      </c>
      <c r="UR24" s="425" t="s">
        <v>22</v>
      </c>
      <c r="US24" s="425" t="s">
        <v>22</v>
      </c>
      <c r="UT24" s="432" t="s">
        <v>22</v>
      </c>
      <c r="UU24" s="456" t="s">
        <v>22</v>
      </c>
      <c r="UV24" s="432" t="s">
        <v>22</v>
      </c>
      <c r="UW24" s="456" t="s">
        <v>22</v>
      </c>
      <c r="UX24" s="432" t="s">
        <v>22</v>
      </c>
      <c r="UY24" s="456" t="s">
        <v>22</v>
      </c>
      <c r="UZ24" s="425" t="s">
        <v>22</v>
      </c>
      <c r="VA24" s="425" t="s">
        <v>22</v>
      </c>
      <c r="VB24" s="432" t="s">
        <v>22</v>
      </c>
      <c r="VC24" s="456" t="s">
        <v>22</v>
      </c>
      <c r="VD24" s="432" t="s">
        <v>22</v>
      </c>
      <c r="VE24" s="456" t="s">
        <v>22</v>
      </c>
      <c r="VF24" s="432" t="s">
        <v>22</v>
      </c>
      <c r="VG24" s="456" t="s">
        <v>22</v>
      </c>
      <c r="VH24" s="425" t="s">
        <v>22</v>
      </c>
      <c r="VI24" s="425" t="s">
        <v>22</v>
      </c>
      <c r="VJ24" s="432" t="s">
        <v>22</v>
      </c>
      <c r="VK24" s="456" t="s">
        <v>22</v>
      </c>
      <c r="VL24" s="432" t="s">
        <v>22</v>
      </c>
      <c r="VM24" s="456" t="s">
        <v>22</v>
      </c>
      <c r="VN24" s="432" t="s">
        <v>22</v>
      </c>
      <c r="VO24" s="425" t="s">
        <v>22</v>
      </c>
      <c r="VP24" s="432" t="s">
        <v>22</v>
      </c>
      <c r="VQ24" s="456" t="s">
        <v>22</v>
      </c>
      <c r="VR24" s="432" t="s">
        <v>22</v>
      </c>
      <c r="VS24" s="456" t="s">
        <v>22</v>
      </c>
      <c r="VT24" s="432" t="s">
        <v>22</v>
      </c>
      <c r="VU24" s="456" t="s">
        <v>22</v>
      </c>
      <c r="VV24" s="432" t="s">
        <v>22</v>
      </c>
      <c r="VW24" s="456" t="s">
        <v>22</v>
      </c>
      <c r="VX24" s="432" t="s">
        <v>22</v>
      </c>
      <c r="VY24" s="456" t="s">
        <v>22</v>
      </c>
      <c r="VZ24" s="425" t="s">
        <v>22</v>
      </c>
      <c r="WA24" s="425" t="s">
        <v>22</v>
      </c>
      <c r="WB24" s="432" t="s">
        <v>22</v>
      </c>
      <c r="WC24" s="456" t="s">
        <v>22</v>
      </c>
      <c r="WD24" s="432" t="s">
        <v>22</v>
      </c>
      <c r="WE24" s="456" t="s">
        <v>22</v>
      </c>
      <c r="WF24" s="432" t="s">
        <v>22</v>
      </c>
      <c r="WG24" s="456" t="s">
        <v>22</v>
      </c>
      <c r="WH24" s="432" t="s">
        <v>22</v>
      </c>
      <c r="WI24" s="456" t="s">
        <v>22</v>
      </c>
      <c r="WJ24" s="432" t="s">
        <v>22</v>
      </c>
      <c r="WK24" s="456" t="s">
        <v>22</v>
      </c>
      <c r="WL24" s="425" t="s">
        <v>22</v>
      </c>
      <c r="WM24" s="425" t="s">
        <v>22</v>
      </c>
      <c r="WN24" s="432" t="s">
        <v>22</v>
      </c>
      <c r="WO24" s="456" t="s">
        <v>22</v>
      </c>
      <c r="WP24" s="425" t="s">
        <v>22</v>
      </c>
      <c r="WQ24" s="425" t="s">
        <v>22</v>
      </c>
      <c r="WR24" s="432" t="s">
        <v>22</v>
      </c>
      <c r="WS24" s="425" t="s">
        <v>22</v>
      </c>
      <c r="WT24" s="432" t="s">
        <v>22</v>
      </c>
      <c r="WU24" s="456" t="s">
        <v>22</v>
      </c>
      <c r="WV24" s="432" t="s">
        <v>22</v>
      </c>
      <c r="WW24" s="456" t="s">
        <v>22</v>
      </c>
      <c r="WX24" s="506">
        <v>44449</v>
      </c>
      <c r="WY24" s="456" t="str">
        <f>CHOOSE(WEEKDAY(WX24,2),"Monday","Tuesday","Wednesday","Thursday","Friday","Saturday","Sunday")</f>
        <v>Friday</v>
      </c>
      <c r="WZ24" s="432" t="s">
        <v>22</v>
      </c>
      <c r="XA24" s="456" t="s">
        <v>22</v>
      </c>
      <c r="XB24" s="432" t="s">
        <v>22</v>
      </c>
      <c r="XC24" s="456" t="s">
        <v>22</v>
      </c>
      <c r="XD24" s="432" t="s">
        <v>22</v>
      </c>
      <c r="XE24" s="456" t="s">
        <v>22</v>
      </c>
      <c r="XF24" s="432" t="s">
        <v>22</v>
      </c>
      <c r="XG24" s="456" t="s">
        <v>22</v>
      </c>
      <c r="XH24" s="425" t="s">
        <v>22</v>
      </c>
      <c r="XI24" s="425" t="s">
        <v>22</v>
      </c>
      <c r="XJ24" s="432" t="s">
        <v>22</v>
      </c>
      <c r="XK24" s="456" t="s">
        <v>22</v>
      </c>
      <c r="XL24" s="425" t="s">
        <v>22</v>
      </c>
      <c r="XM24" s="425" t="s">
        <v>22</v>
      </c>
      <c r="XN24" s="432" t="s">
        <v>22</v>
      </c>
      <c r="XO24" s="456" t="s">
        <v>22</v>
      </c>
      <c r="XP24" s="432" t="s">
        <v>22</v>
      </c>
      <c r="XQ24" s="456" t="s">
        <v>22</v>
      </c>
      <c r="XR24" s="425" t="s">
        <v>22</v>
      </c>
      <c r="XS24" s="425" t="s">
        <v>22</v>
      </c>
      <c r="XT24" s="432" t="s">
        <v>22</v>
      </c>
      <c r="XU24" s="456" t="s">
        <v>22</v>
      </c>
      <c r="XV24" s="506">
        <v>44454</v>
      </c>
      <c r="XW24" s="456" t="str">
        <f>CHOOSE(WEEKDAY(XV24,2),"Monday","Tuesday","Wednesday","Thursday","Friday","Saturday","Sunday")</f>
        <v>Wednesday</v>
      </c>
      <c r="XX24" s="432" t="s">
        <v>22</v>
      </c>
      <c r="XY24" s="456" t="s">
        <v>22</v>
      </c>
      <c r="XZ24" s="425" t="s">
        <v>22</v>
      </c>
      <c r="YA24" s="425" t="s">
        <v>22</v>
      </c>
      <c r="YB24" s="432" t="s">
        <v>22</v>
      </c>
      <c r="YC24" s="456" t="s">
        <v>22</v>
      </c>
      <c r="YD24" s="432" t="s">
        <v>22</v>
      </c>
      <c r="YE24" s="456" t="s">
        <v>22</v>
      </c>
      <c r="YF24" s="506">
        <v>44456</v>
      </c>
      <c r="YG24" s="456" t="str">
        <f>CHOOSE(WEEKDAY(YF24,2),"Monday","Tuesday","Wednesday","Thursday","Friday","Saturday","Sunday")</f>
        <v>Friday</v>
      </c>
      <c r="YH24" s="432" t="s">
        <v>22</v>
      </c>
      <c r="YI24" s="456" t="s">
        <v>22</v>
      </c>
      <c r="YJ24" s="425" t="s">
        <v>22</v>
      </c>
      <c r="YK24" s="425" t="s">
        <v>22</v>
      </c>
      <c r="YL24" s="432" t="s">
        <v>22</v>
      </c>
      <c r="YM24" s="456" t="s">
        <v>22</v>
      </c>
      <c r="YN24" s="432" t="s">
        <v>22</v>
      </c>
      <c r="YO24" s="456" t="s">
        <v>22</v>
      </c>
      <c r="YP24" s="432" t="s">
        <v>22</v>
      </c>
      <c r="YQ24" s="456" t="s">
        <v>22</v>
      </c>
      <c r="YR24" s="432" t="s">
        <v>22</v>
      </c>
      <c r="YS24" s="456" t="s">
        <v>22</v>
      </c>
      <c r="YT24" s="425" t="s">
        <v>22</v>
      </c>
      <c r="YU24" s="425" t="s">
        <v>22</v>
      </c>
      <c r="YV24" s="432" t="s">
        <v>22</v>
      </c>
      <c r="YW24" s="456" t="s">
        <v>22</v>
      </c>
      <c r="YX24" s="432" t="s">
        <v>22</v>
      </c>
      <c r="YY24" s="456" t="s">
        <v>22</v>
      </c>
      <c r="YZ24" s="425" t="s">
        <v>22</v>
      </c>
      <c r="ZA24" s="425" t="s">
        <v>22</v>
      </c>
      <c r="ZB24" s="432" t="s">
        <v>22</v>
      </c>
      <c r="ZC24" s="456" t="s">
        <v>22</v>
      </c>
      <c r="ZD24" s="425" t="s">
        <v>22</v>
      </c>
      <c r="ZE24" s="425" t="s">
        <v>22</v>
      </c>
      <c r="ZF24" s="432" t="s">
        <v>22</v>
      </c>
      <c r="ZG24" s="456" t="s">
        <v>22</v>
      </c>
      <c r="ZH24" s="432" t="s">
        <v>22</v>
      </c>
      <c r="ZI24" s="456" t="s">
        <v>22</v>
      </c>
      <c r="ZJ24" s="432" t="s">
        <v>22</v>
      </c>
      <c r="ZK24" s="456" t="s">
        <v>22</v>
      </c>
      <c r="ZL24" s="425" t="s">
        <v>22</v>
      </c>
      <c r="ZM24" s="425" t="s">
        <v>22</v>
      </c>
      <c r="ZN24" s="506">
        <v>44470</v>
      </c>
      <c r="ZO24" s="456" t="str">
        <f>CHOOSE(WEEKDAY(ZN24,2),"Monday","Tuesday","Wednesday","Thursday","Friday","Saturday","Sunday")</f>
        <v>Friday</v>
      </c>
      <c r="ZP24" s="432" t="s">
        <v>22</v>
      </c>
      <c r="ZQ24" s="456" t="s">
        <v>22</v>
      </c>
      <c r="ZR24" s="506">
        <v>44470</v>
      </c>
      <c r="ZS24" s="456" t="str">
        <f>CHOOSE(WEEKDAY(ZR24,2),"Monday","Tuesday","Wednesday","Thursday","Friday","Saturday","Sunday")</f>
        <v>Friday</v>
      </c>
      <c r="ZT24" s="432" t="s">
        <v>22</v>
      </c>
      <c r="ZU24" s="456" t="s">
        <v>22</v>
      </c>
      <c r="ZV24" s="432" t="s">
        <v>22</v>
      </c>
      <c r="ZW24" s="456" t="s">
        <v>22</v>
      </c>
      <c r="ZX24" s="425" t="s">
        <v>22</v>
      </c>
      <c r="ZY24" s="425" t="s">
        <v>22</v>
      </c>
      <c r="ZZ24" s="432" t="s">
        <v>22</v>
      </c>
      <c r="AAA24" s="456" t="s">
        <v>22</v>
      </c>
      <c r="AAB24" s="432" t="s">
        <v>22</v>
      </c>
      <c r="AAC24" s="456" t="s">
        <v>22</v>
      </c>
      <c r="AAD24" s="432" t="s">
        <v>22</v>
      </c>
      <c r="AAE24" s="456" t="s">
        <v>22</v>
      </c>
      <c r="AAF24" s="432" t="s">
        <v>22</v>
      </c>
      <c r="AAG24" s="456" t="s">
        <v>22</v>
      </c>
      <c r="AAH24" s="425" t="s">
        <v>22</v>
      </c>
      <c r="AAI24" s="425" t="s">
        <v>22</v>
      </c>
      <c r="AAJ24" s="432" t="s">
        <v>22</v>
      </c>
      <c r="AAK24" s="456" t="s">
        <v>22</v>
      </c>
      <c r="AAL24" s="432" t="s">
        <v>22</v>
      </c>
      <c r="AAM24" s="456" t="s">
        <v>22</v>
      </c>
      <c r="AAN24" s="506">
        <v>44484</v>
      </c>
      <c r="AAO24" s="456" t="str">
        <f>CHOOSE(WEEKDAY(AAN24,2),"Monday","Tuesday","Wednesday","Thursday","Friday","Saturday","Sunday")</f>
        <v>Friday</v>
      </c>
      <c r="AAP24" s="432" t="s">
        <v>22</v>
      </c>
      <c r="AAQ24" s="456" t="s">
        <v>22</v>
      </c>
      <c r="AAR24" s="432" t="s">
        <v>22</v>
      </c>
      <c r="AAS24" s="456" t="s">
        <v>22</v>
      </c>
      <c r="AAT24" s="425" t="s">
        <v>22</v>
      </c>
      <c r="AAU24" s="425" t="s">
        <v>22</v>
      </c>
      <c r="AAV24" s="432" t="s">
        <v>22</v>
      </c>
      <c r="AAW24" s="456" t="s">
        <v>22</v>
      </c>
      <c r="AAX24" s="425" t="s">
        <v>22</v>
      </c>
      <c r="AAY24" s="425" t="s">
        <v>22</v>
      </c>
      <c r="AAZ24" s="432" t="s">
        <v>22</v>
      </c>
      <c r="ABA24" s="456" t="s">
        <v>22</v>
      </c>
      <c r="ABB24" s="432" t="s">
        <v>22</v>
      </c>
      <c r="ABC24" s="456" t="s">
        <v>22</v>
      </c>
      <c r="ABD24" s="432" t="s">
        <v>22</v>
      </c>
      <c r="ABE24" s="456" t="s">
        <v>22</v>
      </c>
      <c r="ABF24" s="425" t="s">
        <v>22</v>
      </c>
      <c r="ABG24" s="425" t="s">
        <v>22</v>
      </c>
      <c r="ABH24" s="432" t="s">
        <v>22</v>
      </c>
      <c r="ABI24" s="456" t="s">
        <v>22</v>
      </c>
      <c r="ABJ24" s="432" t="s">
        <v>22</v>
      </c>
      <c r="ABK24" s="456" t="s">
        <v>22</v>
      </c>
      <c r="ABL24" s="432" t="s">
        <v>22</v>
      </c>
      <c r="ABM24" s="456" t="s">
        <v>22</v>
      </c>
      <c r="ABN24" s="432" t="s">
        <v>22</v>
      </c>
      <c r="ABO24" s="456" t="s">
        <v>22</v>
      </c>
      <c r="ABP24" s="425" t="s">
        <v>22</v>
      </c>
      <c r="ABQ24" s="425" t="s">
        <v>22</v>
      </c>
      <c r="ABR24" s="432" t="s">
        <v>22</v>
      </c>
      <c r="ABS24" s="456" t="s">
        <v>22</v>
      </c>
      <c r="ABT24" s="432" t="s">
        <v>22</v>
      </c>
      <c r="ABU24" s="456" t="s">
        <v>22</v>
      </c>
      <c r="ABV24" s="432" t="s">
        <v>22</v>
      </c>
      <c r="ABW24" s="456" t="s">
        <v>22</v>
      </c>
      <c r="ABX24" s="425" t="s">
        <v>22</v>
      </c>
      <c r="ABY24" s="425" t="s">
        <v>22</v>
      </c>
      <c r="ABZ24" s="432" t="s">
        <v>22</v>
      </c>
      <c r="ACA24" s="456" t="s">
        <v>22</v>
      </c>
      <c r="ACB24" s="432" t="s">
        <v>22</v>
      </c>
      <c r="ACC24" s="456" t="s">
        <v>22</v>
      </c>
      <c r="ACD24" s="432" t="s">
        <v>22</v>
      </c>
      <c r="ACE24" s="456" t="s">
        <v>22</v>
      </c>
      <c r="ACF24" s="432" t="s">
        <v>22</v>
      </c>
      <c r="ACG24" s="456" t="s">
        <v>22</v>
      </c>
      <c r="ACH24" s="432" t="s">
        <v>22</v>
      </c>
      <c r="ACI24" s="456" t="s">
        <v>22</v>
      </c>
      <c r="ACJ24" s="425" t="s">
        <v>22</v>
      </c>
      <c r="ACK24" s="425" t="s">
        <v>22</v>
      </c>
      <c r="ACL24" s="432" t="s">
        <v>22</v>
      </c>
      <c r="ACM24" s="456" t="s">
        <v>22</v>
      </c>
      <c r="ACN24" s="506">
        <v>44498</v>
      </c>
      <c r="ACO24" s="456" t="str">
        <f>CHOOSE(WEEKDAY(ACN24,2),"Monday","Tuesday","Wednesday","Thursday","Friday","Saturday","Sunday")</f>
        <v>Friday</v>
      </c>
      <c r="ACP24" s="432" t="s">
        <v>22</v>
      </c>
      <c r="ACQ24" s="456" t="s">
        <v>22</v>
      </c>
      <c r="ACR24" s="506">
        <v>44504</v>
      </c>
      <c r="ACS24" s="456" t="str">
        <f>CHOOSE(WEEKDAY(ACR24,2),"Monday","Tuesday","Wednesday","Thursday","Friday","Saturday","Sunday")</f>
        <v>Thursday</v>
      </c>
      <c r="ACT24" s="293">
        <v>44501</v>
      </c>
      <c r="ACU24" s="104" t="str">
        <f t="shared" si="66"/>
        <v>Monday</v>
      </c>
      <c r="ACV24" s="432" t="s">
        <v>22</v>
      </c>
      <c r="ACW24" s="456" t="s">
        <v>22</v>
      </c>
      <c r="ACX24" s="425" t="s">
        <v>22</v>
      </c>
      <c r="ACY24" s="425" t="s">
        <v>22</v>
      </c>
      <c r="ACZ24" s="432" t="s">
        <v>22</v>
      </c>
      <c r="ADA24" s="456" t="s">
        <v>22</v>
      </c>
      <c r="ADB24" s="432" t="s">
        <v>22</v>
      </c>
      <c r="ADC24" s="456" t="s">
        <v>22</v>
      </c>
      <c r="ADD24" s="432" t="s">
        <v>22</v>
      </c>
      <c r="ADE24" s="456" t="s">
        <v>22</v>
      </c>
      <c r="ADF24" s="432" t="s">
        <v>22</v>
      </c>
      <c r="ADG24" s="456" t="s">
        <v>22</v>
      </c>
      <c r="ADH24" s="432" t="s">
        <v>22</v>
      </c>
      <c r="ADI24" s="456" t="s">
        <v>22</v>
      </c>
      <c r="ADJ24" s="506">
        <v>44514</v>
      </c>
      <c r="ADK24" s="456" t="str">
        <f>CHOOSE(WEEKDAY(ADJ24,2),"Monday","Tuesday","Wednesday","Thursday","Friday","Saturday","Sunday")</f>
        <v>Sunday</v>
      </c>
      <c r="ADL24" s="506">
        <v>44511</v>
      </c>
      <c r="ADM24" s="456" t="str">
        <f>CHOOSE(WEEKDAY(ADL24,2),"Monday","Tuesday","Wednesday","Thursday","Friday","Saturday","Sunday")</f>
        <v>Thursday</v>
      </c>
      <c r="ADN24" s="506">
        <v>44511</v>
      </c>
      <c r="ADO24" s="456" t="str">
        <f>CHOOSE(WEEKDAY(ADN24,2),"Monday","Tuesday","Wednesday","Thursday","Friday","Saturday","Sunday")</f>
        <v>Thursday</v>
      </c>
      <c r="ADP24" s="432" t="s">
        <v>22</v>
      </c>
      <c r="ADQ24" s="456" t="s">
        <v>22</v>
      </c>
      <c r="ADR24" s="425" t="s">
        <v>22</v>
      </c>
      <c r="ADS24" s="456" t="s">
        <v>22</v>
      </c>
      <c r="ADT24" s="432" t="s">
        <v>22</v>
      </c>
      <c r="ADU24" s="456" t="s">
        <v>22</v>
      </c>
      <c r="ADV24" s="425" t="s">
        <v>22</v>
      </c>
      <c r="ADW24" s="425" t="s">
        <v>22</v>
      </c>
      <c r="ADX24" s="432" t="s">
        <v>22</v>
      </c>
      <c r="ADY24" s="456" t="s">
        <v>22</v>
      </c>
      <c r="ADZ24" s="432" t="s">
        <v>22</v>
      </c>
      <c r="AEA24" s="456" t="s">
        <v>22</v>
      </c>
      <c r="AEB24" s="506">
        <v>44519</v>
      </c>
      <c r="AEC24" s="456" t="str">
        <f>CHOOSE(WEEKDAY(AEB24,2),"Monday","Tuesday","Wednesday","Thursday","Friday","Saturday","Sunday")</f>
        <v>Friday</v>
      </c>
      <c r="AED24" s="425" t="s">
        <v>22</v>
      </c>
      <c r="AEE24" s="425" t="s">
        <v>22</v>
      </c>
      <c r="AEF24" s="432" t="s">
        <v>22</v>
      </c>
      <c r="AEG24" s="456" t="s">
        <v>22</v>
      </c>
      <c r="AEH24" s="506">
        <v>44524</v>
      </c>
      <c r="AEI24" s="456" t="str">
        <f>CHOOSE(WEEKDAY(AEH24,2),"Monday","Tuesday","Wednesday","Thursday","Friday","Saturday","Sunday")</f>
        <v>Wednesday</v>
      </c>
      <c r="AEJ24" s="506">
        <v>44525</v>
      </c>
      <c r="AEK24" s="456" t="str">
        <f>CHOOSE(WEEKDAY(AEJ24,2),"Monday","Tuesday","Wednesday","Thursday","Friday","Saturday","Sunday")</f>
        <v>Thursday</v>
      </c>
      <c r="AEL24" s="506">
        <v>44526</v>
      </c>
      <c r="AEM24" s="456" t="str">
        <f>CHOOSE(WEEKDAY(AEL24,2),"Monday","Tuesday","Wednesday","Thursday","Friday","Saturday","Sunday")</f>
        <v>Friday</v>
      </c>
      <c r="AEN24" s="432" t="s">
        <v>22</v>
      </c>
      <c r="AEO24" s="456" t="s">
        <v>22</v>
      </c>
      <c r="AEP24" s="432" t="s">
        <v>22</v>
      </c>
      <c r="AEQ24" s="456" t="s">
        <v>22</v>
      </c>
      <c r="AER24" s="425" t="s">
        <v>22</v>
      </c>
      <c r="AES24" s="425" t="s">
        <v>22</v>
      </c>
      <c r="AET24" s="432" t="s">
        <v>22</v>
      </c>
      <c r="AEU24" s="456" t="s">
        <v>22</v>
      </c>
      <c r="AEV24" s="425" t="s">
        <v>22</v>
      </c>
      <c r="AEW24" s="425" t="s">
        <v>22</v>
      </c>
      <c r="AEX24" s="432" t="s">
        <v>22</v>
      </c>
      <c r="AEY24" s="456" t="s">
        <v>22</v>
      </c>
      <c r="AEZ24" s="432" t="s">
        <v>22</v>
      </c>
      <c r="AFA24" s="456" t="s">
        <v>22</v>
      </c>
      <c r="AFB24" s="432" t="s">
        <v>22</v>
      </c>
      <c r="AFC24" s="456" t="s">
        <v>22</v>
      </c>
      <c r="AFD24" s="432" t="s">
        <v>22</v>
      </c>
      <c r="AFE24" s="456" t="s">
        <v>22</v>
      </c>
      <c r="AFF24" s="425" t="s">
        <v>22</v>
      </c>
      <c r="AFG24" s="425" t="s">
        <v>22</v>
      </c>
      <c r="AFH24" s="432" t="s">
        <v>22</v>
      </c>
      <c r="AFI24" s="456" t="s">
        <v>22</v>
      </c>
      <c r="AFJ24" s="425" t="s">
        <v>22</v>
      </c>
      <c r="AFK24" s="425" t="s">
        <v>22</v>
      </c>
      <c r="AFL24" s="432" t="s">
        <v>22</v>
      </c>
      <c r="AFM24" s="456" t="s">
        <v>22</v>
      </c>
      <c r="AFN24" s="506">
        <v>44533</v>
      </c>
      <c r="AFO24" s="456" t="str">
        <f>CHOOSE(WEEKDAY(AFN24,2),"Monday","Tuesday","Wednesday","Thursday","Friday","Saturday","Sunday")</f>
        <v>Friday</v>
      </c>
      <c r="AFP24" s="432" t="s">
        <v>22</v>
      </c>
      <c r="AFQ24" s="456" t="s">
        <v>22</v>
      </c>
      <c r="AFR24" s="506">
        <v>44537</v>
      </c>
      <c r="AFS24" s="456" t="str">
        <f>CHOOSE(WEEKDAY(AFR24,2),"Monday","Tuesday","Wednesday","Thursday","Friday","Saturday","Sunday")</f>
        <v>Tuesday</v>
      </c>
      <c r="AFT24" s="432" t="s">
        <v>22</v>
      </c>
      <c r="AFU24" s="456" t="s">
        <v>22</v>
      </c>
      <c r="AFV24" s="425" t="s">
        <v>22</v>
      </c>
      <c r="AFW24" s="425" t="s">
        <v>22</v>
      </c>
      <c r="AFX24" s="506">
        <v>44539</v>
      </c>
      <c r="AFY24" s="456" t="str">
        <f>CHOOSE(WEEKDAY(AFX24,2),"Monday","Tuesday","Wednesday","Thursday","Friday","Saturday","Sunday")</f>
        <v>Thursday</v>
      </c>
      <c r="AFZ24" s="432" t="s">
        <v>22</v>
      </c>
      <c r="AGA24" s="456" t="s">
        <v>22</v>
      </c>
      <c r="AGB24" s="432" t="s">
        <v>22</v>
      </c>
      <c r="AGC24" s="456" t="s">
        <v>22</v>
      </c>
      <c r="AGD24" s="425" t="s">
        <v>22</v>
      </c>
      <c r="AGE24" s="425" t="s">
        <v>22</v>
      </c>
      <c r="AGF24" s="432" t="s">
        <v>22</v>
      </c>
      <c r="AGG24" s="456" t="s">
        <v>22</v>
      </c>
      <c r="AGH24" s="432" t="s">
        <v>22</v>
      </c>
      <c r="AGI24" s="456" t="s">
        <v>22</v>
      </c>
      <c r="AGJ24" s="425" t="s">
        <v>22</v>
      </c>
      <c r="AGK24" s="425" t="s">
        <v>22</v>
      </c>
      <c r="AGL24" s="432" t="s">
        <v>22</v>
      </c>
      <c r="AGM24" s="456" t="s">
        <v>22</v>
      </c>
      <c r="AGN24" s="432" t="s">
        <v>22</v>
      </c>
      <c r="AGO24" s="456" t="s">
        <v>22</v>
      </c>
      <c r="AGP24" s="506">
        <v>44546</v>
      </c>
      <c r="AGQ24" s="456" t="str">
        <f>CHOOSE(WEEKDAY(AGP24,2),"Monday","Tuesday","Wednesday","Thursday","Friday","Saturday","Sunday")</f>
        <v>Thursday</v>
      </c>
      <c r="AGR24" s="432" t="s">
        <v>22</v>
      </c>
      <c r="AGS24" s="456" t="s">
        <v>22</v>
      </c>
      <c r="AGT24" s="506">
        <v>44540</v>
      </c>
      <c r="AGU24" s="456" t="str">
        <f>CHOOSE(WEEKDAY(AGT24,2),"Monday","Tuesday","Wednesday","Thursday","Friday","Saturday","Sunday")</f>
        <v>Friday</v>
      </c>
      <c r="AGV24" s="425" t="s">
        <v>22</v>
      </c>
      <c r="AGW24" s="456" t="s">
        <v>22</v>
      </c>
      <c r="AGX24" s="432" t="s">
        <v>22</v>
      </c>
      <c r="AGY24" s="456" t="s">
        <v>22</v>
      </c>
      <c r="AGZ24" s="506">
        <v>44550</v>
      </c>
      <c r="AHA24" s="456" t="str">
        <f>CHOOSE(WEEKDAY(AGZ24,2),"Monday","Tuesday","Wednesday","Thursday","Friday","Saturday","Sunday")</f>
        <v>Monday</v>
      </c>
      <c r="AHB24" s="432" t="s">
        <v>22</v>
      </c>
      <c r="AHC24" s="456" t="s">
        <v>22</v>
      </c>
      <c r="AHD24" s="432" t="s">
        <v>22</v>
      </c>
      <c r="AHE24" s="456" t="s">
        <v>22</v>
      </c>
      <c r="AHF24" s="432" t="s">
        <v>22</v>
      </c>
      <c r="AHG24" s="456" t="s">
        <v>22</v>
      </c>
      <c r="AHH24" s="506">
        <v>44554</v>
      </c>
      <c r="AHI24" s="456" t="str">
        <f>CHOOSE(WEEKDAY(AHH24,2),"Monday","Tuesday","Wednesday","Thursday","Friday","Saturday","Sunday")</f>
        <v>Friday</v>
      </c>
      <c r="AHJ24" s="432" t="s">
        <v>22</v>
      </c>
      <c r="AHK24" s="456" t="s">
        <v>22</v>
      </c>
      <c r="AHL24" s="506">
        <v>44557</v>
      </c>
      <c r="AHM24" s="456" t="str">
        <f>CHOOSE(WEEKDAY(AHL24,2),"Monday","Tuesday","Wednesday","Thursday","Friday","Saturday","Sunday")</f>
        <v>Monday</v>
      </c>
      <c r="AHN24" s="432" t="s">
        <v>22</v>
      </c>
      <c r="AHO24" s="456" t="s">
        <v>22</v>
      </c>
      <c r="AHP24" s="432" t="s">
        <v>22</v>
      </c>
      <c r="AHQ24" s="456" t="s">
        <v>22</v>
      </c>
      <c r="AHR24" s="432" t="s">
        <v>22</v>
      </c>
      <c r="AHS24" s="425" t="s">
        <v>22</v>
      </c>
      <c r="AHT24" s="432" t="s">
        <v>22</v>
      </c>
      <c r="AHU24" s="425" t="s">
        <v>22</v>
      </c>
      <c r="AHV24" s="432" t="s">
        <v>22</v>
      </c>
      <c r="AHW24" s="456" t="s">
        <v>22</v>
      </c>
      <c r="AHX24" s="291">
        <v>44552</v>
      </c>
      <c r="AHY24" s="104" t="str">
        <f t="shared" si="67"/>
        <v>Wednesday</v>
      </c>
      <c r="AHZ24" s="432" t="s">
        <v>22</v>
      </c>
      <c r="AIA24" s="456" t="s">
        <v>22</v>
      </c>
    </row>
    <row r="25" spans="1:911" ht="15.75" customHeight="1" x14ac:dyDescent="0.2">
      <c r="A25" s="412"/>
      <c r="B25" s="417"/>
      <c r="C25" s="412"/>
      <c r="D25" s="417"/>
      <c r="E25" s="412"/>
      <c r="F25" s="417"/>
      <c r="G25" s="412"/>
      <c r="H25" s="417"/>
      <c r="I25" s="412"/>
      <c r="J25" s="417"/>
      <c r="K25" s="412"/>
      <c r="L25" s="417"/>
      <c r="M25" s="412"/>
      <c r="N25" s="417"/>
      <c r="O25" s="412"/>
      <c r="P25" s="417"/>
      <c r="Q25" s="412"/>
      <c r="R25" s="417"/>
      <c r="S25" s="412"/>
      <c r="T25" s="417"/>
      <c r="U25" s="412"/>
      <c r="V25" s="417"/>
      <c r="W25" s="412"/>
      <c r="X25" s="417"/>
      <c r="Y25" s="412"/>
      <c r="Z25" s="417"/>
      <c r="AA25" s="412"/>
      <c r="AB25" s="417"/>
      <c r="AC25" s="412"/>
      <c r="AD25" s="402"/>
      <c r="AE25" s="402"/>
      <c r="AF25" s="417"/>
      <c r="AG25" s="402"/>
      <c r="AH25" s="417"/>
      <c r="AI25" s="412"/>
      <c r="AJ25" s="402"/>
      <c r="AK25" s="402"/>
      <c r="AL25" s="417"/>
      <c r="AM25" s="412"/>
      <c r="AN25" s="417"/>
      <c r="AO25" s="412"/>
      <c r="AP25" s="417"/>
      <c r="AQ25" s="412"/>
      <c r="AR25" s="417"/>
      <c r="AS25" s="412"/>
      <c r="AT25" s="417"/>
      <c r="AU25" s="412"/>
      <c r="AV25" s="402"/>
      <c r="AW25" s="402"/>
      <c r="AX25" s="417"/>
      <c r="AY25" s="412"/>
      <c r="AZ25" s="417"/>
      <c r="BA25" s="412"/>
      <c r="BB25" s="402"/>
      <c r="BC25" s="402"/>
      <c r="BD25" s="417"/>
      <c r="BE25" s="412"/>
      <c r="BF25" s="417"/>
      <c r="BG25" s="412"/>
      <c r="BH25" s="417"/>
      <c r="BI25" s="412"/>
      <c r="BJ25" s="417"/>
      <c r="BK25" s="412"/>
      <c r="BL25" s="402"/>
      <c r="BM25" s="402"/>
      <c r="BN25" s="417"/>
      <c r="BO25" s="412"/>
      <c r="BP25" s="417"/>
      <c r="BQ25" s="412"/>
      <c r="BR25" s="417"/>
      <c r="BS25" s="412"/>
      <c r="BT25" s="402"/>
      <c r="BU25" s="412"/>
      <c r="BV25" s="417"/>
      <c r="BW25" s="412"/>
      <c r="BX25" s="402"/>
      <c r="BY25" s="402"/>
      <c r="BZ25" s="417"/>
      <c r="CA25" s="412"/>
      <c r="CB25" s="417"/>
      <c r="CC25" s="412"/>
      <c r="CD25" s="417"/>
      <c r="CE25" s="412"/>
      <c r="CF25" s="417"/>
      <c r="CG25" s="412"/>
      <c r="CH25" s="417"/>
      <c r="CI25" s="412"/>
      <c r="CJ25" s="417"/>
      <c r="CK25" s="412"/>
      <c r="CL25" s="402"/>
      <c r="CM25" s="402"/>
      <c r="CN25" s="417"/>
      <c r="CO25" s="412"/>
      <c r="CP25" s="417"/>
      <c r="CQ25" s="412"/>
      <c r="CR25" s="417"/>
      <c r="CS25" s="412"/>
      <c r="CT25" s="402"/>
      <c r="CU25" s="402"/>
      <c r="CV25" s="417"/>
      <c r="CW25" s="412"/>
      <c r="CX25" s="417"/>
      <c r="CY25" s="412"/>
      <c r="CZ25" s="402"/>
      <c r="DA25" s="402"/>
      <c r="DB25" s="417"/>
      <c r="DC25" s="412"/>
      <c r="DD25" s="417"/>
      <c r="DE25" s="412"/>
      <c r="DF25" s="402"/>
      <c r="DG25" s="402"/>
      <c r="DH25" s="417"/>
      <c r="DI25" s="412"/>
      <c r="DJ25" s="417"/>
      <c r="DK25" s="412"/>
      <c r="DL25" s="417"/>
      <c r="DM25" s="412"/>
      <c r="DN25" s="402"/>
      <c r="DO25" s="402"/>
      <c r="DP25" s="417"/>
      <c r="DQ25" s="412"/>
      <c r="DR25" s="417"/>
      <c r="DS25" s="412"/>
      <c r="DT25" s="402"/>
      <c r="DU25" s="412"/>
      <c r="DV25" s="417"/>
      <c r="DW25" s="412"/>
      <c r="DX25" s="417"/>
      <c r="DY25" s="412"/>
      <c r="DZ25" s="402"/>
      <c r="EA25" s="402"/>
      <c r="EB25" s="417"/>
      <c r="EC25" s="412"/>
      <c r="ED25" s="402"/>
      <c r="EE25" s="402"/>
      <c r="EF25" s="417"/>
      <c r="EG25" s="412"/>
      <c r="EH25" s="417"/>
      <c r="EI25" s="412"/>
      <c r="EJ25" s="417"/>
      <c r="EK25" s="412"/>
      <c r="EL25" s="402"/>
      <c r="EM25" s="402"/>
      <c r="EN25" s="417"/>
      <c r="EO25" s="412"/>
      <c r="EP25" s="417"/>
      <c r="EQ25" s="412"/>
      <c r="ER25" s="417"/>
      <c r="ES25" s="412"/>
      <c r="ET25" s="402"/>
      <c r="EU25" s="402"/>
      <c r="EV25" s="417"/>
      <c r="EW25" s="412"/>
      <c r="EX25" s="417"/>
      <c r="EY25" s="412"/>
      <c r="EZ25" s="417"/>
      <c r="FA25" s="412"/>
      <c r="FB25" s="402"/>
      <c r="FC25" s="402"/>
      <c r="FD25" s="417"/>
      <c r="FE25" s="412"/>
      <c r="FF25" s="402"/>
      <c r="FG25" s="412"/>
      <c r="FH25" s="402"/>
      <c r="FI25" s="402"/>
      <c r="FJ25" s="417"/>
      <c r="FK25" s="412"/>
      <c r="FL25" s="417"/>
      <c r="FM25" s="412"/>
      <c r="FN25" s="417"/>
      <c r="FO25" s="412"/>
      <c r="FP25" s="402"/>
      <c r="FQ25" s="402"/>
      <c r="FR25" s="417"/>
      <c r="FS25" s="412"/>
      <c r="FT25" s="417"/>
      <c r="FU25" s="412"/>
      <c r="FV25" s="417"/>
      <c r="FW25" s="412"/>
      <c r="FX25" s="402"/>
      <c r="FY25" s="402"/>
      <c r="FZ25" s="417"/>
      <c r="GA25" s="412"/>
      <c r="GB25" s="417"/>
      <c r="GC25" s="412"/>
      <c r="GD25" s="402"/>
      <c r="GE25" s="402"/>
      <c r="GF25" s="417"/>
      <c r="GG25" s="412"/>
      <c r="GH25" s="402"/>
      <c r="GI25" s="412"/>
      <c r="GJ25" s="417"/>
      <c r="GK25" s="412"/>
      <c r="GL25" s="417"/>
      <c r="GM25" s="412"/>
      <c r="GN25" s="402"/>
      <c r="GO25" s="402"/>
      <c r="GP25" s="417"/>
      <c r="GQ25" s="412"/>
      <c r="GR25" s="417"/>
      <c r="GS25" s="412"/>
      <c r="GT25" s="417"/>
      <c r="GU25" s="412"/>
      <c r="GV25" s="402"/>
      <c r="GW25" s="402"/>
      <c r="GX25" s="417"/>
      <c r="GY25" s="412"/>
      <c r="GZ25" s="417"/>
      <c r="HA25" s="412"/>
      <c r="HB25" s="417"/>
      <c r="HC25" s="412"/>
      <c r="HD25" s="417"/>
      <c r="HE25" s="412"/>
      <c r="HF25" s="417"/>
      <c r="HG25" s="412"/>
      <c r="HH25" s="402"/>
      <c r="HI25" s="402"/>
      <c r="HJ25" s="417"/>
      <c r="HK25" s="412"/>
      <c r="HL25" s="417"/>
      <c r="HM25" s="402"/>
      <c r="HN25" s="514">
        <v>44287</v>
      </c>
      <c r="HO25" s="431" t="str">
        <f t="shared" si="68"/>
        <v>Thursday</v>
      </c>
      <c r="HP25" s="417"/>
      <c r="HQ25" s="412"/>
      <c r="HR25" s="417"/>
      <c r="HS25" s="412"/>
      <c r="HT25" s="417"/>
      <c r="HU25" s="412"/>
      <c r="HV25" s="417"/>
      <c r="HW25" s="412"/>
      <c r="HX25" s="402"/>
      <c r="HY25" s="402"/>
      <c r="HZ25" s="417"/>
      <c r="IA25" s="412"/>
      <c r="IB25" s="417"/>
      <c r="IC25" s="412"/>
      <c r="ID25" s="417"/>
      <c r="IE25" s="412"/>
      <c r="IF25" s="402"/>
      <c r="IG25" s="402"/>
      <c r="IH25" s="417"/>
      <c r="II25" s="412"/>
      <c r="IJ25" s="417"/>
      <c r="IK25" s="412"/>
      <c r="IL25" s="417"/>
      <c r="IM25" s="412"/>
      <c r="IN25" s="417"/>
      <c r="IO25" s="412"/>
      <c r="IP25" s="402"/>
      <c r="IQ25" s="402"/>
      <c r="IR25" s="417"/>
      <c r="IS25" s="412"/>
      <c r="IT25" s="417"/>
      <c r="IU25" s="412"/>
      <c r="IV25" s="417"/>
      <c r="IW25" s="412"/>
      <c r="IX25" s="417"/>
      <c r="IY25" s="412"/>
      <c r="IZ25" s="417"/>
      <c r="JA25" s="412"/>
      <c r="JB25" s="417"/>
      <c r="JC25" s="412"/>
      <c r="JD25" s="417"/>
      <c r="JE25" s="412"/>
      <c r="JF25" s="402"/>
      <c r="JG25" s="402"/>
      <c r="JH25" s="417"/>
      <c r="JI25" s="412"/>
      <c r="JJ25" s="417"/>
      <c r="JK25" s="412"/>
      <c r="JL25" s="417"/>
      <c r="JM25" s="412"/>
      <c r="JN25" s="417"/>
      <c r="JO25" s="412"/>
      <c r="JP25" s="402"/>
      <c r="JQ25" s="402"/>
      <c r="JR25" s="417"/>
      <c r="JS25" s="412"/>
      <c r="JT25" s="417"/>
      <c r="JU25" s="412"/>
      <c r="JV25" s="417"/>
      <c r="JW25" s="412"/>
      <c r="JX25" s="417"/>
      <c r="JY25" s="412"/>
      <c r="JZ25" s="417"/>
      <c r="KA25" s="412"/>
      <c r="KB25" s="417"/>
      <c r="KC25" s="412"/>
      <c r="KD25" s="402"/>
      <c r="KE25" s="402"/>
      <c r="KF25" s="417"/>
      <c r="KG25" s="412"/>
      <c r="KH25" s="417"/>
      <c r="KI25" s="402"/>
      <c r="KJ25" s="417"/>
      <c r="KK25" s="412"/>
      <c r="KL25" s="417"/>
      <c r="KM25" s="412"/>
      <c r="KN25" s="417"/>
      <c r="KO25" s="412"/>
      <c r="KP25" s="417"/>
      <c r="KQ25" s="412"/>
      <c r="KR25" s="417"/>
      <c r="KS25" s="412"/>
      <c r="KT25" s="417"/>
      <c r="KU25" s="412"/>
      <c r="KV25" s="417"/>
      <c r="KW25" s="412"/>
      <c r="KX25" s="417"/>
      <c r="KY25" s="412"/>
      <c r="KZ25" s="417"/>
      <c r="LA25" s="412"/>
      <c r="LB25" s="417"/>
      <c r="LC25" s="412"/>
      <c r="LD25" s="402"/>
      <c r="LE25" s="402"/>
      <c r="LF25" s="417"/>
      <c r="LG25" s="412"/>
      <c r="LH25" s="417"/>
      <c r="LI25" s="412"/>
      <c r="LJ25" s="402"/>
      <c r="LK25" s="402"/>
      <c r="LL25" s="306">
        <v>44323</v>
      </c>
      <c r="LM25" s="7" t="str">
        <f t="shared" si="64"/>
        <v>Friday</v>
      </c>
      <c r="LN25" s="402"/>
      <c r="LO25" s="402"/>
      <c r="LP25" s="417"/>
      <c r="LQ25" s="412"/>
      <c r="LR25" s="417"/>
      <c r="LS25" s="412"/>
      <c r="LT25" s="417"/>
      <c r="LU25" s="412"/>
      <c r="LV25" s="402"/>
      <c r="LW25" s="402"/>
      <c r="LX25" s="417"/>
      <c r="LY25" s="412"/>
      <c r="LZ25" s="402"/>
      <c r="MA25" s="402"/>
      <c r="MB25" s="417"/>
      <c r="MC25" s="412"/>
      <c r="MD25" s="417"/>
      <c r="ME25" s="412"/>
      <c r="MF25" s="417"/>
      <c r="MG25" s="412"/>
      <c r="MH25" s="417"/>
      <c r="MI25" s="412"/>
      <c r="MJ25" s="417"/>
      <c r="MK25" s="412"/>
      <c r="ML25" s="402"/>
      <c r="MM25" s="402"/>
      <c r="MN25" s="417"/>
      <c r="MO25" s="412"/>
      <c r="MP25" s="417"/>
      <c r="MQ25" s="412"/>
      <c r="MR25" s="417"/>
      <c r="MS25" s="412"/>
      <c r="MT25" s="417"/>
      <c r="MU25" s="412"/>
      <c r="MV25" s="402"/>
      <c r="MW25" s="402"/>
      <c r="MX25" s="417"/>
      <c r="MY25" s="412"/>
      <c r="MZ25" s="417"/>
      <c r="NA25" s="412"/>
      <c r="NB25" s="417"/>
      <c r="NC25" s="412"/>
      <c r="ND25" s="402"/>
      <c r="NE25" s="402"/>
      <c r="NF25" s="417"/>
      <c r="NG25" s="412"/>
      <c r="NH25" s="417"/>
      <c r="NI25" s="412"/>
      <c r="NJ25" s="417"/>
      <c r="NK25" s="412"/>
      <c r="NL25" s="402"/>
      <c r="NM25" s="402"/>
      <c r="NN25" s="417"/>
      <c r="NO25" s="412"/>
      <c r="NP25" s="417"/>
      <c r="NQ25" s="412"/>
      <c r="NR25" s="402"/>
      <c r="NS25" s="412"/>
      <c r="NT25" s="417"/>
      <c r="NU25" s="412"/>
      <c r="NV25" s="417"/>
      <c r="NW25" s="412"/>
      <c r="NX25" s="417"/>
      <c r="NY25" s="412"/>
      <c r="NZ25" s="417"/>
      <c r="OA25" s="402"/>
      <c r="OB25" s="417"/>
      <c r="OC25" s="412"/>
      <c r="OD25" s="417"/>
      <c r="OE25" s="412"/>
      <c r="OF25" s="402"/>
      <c r="OG25" s="402"/>
      <c r="OH25" s="417"/>
      <c r="OI25" s="412"/>
      <c r="OJ25" s="417"/>
      <c r="OK25" s="412"/>
      <c r="OL25" s="417"/>
      <c r="OM25" s="412"/>
      <c r="ON25" s="417"/>
      <c r="OO25" s="412"/>
      <c r="OP25" s="402"/>
      <c r="OQ25" s="412"/>
      <c r="OR25" s="417"/>
      <c r="OS25" s="412"/>
      <c r="OT25" s="417"/>
      <c r="OU25" s="412"/>
      <c r="OV25" s="402"/>
      <c r="OW25" s="402"/>
      <c r="OX25" s="417"/>
      <c r="OY25" s="412"/>
      <c r="OZ25" s="417"/>
      <c r="PA25" s="412"/>
      <c r="PB25" s="417"/>
      <c r="PC25" s="412"/>
      <c r="PD25" s="417"/>
      <c r="PE25" s="412"/>
      <c r="PF25" s="417"/>
      <c r="PG25" s="412"/>
      <c r="PH25" s="402"/>
      <c r="PI25" s="412"/>
      <c r="PJ25" s="417"/>
      <c r="PK25" s="412"/>
      <c r="PL25" s="402"/>
      <c r="PM25" s="402"/>
      <c r="PN25" s="417"/>
      <c r="PO25" s="412"/>
      <c r="PP25" s="417"/>
      <c r="PQ25" s="412"/>
      <c r="PR25" s="402"/>
      <c r="PS25" s="402"/>
      <c r="PT25" s="417"/>
      <c r="PU25" s="412"/>
      <c r="PV25" s="402"/>
      <c r="PW25" s="402"/>
      <c r="PX25" s="417"/>
      <c r="PY25" s="412"/>
      <c r="PZ25" s="417"/>
      <c r="QA25" s="412"/>
      <c r="QB25" s="417"/>
      <c r="QC25" s="412"/>
      <c r="QD25" s="417"/>
      <c r="QE25" s="412"/>
      <c r="QF25" s="417"/>
      <c r="QG25" s="412"/>
      <c r="QH25" s="402"/>
      <c r="QI25" s="402"/>
      <c r="QJ25" s="417"/>
      <c r="QK25" s="412"/>
      <c r="QL25" s="417"/>
      <c r="QM25" s="412"/>
      <c r="QN25" s="402"/>
      <c r="QO25" s="402"/>
      <c r="QP25" s="417"/>
      <c r="QQ25" s="412"/>
      <c r="QR25" s="417"/>
      <c r="QS25" s="412"/>
      <c r="QT25" s="417"/>
      <c r="QU25" s="412"/>
      <c r="QV25" s="402"/>
      <c r="QW25" s="412"/>
      <c r="QX25" s="402"/>
      <c r="QY25" s="412"/>
      <c r="QZ25" s="417"/>
      <c r="RA25" s="412"/>
      <c r="RB25" s="417"/>
      <c r="RC25" s="412"/>
      <c r="RD25" s="417"/>
      <c r="RE25" s="412"/>
      <c r="RF25" s="417"/>
      <c r="RG25" s="412"/>
      <c r="RH25" s="417"/>
      <c r="RI25" s="412"/>
      <c r="RJ25" s="417"/>
      <c r="RK25" s="412"/>
      <c r="RL25" s="402"/>
      <c r="RM25" s="402"/>
      <c r="RN25" s="417"/>
      <c r="RO25" s="412"/>
      <c r="RP25" s="402"/>
      <c r="RQ25" s="402"/>
      <c r="RR25" s="417"/>
      <c r="RS25" s="412"/>
      <c r="RT25" s="417"/>
      <c r="RU25" s="412"/>
      <c r="RV25" s="402"/>
      <c r="RW25" s="402"/>
      <c r="RX25" s="417"/>
      <c r="RY25" s="412"/>
      <c r="RZ25" s="417"/>
      <c r="SA25" s="402"/>
      <c r="SB25" s="417"/>
      <c r="SC25" s="412"/>
      <c r="SD25" s="417"/>
      <c r="SE25" s="412"/>
      <c r="SF25" s="417"/>
      <c r="SG25" s="412"/>
      <c r="SH25" s="417"/>
      <c r="SI25" s="412"/>
      <c r="SJ25" s="402"/>
      <c r="SK25" s="402"/>
      <c r="SL25" s="417"/>
      <c r="SM25" s="412"/>
      <c r="SN25" s="417"/>
      <c r="SO25" s="412"/>
      <c r="SP25" s="402"/>
      <c r="SQ25" s="402"/>
      <c r="SR25" s="417"/>
      <c r="SS25" s="412"/>
      <c r="ST25" s="402"/>
      <c r="SU25" s="402"/>
      <c r="SV25" s="417"/>
      <c r="SW25" s="412"/>
      <c r="SX25" s="417"/>
      <c r="SY25" s="412"/>
      <c r="SZ25" s="417"/>
      <c r="TA25" s="412"/>
      <c r="TB25" s="417"/>
      <c r="TC25" s="412"/>
      <c r="TD25" s="402"/>
      <c r="TE25" s="402"/>
      <c r="TF25" s="417"/>
      <c r="TG25" s="412"/>
      <c r="TH25" s="417"/>
      <c r="TI25" s="412"/>
      <c r="TJ25" s="402"/>
      <c r="TK25" s="412"/>
      <c r="TL25" s="417"/>
      <c r="TM25" s="412"/>
      <c r="TN25" s="417"/>
      <c r="TO25" s="412"/>
      <c r="TP25" s="417"/>
      <c r="TQ25" s="412"/>
      <c r="TR25" s="417"/>
      <c r="TS25" s="412"/>
      <c r="TT25" s="417"/>
      <c r="TU25" s="412"/>
      <c r="TV25" s="417"/>
      <c r="TW25" s="412"/>
      <c r="TX25" s="417"/>
      <c r="TY25" s="412"/>
      <c r="TZ25" s="402"/>
      <c r="UA25" s="402"/>
      <c r="UB25" s="417"/>
      <c r="UC25" s="412"/>
      <c r="UD25" s="417"/>
      <c r="UE25" s="412"/>
      <c r="UF25" s="417"/>
      <c r="UG25" s="412"/>
      <c r="UH25" s="402"/>
      <c r="UI25" s="402"/>
      <c r="UJ25" s="417"/>
      <c r="UK25" s="412"/>
      <c r="UL25" s="417"/>
      <c r="UM25" s="412"/>
      <c r="UN25" s="417"/>
      <c r="UO25" s="412"/>
      <c r="UP25" s="417"/>
      <c r="UQ25" s="412"/>
      <c r="UR25" s="402"/>
      <c r="US25" s="402"/>
      <c r="UT25" s="417"/>
      <c r="UU25" s="412"/>
      <c r="UV25" s="417"/>
      <c r="UW25" s="412"/>
      <c r="UX25" s="417"/>
      <c r="UY25" s="412"/>
      <c r="UZ25" s="402"/>
      <c r="VA25" s="402"/>
      <c r="VB25" s="417"/>
      <c r="VC25" s="412"/>
      <c r="VD25" s="417"/>
      <c r="VE25" s="412"/>
      <c r="VF25" s="417"/>
      <c r="VG25" s="412"/>
      <c r="VH25" s="402"/>
      <c r="VI25" s="402"/>
      <c r="VJ25" s="417"/>
      <c r="VK25" s="412"/>
      <c r="VL25" s="417"/>
      <c r="VM25" s="412"/>
      <c r="VN25" s="417"/>
      <c r="VO25" s="402"/>
      <c r="VP25" s="417"/>
      <c r="VQ25" s="412"/>
      <c r="VR25" s="417"/>
      <c r="VS25" s="412"/>
      <c r="VT25" s="417"/>
      <c r="VU25" s="412"/>
      <c r="VV25" s="417"/>
      <c r="VW25" s="412"/>
      <c r="VX25" s="417"/>
      <c r="VY25" s="412"/>
      <c r="VZ25" s="402"/>
      <c r="WA25" s="402"/>
      <c r="WB25" s="417"/>
      <c r="WC25" s="412"/>
      <c r="WD25" s="417"/>
      <c r="WE25" s="412"/>
      <c r="WF25" s="417"/>
      <c r="WG25" s="412"/>
      <c r="WH25" s="417"/>
      <c r="WI25" s="412"/>
      <c r="WJ25" s="417"/>
      <c r="WK25" s="412"/>
      <c r="WL25" s="402"/>
      <c r="WM25" s="402"/>
      <c r="WN25" s="417"/>
      <c r="WO25" s="412"/>
      <c r="WP25" s="402"/>
      <c r="WQ25" s="402"/>
      <c r="WR25" s="417"/>
      <c r="WS25" s="402"/>
      <c r="WT25" s="417"/>
      <c r="WU25" s="412"/>
      <c r="WV25" s="417"/>
      <c r="WW25" s="412"/>
      <c r="WX25" s="417"/>
      <c r="WY25" s="412"/>
      <c r="WZ25" s="417"/>
      <c r="XA25" s="412"/>
      <c r="XB25" s="417"/>
      <c r="XC25" s="412"/>
      <c r="XD25" s="417"/>
      <c r="XE25" s="412"/>
      <c r="XF25" s="417"/>
      <c r="XG25" s="412"/>
      <c r="XH25" s="402"/>
      <c r="XI25" s="402"/>
      <c r="XJ25" s="417"/>
      <c r="XK25" s="412"/>
      <c r="XL25" s="402"/>
      <c r="XM25" s="402"/>
      <c r="XN25" s="417"/>
      <c r="XO25" s="412"/>
      <c r="XP25" s="417"/>
      <c r="XQ25" s="412"/>
      <c r="XR25" s="402"/>
      <c r="XS25" s="402"/>
      <c r="XT25" s="417"/>
      <c r="XU25" s="412"/>
      <c r="XV25" s="417"/>
      <c r="XW25" s="412"/>
      <c r="XX25" s="417"/>
      <c r="XY25" s="412"/>
      <c r="XZ25" s="402"/>
      <c r="YA25" s="402"/>
      <c r="YB25" s="417"/>
      <c r="YC25" s="412"/>
      <c r="YD25" s="417"/>
      <c r="YE25" s="412"/>
      <c r="YF25" s="417"/>
      <c r="YG25" s="412"/>
      <c r="YH25" s="417"/>
      <c r="YI25" s="412"/>
      <c r="YJ25" s="402"/>
      <c r="YK25" s="402"/>
      <c r="YL25" s="417"/>
      <c r="YM25" s="412"/>
      <c r="YN25" s="417"/>
      <c r="YO25" s="412"/>
      <c r="YP25" s="417"/>
      <c r="YQ25" s="412"/>
      <c r="YR25" s="417"/>
      <c r="YS25" s="412"/>
      <c r="YT25" s="402"/>
      <c r="YU25" s="402"/>
      <c r="YV25" s="417"/>
      <c r="YW25" s="412"/>
      <c r="YX25" s="417"/>
      <c r="YY25" s="412"/>
      <c r="YZ25" s="402"/>
      <c r="ZA25" s="402"/>
      <c r="ZB25" s="417"/>
      <c r="ZC25" s="412"/>
      <c r="ZD25" s="402"/>
      <c r="ZE25" s="402"/>
      <c r="ZF25" s="417"/>
      <c r="ZG25" s="412"/>
      <c r="ZH25" s="417"/>
      <c r="ZI25" s="412"/>
      <c r="ZJ25" s="417"/>
      <c r="ZK25" s="412"/>
      <c r="ZL25" s="402"/>
      <c r="ZM25" s="402"/>
      <c r="ZN25" s="417"/>
      <c r="ZO25" s="412"/>
      <c r="ZP25" s="417"/>
      <c r="ZQ25" s="412"/>
      <c r="ZR25" s="417"/>
      <c r="ZS25" s="412"/>
      <c r="ZT25" s="417"/>
      <c r="ZU25" s="412"/>
      <c r="ZV25" s="417"/>
      <c r="ZW25" s="412"/>
      <c r="ZX25" s="402"/>
      <c r="ZY25" s="402"/>
      <c r="ZZ25" s="417"/>
      <c r="AAA25" s="412"/>
      <c r="AAB25" s="417"/>
      <c r="AAC25" s="412"/>
      <c r="AAD25" s="417"/>
      <c r="AAE25" s="412"/>
      <c r="AAF25" s="417"/>
      <c r="AAG25" s="412"/>
      <c r="AAH25" s="402"/>
      <c r="AAI25" s="402"/>
      <c r="AAJ25" s="417"/>
      <c r="AAK25" s="412"/>
      <c r="AAL25" s="417"/>
      <c r="AAM25" s="412"/>
      <c r="AAN25" s="417"/>
      <c r="AAO25" s="412"/>
      <c r="AAP25" s="417"/>
      <c r="AAQ25" s="412"/>
      <c r="AAR25" s="417"/>
      <c r="AAS25" s="412"/>
      <c r="AAT25" s="402"/>
      <c r="AAU25" s="402"/>
      <c r="AAV25" s="417"/>
      <c r="AAW25" s="412"/>
      <c r="AAX25" s="402"/>
      <c r="AAY25" s="402"/>
      <c r="AAZ25" s="417"/>
      <c r="ABA25" s="412"/>
      <c r="ABB25" s="417"/>
      <c r="ABC25" s="412"/>
      <c r="ABD25" s="417"/>
      <c r="ABE25" s="412"/>
      <c r="ABF25" s="402"/>
      <c r="ABG25" s="402"/>
      <c r="ABH25" s="417"/>
      <c r="ABI25" s="412"/>
      <c r="ABJ25" s="417"/>
      <c r="ABK25" s="412"/>
      <c r="ABL25" s="417"/>
      <c r="ABM25" s="412"/>
      <c r="ABN25" s="417"/>
      <c r="ABO25" s="412"/>
      <c r="ABP25" s="402"/>
      <c r="ABQ25" s="402"/>
      <c r="ABR25" s="417"/>
      <c r="ABS25" s="412"/>
      <c r="ABT25" s="417"/>
      <c r="ABU25" s="412"/>
      <c r="ABV25" s="417"/>
      <c r="ABW25" s="412"/>
      <c r="ABX25" s="402"/>
      <c r="ABY25" s="402"/>
      <c r="ABZ25" s="417"/>
      <c r="ACA25" s="412"/>
      <c r="ACB25" s="417"/>
      <c r="ACC25" s="412"/>
      <c r="ACD25" s="417"/>
      <c r="ACE25" s="412"/>
      <c r="ACF25" s="417"/>
      <c r="ACG25" s="412"/>
      <c r="ACH25" s="417"/>
      <c r="ACI25" s="412"/>
      <c r="ACJ25" s="402"/>
      <c r="ACK25" s="402"/>
      <c r="ACL25" s="417"/>
      <c r="ACM25" s="412"/>
      <c r="ACN25" s="417"/>
      <c r="ACO25" s="412"/>
      <c r="ACP25" s="417"/>
      <c r="ACQ25" s="412"/>
      <c r="ACR25" s="417"/>
      <c r="ACS25" s="412"/>
      <c r="ACT25" s="514">
        <v>44508</v>
      </c>
      <c r="ACU25" s="431" t="str">
        <f t="shared" si="66"/>
        <v>Monday</v>
      </c>
      <c r="ACV25" s="417"/>
      <c r="ACW25" s="412"/>
      <c r="ACX25" s="402"/>
      <c r="ACY25" s="402"/>
      <c r="ACZ25" s="417"/>
      <c r="ADA25" s="412"/>
      <c r="ADB25" s="417"/>
      <c r="ADC25" s="412"/>
      <c r="ADD25" s="417"/>
      <c r="ADE25" s="412"/>
      <c r="ADF25" s="417"/>
      <c r="ADG25" s="412"/>
      <c r="ADH25" s="417"/>
      <c r="ADI25" s="412"/>
      <c r="ADJ25" s="417"/>
      <c r="ADK25" s="412"/>
      <c r="ADL25" s="417"/>
      <c r="ADM25" s="412"/>
      <c r="ADN25" s="417"/>
      <c r="ADO25" s="412"/>
      <c r="ADP25" s="417"/>
      <c r="ADQ25" s="412"/>
      <c r="ADR25" s="402"/>
      <c r="ADS25" s="412"/>
      <c r="ADT25" s="417"/>
      <c r="ADU25" s="412"/>
      <c r="ADV25" s="402"/>
      <c r="ADW25" s="402"/>
      <c r="ADX25" s="417"/>
      <c r="ADY25" s="412"/>
      <c r="ADZ25" s="417"/>
      <c r="AEA25" s="412"/>
      <c r="AEB25" s="417"/>
      <c r="AEC25" s="412"/>
      <c r="AED25" s="402"/>
      <c r="AEE25" s="402"/>
      <c r="AEF25" s="417"/>
      <c r="AEG25" s="412"/>
      <c r="AEH25" s="417"/>
      <c r="AEI25" s="412"/>
      <c r="AEJ25" s="417"/>
      <c r="AEK25" s="412"/>
      <c r="AEL25" s="417"/>
      <c r="AEM25" s="412"/>
      <c r="AEN25" s="417"/>
      <c r="AEO25" s="412"/>
      <c r="AEP25" s="417"/>
      <c r="AEQ25" s="412"/>
      <c r="AER25" s="402"/>
      <c r="AES25" s="402"/>
      <c r="AET25" s="417"/>
      <c r="AEU25" s="412"/>
      <c r="AEV25" s="402"/>
      <c r="AEW25" s="402"/>
      <c r="AEX25" s="417"/>
      <c r="AEY25" s="412"/>
      <c r="AEZ25" s="417"/>
      <c r="AFA25" s="412"/>
      <c r="AFB25" s="417"/>
      <c r="AFC25" s="412"/>
      <c r="AFD25" s="417"/>
      <c r="AFE25" s="412"/>
      <c r="AFF25" s="402"/>
      <c r="AFG25" s="402"/>
      <c r="AFH25" s="417"/>
      <c r="AFI25" s="412"/>
      <c r="AFJ25" s="402"/>
      <c r="AFK25" s="402"/>
      <c r="AFL25" s="417"/>
      <c r="AFM25" s="412"/>
      <c r="AFN25" s="417"/>
      <c r="AFO25" s="412"/>
      <c r="AFP25" s="417"/>
      <c r="AFQ25" s="412"/>
      <c r="AFR25" s="417"/>
      <c r="AFS25" s="412"/>
      <c r="AFT25" s="417"/>
      <c r="AFU25" s="412"/>
      <c r="AFV25" s="402"/>
      <c r="AFW25" s="402"/>
      <c r="AFX25" s="417"/>
      <c r="AFY25" s="412"/>
      <c r="AFZ25" s="417"/>
      <c r="AGA25" s="412"/>
      <c r="AGB25" s="417"/>
      <c r="AGC25" s="412"/>
      <c r="AGD25" s="402"/>
      <c r="AGE25" s="402"/>
      <c r="AGF25" s="417"/>
      <c r="AGG25" s="412"/>
      <c r="AGH25" s="417"/>
      <c r="AGI25" s="412"/>
      <c r="AGJ25" s="402"/>
      <c r="AGK25" s="402"/>
      <c r="AGL25" s="417"/>
      <c r="AGM25" s="412"/>
      <c r="AGN25" s="417"/>
      <c r="AGO25" s="412"/>
      <c r="AGP25" s="417"/>
      <c r="AGQ25" s="412"/>
      <c r="AGR25" s="417"/>
      <c r="AGS25" s="412"/>
      <c r="AGT25" s="417"/>
      <c r="AGU25" s="412"/>
      <c r="AGV25" s="402"/>
      <c r="AGW25" s="412"/>
      <c r="AGX25" s="417"/>
      <c r="AGY25" s="412"/>
      <c r="AGZ25" s="417"/>
      <c r="AHA25" s="412"/>
      <c r="AHB25" s="417"/>
      <c r="AHC25" s="412"/>
      <c r="AHD25" s="417"/>
      <c r="AHE25" s="412"/>
      <c r="AHF25" s="417"/>
      <c r="AHG25" s="412"/>
      <c r="AHH25" s="417"/>
      <c r="AHI25" s="412"/>
      <c r="AHJ25" s="417"/>
      <c r="AHK25" s="412"/>
      <c r="AHL25" s="417"/>
      <c r="AHM25" s="412"/>
      <c r="AHN25" s="417"/>
      <c r="AHO25" s="412"/>
      <c r="AHP25" s="417"/>
      <c r="AHQ25" s="412"/>
      <c r="AHR25" s="417"/>
      <c r="AHS25" s="402"/>
      <c r="AHT25" s="417"/>
      <c r="AHU25" s="402"/>
      <c r="AHV25" s="417"/>
      <c r="AHW25" s="412"/>
      <c r="AHX25" s="514">
        <v>44557</v>
      </c>
      <c r="AHY25" s="467" t="str">
        <f t="shared" si="67"/>
        <v>Monday</v>
      </c>
      <c r="AHZ25" s="417"/>
      <c r="AIA25" s="412"/>
    </row>
    <row r="26" spans="1:911" ht="15.75" customHeight="1" x14ac:dyDescent="0.2">
      <c r="A26" s="412"/>
      <c r="B26" s="417"/>
      <c r="C26" s="412"/>
      <c r="D26" s="417"/>
      <c r="E26" s="412"/>
      <c r="F26" s="417"/>
      <c r="G26" s="412"/>
      <c r="H26" s="417"/>
      <c r="I26" s="412"/>
      <c r="J26" s="417"/>
      <c r="K26" s="412"/>
      <c r="L26" s="417"/>
      <c r="M26" s="412"/>
      <c r="N26" s="417"/>
      <c r="O26" s="412"/>
      <c r="P26" s="417"/>
      <c r="Q26" s="412"/>
      <c r="R26" s="417"/>
      <c r="S26" s="412"/>
      <c r="T26" s="417"/>
      <c r="U26" s="412"/>
      <c r="V26" s="417"/>
      <c r="W26" s="412"/>
      <c r="X26" s="417"/>
      <c r="Y26" s="412"/>
      <c r="Z26" s="417"/>
      <c r="AA26" s="412"/>
      <c r="AB26" s="417"/>
      <c r="AC26" s="412"/>
      <c r="AD26" s="402"/>
      <c r="AE26" s="402"/>
      <c r="AF26" s="417"/>
      <c r="AG26" s="402"/>
      <c r="AH26" s="417"/>
      <c r="AI26" s="412"/>
      <c r="AJ26" s="402"/>
      <c r="AK26" s="402"/>
      <c r="AL26" s="417"/>
      <c r="AM26" s="412"/>
      <c r="AN26" s="417"/>
      <c r="AO26" s="412"/>
      <c r="AP26" s="417"/>
      <c r="AQ26" s="412"/>
      <c r="AR26" s="417"/>
      <c r="AS26" s="412"/>
      <c r="AT26" s="417"/>
      <c r="AU26" s="412"/>
      <c r="AV26" s="402"/>
      <c r="AW26" s="402"/>
      <c r="AX26" s="417"/>
      <c r="AY26" s="412"/>
      <c r="AZ26" s="417"/>
      <c r="BA26" s="412"/>
      <c r="BB26" s="402"/>
      <c r="BC26" s="402"/>
      <c r="BD26" s="417"/>
      <c r="BE26" s="412"/>
      <c r="BF26" s="417"/>
      <c r="BG26" s="412"/>
      <c r="BH26" s="417"/>
      <c r="BI26" s="412"/>
      <c r="BJ26" s="417"/>
      <c r="BK26" s="412"/>
      <c r="BL26" s="402"/>
      <c r="BM26" s="402"/>
      <c r="BN26" s="417"/>
      <c r="BO26" s="412"/>
      <c r="BP26" s="417"/>
      <c r="BQ26" s="412"/>
      <c r="BR26" s="417"/>
      <c r="BS26" s="412"/>
      <c r="BT26" s="402"/>
      <c r="BU26" s="412"/>
      <c r="BV26" s="417"/>
      <c r="BW26" s="412"/>
      <c r="BX26" s="402"/>
      <c r="BY26" s="402"/>
      <c r="BZ26" s="417"/>
      <c r="CA26" s="412"/>
      <c r="CB26" s="417"/>
      <c r="CC26" s="412"/>
      <c r="CD26" s="417"/>
      <c r="CE26" s="412"/>
      <c r="CF26" s="417"/>
      <c r="CG26" s="412"/>
      <c r="CH26" s="417"/>
      <c r="CI26" s="412"/>
      <c r="CJ26" s="417"/>
      <c r="CK26" s="412"/>
      <c r="CL26" s="402"/>
      <c r="CM26" s="402"/>
      <c r="CN26" s="417"/>
      <c r="CO26" s="412"/>
      <c r="CP26" s="417"/>
      <c r="CQ26" s="412"/>
      <c r="CR26" s="417"/>
      <c r="CS26" s="412"/>
      <c r="CT26" s="402"/>
      <c r="CU26" s="402"/>
      <c r="CV26" s="417"/>
      <c r="CW26" s="412"/>
      <c r="CX26" s="417"/>
      <c r="CY26" s="412"/>
      <c r="CZ26" s="402"/>
      <c r="DA26" s="402"/>
      <c r="DB26" s="417"/>
      <c r="DC26" s="412"/>
      <c r="DD26" s="417"/>
      <c r="DE26" s="412"/>
      <c r="DF26" s="402"/>
      <c r="DG26" s="402"/>
      <c r="DH26" s="417"/>
      <c r="DI26" s="412"/>
      <c r="DJ26" s="417"/>
      <c r="DK26" s="412"/>
      <c r="DL26" s="417"/>
      <c r="DM26" s="412"/>
      <c r="DN26" s="402"/>
      <c r="DO26" s="402"/>
      <c r="DP26" s="417"/>
      <c r="DQ26" s="412"/>
      <c r="DR26" s="417"/>
      <c r="DS26" s="412"/>
      <c r="DT26" s="402"/>
      <c r="DU26" s="412"/>
      <c r="DV26" s="417"/>
      <c r="DW26" s="412"/>
      <c r="DX26" s="417"/>
      <c r="DY26" s="412"/>
      <c r="DZ26" s="402"/>
      <c r="EA26" s="402"/>
      <c r="EB26" s="417"/>
      <c r="EC26" s="412"/>
      <c r="ED26" s="402"/>
      <c r="EE26" s="402"/>
      <c r="EF26" s="417"/>
      <c r="EG26" s="412"/>
      <c r="EH26" s="417"/>
      <c r="EI26" s="412"/>
      <c r="EJ26" s="417"/>
      <c r="EK26" s="412"/>
      <c r="EL26" s="402"/>
      <c r="EM26" s="402"/>
      <c r="EN26" s="417"/>
      <c r="EO26" s="412"/>
      <c r="EP26" s="417"/>
      <c r="EQ26" s="412"/>
      <c r="ER26" s="417"/>
      <c r="ES26" s="412"/>
      <c r="ET26" s="402"/>
      <c r="EU26" s="402"/>
      <c r="EV26" s="417"/>
      <c r="EW26" s="412"/>
      <c r="EX26" s="417"/>
      <c r="EY26" s="412"/>
      <c r="EZ26" s="417"/>
      <c r="FA26" s="412"/>
      <c r="FB26" s="402"/>
      <c r="FC26" s="402"/>
      <c r="FD26" s="417"/>
      <c r="FE26" s="412"/>
      <c r="FF26" s="402"/>
      <c r="FG26" s="412"/>
      <c r="FH26" s="402"/>
      <c r="FI26" s="402"/>
      <c r="FJ26" s="417"/>
      <c r="FK26" s="412"/>
      <c r="FL26" s="417"/>
      <c r="FM26" s="412"/>
      <c r="FN26" s="417"/>
      <c r="FO26" s="412"/>
      <c r="FP26" s="402"/>
      <c r="FQ26" s="402"/>
      <c r="FR26" s="417"/>
      <c r="FS26" s="412"/>
      <c r="FT26" s="417"/>
      <c r="FU26" s="412"/>
      <c r="FV26" s="417"/>
      <c r="FW26" s="412"/>
      <c r="FX26" s="402"/>
      <c r="FY26" s="402"/>
      <c r="FZ26" s="417"/>
      <c r="GA26" s="412"/>
      <c r="GB26" s="417"/>
      <c r="GC26" s="412"/>
      <c r="GD26" s="402"/>
      <c r="GE26" s="402"/>
      <c r="GF26" s="417"/>
      <c r="GG26" s="412"/>
      <c r="GH26" s="402"/>
      <c r="GI26" s="412"/>
      <c r="GJ26" s="417"/>
      <c r="GK26" s="412"/>
      <c r="GL26" s="417"/>
      <c r="GM26" s="412"/>
      <c r="GN26" s="402"/>
      <c r="GO26" s="402"/>
      <c r="GP26" s="417"/>
      <c r="GQ26" s="412"/>
      <c r="GR26" s="417"/>
      <c r="GS26" s="412"/>
      <c r="GT26" s="417"/>
      <c r="GU26" s="412"/>
      <c r="GV26" s="402"/>
      <c r="GW26" s="402"/>
      <c r="GX26" s="417"/>
      <c r="GY26" s="412"/>
      <c r="GZ26" s="417"/>
      <c r="HA26" s="412"/>
      <c r="HB26" s="417"/>
      <c r="HC26" s="412"/>
      <c r="HD26" s="417"/>
      <c r="HE26" s="412"/>
      <c r="HF26" s="417"/>
      <c r="HG26" s="412"/>
      <c r="HH26" s="402"/>
      <c r="HI26" s="402"/>
      <c r="HJ26" s="417"/>
      <c r="HK26" s="412"/>
      <c r="HL26" s="417"/>
      <c r="HM26" s="402"/>
      <c r="HN26" s="417"/>
      <c r="HO26" s="412"/>
      <c r="HP26" s="417"/>
      <c r="HQ26" s="412"/>
      <c r="HR26" s="417"/>
      <c r="HS26" s="412"/>
      <c r="HT26" s="417"/>
      <c r="HU26" s="412"/>
      <c r="HV26" s="417"/>
      <c r="HW26" s="412"/>
      <c r="HX26" s="402"/>
      <c r="HY26" s="402"/>
      <c r="HZ26" s="417"/>
      <c r="IA26" s="412"/>
      <c r="IB26" s="417"/>
      <c r="IC26" s="412"/>
      <c r="ID26" s="417"/>
      <c r="IE26" s="412"/>
      <c r="IF26" s="402"/>
      <c r="IG26" s="402"/>
      <c r="IH26" s="417"/>
      <c r="II26" s="412"/>
      <c r="IJ26" s="417"/>
      <c r="IK26" s="412"/>
      <c r="IL26" s="417"/>
      <c r="IM26" s="412"/>
      <c r="IN26" s="417"/>
      <c r="IO26" s="412"/>
      <c r="IP26" s="402"/>
      <c r="IQ26" s="402"/>
      <c r="IR26" s="417"/>
      <c r="IS26" s="412"/>
      <c r="IT26" s="417"/>
      <c r="IU26" s="412"/>
      <c r="IV26" s="417"/>
      <c r="IW26" s="412"/>
      <c r="IX26" s="417"/>
      <c r="IY26" s="412"/>
      <c r="IZ26" s="417"/>
      <c r="JA26" s="412"/>
      <c r="JB26" s="417"/>
      <c r="JC26" s="412"/>
      <c r="JD26" s="417"/>
      <c r="JE26" s="412"/>
      <c r="JF26" s="402"/>
      <c r="JG26" s="402"/>
      <c r="JH26" s="417"/>
      <c r="JI26" s="412"/>
      <c r="JJ26" s="417"/>
      <c r="JK26" s="412"/>
      <c r="JL26" s="417"/>
      <c r="JM26" s="412"/>
      <c r="JN26" s="417"/>
      <c r="JO26" s="412"/>
      <c r="JP26" s="402"/>
      <c r="JQ26" s="402"/>
      <c r="JR26" s="417"/>
      <c r="JS26" s="412"/>
      <c r="JT26" s="417"/>
      <c r="JU26" s="412"/>
      <c r="JV26" s="417"/>
      <c r="JW26" s="412"/>
      <c r="JX26" s="417"/>
      <c r="JY26" s="412"/>
      <c r="JZ26" s="417"/>
      <c r="KA26" s="412"/>
      <c r="KB26" s="417"/>
      <c r="KC26" s="412"/>
      <c r="KD26" s="402"/>
      <c r="KE26" s="402"/>
      <c r="KF26" s="417"/>
      <c r="KG26" s="412"/>
      <c r="KH26" s="417"/>
      <c r="KI26" s="402"/>
      <c r="KJ26" s="417"/>
      <c r="KK26" s="412"/>
      <c r="KL26" s="417"/>
      <c r="KM26" s="412"/>
      <c r="KN26" s="417"/>
      <c r="KO26" s="412"/>
      <c r="KP26" s="417"/>
      <c r="KQ26" s="412"/>
      <c r="KR26" s="417"/>
      <c r="KS26" s="412"/>
      <c r="KT26" s="417"/>
      <c r="KU26" s="412"/>
      <c r="KV26" s="417"/>
      <c r="KW26" s="412"/>
      <c r="KX26" s="417"/>
      <c r="KY26" s="412"/>
      <c r="KZ26" s="417"/>
      <c r="LA26" s="412"/>
      <c r="LB26" s="417"/>
      <c r="LC26" s="412"/>
      <c r="LD26" s="402"/>
      <c r="LE26" s="402"/>
      <c r="LF26" s="417"/>
      <c r="LG26" s="412"/>
      <c r="LH26" s="417"/>
      <c r="LI26" s="412"/>
      <c r="LJ26" s="402"/>
      <c r="LK26" s="402"/>
      <c r="LL26" s="301">
        <v>44323</v>
      </c>
      <c r="LM26" s="116" t="str">
        <f t="shared" si="64"/>
        <v>Friday</v>
      </c>
      <c r="LN26" s="402"/>
      <c r="LO26" s="402"/>
      <c r="LP26" s="417"/>
      <c r="LQ26" s="412"/>
      <c r="LR26" s="417"/>
      <c r="LS26" s="412"/>
      <c r="LT26" s="417"/>
      <c r="LU26" s="412"/>
      <c r="LV26" s="402"/>
      <c r="LW26" s="402"/>
      <c r="LX26" s="417"/>
      <c r="LY26" s="412"/>
      <c r="LZ26" s="402"/>
      <c r="MA26" s="402"/>
      <c r="MB26" s="417"/>
      <c r="MC26" s="412"/>
      <c r="MD26" s="417"/>
      <c r="ME26" s="412"/>
      <c r="MF26" s="417"/>
      <c r="MG26" s="412"/>
      <c r="MH26" s="417"/>
      <c r="MI26" s="412"/>
      <c r="MJ26" s="417"/>
      <c r="MK26" s="412"/>
      <c r="ML26" s="402"/>
      <c r="MM26" s="402"/>
      <c r="MN26" s="417"/>
      <c r="MO26" s="412"/>
      <c r="MP26" s="417"/>
      <c r="MQ26" s="412"/>
      <c r="MR26" s="417"/>
      <c r="MS26" s="412"/>
      <c r="MT26" s="417"/>
      <c r="MU26" s="412"/>
      <c r="MV26" s="402"/>
      <c r="MW26" s="402"/>
      <c r="MX26" s="417"/>
      <c r="MY26" s="412"/>
      <c r="MZ26" s="417"/>
      <c r="NA26" s="412"/>
      <c r="NB26" s="417"/>
      <c r="NC26" s="412"/>
      <c r="ND26" s="402"/>
      <c r="NE26" s="402"/>
      <c r="NF26" s="417"/>
      <c r="NG26" s="412"/>
      <c r="NH26" s="417"/>
      <c r="NI26" s="412"/>
      <c r="NJ26" s="417"/>
      <c r="NK26" s="412"/>
      <c r="NL26" s="402"/>
      <c r="NM26" s="402"/>
      <c r="NN26" s="417"/>
      <c r="NO26" s="412"/>
      <c r="NP26" s="417"/>
      <c r="NQ26" s="412"/>
      <c r="NR26" s="402"/>
      <c r="NS26" s="412"/>
      <c r="NT26" s="417"/>
      <c r="NU26" s="412"/>
      <c r="NV26" s="417"/>
      <c r="NW26" s="412"/>
      <c r="NX26" s="417"/>
      <c r="NY26" s="412"/>
      <c r="NZ26" s="417"/>
      <c r="OA26" s="402"/>
      <c r="OB26" s="417"/>
      <c r="OC26" s="412"/>
      <c r="OD26" s="417"/>
      <c r="OE26" s="412"/>
      <c r="OF26" s="402"/>
      <c r="OG26" s="402"/>
      <c r="OH26" s="417"/>
      <c r="OI26" s="412"/>
      <c r="OJ26" s="417"/>
      <c r="OK26" s="412"/>
      <c r="OL26" s="417"/>
      <c r="OM26" s="412"/>
      <c r="ON26" s="417"/>
      <c r="OO26" s="412"/>
      <c r="OP26" s="402"/>
      <c r="OQ26" s="412"/>
      <c r="OR26" s="417"/>
      <c r="OS26" s="412"/>
      <c r="OT26" s="417"/>
      <c r="OU26" s="412"/>
      <c r="OV26" s="402"/>
      <c r="OW26" s="402"/>
      <c r="OX26" s="417"/>
      <c r="OY26" s="412"/>
      <c r="OZ26" s="417"/>
      <c r="PA26" s="412"/>
      <c r="PB26" s="417"/>
      <c r="PC26" s="412"/>
      <c r="PD26" s="417"/>
      <c r="PE26" s="412"/>
      <c r="PF26" s="417"/>
      <c r="PG26" s="412"/>
      <c r="PH26" s="402"/>
      <c r="PI26" s="412"/>
      <c r="PJ26" s="417"/>
      <c r="PK26" s="412"/>
      <c r="PL26" s="402"/>
      <c r="PM26" s="402"/>
      <c r="PN26" s="417"/>
      <c r="PO26" s="412"/>
      <c r="PP26" s="417"/>
      <c r="PQ26" s="412"/>
      <c r="PR26" s="402"/>
      <c r="PS26" s="402"/>
      <c r="PT26" s="417"/>
      <c r="PU26" s="412"/>
      <c r="PV26" s="402"/>
      <c r="PW26" s="402"/>
      <c r="PX26" s="417"/>
      <c r="PY26" s="412"/>
      <c r="PZ26" s="417"/>
      <c r="QA26" s="412"/>
      <c r="QB26" s="417"/>
      <c r="QC26" s="412"/>
      <c r="QD26" s="417"/>
      <c r="QE26" s="412"/>
      <c r="QF26" s="417"/>
      <c r="QG26" s="412"/>
      <c r="QH26" s="402"/>
      <c r="QI26" s="402"/>
      <c r="QJ26" s="417"/>
      <c r="QK26" s="412"/>
      <c r="QL26" s="417"/>
      <c r="QM26" s="412"/>
      <c r="QN26" s="402"/>
      <c r="QO26" s="402"/>
      <c r="QP26" s="417"/>
      <c r="QQ26" s="412"/>
      <c r="QR26" s="417"/>
      <c r="QS26" s="412"/>
      <c r="QT26" s="417"/>
      <c r="QU26" s="412"/>
      <c r="QV26" s="402"/>
      <c r="QW26" s="412"/>
      <c r="QX26" s="402"/>
      <c r="QY26" s="412"/>
      <c r="QZ26" s="417"/>
      <c r="RA26" s="412"/>
      <c r="RB26" s="417"/>
      <c r="RC26" s="412"/>
      <c r="RD26" s="417"/>
      <c r="RE26" s="412"/>
      <c r="RF26" s="417"/>
      <c r="RG26" s="412"/>
      <c r="RH26" s="417"/>
      <c r="RI26" s="412"/>
      <c r="RJ26" s="417"/>
      <c r="RK26" s="412"/>
      <c r="RL26" s="402"/>
      <c r="RM26" s="402"/>
      <c r="RN26" s="417"/>
      <c r="RO26" s="412"/>
      <c r="RP26" s="402"/>
      <c r="RQ26" s="402"/>
      <c r="RR26" s="417"/>
      <c r="RS26" s="412"/>
      <c r="RT26" s="417"/>
      <c r="RU26" s="412"/>
      <c r="RV26" s="402"/>
      <c r="RW26" s="402"/>
      <c r="RX26" s="417"/>
      <c r="RY26" s="412"/>
      <c r="RZ26" s="417"/>
      <c r="SA26" s="402"/>
      <c r="SB26" s="417"/>
      <c r="SC26" s="412"/>
      <c r="SD26" s="417"/>
      <c r="SE26" s="412"/>
      <c r="SF26" s="417"/>
      <c r="SG26" s="412"/>
      <c r="SH26" s="417"/>
      <c r="SI26" s="412"/>
      <c r="SJ26" s="402"/>
      <c r="SK26" s="402"/>
      <c r="SL26" s="417"/>
      <c r="SM26" s="412"/>
      <c r="SN26" s="417"/>
      <c r="SO26" s="412"/>
      <c r="SP26" s="402"/>
      <c r="SQ26" s="402"/>
      <c r="SR26" s="417"/>
      <c r="SS26" s="412"/>
      <c r="ST26" s="402"/>
      <c r="SU26" s="402"/>
      <c r="SV26" s="417"/>
      <c r="SW26" s="412"/>
      <c r="SX26" s="417"/>
      <c r="SY26" s="412"/>
      <c r="SZ26" s="417"/>
      <c r="TA26" s="412"/>
      <c r="TB26" s="417"/>
      <c r="TC26" s="412"/>
      <c r="TD26" s="402"/>
      <c r="TE26" s="402"/>
      <c r="TF26" s="417"/>
      <c r="TG26" s="412"/>
      <c r="TH26" s="417"/>
      <c r="TI26" s="412"/>
      <c r="TJ26" s="402"/>
      <c r="TK26" s="412"/>
      <c r="TL26" s="417"/>
      <c r="TM26" s="412"/>
      <c r="TN26" s="417"/>
      <c r="TO26" s="412"/>
      <c r="TP26" s="417"/>
      <c r="TQ26" s="412"/>
      <c r="TR26" s="417"/>
      <c r="TS26" s="412"/>
      <c r="TT26" s="417"/>
      <c r="TU26" s="412"/>
      <c r="TV26" s="417"/>
      <c r="TW26" s="412"/>
      <c r="TX26" s="417"/>
      <c r="TY26" s="412"/>
      <c r="TZ26" s="402"/>
      <c r="UA26" s="402"/>
      <c r="UB26" s="417"/>
      <c r="UC26" s="412"/>
      <c r="UD26" s="417"/>
      <c r="UE26" s="412"/>
      <c r="UF26" s="417"/>
      <c r="UG26" s="412"/>
      <c r="UH26" s="402"/>
      <c r="UI26" s="402"/>
      <c r="UJ26" s="417"/>
      <c r="UK26" s="412"/>
      <c r="UL26" s="417"/>
      <c r="UM26" s="412"/>
      <c r="UN26" s="417"/>
      <c r="UO26" s="412"/>
      <c r="UP26" s="417"/>
      <c r="UQ26" s="412"/>
      <c r="UR26" s="402"/>
      <c r="US26" s="402"/>
      <c r="UT26" s="417"/>
      <c r="UU26" s="412"/>
      <c r="UV26" s="417"/>
      <c r="UW26" s="412"/>
      <c r="UX26" s="417"/>
      <c r="UY26" s="412"/>
      <c r="UZ26" s="402"/>
      <c r="VA26" s="402"/>
      <c r="VB26" s="417"/>
      <c r="VC26" s="412"/>
      <c r="VD26" s="417"/>
      <c r="VE26" s="412"/>
      <c r="VF26" s="417"/>
      <c r="VG26" s="412"/>
      <c r="VH26" s="402"/>
      <c r="VI26" s="402"/>
      <c r="VJ26" s="417"/>
      <c r="VK26" s="412"/>
      <c r="VL26" s="417"/>
      <c r="VM26" s="412"/>
      <c r="VN26" s="417"/>
      <c r="VO26" s="402"/>
      <c r="VP26" s="417"/>
      <c r="VQ26" s="412"/>
      <c r="VR26" s="417"/>
      <c r="VS26" s="412"/>
      <c r="VT26" s="417"/>
      <c r="VU26" s="412"/>
      <c r="VV26" s="417"/>
      <c r="VW26" s="412"/>
      <c r="VX26" s="417"/>
      <c r="VY26" s="412"/>
      <c r="VZ26" s="402"/>
      <c r="WA26" s="402"/>
      <c r="WB26" s="417"/>
      <c r="WC26" s="412"/>
      <c r="WD26" s="417"/>
      <c r="WE26" s="412"/>
      <c r="WF26" s="417"/>
      <c r="WG26" s="412"/>
      <c r="WH26" s="417"/>
      <c r="WI26" s="412"/>
      <c r="WJ26" s="417"/>
      <c r="WK26" s="412"/>
      <c r="WL26" s="402"/>
      <c r="WM26" s="402"/>
      <c r="WN26" s="417"/>
      <c r="WO26" s="412"/>
      <c r="WP26" s="402"/>
      <c r="WQ26" s="402"/>
      <c r="WR26" s="417"/>
      <c r="WS26" s="402"/>
      <c r="WT26" s="417"/>
      <c r="WU26" s="412"/>
      <c r="WV26" s="417"/>
      <c r="WW26" s="412"/>
      <c r="WX26" s="417"/>
      <c r="WY26" s="412"/>
      <c r="WZ26" s="417"/>
      <c r="XA26" s="412"/>
      <c r="XB26" s="417"/>
      <c r="XC26" s="412"/>
      <c r="XD26" s="417"/>
      <c r="XE26" s="412"/>
      <c r="XF26" s="417"/>
      <c r="XG26" s="412"/>
      <c r="XH26" s="402"/>
      <c r="XI26" s="402"/>
      <c r="XJ26" s="417"/>
      <c r="XK26" s="412"/>
      <c r="XL26" s="402"/>
      <c r="XM26" s="402"/>
      <c r="XN26" s="417"/>
      <c r="XO26" s="412"/>
      <c r="XP26" s="417"/>
      <c r="XQ26" s="412"/>
      <c r="XR26" s="402"/>
      <c r="XS26" s="402"/>
      <c r="XT26" s="417"/>
      <c r="XU26" s="412"/>
      <c r="XV26" s="417"/>
      <c r="XW26" s="412"/>
      <c r="XX26" s="417"/>
      <c r="XY26" s="412"/>
      <c r="XZ26" s="402"/>
      <c r="YA26" s="402"/>
      <c r="YB26" s="417"/>
      <c r="YC26" s="412"/>
      <c r="YD26" s="417"/>
      <c r="YE26" s="412"/>
      <c r="YF26" s="417"/>
      <c r="YG26" s="412"/>
      <c r="YH26" s="417"/>
      <c r="YI26" s="412"/>
      <c r="YJ26" s="402"/>
      <c r="YK26" s="402"/>
      <c r="YL26" s="417"/>
      <c r="YM26" s="412"/>
      <c r="YN26" s="417"/>
      <c r="YO26" s="412"/>
      <c r="YP26" s="417"/>
      <c r="YQ26" s="412"/>
      <c r="YR26" s="417"/>
      <c r="YS26" s="412"/>
      <c r="YT26" s="402"/>
      <c r="YU26" s="402"/>
      <c r="YV26" s="417"/>
      <c r="YW26" s="412"/>
      <c r="YX26" s="417"/>
      <c r="YY26" s="412"/>
      <c r="YZ26" s="402"/>
      <c r="ZA26" s="402"/>
      <c r="ZB26" s="417"/>
      <c r="ZC26" s="412"/>
      <c r="ZD26" s="402"/>
      <c r="ZE26" s="402"/>
      <c r="ZF26" s="417"/>
      <c r="ZG26" s="412"/>
      <c r="ZH26" s="417"/>
      <c r="ZI26" s="412"/>
      <c r="ZJ26" s="417"/>
      <c r="ZK26" s="412"/>
      <c r="ZL26" s="402"/>
      <c r="ZM26" s="402"/>
      <c r="ZN26" s="417"/>
      <c r="ZO26" s="412"/>
      <c r="ZP26" s="417"/>
      <c r="ZQ26" s="412"/>
      <c r="ZR26" s="417"/>
      <c r="ZS26" s="412"/>
      <c r="ZT26" s="417"/>
      <c r="ZU26" s="412"/>
      <c r="ZV26" s="417"/>
      <c r="ZW26" s="412"/>
      <c r="ZX26" s="402"/>
      <c r="ZY26" s="402"/>
      <c r="ZZ26" s="417"/>
      <c r="AAA26" s="412"/>
      <c r="AAB26" s="417"/>
      <c r="AAC26" s="412"/>
      <c r="AAD26" s="417"/>
      <c r="AAE26" s="412"/>
      <c r="AAF26" s="417"/>
      <c r="AAG26" s="412"/>
      <c r="AAH26" s="402"/>
      <c r="AAI26" s="402"/>
      <c r="AAJ26" s="417"/>
      <c r="AAK26" s="412"/>
      <c r="AAL26" s="417"/>
      <c r="AAM26" s="412"/>
      <c r="AAN26" s="417"/>
      <c r="AAO26" s="412"/>
      <c r="AAP26" s="417"/>
      <c r="AAQ26" s="412"/>
      <c r="AAR26" s="417"/>
      <c r="AAS26" s="412"/>
      <c r="AAT26" s="402"/>
      <c r="AAU26" s="402"/>
      <c r="AAV26" s="417"/>
      <c r="AAW26" s="412"/>
      <c r="AAX26" s="402"/>
      <c r="AAY26" s="402"/>
      <c r="AAZ26" s="417"/>
      <c r="ABA26" s="412"/>
      <c r="ABB26" s="417"/>
      <c r="ABC26" s="412"/>
      <c r="ABD26" s="417"/>
      <c r="ABE26" s="412"/>
      <c r="ABF26" s="402"/>
      <c r="ABG26" s="402"/>
      <c r="ABH26" s="417"/>
      <c r="ABI26" s="412"/>
      <c r="ABJ26" s="417"/>
      <c r="ABK26" s="412"/>
      <c r="ABL26" s="417"/>
      <c r="ABM26" s="412"/>
      <c r="ABN26" s="417"/>
      <c r="ABO26" s="412"/>
      <c r="ABP26" s="402"/>
      <c r="ABQ26" s="402"/>
      <c r="ABR26" s="417"/>
      <c r="ABS26" s="412"/>
      <c r="ABT26" s="417"/>
      <c r="ABU26" s="412"/>
      <c r="ABV26" s="417"/>
      <c r="ABW26" s="412"/>
      <c r="ABX26" s="402"/>
      <c r="ABY26" s="402"/>
      <c r="ABZ26" s="417"/>
      <c r="ACA26" s="412"/>
      <c r="ACB26" s="417"/>
      <c r="ACC26" s="412"/>
      <c r="ACD26" s="417"/>
      <c r="ACE26" s="412"/>
      <c r="ACF26" s="417"/>
      <c r="ACG26" s="412"/>
      <c r="ACH26" s="417"/>
      <c r="ACI26" s="412"/>
      <c r="ACJ26" s="402"/>
      <c r="ACK26" s="402"/>
      <c r="ACL26" s="417"/>
      <c r="ACM26" s="412"/>
      <c r="ACN26" s="417"/>
      <c r="ACO26" s="412"/>
      <c r="ACP26" s="417"/>
      <c r="ACQ26" s="412"/>
      <c r="ACR26" s="417"/>
      <c r="ACS26" s="412"/>
      <c r="ACT26" s="417"/>
      <c r="ACU26" s="412"/>
      <c r="ACV26" s="417"/>
      <c r="ACW26" s="412"/>
      <c r="ACX26" s="402"/>
      <c r="ACY26" s="402"/>
      <c r="ACZ26" s="417"/>
      <c r="ADA26" s="412"/>
      <c r="ADB26" s="417"/>
      <c r="ADC26" s="412"/>
      <c r="ADD26" s="417"/>
      <c r="ADE26" s="412"/>
      <c r="ADF26" s="417"/>
      <c r="ADG26" s="412"/>
      <c r="ADH26" s="417"/>
      <c r="ADI26" s="412"/>
      <c r="ADJ26" s="417"/>
      <c r="ADK26" s="412"/>
      <c r="ADL26" s="417"/>
      <c r="ADM26" s="412"/>
      <c r="ADN26" s="417"/>
      <c r="ADO26" s="412"/>
      <c r="ADP26" s="417"/>
      <c r="ADQ26" s="412"/>
      <c r="ADR26" s="402"/>
      <c r="ADS26" s="412"/>
      <c r="ADT26" s="417"/>
      <c r="ADU26" s="412"/>
      <c r="ADV26" s="402"/>
      <c r="ADW26" s="402"/>
      <c r="ADX26" s="417"/>
      <c r="ADY26" s="412"/>
      <c r="ADZ26" s="417"/>
      <c r="AEA26" s="412"/>
      <c r="AEB26" s="417"/>
      <c r="AEC26" s="412"/>
      <c r="AED26" s="402"/>
      <c r="AEE26" s="402"/>
      <c r="AEF26" s="417"/>
      <c r="AEG26" s="412"/>
      <c r="AEH26" s="417"/>
      <c r="AEI26" s="412"/>
      <c r="AEJ26" s="417"/>
      <c r="AEK26" s="412"/>
      <c r="AEL26" s="417"/>
      <c r="AEM26" s="412"/>
      <c r="AEN26" s="417"/>
      <c r="AEO26" s="412"/>
      <c r="AEP26" s="417"/>
      <c r="AEQ26" s="412"/>
      <c r="AER26" s="402"/>
      <c r="AES26" s="402"/>
      <c r="AET26" s="417"/>
      <c r="AEU26" s="412"/>
      <c r="AEV26" s="402"/>
      <c r="AEW26" s="402"/>
      <c r="AEX26" s="417"/>
      <c r="AEY26" s="412"/>
      <c r="AEZ26" s="417"/>
      <c r="AFA26" s="412"/>
      <c r="AFB26" s="417"/>
      <c r="AFC26" s="412"/>
      <c r="AFD26" s="417"/>
      <c r="AFE26" s="412"/>
      <c r="AFF26" s="402"/>
      <c r="AFG26" s="402"/>
      <c r="AFH26" s="417"/>
      <c r="AFI26" s="412"/>
      <c r="AFJ26" s="402"/>
      <c r="AFK26" s="402"/>
      <c r="AFL26" s="417"/>
      <c r="AFM26" s="412"/>
      <c r="AFN26" s="417"/>
      <c r="AFO26" s="412"/>
      <c r="AFP26" s="417"/>
      <c r="AFQ26" s="412"/>
      <c r="AFR26" s="417"/>
      <c r="AFS26" s="412"/>
      <c r="AFT26" s="417"/>
      <c r="AFU26" s="412"/>
      <c r="AFV26" s="402"/>
      <c r="AFW26" s="402"/>
      <c r="AFX26" s="417"/>
      <c r="AFY26" s="412"/>
      <c r="AFZ26" s="417"/>
      <c r="AGA26" s="412"/>
      <c r="AGB26" s="417"/>
      <c r="AGC26" s="412"/>
      <c r="AGD26" s="402"/>
      <c r="AGE26" s="402"/>
      <c r="AGF26" s="417"/>
      <c r="AGG26" s="412"/>
      <c r="AGH26" s="417"/>
      <c r="AGI26" s="412"/>
      <c r="AGJ26" s="402"/>
      <c r="AGK26" s="402"/>
      <c r="AGL26" s="417"/>
      <c r="AGM26" s="412"/>
      <c r="AGN26" s="417"/>
      <c r="AGO26" s="412"/>
      <c r="AGP26" s="417"/>
      <c r="AGQ26" s="412"/>
      <c r="AGR26" s="417"/>
      <c r="AGS26" s="412"/>
      <c r="AGT26" s="417"/>
      <c r="AGU26" s="412"/>
      <c r="AGV26" s="402"/>
      <c r="AGW26" s="412"/>
      <c r="AGX26" s="417"/>
      <c r="AGY26" s="412"/>
      <c r="AGZ26" s="417"/>
      <c r="AHA26" s="412"/>
      <c r="AHB26" s="417"/>
      <c r="AHC26" s="412"/>
      <c r="AHD26" s="417"/>
      <c r="AHE26" s="412"/>
      <c r="AHF26" s="417"/>
      <c r="AHG26" s="412"/>
      <c r="AHH26" s="417"/>
      <c r="AHI26" s="412"/>
      <c r="AHJ26" s="417"/>
      <c r="AHK26" s="412"/>
      <c r="AHL26" s="417"/>
      <c r="AHM26" s="412"/>
      <c r="AHN26" s="417"/>
      <c r="AHO26" s="412"/>
      <c r="AHP26" s="417"/>
      <c r="AHQ26" s="412"/>
      <c r="AHR26" s="417"/>
      <c r="AHS26" s="402"/>
      <c r="AHT26" s="417"/>
      <c r="AHU26" s="402"/>
      <c r="AHV26" s="417"/>
      <c r="AHW26" s="412"/>
      <c r="AHX26" s="417"/>
      <c r="AHY26" s="412"/>
      <c r="AHZ26" s="417"/>
      <c r="AIA26" s="412"/>
    </row>
    <row r="27" spans="1:911" ht="15" x14ac:dyDescent="0.2">
      <c r="A27" s="458">
        <v>2022</v>
      </c>
      <c r="B27" s="460" t="s">
        <v>22</v>
      </c>
      <c r="C27" s="430" t="s">
        <v>22</v>
      </c>
      <c r="D27" s="523">
        <v>44563</v>
      </c>
      <c r="E27" s="456" t="str">
        <f>CHOOSE(WEEKDAY(D27,2),"Monday","Tuesday","Wednesday","Thursday","Friday","Saturday","Sunday")</f>
        <v>Sunday</v>
      </c>
      <c r="F27" s="460" t="s">
        <v>22</v>
      </c>
      <c r="G27" s="430" t="s">
        <v>22</v>
      </c>
      <c r="H27" s="460" t="s">
        <v>22</v>
      </c>
      <c r="I27" s="430" t="s">
        <v>22</v>
      </c>
      <c r="J27" s="460" t="s">
        <v>22</v>
      </c>
      <c r="K27" s="430" t="s">
        <v>22</v>
      </c>
      <c r="L27" s="460" t="s">
        <v>22</v>
      </c>
      <c r="M27" s="430" t="s">
        <v>22</v>
      </c>
      <c r="N27" s="523">
        <v>44571</v>
      </c>
      <c r="O27" s="456" t="str">
        <f>CHOOSE(WEEKDAY(N27,2),"Monday","Tuesday","Wednesday","Thursday","Friday","Saturday","Sunday")</f>
        <v>Monday</v>
      </c>
      <c r="P27" s="457" t="s">
        <v>22</v>
      </c>
      <c r="Q27" s="430" t="s">
        <v>22</v>
      </c>
      <c r="R27" s="457" t="s">
        <v>22</v>
      </c>
      <c r="S27" s="430" t="s">
        <v>22</v>
      </c>
      <c r="T27" s="460" t="s">
        <v>22</v>
      </c>
      <c r="U27" s="430" t="s">
        <v>22</v>
      </c>
      <c r="V27" s="457" t="s">
        <v>22</v>
      </c>
      <c r="W27" s="430" t="s">
        <v>22</v>
      </c>
      <c r="X27" s="460" t="s">
        <v>22</v>
      </c>
      <c r="Y27" s="430" t="s">
        <v>22</v>
      </c>
      <c r="Z27" s="523">
        <v>44575</v>
      </c>
      <c r="AA27" s="456" t="str">
        <f>CHOOSE(WEEKDAY(Z27,2),"Monday","Tuesday","Wednesday","Thursday","Friday","Saturday","Sunday")</f>
        <v>Friday</v>
      </c>
      <c r="AB27" s="457" t="s">
        <v>22</v>
      </c>
      <c r="AC27" s="430" t="s">
        <v>22</v>
      </c>
      <c r="AD27" s="422" t="s">
        <v>22</v>
      </c>
      <c r="AE27" s="422" t="s">
        <v>22</v>
      </c>
      <c r="AF27" s="523">
        <v>44582</v>
      </c>
      <c r="AG27" s="456" t="str">
        <f>CHOOSE(WEEKDAY(AF27,2),"Monday","Tuesday","Wednesday","Thursday","Friday","Saturday","Sunday")</f>
        <v>Friday</v>
      </c>
      <c r="AH27" s="457" t="s">
        <v>22</v>
      </c>
      <c r="AI27" s="430" t="s">
        <v>22</v>
      </c>
      <c r="AJ27" s="422" t="s">
        <v>22</v>
      </c>
      <c r="AK27" s="422" t="s">
        <v>22</v>
      </c>
      <c r="AL27" s="457" t="s">
        <v>22</v>
      </c>
      <c r="AM27" s="430" t="s">
        <v>22</v>
      </c>
      <c r="AN27" s="460" t="s">
        <v>22</v>
      </c>
      <c r="AO27" s="430" t="s">
        <v>22</v>
      </c>
      <c r="AP27" s="460" t="s">
        <v>22</v>
      </c>
      <c r="AQ27" s="430" t="s">
        <v>22</v>
      </c>
      <c r="AR27" s="460" t="s">
        <v>22</v>
      </c>
      <c r="AS27" s="430" t="s">
        <v>22</v>
      </c>
      <c r="AT27" s="523">
        <v>44587</v>
      </c>
      <c r="AU27" s="456" t="str">
        <f>CHOOSE(WEEKDAY(AT27,2),"Monday","Tuesday","Wednesday","Thursday","Friday","Saturday","Sunday")</f>
        <v>Wednesday</v>
      </c>
      <c r="AV27" s="422" t="s">
        <v>22</v>
      </c>
      <c r="AW27" s="422" t="s">
        <v>22</v>
      </c>
      <c r="AX27" s="460" t="s">
        <v>22</v>
      </c>
      <c r="AY27" s="430" t="s">
        <v>22</v>
      </c>
      <c r="AZ27" s="457" t="s">
        <v>22</v>
      </c>
      <c r="BA27" s="430" t="s">
        <v>22</v>
      </c>
      <c r="BB27" s="422" t="s">
        <v>22</v>
      </c>
      <c r="BC27" s="422" t="s">
        <v>22</v>
      </c>
      <c r="BD27" s="460" t="s">
        <v>22</v>
      </c>
      <c r="BE27" s="430" t="s">
        <v>22</v>
      </c>
      <c r="BF27" s="523">
        <v>44594</v>
      </c>
      <c r="BG27" s="456" t="str">
        <f>CHOOSE(WEEKDAY(BF27,2),"Monday","Tuesday","Wednesday","Thursday","Friday","Saturday","Sunday")</f>
        <v>Wednesday</v>
      </c>
      <c r="BH27" s="460" t="s">
        <v>22</v>
      </c>
      <c r="BI27" s="430" t="s">
        <v>22</v>
      </c>
      <c r="BJ27" s="460" t="s">
        <v>22</v>
      </c>
      <c r="BK27" s="430" t="s">
        <v>22</v>
      </c>
      <c r="BL27" s="422" t="s">
        <v>22</v>
      </c>
      <c r="BM27" s="422" t="s">
        <v>22</v>
      </c>
      <c r="BN27" s="460" t="s">
        <v>22</v>
      </c>
      <c r="BO27" s="430" t="s">
        <v>22</v>
      </c>
      <c r="BP27" s="460" t="s">
        <v>22</v>
      </c>
      <c r="BQ27" s="430" t="s">
        <v>22</v>
      </c>
      <c r="BR27" s="457" t="s">
        <v>22</v>
      </c>
      <c r="BS27" s="430" t="s">
        <v>22</v>
      </c>
      <c r="BT27" s="523">
        <v>44588</v>
      </c>
      <c r="BU27" s="456" t="str">
        <f>CHOOSE(WEEKDAY(BT27,2),"Monday","Tuesday","Wednesday","Thursday","Friday","Saturday","Sunday")</f>
        <v>Thursday</v>
      </c>
      <c r="BV27" s="457" t="s">
        <v>22</v>
      </c>
      <c r="BW27" s="430" t="s">
        <v>22</v>
      </c>
      <c r="BX27" s="422" t="s">
        <v>22</v>
      </c>
      <c r="BY27" s="422" t="s">
        <v>22</v>
      </c>
      <c r="BZ27" s="523">
        <v>44600</v>
      </c>
      <c r="CA27" s="456" t="str">
        <f>CHOOSE(WEEKDAY(BZ27,2),"Monday","Tuesday","Wednesday","Thursday","Friday","Saturday","Sunday")</f>
        <v>Tuesday</v>
      </c>
      <c r="CB27" s="460" t="s">
        <v>22</v>
      </c>
      <c r="CC27" s="430" t="s">
        <v>22</v>
      </c>
      <c r="CD27" s="460" t="s">
        <v>22</v>
      </c>
      <c r="CE27" s="430" t="s">
        <v>22</v>
      </c>
      <c r="CF27" s="457" t="s">
        <v>22</v>
      </c>
      <c r="CG27" s="430" t="s">
        <v>22</v>
      </c>
      <c r="CH27" s="523">
        <v>44602</v>
      </c>
      <c r="CI27" s="456" t="str">
        <f>CHOOSE(WEEKDAY(CH27,2),"Monday","Tuesday","Wednesday","Thursday","Friday","Saturday","Sunday")</f>
        <v>Thursday</v>
      </c>
      <c r="CJ27" s="523">
        <v>44603</v>
      </c>
      <c r="CK27" s="456" t="str">
        <f>CHOOSE(WEEKDAY(CJ27,2),"Monday","Tuesday","Wednesday","Thursday","Friday","Saturday","Sunday")</f>
        <v>Friday</v>
      </c>
      <c r="CL27" s="422" t="s">
        <v>22</v>
      </c>
      <c r="CM27" s="422" t="s">
        <v>22</v>
      </c>
      <c r="CN27" s="523">
        <v>44603</v>
      </c>
      <c r="CO27" s="456" t="str">
        <f>CHOOSE(WEEKDAY(CN27,2),"Monday","Tuesday","Wednesday","Thursday","Friday","Saturday","Sunday")</f>
        <v>Friday</v>
      </c>
      <c r="CP27" s="460" t="s">
        <v>22</v>
      </c>
      <c r="CQ27" s="430" t="s">
        <v>22</v>
      </c>
      <c r="CR27" s="460" t="s">
        <v>22</v>
      </c>
      <c r="CS27" s="430" t="s">
        <v>22</v>
      </c>
      <c r="CT27" s="422" t="s">
        <v>22</v>
      </c>
      <c r="CU27" s="422" t="s">
        <v>22</v>
      </c>
      <c r="CV27" s="460" t="s">
        <v>22</v>
      </c>
      <c r="CW27" s="430" t="s">
        <v>22</v>
      </c>
      <c r="CX27" s="457" t="s">
        <v>22</v>
      </c>
      <c r="CY27" s="430" t="s">
        <v>22</v>
      </c>
      <c r="CZ27" s="422" t="s">
        <v>22</v>
      </c>
      <c r="DA27" s="422" t="s">
        <v>22</v>
      </c>
      <c r="DB27" s="457" t="s">
        <v>22</v>
      </c>
      <c r="DC27" s="430" t="s">
        <v>22</v>
      </c>
      <c r="DD27" s="523">
        <v>44610</v>
      </c>
      <c r="DE27" s="456" t="str">
        <f>CHOOSE(WEEKDAY(DD27,2),"Monday","Tuesday","Wednesday","Thursday","Friday","Saturday","Sunday")</f>
        <v>Friday</v>
      </c>
      <c r="DF27" s="523">
        <v>44610</v>
      </c>
      <c r="DG27" s="456" t="str">
        <f>CHOOSE(WEEKDAY(DF27,2),"Monday","Tuesday","Wednesday","Thursday","Friday","Saturday","Sunday")</f>
        <v>Friday</v>
      </c>
      <c r="DH27" s="460" t="s">
        <v>22</v>
      </c>
      <c r="DI27" s="430" t="s">
        <v>22</v>
      </c>
      <c r="DJ27" s="460" t="s">
        <v>22</v>
      </c>
      <c r="DK27" s="430" t="s">
        <v>22</v>
      </c>
      <c r="DL27" s="457" t="s">
        <v>22</v>
      </c>
      <c r="DM27" s="430" t="s">
        <v>22</v>
      </c>
      <c r="DN27" s="422" t="s">
        <v>22</v>
      </c>
      <c r="DO27" s="422" t="s">
        <v>22</v>
      </c>
      <c r="DP27" s="457" t="s">
        <v>22</v>
      </c>
      <c r="DQ27" s="430" t="s">
        <v>22</v>
      </c>
      <c r="DR27" s="460" t="s">
        <v>22</v>
      </c>
      <c r="DS27" s="430" t="s">
        <v>22</v>
      </c>
      <c r="DT27" s="523">
        <v>44614</v>
      </c>
      <c r="DU27" s="456" t="str">
        <f>CHOOSE(WEEKDAY(DT27,2),"Monday","Tuesday","Wednesday","Thursday","Friday","Saturday","Sunday")</f>
        <v>Tuesday</v>
      </c>
      <c r="DV27" s="460" t="s">
        <v>22</v>
      </c>
      <c r="DW27" s="430" t="s">
        <v>22</v>
      </c>
      <c r="DX27" s="457" t="s">
        <v>22</v>
      </c>
      <c r="DY27" s="430" t="s">
        <v>22</v>
      </c>
      <c r="DZ27" s="422" t="s">
        <v>22</v>
      </c>
      <c r="EA27" s="422" t="s">
        <v>22</v>
      </c>
      <c r="EB27" s="457" t="s">
        <v>22</v>
      </c>
      <c r="EC27" s="430" t="s">
        <v>22</v>
      </c>
      <c r="ED27" s="422" t="s">
        <v>22</v>
      </c>
      <c r="EE27" s="422" t="s">
        <v>22</v>
      </c>
      <c r="EF27" s="460" t="s">
        <v>22</v>
      </c>
      <c r="EG27" s="430" t="s">
        <v>22</v>
      </c>
      <c r="EH27" s="457" t="s">
        <v>22</v>
      </c>
      <c r="EI27" s="430" t="s">
        <v>22</v>
      </c>
      <c r="EJ27" s="460" t="s">
        <v>22</v>
      </c>
      <c r="EK27" s="430" t="s">
        <v>22</v>
      </c>
      <c r="EL27" s="455">
        <v>44877</v>
      </c>
      <c r="EM27" s="456" t="str">
        <f>CHOOSE(WEEKDAY(EL27,2),"Monday","Tuesday","Wednesday","Thursday","Friday","Saturday","Sunday")</f>
        <v>Saturday</v>
      </c>
      <c r="EN27" s="460" t="s">
        <v>22</v>
      </c>
      <c r="EO27" s="430" t="s">
        <v>22</v>
      </c>
      <c r="EP27" s="525">
        <v>44622</v>
      </c>
      <c r="EQ27" s="456" t="str">
        <f>CHOOSE(WEEKDAY(EP27,2),"Monday","Tuesday","Wednesday","Thursday","Friday","Saturday","Sunday")</f>
        <v>Wednesday</v>
      </c>
      <c r="ER27" s="523">
        <v>44617</v>
      </c>
      <c r="ES27" s="456" t="str">
        <f>CHOOSE(WEEKDAY(ER27,2),"Monday","Tuesday","Wednesday","Thursday","Friday","Saturday","Sunday")</f>
        <v>Friday</v>
      </c>
      <c r="ET27" s="422" t="s">
        <v>22</v>
      </c>
      <c r="EU27" s="422" t="s">
        <v>22</v>
      </c>
      <c r="EV27" s="525">
        <v>44626</v>
      </c>
      <c r="EW27" s="456" t="str">
        <f>CHOOSE(WEEKDAY(EV27,2),"Monday","Tuesday","Wednesday","Thursday","Friday","Saturday","Sunday")</f>
        <v>Sunday</v>
      </c>
      <c r="EX27" s="460" t="s">
        <v>22</v>
      </c>
      <c r="EY27" s="430" t="s">
        <v>22</v>
      </c>
      <c r="EZ27" s="523">
        <v>44627</v>
      </c>
      <c r="FA27" s="456" t="str">
        <f>CHOOSE(WEEKDAY(EZ27,2),"Monday","Tuesday","Wednesday","Thursday","Friday","Saturday","Sunday")</f>
        <v>Monday</v>
      </c>
      <c r="FB27" s="422" t="s">
        <v>22</v>
      </c>
      <c r="FC27" s="422" t="s">
        <v>22</v>
      </c>
      <c r="FD27" s="457" t="s">
        <v>22</v>
      </c>
      <c r="FE27" s="430" t="s">
        <v>22</v>
      </c>
      <c r="FF27" s="422" t="s">
        <v>22</v>
      </c>
      <c r="FG27" s="430" t="s">
        <v>22</v>
      </c>
      <c r="FH27" s="422" t="s">
        <v>22</v>
      </c>
      <c r="FI27" s="422" t="s">
        <v>22</v>
      </c>
      <c r="FJ27" s="525">
        <v>44630</v>
      </c>
      <c r="FK27" s="456" t="str">
        <f>CHOOSE(WEEKDAY(FJ27,2),"Monday","Tuesday","Wednesday","Thursday","Friday","Saturday","Sunday")</f>
        <v>Thursday</v>
      </c>
      <c r="FL27" s="457" t="s">
        <v>22</v>
      </c>
      <c r="FM27" s="430" t="s">
        <v>22</v>
      </c>
      <c r="FN27" s="460" t="s">
        <v>22</v>
      </c>
      <c r="FO27" s="430" t="s">
        <v>22</v>
      </c>
      <c r="FP27" s="422" t="s">
        <v>22</v>
      </c>
      <c r="FQ27" s="422" t="s">
        <v>22</v>
      </c>
      <c r="FR27" s="525">
        <v>44635</v>
      </c>
      <c r="FS27" s="456" t="str">
        <f>CHOOSE(WEEKDAY(FR27,2),"Monday","Tuesday","Wednesday","Thursday","Friday","Saturday","Sunday")</f>
        <v>Tuesday</v>
      </c>
      <c r="FT27" s="457" t="s">
        <v>22</v>
      </c>
      <c r="FU27" s="430" t="s">
        <v>22</v>
      </c>
      <c r="FV27" s="422" t="s">
        <v>22</v>
      </c>
      <c r="FW27" s="430" t="s">
        <v>22</v>
      </c>
      <c r="FX27" s="422" t="s">
        <v>22</v>
      </c>
      <c r="FY27" s="422" t="s">
        <v>22</v>
      </c>
      <c r="FZ27" s="525">
        <v>44638</v>
      </c>
      <c r="GA27" s="456" t="str">
        <f>CHOOSE(WEEKDAY(FZ27,2),"Monday","Tuesday","Wednesday","Thursday","Friday","Saturday","Sunday")</f>
        <v>Friday</v>
      </c>
      <c r="GB27" s="457" t="s">
        <v>22</v>
      </c>
      <c r="GC27" s="430" t="s">
        <v>22</v>
      </c>
      <c r="GD27" s="422" t="s">
        <v>22</v>
      </c>
      <c r="GE27" s="422" t="s">
        <v>22</v>
      </c>
      <c r="GF27" s="457" t="s">
        <v>22</v>
      </c>
      <c r="GG27" s="430" t="s">
        <v>22</v>
      </c>
      <c r="GH27" s="457" t="s">
        <v>22</v>
      </c>
      <c r="GI27" s="422" t="s">
        <v>22</v>
      </c>
      <c r="GJ27" s="457" t="s">
        <v>22</v>
      </c>
      <c r="GK27" s="430" t="s">
        <v>22</v>
      </c>
      <c r="GL27" s="422" t="s">
        <v>22</v>
      </c>
      <c r="GM27" s="430" t="s">
        <v>22</v>
      </c>
      <c r="GN27" s="525">
        <v>44642</v>
      </c>
      <c r="GO27" s="456" t="str">
        <f>CHOOSE(WEEKDAY(GN27,2),"Monday","Tuesday","Wednesday","Thursday","Friday","Saturday","Sunday")</f>
        <v>Tuesday</v>
      </c>
      <c r="GP27" s="422" t="s">
        <v>22</v>
      </c>
      <c r="GQ27" s="430" t="s">
        <v>22</v>
      </c>
      <c r="GR27" s="460" t="s">
        <v>22</v>
      </c>
      <c r="GS27" s="430" t="s">
        <v>22</v>
      </c>
      <c r="GT27" s="457" t="s">
        <v>22</v>
      </c>
      <c r="GU27" s="430" t="s">
        <v>22</v>
      </c>
      <c r="GV27" s="422" t="s">
        <v>22</v>
      </c>
      <c r="GW27" s="422" t="s">
        <v>22</v>
      </c>
      <c r="GX27" s="525">
        <v>44645</v>
      </c>
      <c r="GY27" s="456" t="str">
        <f>CHOOSE(WEEKDAY(GX27,2),"Monday","Tuesday","Wednesday","Thursday","Friday","Saturday","Sunday")</f>
        <v>Friday</v>
      </c>
      <c r="GZ27" s="525">
        <v>44647</v>
      </c>
      <c r="HA27" s="456" t="str">
        <f>CHOOSE(WEEKDAY(GZ27,2),"Monday","Tuesday","Wednesday","Thursday","Friday","Saturday","Sunday")</f>
        <v>Sunday</v>
      </c>
      <c r="HB27" s="457" t="s">
        <v>22</v>
      </c>
      <c r="HC27" s="430" t="s">
        <v>22</v>
      </c>
      <c r="HD27" s="422" t="s">
        <v>22</v>
      </c>
      <c r="HE27" s="430" t="s">
        <v>22</v>
      </c>
      <c r="HF27" s="422" t="s">
        <v>22</v>
      </c>
      <c r="HG27" s="430" t="s">
        <v>22</v>
      </c>
      <c r="HH27" s="422" t="s">
        <v>22</v>
      </c>
      <c r="HI27" s="422" t="s">
        <v>22</v>
      </c>
      <c r="HJ27" s="457" t="s">
        <v>22</v>
      </c>
      <c r="HK27" s="430" t="s">
        <v>22</v>
      </c>
      <c r="HL27" s="457" t="s">
        <v>22</v>
      </c>
      <c r="HM27" s="430" t="s">
        <v>22</v>
      </c>
      <c r="HN27" s="523">
        <v>44652</v>
      </c>
      <c r="HO27" s="456" t="str">
        <f>CHOOSE(WEEKDAY(HN27,2),"Monday","Tuesday","Wednesday","Thursday","Friday","Saturday","Sunday")</f>
        <v>Friday</v>
      </c>
      <c r="HP27" s="422" t="s">
        <v>22</v>
      </c>
      <c r="HQ27" s="422" t="s">
        <v>22</v>
      </c>
      <c r="HR27" s="455">
        <v>44629</v>
      </c>
      <c r="HS27" s="456" t="str">
        <f>CHOOSE(WEEKDAY(HR27,2),"Monday","Tuesday","Wednesday","Thursday","Friday","Saturday","Sunday")</f>
        <v>Wednesday</v>
      </c>
      <c r="HT27" s="523">
        <v>44652</v>
      </c>
      <c r="HU27" s="456" t="str">
        <f>CHOOSE(WEEKDAY(HT27,2),"Monday","Tuesday","Wednesday","Thursday","Friday","Saturday","Sunday")</f>
        <v>Friday</v>
      </c>
      <c r="HV27" s="460" t="s">
        <v>22</v>
      </c>
      <c r="HW27" s="430" t="s">
        <v>22</v>
      </c>
      <c r="HX27" s="457" t="s">
        <v>22</v>
      </c>
      <c r="HY27" s="430" t="s">
        <v>22</v>
      </c>
      <c r="HZ27" s="523">
        <v>44656</v>
      </c>
      <c r="IA27" s="456" t="str">
        <f>CHOOSE(WEEKDAY(HZ27,2),"Monday","Tuesday","Wednesday","Thursday","Friday","Saturday","Sunday")</f>
        <v>Tuesday</v>
      </c>
      <c r="IB27" s="457" t="s">
        <v>22</v>
      </c>
      <c r="IC27" s="430" t="s">
        <v>22</v>
      </c>
      <c r="ID27" s="422" t="s">
        <v>22</v>
      </c>
      <c r="IE27" s="422" t="s">
        <v>22</v>
      </c>
      <c r="IF27" s="457" t="s">
        <v>22</v>
      </c>
      <c r="IG27" s="430" t="s">
        <v>22</v>
      </c>
      <c r="IH27" s="523">
        <v>44659</v>
      </c>
      <c r="II27" s="456" t="str">
        <f>CHOOSE(WEEKDAY(IH27,2),"Monday","Tuesday","Wednesday","Thursday","Friday","Saturday","Sunday")</f>
        <v>Friday</v>
      </c>
      <c r="IJ27" s="422" t="s">
        <v>22</v>
      </c>
      <c r="IK27" s="422" t="s">
        <v>22</v>
      </c>
      <c r="IL27" s="523">
        <v>44663</v>
      </c>
      <c r="IM27" s="456" t="str">
        <f>CHOOSE(WEEKDAY(IL27,2),"Monday","Tuesday","Wednesday","Thursday","Friday","Saturday","Sunday")</f>
        <v>Tuesday</v>
      </c>
      <c r="IN27" s="523">
        <v>44662</v>
      </c>
      <c r="IO27" s="456" t="str">
        <f>CHOOSE(WEEKDAY(IN27,2),"Monday","Tuesday","Wednesday","Thursday","Friday","Saturday","Sunday")</f>
        <v>Monday</v>
      </c>
      <c r="IP27" s="422" t="s">
        <v>22</v>
      </c>
      <c r="IQ27" s="422" t="s">
        <v>22</v>
      </c>
      <c r="IR27" s="457" t="s">
        <v>22</v>
      </c>
      <c r="IS27" s="430" t="s">
        <v>22</v>
      </c>
      <c r="IT27" s="457" t="s">
        <v>22</v>
      </c>
      <c r="IU27" s="430" t="s">
        <v>22</v>
      </c>
      <c r="IV27" s="523">
        <v>44666</v>
      </c>
      <c r="IW27" s="456" t="str">
        <f>CHOOSE(WEEKDAY(IV27,2),"Monday","Tuesday","Wednesday","Thursday","Friday","Saturday","Sunday")</f>
        <v>Friday</v>
      </c>
      <c r="IX27" s="457" t="s">
        <v>22</v>
      </c>
      <c r="IY27" s="430" t="s">
        <v>22</v>
      </c>
      <c r="IZ27" s="422" t="s">
        <v>22</v>
      </c>
      <c r="JA27" s="430" t="s">
        <v>22</v>
      </c>
      <c r="JB27" s="523">
        <v>44669</v>
      </c>
      <c r="JC27" s="456" t="str">
        <f>CHOOSE(WEEKDAY(JB27,2),"Monday","Tuesday","Wednesday","Thursday","Friday","Saturday","Sunday")</f>
        <v>Monday</v>
      </c>
      <c r="JD27" s="457" t="s">
        <v>22</v>
      </c>
      <c r="JE27" s="430" t="s">
        <v>22</v>
      </c>
      <c r="JF27" s="422" t="s">
        <v>22</v>
      </c>
      <c r="JG27" s="422" t="s">
        <v>22</v>
      </c>
      <c r="JH27" s="457" t="s">
        <v>22</v>
      </c>
      <c r="JI27" s="430" t="s">
        <v>22</v>
      </c>
      <c r="JJ27" s="523">
        <v>44673</v>
      </c>
      <c r="JK27" s="456" t="str">
        <f>CHOOSE(WEEKDAY(JJ27,2),"Monday","Tuesday","Wednesday","Thursday","Friday","Saturday","Sunday")</f>
        <v>Friday</v>
      </c>
      <c r="JL27" s="457" t="s">
        <v>22</v>
      </c>
      <c r="JM27" s="430" t="s">
        <v>22</v>
      </c>
      <c r="JN27" s="460" t="s">
        <v>22</v>
      </c>
      <c r="JO27" s="430" t="s">
        <v>22</v>
      </c>
      <c r="JP27" s="422" t="s">
        <v>22</v>
      </c>
      <c r="JQ27" s="422" t="s">
        <v>22</v>
      </c>
      <c r="JR27" s="460" t="s">
        <v>22</v>
      </c>
      <c r="JS27" s="430" t="s">
        <v>22</v>
      </c>
      <c r="JT27" s="523">
        <v>44676</v>
      </c>
      <c r="JU27" s="456" t="str">
        <f>CHOOSE(WEEKDAY(JT27,2),"Monday","Tuesday","Wednesday","Thursday","Friday","Saturday","Sunday")</f>
        <v>Monday</v>
      </c>
      <c r="JV27" s="457" t="s">
        <v>22</v>
      </c>
      <c r="JW27" s="430" t="s">
        <v>22</v>
      </c>
      <c r="JX27" s="457" t="s">
        <v>22</v>
      </c>
      <c r="JY27" s="430" t="s">
        <v>22</v>
      </c>
      <c r="JZ27" s="457" t="s">
        <v>22</v>
      </c>
      <c r="KA27" s="430" t="s">
        <v>22</v>
      </c>
      <c r="KB27" s="457" t="s">
        <v>22</v>
      </c>
      <c r="KC27" s="430" t="s">
        <v>22</v>
      </c>
      <c r="KD27" s="422" t="s">
        <v>22</v>
      </c>
      <c r="KE27" s="422" t="s">
        <v>22</v>
      </c>
      <c r="KF27" s="457" t="s">
        <v>22</v>
      </c>
      <c r="KG27" s="430" t="s">
        <v>22</v>
      </c>
      <c r="KH27" s="422" t="s">
        <v>22</v>
      </c>
      <c r="KI27" s="422" t="s">
        <v>22</v>
      </c>
      <c r="KJ27" s="523">
        <v>44682</v>
      </c>
      <c r="KK27" s="456" t="str">
        <f>CHOOSE(WEEKDAY(KJ27,2),"Monday","Tuesday","Wednesday","Thursday","Friday","Saturday","Sunday")</f>
        <v>Sunday</v>
      </c>
      <c r="KL27" s="460" t="s">
        <v>22</v>
      </c>
      <c r="KM27" s="430" t="s">
        <v>22</v>
      </c>
      <c r="KN27" s="460" t="s">
        <v>22</v>
      </c>
      <c r="KO27" s="430" t="s">
        <v>22</v>
      </c>
      <c r="KP27" s="523">
        <v>44683</v>
      </c>
      <c r="KQ27" s="456" t="str">
        <f>CHOOSE(WEEKDAY(KP27,2),"Monday","Tuesday","Wednesday","Thursday","Friday","Saturday","Sunday")</f>
        <v>Monday</v>
      </c>
      <c r="KR27" s="422" t="s">
        <v>22</v>
      </c>
      <c r="KS27" s="422" t="s">
        <v>22</v>
      </c>
      <c r="KT27" s="523">
        <v>44684</v>
      </c>
      <c r="KU27" s="456" t="str">
        <f>CHOOSE(WEEKDAY(KT27,2),"Monday","Tuesday","Wednesday","Thursday","Friday","Saturday","Sunday")</f>
        <v>Tuesday</v>
      </c>
      <c r="KV27" s="523">
        <v>44685</v>
      </c>
      <c r="KW27" s="456" t="str">
        <f>CHOOSE(WEEKDAY(KV27,2),"Monday","Tuesday","Wednesday","Thursday","Friday","Saturday","Sunday")</f>
        <v>Wednesday</v>
      </c>
      <c r="KX27" s="523">
        <v>44685</v>
      </c>
      <c r="KY27" s="456" t="str">
        <f>CHOOSE(WEEKDAY(KX27,2),"Monday","Tuesday","Wednesday","Thursday","Friday","Saturday","Sunday")</f>
        <v>Wednesday</v>
      </c>
      <c r="KZ27" s="523">
        <v>44685</v>
      </c>
      <c r="LA27" s="456" t="str">
        <f>CHOOSE(WEEKDAY(KZ27,2),"Monday","Tuesday","Wednesday","Thursday","Friday","Saturday","Sunday")</f>
        <v>Wednesday</v>
      </c>
      <c r="LB27" s="457" t="s">
        <v>22</v>
      </c>
      <c r="LC27" s="430" t="s">
        <v>22</v>
      </c>
      <c r="LD27" s="422" t="s">
        <v>22</v>
      </c>
      <c r="LE27" s="422" t="s">
        <v>22</v>
      </c>
      <c r="LF27" s="457" t="s">
        <v>22</v>
      </c>
      <c r="LG27" s="430" t="s">
        <v>22</v>
      </c>
      <c r="LH27" s="523">
        <v>44688</v>
      </c>
      <c r="LI27" s="456" t="str">
        <f>CHOOSE(WEEKDAY(LH27,2),"Monday","Tuesday","Wednesday","Thursday","Friday","Saturday","Sunday")</f>
        <v>Saturday</v>
      </c>
      <c r="LJ27" s="422" t="s">
        <v>22</v>
      </c>
      <c r="LK27" s="422" t="s">
        <v>22</v>
      </c>
      <c r="LL27" s="308">
        <v>44686</v>
      </c>
      <c r="LM27" s="104" t="str">
        <f t="shared" si="64"/>
        <v>Thursday</v>
      </c>
      <c r="LN27" s="422" t="s">
        <v>22</v>
      </c>
      <c r="LO27" s="422" t="s">
        <v>22</v>
      </c>
      <c r="LP27" s="523">
        <v>44691</v>
      </c>
      <c r="LQ27" s="456" t="str">
        <f>CHOOSE(WEEKDAY(LP27,2),"Monday","Tuesday","Wednesday","Thursday","Friday","Saturday","Sunday")</f>
        <v>Tuesday</v>
      </c>
      <c r="LR27" s="523">
        <v>44694</v>
      </c>
      <c r="LS27" s="456" t="str">
        <f>CHOOSE(WEEKDAY(LR27,2),"Monday","Tuesday","Wednesday","Thursday","Friday","Saturday","Sunday")</f>
        <v>Friday</v>
      </c>
      <c r="LT27" s="455">
        <v>44879</v>
      </c>
      <c r="LU27" s="456" t="str">
        <f>CHOOSE(WEEKDAY(LT27,2),"Monday","Tuesday","Wednesday","Thursday","Friday","Saturday","Sunday")</f>
        <v>Monday</v>
      </c>
      <c r="LV27" s="422" t="s">
        <v>22</v>
      </c>
      <c r="LW27" s="422" t="s">
        <v>22</v>
      </c>
      <c r="LX27" s="457" t="s">
        <v>22</v>
      </c>
      <c r="LY27" s="430" t="s">
        <v>22</v>
      </c>
      <c r="LZ27" s="422" t="s">
        <v>22</v>
      </c>
      <c r="MA27" s="422" t="s">
        <v>22</v>
      </c>
      <c r="MB27" s="457" t="s">
        <v>22</v>
      </c>
      <c r="MC27" s="430" t="s">
        <v>22</v>
      </c>
      <c r="MD27" s="523">
        <v>44699</v>
      </c>
      <c r="ME27" s="456" t="str">
        <f>CHOOSE(WEEKDAY(MD27,2),"Monday","Tuesday","Wednesday","Thursday","Friday","Saturday","Sunday")</f>
        <v>Wednesday</v>
      </c>
      <c r="MF27" s="457" t="s">
        <v>22</v>
      </c>
      <c r="MG27" s="430" t="s">
        <v>22</v>
      </c>
      <c r="MH27" s="457" t="s">
        <v>22</v>
      </c>
      <c r="MI27" s="430" t="s">
        <v>22</v>
      </c>
      <c r="MJ27" s="457" t="s">
        <v>22</v>
      </c>
      <c r="MK27" s="430" t="s">
        <v>22</v>
      </c>
      <c r="ML27" s="422" t="s">
        <v>22</v>
      </c>
      <c r="MM27" s="422" t="s">
        <v>22</v>
      </c>
      <c r="MN27" s="457" t="s">
        <v>22</v>
      </c>
      <c r="MO27" s="430" t="s">
        <v>22</v>
      </c>
      <c r="MP27" s="523">
        <v>44703</v>
      </c>
      <c r="MQ27" s="456" t="str">
        <f>CHOOSE(WEEKDAY(MP27,2),"Monday","Tuesday","Wednesday","Thursday","Friday","Saturday","Sunday")</f>
        <v>Sunday</v>
      </c>
      <c r="MR27" s="457" t="s">
        <v>22</v>
      </c>
      <c r="MS27" s="430" t="s">
        <v>22</v>
      </c>
      <c r="MT27" s="460" t="s">
        <v>22</v>
      </c>
      <c r="MU27" s="430" t="s">
        <v>22</v>
      </c>
      <c r="MV27" s="422" t="s">
        <v>22</v>
      </c>
      <c r="MW27" s="422" t="s">
        <v>22</v>
      </c>
      <c r="MX27" s="457" t="s">
        <v>22</v>
      </c>
      <c r="MY27" s="430" t="s">
        <v>22</v>
      </c>
      <c r="MZ27" s="523">
        <v>44707</v>
      </c>
      <c r="NA27" s="456" t="str">
        <f>CHOOSE(WEEKDAY(MZ27,2),"Monday","Tuesday","Wednesday","Thursday","Friday","Saturday","Sunday")</f>
        <v>Thursday</v>
      </c>
      <c r="NB27" s="457" t="s">
        <v>22</v>
      </c>
      <c r="NC27" s="430" t="s">
        <v>22</v>
      </c>
      <c r="ND27" s="422" t="s">
        <v>22</v>
      </c>
      <c r="NE27" s="422" t="s">
        <v>22</v>
      </c>
      <c r="NF27" s="457" t="s">
        <v>22</v>
      </c>
      <c r="NG27" s="430" t="s">
        <v>22</v>
      </c>
      <c r="NH27" s="523">
        <v>44708</v>
      </c>
      <c r="NI27" s="456" t="str">
        <f>CHOOSE(WEEKDAY(NH27,2),"Monday","Tuesday","Wednesday","Thursday","Friday","Saturday","Sunday")</f>
        <v>Friday</v>
      </c>
      <c r="NJ27" s="457" t="s">
        <v>22</v>
      </c>
      <c r="NK27" s="430" t="s">
        <v>22</v>
      </c>
      <c r="NL27" s="523">
        <v>44708</v>
      </c>
      <c r="NM27" s="456" t="str">
        <f>CHOOSE(WEEKDAY(NL27,2),"Monday","Tuesday","Wednesday","Thursday","Friday","Saturday","Sunday")</f>
        <v>Friday</v>
      </c>
      <c r="NN27" s="460" t="s">
        <v>22</v>
      </c>
      <c r="NO27" s="430" t="s">
        <v>22</v>
      </c>
      <c r="NP27" s="457" t="s">
        <v>22</v>
      </c>
      <c r="NQ27" s="430" t="s">
        <v>22</v>
      </c>
      <c r="NR27" s="422" t="s">
        <v>22</v>
      </c>
      <c r="NS27" s="430" t="s">
        <v>22</v>
      </c>
      <c r="NT27" s="460" t="s">
        <v>22</v>
      </c>
      <c r="NU27" s="430" t="s">
        <v>22</v>
      </c>
      <c r="NV27" s="457" t="s">
        <v>22</v>
      </c>
      <c r="NW27" s="430" t="s">
        <v>22</v>
      </c>
      <c r="NX27" s="457" t="s">
        <v>22</v>
      </c>
      <c r="NY27" s="430" t="s">
        <v>22</v>
      </c>
      <c r="NZ27" s="308">
        <v>44714</v>
      </c>
      <c r="OA27" s="104" t="str">
        <f>CHOOSE(WEEKDAY(NZ27,2),"Monday","Tuesday","Wednesday","Thursday","Friday","Saturday","Sunday")</f>
        <v>Thursday</v>
      </c>
      <c r="OB27" s="457" t="s">
        <v>22</v>
      </c>
      <c r="OC27" s="430" t="s">
        <v>22</v>
      </c>
      <c r="OD27" s="309">
        <v>44715</v>
      </c>
      <c r="OE27" s="104" t="str">
        <f>CHOOSE(WEEKDAY(OD27,2),"Monday","Tuesday","Wednesday","Thursday","Friday","Saturday","Sunday")</f>
        <v>Friday</v>
      </c>
      <c r="OF27" s="457" t="s">
        <v>22</v>
      </c>
      <c r="OG27" s="430" t="s">
        <v>22</v>
      </c>
      <c r="OH27" s="422" t="s">
        <v>22</v>
      </c>
      <c r="OI27" s="422" t="s">
        <v>22</v>
      </c>
      <c r="OJ27" s="523">
        <v>44721</v>
      </c>
      <c r="OK27" s="456" t="str">
        <f>CHOOSE(WEEKDAY(OJ27,2),"Monday","Tuesday","Wednesday","Thursday","Friday","Saturday","Sunday")</f>
        <v>Thursday</v>
      </c>
      <c r="OL27" s="460" t="s">
        <v>22</v>
      </c>
      <c r="OM27" s="430" t="s">
        <v>22</v>
      </c>
      <c r="ON27" s="523">
        <v>44722</v>
      </c>
      <c r="OO27" s="456" t="str">
        <f>CHOOSE(WEEKDAY(ON27,2),"Monday","Tuesday","Wednesday","Thursday","Friday","Saturday","Sunday")</f>
        <v>Friday</v>
      </c>
      <c r="OP27" s="523">
        <v>44722</v>
      </c>
      <c r="OQ27" s="456" t="str">
        <f>CHOOSE(WEEKDAY(OP27,2),"Monday","Tuesday","Wednesday","Thursday","Friday","Saturday","Sunday")</f>
        <v>Friday</v>
      </c>
      <c r="OR27" s="422" t="s">
        <v>22</v>
      </c>
      <c r="OS27" s="422" t="s">
        <v>22</v>
      </c>
      <c r="OT27" s="523">
        <v>44724</v>
      </c>
      <c r="OU27" s="456" t="str">
        <f>CHOOSE(WEEKDAY(OT27,2),"Monday","Tuesday","Wednesday","Thursday","Friday","Saturday","Sunday")</f>
        <v>Sunday</v>
      </c>
      <c r="OV27" s="457" t="s">
        <v>22</v>
      </c>
      <c r="OW27" s="430" t="s">
        <v>22</v>
      </c>
      <c r="OX27" s="523">
        <v>44727</v>
      </c>
      <c r="OY27" s="456" t="str">
        <f>CHOOSE(WEEKDAY(OX27,2),"Monday","Tuesday","Wednesday","Thursday","Friday","Saturday","Sunday")</f>
        <v>Wednesday</v>
      </c>
      <c r="OZ27" s="457" t="s">
        <v>22</v>
      </c>
      <c r="PA27" s="430" t="s">
        <v>22</v>
      </c>
      <c r="PB27" s="457" t="s">
        <v>22</v>
      </c>
      <c r="PC27" s="430" t="s">
        <v>22</v>
      </c>
      <c r="PD27" s="422" t="s">
        <v>22</v>
      </c>
      <c r="PE27" s="422" t="s">
        <v>22</v>
      </c>
      <c r="PF27" s="457" t="s">
        <v>22</v>
      </c>
      <c r="PG27" s="430" t="s">
        <v>22</v>
      </c>
      <c r="PH27" s="523">
        <v>44734</v>
      </c>
      <c r="PI27" s="456" t="str">
        <f>CHOOSE(WEEKDAY(PH27,2),"Monday","Tuesday","Wednesday","Thursday","Friday","Saturday","Sunday")</f>
        <v>Wednesday</v>
      </c>
      <c r="PJ27" s="422" t="s">
        <v>22</v>
      </c>
      <c r="PK27" s="422" t="s">
        <v>22</v>
      </c>
      <c r="PL27" s="457" t="s">
        <v>22</v>
      </c>
      <c r="PM27" s="430" t="s">
        <v>22</v>
      </c>
      <c r="PN27" s="523">
        <v>44731</v>
      </c>
      <c r="PO27" s="456" t="str">
        <f>CHOOSE(WEEKDAY(PN27,2),"Monday","Tuesday","Wednesday","Thursday","Friday","Saturday","Sunday")</f>
        <v>Sunday</v>
      </c>
      <c r="PP27" s="422" t="s">
        <v>22</v>
      </c>
      <c r="PQ27" s="422" t="s">
        <v>22</v>
      </c>
      <c r="PR27" s="457" t="s">
        <v>22</v>
      </c>
      <c r="PS27" s="430" t="s">
        <v>22</v>
      </c>
      <c r="PT27" s="422" t="s">
        <v>22</v>
      </c>
      <c r="PU27" s="422" t="s">
        <v>22</v>
      </c>
      <c r="PV27" s="457" t="s">
        <v>22</v>
      </c>
      <c r="PW27" s="430" t="s">
        <v>22</v>
      </c>
      <c r="PX27" s="523">
        <v>44735</v>
      </c>
      <c r="PY27" s="456" t="str">
        <f>CHOOSE(WEEKDAY(PX27,2),"Monday","Tuesday","Wednesday","Thursday","Friday","Saturday","Sunday")</f>
        <v>Thursday</v>
      </c>
      <c r="PZ27" s="457" t="s">
        <v>22</v>
      </c>
      <c r="QA27" s="430" t="s">
        <v>22</v>
      </c>
      <c r="QB27" s="523">
        <v>44736</v>
      </c>
      <c r="QC27" s="456" t="str">
        <f>CHOOSE(WEEKDAY(QB27,2),"Monday","Tuesday","Wednesday","Thursday","Friday","Saturday","Sunday")</f>
        <v>Friday</v>
      </c>
      <c r="QD27" s="523">
        <v>44736</v>
      </c>
      <c r="QE27" s="456" t="str">
        <f>CHOOSE(WEEKDAY(QD27,2),"Monday","Tuesday","Wednesday","Thursday","Friday","Saturday","Sunday")</f>
        <v>Friday</v>
      </c>
      <c r="QF27" s="422" t="s">
        <v>22</v>
      </c>
      <c r="QG27" s="422" t="s">
        <v>22</v>
      </c>
      <c r="QH27" s="457" t="s">
        <v>22</v>
      </c>
      <c r="QI27" s="430" t="s">
        <v>22</v>
      </c>
      <c r="QJ27" s="422" t="s">
        <v>22</v>
      </c>
      <c r="QK27" s="422" t="s">
        <v>22</v>
      </c>
      <c r="QL27" s="523">
        <v>44739</v>
      </c>
      <c r="QM27" s="456" t="str">
        <f>CHOOSE(WEEKDAY(QL27,2),"Monday","Tuesday","Wednesday","Thursday","Friday","Saturday","Sunday")</f>
        <v>Monday</v>
      </c>
      <c r="QN27" s="457" t="s">
        <v>22</v>
      </c>
      <c r="QO27" s="430" t="s">
        <v>22</v>
      </c>
      <c r="QP27" s="460" t="s">
        <v>22</v>
      </c>
      <c r="QQ27" s="430" t="s">
        <v>22</v>
      </c>
      <c r="QR27" s="523">
        <v>44742</v>
      </c>
      <c r="QS27" s="456" t="str">
        <f>CHOOSE(WEEKDAY(QR27,2),"Monday","Tuesday","Wednesday","Thursday","Friday","Saturday","Sunday")</f>
        <v>Thursday</v>
      </c>
      <c r="QT27" s="422" t="s">
        <v>22</v>
      </c>
      <c r="QU27" s="422" t="s">
        <v>22</v>
      </c>
      <c r="QV27" s="457" t="s">
        <v>22</v>
      </c>
      <c r="QW27" s="430" t="s">
        <v>22</v>
      </c>
      <c r="QX27" s="523">
        <v>44742</v>
      </c>
      <c r="QY27" s="456" t="str">
        <f>CHOOSE(WEEKDAY(QX27,2),"Monday","Tuesday","Wednesday","Thursday","Friday","Saturday","Sunday")</f>
        <v>Thursday</v>
      </c>
      <c r="QZ27" s="523">
        <v>44743</v>
      </c>
      <c r="RA27" s="456" t="str">
        <f>CHOOSE(WEEKDAY(QZ27,2),"Monday","Tuesday","Wednesday","Thursday","Friday","Saturday","Sunday")</f>
        <v>Friday</v>
      </c>
      <c r="RB27" s="523">
        <v>44743</v>
      </c>
      <c r="RC27" s="456" t="str">
        <f>CHOOSE(WEEKDAY(RB27,2),"Monday","Tuesday","Wednesday","Thursday","Friday","Saturday","Sunday")</f>
        <v>Friday</v>
      </c>
      <c r="RD27" s="523">
        <v>44743</v>
      </c>
      <c r="RE27" s="456" t="str">
        <f>CHOOSE(WEEKDAY(RD27,2),"Monday","Tuesday","Wednesday","Thursday","Friday","Saturday","Sunday")</f>
        <v>Friday</v>
      </c>
      <c r="RF27" s="457" t="s">
        <v>22</v>
      </c>
      <c r="RG27" s="430" t="s">
        <v>22</v>
      </c>
      <c r="RH27" s="460" t="s">
        <v>22</v>
      </c>
      <c r="RI27" s="430" t="s">
        <v>22</v>
      </c>
      <c r="RJ27" s="523">
        <v>44746</v>
      </c>
      <c r="RK27" s="456" t="str">
        <f>CHOOSE(WEEKDAY(RJ27,2),"Monday","Tuesday","Wednesday","Thursday","Friday","Saturday","Sunday")</f>
        <v>Monday</v>
      </c>
      <c r="RL27" s="457" t="s">
        <v>22</v>
      </c>
      <c r="RM27" s="430" t="s">
        <v>22</v>
      </c>
      <c r="RN27" s="523">
        <v>44630</v>
      </c>
      <c r="RO27" s="456" t="str">
        <f>CHOOSE(WEEKDAY(RN27,2),"Monday","Tuesday","Wednesday","Thursday","Friday","Saturday","Sunday")</f>
        <v>Thursday</v>
      </c>
      <c r="RP27" s="523">
        <v>44751</v>
      </c>
      <c r="RQ27" s="456" t="str">
        <f>CHOOSE(WEEKDAY(RP27,2),"Monday","Tuesday","Wednesday","Thursday","Friday","Saturday","Sunday")</f>
        <v>Saturday</v>
      </c>
      <c r="RR27" s="523">
        <v>44747</v>
      </c>
      <c r="RS27" s="456" t="str">
        <f>CHOOSE(WEEKDAY(RR27,2),"Monday","Tuesday","Wednesday","Thursday","Friday","Saturday","Sunday")</f>
        <v>Tuesday</v>
      </c>
      <c r="RT27" s="457" t="s">
        <v>22</v>
      </c>
      <c r="RU27" s="430" t="s">
        <v>22</v>
      </c>
      <c r="RV27" s="457" t="s">
        <v>22</v>
      </c>
      <c r="RW27" s="430" t="s">
        <v>22</v>
      </c>
      <c r="RX27" s="460" t="s">
        <v>22</v>
      </c>
      <c r="RY27" s="430" t="s">
        <v>22</v>
      </c>
      <c r="RZ27" s="457" t="s">
        <v>22</v>
      </c>
      <c r="SA27" s="430" t="s">
        <v>22</v>
      </c>
      <c r="SB27" s="457" t="s">
        <v>22</v>
      </c>
      <c r="SC27" s="430" t="s">
        <v>22</v>
      </c>
      <c r="SD27" s="523">
        <v>44754</v>
      </c>
      <c r="SE27" s="456" t="str">
        <f>CHOOSE(WEEKDAY(SD27,2),"Monday","Tuesday","Wednesday","Thursday","Friday","Saturday","Sunday")</f>
        <v>Tuesday</v>
      </c>
      <c r="SF27" s="457" t="s">
        <v>22</v>
      </c>
      <c r="SG27" s="430" t="s">
        <v>22</v>
      </c>
      <c r="SH27" s="457" t="s">
        <v>22</v>
      </c>
      <c r="SI27" s="430" t="s">
        <v>22</v>
      </c>
      <c r="SJ27" s="457" t="s">
        <v>22</v>
      </c>
      <c r="SK27" s="430" t="s">
        <v>22</v>
      </c>
      <c r="SL27" s="523">
        <v>44757</v>
      </c>
      <c r="SM27" s="456" t="str">
        <f>CHOOSE(WEEKDAY(SL27,2),"Monday","Tuesday","Wednesday","Thursday","Friday","Saturday","Sunday")</f>
        <v>Friday</v>
      </c>
      <c r="SN27" s="457" t="s">
        <v>22</v>
      </c>
      <c r="SO27" s="430" t="s">
        <v>22</v>
      </c>
      <c r="SP27" s="422" t="s">
        <v>22</v>
      </c>
      <c r="SQ27" s="422" t="s">
        <v>22</v>
      </c>
      <c r="SR27" s="455">
        <v>44756</v>
      </c>
      <c r="SS27" s="456" t="str">
        <f>CHOOSE(WEEKDAY(SR27,2),"Monday","Tuesday","Wednesday","Thursday","Friday","Saturday","Sunday")</f>
        <v>Thursday</v>
      </c>
      <c r="ST27" s="422" t="s">
        <v>22</v>
      </c>
      <c r="SU27" s="422" t="s">
        <v>22</v>
      </c>
      <c r="SV27" s="457" t="s">
        <v>22</v>
      </c>
      <c r="SW27" s="430" t="s">
        <v>22</v>
      </c>
      <c r="SX27" s="523">
        <v>44762</v>
      </c>
      <c r="SY27" s="456" t="str">
        <f>CHOOSE(WEEKDAY(SX27,2),"Monday","Tuesday","Wednesday","Thursday","Friday","Saturday","Sunday")</f>
        <v>Wednesday</v>
      </c>
      <c r="SZ27" s="457" t="s">
        <v>22</v>
      </c>
      <c r="TA27" s="430" t="s">
        <v>22</v>
      </c>
      <c r="TB27" s="457" t="s">
        <v>22</v>
      </c>
      <c r="TC27" s="430" t="s">
        <v>22</v>
      </c>
      <c r="TD27" s="422" t="s">
        <v>22</v>
      </c>
      <c r="TE27" s="422" t="s">
        <v>22</v>
      </c>
      <c r="TF27" s="523">
        <v>44766</v>
      </c>
      <c r="TG27" s="456" t="str">
        <f>CHOOSE(WEEKDAY(TF27,2),"Monday","Tuesday","Wednesday","Thursday","Friday","Saturday","Sunday")</f>
        <v>Sunday</v>
      </c>
      <c r="TH27" s="457" t="s">
        <v>22</v>
      </c>
      <c r="TI27" s="430" t="s">
        <v>22</v>
      </c>
      <c r="TJ27" s="455">
        <v>44771</v>
      </c>
      <c r="TK27" s="456" t="str">
        <f>CHOOSE(WEEKDAY(TJ27,2),"Monday","Tuesday","Wednesday","Thursday","Friday","Saturday","Sunday")</f>
        <v>Friday</v>
      </c>
      <c r="TL27" s="523">
        <v>44770</v>
      </c>
      <c r="TM27" s="456" t="str">
        <f>CHOOSE(WEEKDAY(TL27,2),"Monday","Tuesday","Wednesday","Thursday","Friday","Saturday","Sunday")</f>
        <v>Thursday</v>
      </c>
      <c r="TN27" s="457" t="s">
        <v>22</v>
      </c>
      <c r="TO27" s="430" t="s">
        <v>22</v>
      </c>
      <c r="TP27" s="455">
        <v>44774</v>
      </c>
      <c r="TQ27" s="456" t="str">
        <f>CHOOSE(WEEKDAY(TP27,2),"Monday","Tuesday","Wednesday","Thursday","Friday","Saturday","Sunday")</f>
        <v>Monday</v>
      </c>
      <c r="TR27" s="457" t="s">
        <v>22</v>
      </c>
      <c r="TS27" s="430" t="s">
        <v>22</v>
      </c>
      <c r="TT27" s="457" t="s">
        <v>22</v>
      </c>
      <c r="TU27" s="430" t="s">
        <v>22</v>
      </c>
      <c r="TV27" s="457" t="s">
        <v>22</v>
      </c>
      <c r="TW27" s="422" t="s">
        <v>22</v>
      </c>
      <c r="TX27" s="455">
        <v>44775</v>
      </c>
      <c r="TY27" s="456" t="str">
        <f>CHOOSE(WEEKDAY(TX27,2),"Monday","Tuesday","Wednesday","Thursday","Friday","Saturday","Sunday")</f>
        <v>Tuesday</v>
      </c>
      <c r="TZ27" s="457" t="s">
        <v>22</v>
      </c>
      <c r="UA27" s="430" t="s">
        <v>22</v>
      </c>
      <c r="UB27" s="457" t="s">
        <v>22</v>
      </c>
      <c r="UC27" s="430" t="s">
        <v>22</v>
      </c>
      <c r="UD27" s="457" t="s">
        <v>22</v>
      </c>
      <c r="UE27" s="430" t="s">
        <v>22</v>
      </c>
      <c r="UF27" s="422" t="s">
        <v>22</v>
      </c>
      <c r="UG27" s="422" t="s">
        <v>22</v>
      </c>
      <c r="UH27" s="457" t="s">
        <v>22</v>
      </c>
      <c r="UI27" s="430" t="s">
        <v>22</v>
      </c>
      <c r="UJ27" s="455">
        <v>44779</v>
      </c>
      <c r="UK27" s="456" t="str">
        <f>CHOOSE(WEEKDAY(UJ27,2),"Monday","Tuesday","Wednesday","Thursday","Friday","Saturday","Sunday")</f>
        <v>Saturday</v>
      </c>
      <c r="UL27" s="455">
        <v>44783</v>
      </c>
      <c r="UM27" s="456" t="str">
        <f>CHOOSE(WEEKDAY(UL27,2),"Monday","Tuesday","Wednesday","Thursday","Friday","Saturday","Sunday")</f>
        <v>Wednesday</v>
      </c>
      <c r="UN27" s="455">
        <v>44785</v>
      </c>
      <c r="UO27" s="456" t="str">
        <f>CHOOSE(WEEKDAY(UN27,2),"Monday","Tuesday","Wednesday","Thursday","Friday","Saturday","Sunday")</f>
        <v>Friday</v>
      </c>
      <c r="UP27" s="457" t="s">
        <v>22</v>
      </c>
      <c r="UQ27" s="430" t="s">
        <v>22</v>
      </c>
      <c r="UR27" s="455">
        <v>44786</v>
      </c>
      <c r="US27" s="456" t="str">
        <f>CHOOSE(WEEKDAY(UR27,2),"Monday","Tuesday","Wednesday","Thursday","Friday","Saturday","Sunday")</f>
        <v>Saturday</v>
      </c>
      <c r="UT27" s="460" t="s">
        <v>22</v>
      </c>
      <c r="UU27" s="430" t="s">
        <v>22</v>
      </c>
      <c r="UV27" s="422" t="s">
        <v>22</v>
      </c>
      <c r="UW27" s="422" t="s">
        <v>22</v>
      </c>
      <c r="UX27" s="457" t="s">
        <v>22</v>
      </c>
      <c r="UY27" s="430" t="s">
        <v>22</v>
      </c>
      <c r="UZ27" s="457" t="s">
        <v>22</v>
      </c>
      <c r="VA27" s="430" t="s">
        <v>22</v>
      </c>
      <c r="VB27" s="455">
        <v>44789</v>
      </c>
      <c r="VC27" s="456" t="str">
        <f>CHOOSE(WEEKDAY(VB27,2),"Monday","Tuesday","Wednesday","Thursday","Friday","Saturday","Sunday")</f>
        <v>Tuesday</v>
      </c>
      <c r="VD27" s="455">
        <v>44790</v>
      </c>
      <c r="VE27" s="456" t="str">
        <f>CHOOSE(WEEKDAY(VD27,2),"Monday","Tuesday","Wednesday","Thursday","Friday","Saturday","Sunday")</f>
        <v>Wednesday</v>
      </c>
      <c r="VF27" s="422" t="s">
        <v>22</v>
      </c>
      <c r="VG27" s="422" t="s">
        <v>22</v>
      </c>
      <c r="VH27" s="457" t="s">
        <v>22</v>
      </c>
      <c r="VI27" s="430" t="s">
        <v>22</v>
      </c>
      <c r="VJ27" s="422" t="s">
        <v>22</v>
      </c>
      <c r="VK27" s="422" t="s">
        <v>22</v>
      </c>
      <c r="VL27" s="455">
        <v>44794</v>
      </c>
      <c r="VM27" s="456" t="str">
        <f>CHOOSE(WEEKDAY(VL27,2),"Monday","Tuesday","Wednesday","Thursday","Friday","Saturday","Sunday")</f>
        <v>Sunday</v>
      </c>
      <c r="VN27" s="457" t="s">
        <v>22</v>
      </c>
      <c r="VO27" s="430" t="s">
        <v>22</v>
      </c>
      <c r="VP27" s="422" t="s">
        <v>22</v>
      </c>
      <c r="VQ27" s="422" t="s">
        <v>22</v>
      </c>
      <c r="VR27" s="460" t="s">
        <v>22</v>
      </c>
      <c r="VS27" s="430" t="s">
        <v>22</v>
      </c>
      <c r="VT27" s="457" t="s">
        <v>22</v>
      </c>
      <c r="VU27" s="430" t="s">
        <v>22</v>
      </c>
      <c r="VV27" s="455">
        <v>44797</v>
      </c>
      <c r="VW27" s="456" t="str">
        <f>CHOOSE(WEEKDAY(VV27,2),"Monday","Tuesday","Wednesday","Thursday","Friday","Saturday","Sunday")</f>
        <v>Wednesday</v>
      </c>
      <c r="VX27" s="457" t="s">
        <v>22</v>
      </c>
      <c r="VY27" s="430" t="s">
        <v>22</v>
      </c>
      <c r="VZ27" s="457" t="s">
        <v>22</v>
      </c>
      <c r="WA27" s="430" t="s">
        <v>22</v>
      </c>
      <c r="WB27" s="455">
        <v>44801</v>
      </c>
      <c r="WC27" s="456" t="str">
        <f>CHOOSE(WEEKDAY(WB27,2),"Monday","Tuesday","Wednesday","Thursday","Friday","Saturday","Sunday")</f>
        <v>Sunday</v>
      </c>
      <c r="WD27" s="457" t="s">
        <v>22</v>
      </c>
      <c r="WE27" s="430" t="s">
        <v>22</v>
      </c>
      <c r="WF27" s="422" t="s">
        <v>22</v>
      </c>
      <c r="WG27" s="422" t="s">
        <v>22</v>
      </c>
      <c r="WH27" s="455">
        <v>44805</v>
      </c>
      <c r="WI27" s="456" t="str">
        <f>CHOOSE(WEEKDAY(WH27,2),"Monday","Tuesday","Wednesday","Thursday","Friday","Saturday","Sunday")</f>
        <v>Thursday</v>
      </c>
      <c r="WJ27" s="457" t="s">
        <v>22</v>
      </c>
      <c r="WK27" s="430" t="s">
        <v>22</v>
      </c>
      <c r="WL27" s="455">
        <v>44806</v>
      </c>
      <c r="WM27" s="456" t="str">
        <f>CHOOSE(WEEKDAY(WL27,2),"Monday","Tuesday","Wednesday","Thursday","Friday","Saturday","Sunday")</f>
        <v>Friday</v>
      </c>
      <c r="WN27" s="422" t="s">
        <v>22</v>
      </c>
      <c r="WO27" s="422" t="s">
        <v>22</v>
      </c>
      <c r="WP27" s="457" t="s">
        <v>22</v>
      </c>
      <c r="WQ27" s="430" t="s">
        <v>22</v>
      </c>
      <c r="WR27" s="457" t="s">
        <v>22</v>
      </c>
      <c r="WS27" s="430" t="s">
        <v>22</v>
      </c>
      <c r="WT27" s="422" t="s">
        <v>22</v>
      </c>
      <c r="WU27" s="422" t="s">
        <v>22</v>
      </c>
      <c r="WV27" s="455">
        <v>44809</v>
      </c>
      <c r="WW27" s="456" t="str">
        <f>CHOOSE(WEEKDAY(WV27,2),"Monday","Tuesday","Wednesday","Thursday","Friday","Saturday","Sunday")</f>
        <v>Monday</v>
      </c>
      <c r="WX27" s="455">
        <v>44813</v>
      </c>
      <c r="WY27" s="456" t="str">
        <f>CHOOSE(WEEKDAY(WX27,2),"Monday","Tuesday","Wednesday","Thursday","Friday","Saturday","Sunday")</f>
        <v>Friday</v>
      </c>
      <c r="WZ27" s="460" t="s">
        <v>22</v>
      </c>
      <c r="XA27" s="430" t="s">
        <v>22</v>
      </c>
      <c r="XB27" s="422" t="s">
        <v>22</v>
      </c>
      <c r="XC27" s="422" t="s">
        <v>22</v>
      </c>
      <c r="XD27" s="455">
        <v>44812</v>
      </c>
      <c r="XE27" s="456" t="str">
        <f>CHOOSE(WEEKDAY(XD27,2),"Monday","Tuesday","Wednesday","Thursday","Friday","Saturday","Sunday")</f>
        <v>Thursday</v>
      </c>
      <c r="XF27" s="457" t="s">
        <v>22</v>
      </c>
      <c r="XG27" s="430" t="s">
        <v>22</v>
      </c>
      <c r="XH27" s="457" t="s">
        <v>22</v>
      </c>
      <c r="XI27" s="422" t="s">
        <v>22</v>
      </c>
      <c r="XJ27" s="457" t="s">
        <v>22</v>
      </c>
      <c r="XK27" s="422" t="s">
        <v>22</v>
      </c>
      <c r="XL27" s="457" t="s">
        <v>22</v>
      </c>
      <c r="XM27" s="422" t="s">
        <v>22</v>
      </c>
      <c r="XN27" s="455">
        <v>44816</v>
      </c>
      <c r="XO27" s="456" t="str">
        <f>CHOOSE(WEEKDAY(XN27,2),"Monday","Tuesday","Wednesday","Thursday","Friday","Saturday","Sunday")</f>
        <v>Monday</v>
      </c>
      <c r="XP27" s="457" t="s">
        <v>22</v>
      </c>
      <c r="XQ27" s="422" t="s">
        <v>22</v>
      </c>
      <c r="XR27" s="457" t="s">
        <v>22</v>
      </c>
      <c r="XS27" s="430" t="s">
        <v>22</v>
      </c>
      <c r="XT27" s="460" t="s">
        <v>22</v>
      </c>
      <c r="XU27" s="430" t="s">
        <v>22</v>
      </c>
      <c r="XV27" s="455">
        <v>44819</v>
      </c>
      <c r="XW27" s="456" t="str">
        <f>CHOOSE(WEEKDAY(XV27,2),"Monday","Tuesday","Wednesday","Thursday","Friday","Saturday","Sunday")</f>
        <v>Thursday</v>
      </c>
      <c r="XX27" s="457" t="s">
        <v>22</v>
      </c>
      <c r="XY27" s="430" t="s">
        <v>22</v>
      </c>
      <c r="XZ27" s="457" t="s">
        <v>22</v>
      </c>
      <c r="YA27" s="430" t="s">
        <v>22</v>
      </c>
      <c r="YB27" s="455">
        <v>44820</v>
      </c>
      <c r="YC27" s="456" t="str">
        <f>CHOOSE(WEEKDAY(YB27,2),"Monday","Tuesday","Wednesday","Thursday","Friday","Saturday","Sunday")</f>
        <v>Friday</v>
      </c>
      <c r="YD27" s="457" t="s">
        <v>22</v>
      </c>
      <c r="YE27" s="430" t="s">
        <v>22</v>
      </c>
      <c r="YF27" s="455">
        <v>44820</v>
      </c>
      <c r="YG27" s="456" t="str">
        <f>CHOOSE(WEEKDAY(YF27,2),"Monday","Tuesday","Wednesday","Thursday","Friday","Saturday","Sunday")</f>
        <v>Friday</v>
      </c>
      <c r="YH27" s="455">
        <v>44823</v>
      </c>
      <c r="YI27" s="456" t="str">
        <f>CHOOSE(WEEKDAY(YH27,2),"Monday","Tuesday","Wednesday","Thursday","Friday","Saturday","Sunday")</f>
        <v>Monday</v>
      </c>
      <c r="YJ27" s="457" t="s">
        <v>22</v>
      </c>
      <c r="YK27" s="430" t="s">
        <v>22</v>
      </c>
      <c r="YL27" s="422" t="s">
        <v>22</v>
      </c>
      <c r="YM27" s="422" t="s">
        <v>22</v>
      </c>
      <c r="YN27" s="457" t="s">
        <v>22</v>
      </c>
      <c r="YO27" s="430" t="s">
        <v>22</v>
      </c>
      <c r="YP27" s="457" t="s">
        <v>22</v>
      </c>
      <c r="YQ27" s="430" t="s">
        <v>22</v>
      </c>
      <c r="YR27" s="457" t="s">
        <v>22</v>
      </c>
      <c r="YS27" s="430" t="s">
        <v>22</v>
      </c>
      <c r="YT27" s="457" t="s">
        <v>22</v>
      </c>
      <c r="YU27" s="430" t="s">
        <v>22</v>
      </c>
      <c r="YV27" s="455">
        <v>44827</v>
      </c>
      <c r="YW27" s="456" t="str">
        <f>CHOOSE(WEEKDAY(YV27,2),"Monday","Tuesday","Wednesday","Thursday","Friday","Saturday","Sunday")</f>
        <v>Friday</v>
      </c>
      <c r="YX27" s="422" t="s">
        <v>22</v>
      </c>
      <c r="YY27" s="422" t="s">
        <v>22</v>
      </c>
      <c r="YZ27" s="457" t="s">
        <v>22</v>
      </c>
      <c r="ZA27" s="430" t="s">
        <v>22</v>
      </c>
      <c r="ZB27" s="422" t="s">
        <v>22</v>
      </c>
      <c r="ZC27" s="422" t="s">
        <v>22</v>
      </c>
      <c r="ZD27" s="457" t="s">
        <v>22</v>
      </c>
      <c r="ZE27" s="430" t="s">
        <v>22</v>
      </c>
      <c r="ZF27" s="455">
        <v>44831</v>
      </c>
      <c r="ZG27" s="456" t="str">
        <f>CHOOSE(WEEKDAY(ZF27,2),"Monday","Tuesday","Wednesday","Thursday","Friday","Saturday","Sunday")</f>
        <v>Tuesday</v>
      </c>
      <c r="ZH27" s="460" t="s">
        <v>22</v>
      </c>
      <c r="ZI27" s="430" t="s">
        <v>22</v>
      </c>
      <c r="ZJ27" s="422" t="s">
        <v>22</v>
      </c>
      <c r="ZK27" s="422" t="s">
        <v>22</v>
      </c>
      <c r="ZL27" s="457" t="s">
        <v>22</v>
      </c>
      <c r="ZM27" s="430" t="s">
        <v>22</v>
      </c>
      <c r="ZN27" s="522">
        <v>44834</v>
      </c>
      <c r="ZO27" s="456" t="str">
        <f>CHOOSE(WEEKDAY(ZN27,2),"Monday","Tuesday","Wednesday","Thursday","Friday","Saturday","Sunday")</f>
        <v>Friday</v>
      </c>
      <c r="ZP27" s="457" t="s">
        <v>22</v>
      </c>
      <c r="ZQ27" s="430" t="s">
        <v>22</v>
      </c>
      <c r="ZR27" s="455">
        <v>44837</v>
      </c>
      <c r="ZS27" s="456" t="str">
        <f>CHOOSE(WEEKDAY(ZR27,2),"Monday","Tuesday","Wednesday","Thursday","Friday","Saturday","Sunday")</f>
        <v>Monday</v>
      </c>
      <c r="ZT27" s="422" t="s">
        <v>22</v>
      </c>
      <c r="ZU27" s="422" t="s">
        <v>22</v>
      </c>
      <c r="ZV27" s="455">
        <v>44836</v>
      </c>
      <c r="ZW27" s="456" t="str">
        <f>CHOOSE(WEEKDAY(ZV27,2),"Monday","Tuesday","Wednesday","Thursday","Friday","Saturday","Sunday")</f>
        <v>Sunday</v>
      </c>
      <c r="ZX27" s="457" t="s">
        <v>22</v>
      </c>
      <c r="ZY27" s="430" t="s">
        <v>22</v>
      </c>
      <c r="ZZ27" s="460" t="s">
        <v>22</v>
      </c>
      <c r="AAA27" s="430" t="s">
        <v>22</v>
      </c>
      <c r="AAB27" s="455">
        <v>44840</v>
      </c>
      <c r="AAC27" s="456" t="str">
        <f>CHOOSE(WEEKDAY(AAB27,2),"Monday","Tuesday","Wednesday","Thursday","Friday","Saturday","Sunday")</f>
        <v>Thursday</v>
      </c>
      <c r="AAD27" s="422" t="s">
        <v>22</v>
      </c>
      <c r="AAE27" s="422" t="s">
        <v>22</v>
      </c>
      <c r="AAF27" s="457" t="s">
        <v>22</v>
      </c>
      <c r="AAG27" s="430" t="s">
        <v>22</v>
      </c>
      <c r="AAH27" s="457" t="s">
        <v>22</v>
      </c>
      <c r="AAI27" s="430" t="s">
        <v>22</v>
      </c>
      <c r="AAJ27" s="455">
        <v>44844</v>
      </c>
      <c r="AAK27" s="456" t="str">
        <f>CHOOSE(WEEKDAY(AAJ27,2),"Monday","Tuesday","Wednesday","Thursday","Friday","Saturday","Sunday")</f>
        <v>Monday</v>
      </c>
      <c r="AAL27" s="460" t="s">
        <v>22</v>
      </c>
      <c r="AAM27" s="430" t="s">
        <v>22</v>
      </c>
      <c r="AAN27" s="522">
        <v>44847</v>
      </c>
      <c r="AAO27" s="456" t="str">
        <f>CHOOSE(WEEKDAY(AAN27,2),"Monday","Tuesday","Wednesday","Thursday","Friday","Saturday","Sunday")</f>
        <v>Thursday</v>
      </c>
      <c r="AAP27" s="460" t="s">
        <v>22</v>
      </c>
      <c r="AAQ27" s="430" t="s">
        <v>22</v>
      </c>
      <c r="AAR27" s="455">
        <v>44848</v>
      </c>
      <c r="AAS27" s="456" t="str">
        <f>CHOOSE(WEEKDAY(AAR27,2),"Monday","Tuesday","Wednesday","Thursday","Friday","Saturday","Sunday")</f>
        <v>Friday</v>
      </c>
      <c r="AAT27" s="457" t="s">
        <v>22</v>
      </c>
      <c r="AAU27" s="430" t="s">
        <v>22</v>
      </c>
      <c r="AAV27" s="422" t="s">
        <v>22</v>
      </c>
      <c r="AAW27" s="422" t="s">
        <v>22</v>
      </c>
      <c r="AAX27" s="457" t="s">
        <v>22</v>
      </c>
      <c r="AAY27" s="430" t="s">
        <v>22</v>
      </c>
      <c r="AAZ27" s="455">
        <v>44850</v>
      </c>
      <c r="ABA27" s="456" t="str">
        <f>CHOOSE(WEEKDAY(AAZ27,2),"Monday","Tuesday","Wednesday","Thursday","Friday","Saturday","Sunday")</f>
        <v>Sunday</v>
      </c>
      <c r="ABB27" s="457" t="s">
        <v>22</v>
      </c>
      <c r="ABC27" s="430" t="s">
        <v>22</v>
      </c>
      <c r="ABD27" s="422" t="s">
        <v>22</v>
      </c>
      <c r="ABE27" s="422" t="s">
        <v>22</v>
      </c>
      <c r="ABF27" s="457" t="s">
        <v>22</v>
      </c>
      <c r="ABG27" s="430" t="s">
        <v>22</v>
      </c>
      <c r="ABH27" s="455">
        <v>44854</v>
      </c>
      <c r="ABI27" s="456" t="str">
        <f>CHOOSE(WEEKDAY(ABH27,2),"Monday","Tuesday","Wednesday","Thursday","Friday","Saturday","Sunday")</f>
        <v>Thursday</v>
      </c>
      <c r="ABJ27" s="457" t="s">
        <v>22</v>
      </c>
      <c r="ABK27" s="430" t="s">
        <v>22</v>
      </c>
      <c r="ABL27" s="460" t="s">
        <v>22</v>
      </c>
      <c r="ABM27" s="430" t="s">
        <v>22</v>
      </c>
      <c r="ABN27" s="422" t="s">
        <v>22</v>
      </c>
      <c r="ABO27" s="422" t="s">
        <v>22</v>
      </c>
      <c r="ABP27" s="457" t="s">
        <v>22</v>
      </c>
      <c r="ABQ27" s="430" t="s">
        <v>22</v>
      </c>
      <c r="ABR27" s="457" t="s">
        <v>22</v>
      </c>
      <c r="ABS27" s="430" t="s">
        <v>22</v>
      </c>
      <c r="ABT27" s="460" t="s">
        <v>22</v>
      </c>
      <c r="ABU27" s="430" t="s">
        <v>22</v>
      </c>
      <c r="ABV27" s="422" t="s">
        <v>22</v>
      </c>
      <c r="ABW27" s="422" t="s">
        <v>22</v>
      </c>
      <c r="ABX27" s="457" t="s">
        <v>22</v>
      </c>
      <c r="ABY27" s="430" t="s">
        <v>22</v>
      </c>
      <c r="ABZ27" s="422" t="s">
        <v>22</v>
      </c>
      <c r="ACA27" s="422" t="s">
        <v>22</v>
      </c>
      <c r="ACB27" s="455">
        <v>44858</v>
      </c>
      <c r="ACC27" s="456" t="str">
        <f>CHOOSE(WEEKDAY(ACB27,2),"Monday","Tuesday","Wednesday","Thursday","Friday","Saturday","Sunday")</f>
        <v>Monday</v>
      </c>
      <c r="ACD27" s="457" t="s">
        <v>22</v>
      </c>
      <c r="ACE27" s="430" t="s">
        <v>22</v>
      </c>
      <c r="ACF27" s="457" t="s">
        <v>22</v>
      </c>
      <c r="ACG27" s="430" t="s">
        <v>22</v>
      </c>
      <c r="ACH27" s="455">
        <v>44862</v>
      </c>
      <c r="ACI27" s="456" t="str">
        <f>CHOOSE(WEEKDAY(ACH27,2),"Monday","Tuesday","Wednesday","Thursday","Friday","Saturday","Sunday")</f>
        <v>Friday</v>
      </c>
      <c r="ACJ27" s="457" t="s">
        <v>22</v>
      </c>
      <c r="ACK27" s="430" t="s">
        <v>22</v>
      </c>
      <c r="ACL27" s="422" t="s">
        <v>22</v>
      </c>
      <c r="ACM27" s="422" t="s">
        <v>22</v>
      </c>
      <c r="ACN27" s="455">
        <v>44862</v>
      </c>
      <c r="ACO27" s="456" t="str">
        <f>CHOOSE(WEEKDAY(ACN27,2),"Monday","Tuesday","Wednesday","Thursday","Friday","Saturday","Sunday")</f>
        <v>Friday</v>
      </c>
      <c r="ACP27" s="455">
        <v>44866</v>
      </c>
      <c r="ACQ27" s="456" t="str">
        <f>CHOOSE(WEEKDAY(ACP27,2),"Monday","Tuesday","Wednesday","Thursday","Friday","Saturday","Sunday")</f>
        <v>Tuesday</v>
      </c>
      <c r="ACR27" s="455">
        <v>44869</v>
      </c>
      <c r="ACS27" s="456" t="str">
        <f>CHOOSE(WEEKDAY(ACR27,2),"Monday","Tuesday","Wednesday","Thursday","Friday","Saturday","Sunday")</f>
        <v>Friday</v>
      </c>
      <c r="ACT27" s="309">
        <v>44865</v>
      </c>
      <c r="ACU27" s="104" t="str">
        <f>CHOOSE(WEEKDAY(ACT27,2),"Monday","Tuesday","Wednesday","Thursday","Friday","Saturday","Sunday")</f>
        <v>Monday</v>
      </c>
      <c r="ACV27" s="457" t="s">
        <v>22</v>
      </c>
      <c r="ACW27" s="430" t="s">
        <v>22</v>
      </c>
      <c r="ACX27" s="455">
        <v>44870</v>
      </c>
      <c r="ACY27" s="456" t="str">
        <f>CHOOSE(WEEKDAY(ACX27,2),"Monday","Tuesday","Wednesday","Thursday","Friday","Saturday","Sunday")</f>
        <v>Saturday</v>
      </c>
      <c r="ACZ27" s="460" t="s">
        <v>22</v>
      </c>
      <c r="ADA27" s="430" t="s">
        <v>22</v>
      </c>
      <c r="ADB27" s="460" t="s">
        <v>22</v>
      </c>
      <c r="ADC27" s="430" t="s">
        <v>22</v>
      </c>
      <c r="ADD27" s="455">
        <v>44874</v>
      </c>
      <c r="ADE27" s="456" t="str">
        <f>CHOOSE(WEEKDAY(ADD27,2),"Monday","Tuesday","Wednesday","Thursday","Friday","Saturday","Sunday")</f>
        <v>Wednesday</v>
      </c>
      <c r="ADF27" s="457" t="s">
        <v>22</v>
      </c>
      <c r="ADG27" s="430" t="s">
        <v>22</v>
      </c>
      <c r="ADH27" s="457" t="s">
        <v>22</v>
      </c>
      <c r="ADI27" s="430" t="s">
        <v>22</v>
      </c>
      <c r="ADJ27" s="457" t="s">
        <v>22</v>
      </c>
      <c r="ADK27" s="422" t="s">
        <v>22</v>
      </c>
      <c r="ADL27" s="455">
        <v>44876</v>
      </c>
      <c r="ADM27" s="456" t="str">
        <f>CHOOSE(WEEKDAY(ADL27,2),"Monday","Tuesday","Wednesday","Thursday","Friday","Saturday","Sunday")</f>
        <v>Friday</v>
      </c>
      <c r="ADN27" s="455">
        <v>44876</v>
      </c>
      <c r="ADO27" s="456" t="str">
        <f>CHOOSE(WEEKDAY(ADN27,2),"Monday","Tuesday","Wednesday","Thursday","Friday","Saturday","Sunday")</f>
        <v>Friday</v>
      </c>
      <c r="ADP27" s="457" t="s">
        <v>22</v>
      </c>
      <c r="ADQ27" s="430" t="s">
        <v>22</v>
      </c>
      <c r="ADR27" s="457" t="s">
        <v>22</v>
      </c>
      <c r="ADS27" s="430" t="s">
        <v>22</v>
      </c>
      <c r="ADT27" s="422" t="s">
        <v>22</v>
      </c>
      <c r="ADU27" s="422" t="s">
        <v>22</v>
      </c>
      <c r="ADV27" s="457" t="s">
        <v>22</v>
      </c>
      <c r="ADW27" s="430" t="s">
        <v>22</v>
      </c>
      <c r="ADX27" s="422" t="s">
        <v>22</v>
      </c>
      <c r="ADY27" s="430" t="s">
        <v>22</v>
      </c>
      <c r="ADZ27" s="455">
        <v>44881</v>
      </c>
      <c r="AEA27" s="456" t="str">
        <f>CHOOSE(WEEKDAY(ADZ27,2),"Monday","Tuesday","Wednesday","Thursday","Friday","Saturday","Sunday")</f>
        <v>Wednesday</v>
      </c>
      <c r="AEB27" s="455">
        <v>44884</v>
      </c>
      <c r="AEC27" s="456" t="str">
        <f>CHOOSE(WEEKDAY(AEB27,2),"Monday","Tuesday","Wednesday","Thursday","Friday","Saturday","Sunday")</f>
        <v>Saturday</v>
      </c>
      <c r="AED27" s="457" t="s">
        <v>22</v>
      </c>
      <c r="AEE27" s="430" t="s">
        <v>22</v>
      </c>
      <c r="AEF27" s="422" t="s">
        <v>22</v>
      </c>
      <c r="AEG27" s="422" t="s">
        <v>22</v>
      </c>
      <c r="AEH27" s="455">
        <v>44887</v>
      </c>
      <c r="AEI27" s="456" t="str">
        <f>CHOOSE(WEEKDAY(AEH27,2),"Monday","Tuesday","Wednesday","Thursday","Friday","Saturday","Sunday")</f>
        <v>Tuesday</v>
      </c>
      <c r="AEJ27" s="422" t="s">
        <v>22</v>
      </c>
      <c r="AEK27" s="422" t="s">
        <v>22</v>
      </c>
      <c r="AEL27" s="457" t="s">
        <v>22</v>
      </c>
      <c r="AEM27" s="430" t="s">
        <v>22</v>
      </c>
      <c r="AEN27" s="422" t="s">
        <v>22</v>
      </c>
      <c r="AEO27" s="422" t="s">
        <v>22</v>
      </c>
      <c r="AEP27" s="455">
        <v>44892</v>
      </c>
      <c r="AEQ27" s="456" t="str">
        <f>CHOOSE(WEEKDAY(AEP27,2),"Monday","Tuesday","Wednesday","Thursday","Friday","Saturday","Sunday")</f>
        <v>Sunday</v>
      </c>
      <c r="AER27" s="457" t="s">
        <v>22</v>
      </c>
      <c r="AES27" s="430" t="s">
        <v>22</v>
      </c>
      <c r="AET27" s="422" t="s">
        <v>22</v>
      </c>
      <c r="AEU27" s="422" t="s">
        <v>22</v>
      </c>
      <c r="AEV27" s="457" t="s">
        <v>22</v>
      </c>
      <c r="AEW27" s="430" t="s">
        <v>22</v>
      </c>
      <c r="AEX27" s="457" t="s">
        <v>22</v>
      </c>
      <c r="AEY27" s="430" t="s">
        <v>22</v>
      </c>
      <c r="AEZ27" s="455">
        <v>44896</v>
      </c>
      <c r="AFA27" s="456" t="str">
        <f>CHOOSE(WEEKDAY(AEZ27,2),"Monday","Tuesday","Wednesday","Thursday","Friday","Saturday","Sunday")</f>
        <v>Thursday</v>
      </c>
      <c r="AFB27" s="457" t="s">
        <v>22</v>
      </c>
      <c r="AFC27" s="430" t="s">
        <v>22</v>
      </c>
      <c r="AFD27" s="309">
        <v>44888</v>
      </c>
      <c r="AFE27" s="104" t="str">
        <f>CHOOSE(WEEKDAY(AFD27,2),"Monday","Tuesday","Wednesday","Thursday","Friday","Saturday","Sunday")</f>
        <v>Wednesday</v>
      </c>
      <c r="AFF27" s="457" t="s">
        <v>22</v>
      </c>
      <c r="AFG27" s="430" t="s">
        <v>22</v>
      </c>
      <c r="AFH27" s="422" t="s">
        <v>22</v>
      </c>
      <c r="AFI27" s="422" t="s">
        <v>22</v>
      </c>
      <c r="AFJ27" s="457" t="s">
        <v>22</v>
      </c>
      <c r="AFK27" s="430" t="s">
        <v>22</v>
      </c>
      <c r="AFL27" s="457" t="s">
        <v>22</v>
      </c>
      <c r="AFM27" s="430" t="s">
        <v>22</v>
      </c>
      <c r="AFN27" s="455">
        <v>44900</v>
      </c>
      <c r="AFO27" s="456" t="str">
        <f>CHOOSE(WEEKDAY(AFN27,2),"Monday","Tuesday","Wednesday","Thursday","Friday","Saturday","Sunday")</f>
        <v>Monday</v>
      </c>
      <c r="AFP27" s="460" t="s">
        <v>22</v>
      </c>
      <c r="AFQ27" s="430" t="s">
        <v>22</v>
      </c>
      <c r="AFR27" s="457" t="s">
        <v>22</v>
      </c>
      <c r="AFS27" s="430" t="s">
        <v>22</v>
      </c>
      <c r="AFT27" s="422" t="s">
        <v>22</v>
      </c>
      <c r="AFU27" s="422" t="s">
        <v>22</v>
      </c>
      <c r="AFV27" s="457" t="s">
        <v>22</v>
      </c>
      <c r="AFW27" s="430" t="s">
        <v>22</v>
      </c>
      <c r="AFX27" s="455">
        <v>44904</v>
      </c>
      <c r="AFY27" s="456" t="str">
        <f>CHOOSE(WEEKDAY(AFX27,2),"Monday","Tuesday","Wednesday","Thursday","Friday","Saturday","Sunday")</f>
        <v>Friday</v>
      </c>
      <c r="AFZ27" s="457" t="s">
        <v>22</v>
      </c>
      <c r="AGA27" s="430" t="s">
        <v>22</v>
      </c>
      <c r="AGB27" s="460" t="s">
        <v>22</v>
      </c>
      <c r="AGC27" s="430" t="s">
        <v>22</v>
      </c>
      <c r="AGD27" s="422" t="s">
        <v>22</v>
      </c>
      <c r="AGE27" s="422" t="s">
        <v>22</v>
      </c>
      <c r="AGF27" s="457" t="s">
        <v>22</v>
      </c>
      <c r="AGG27" s="430" t="s">
        <v>22</v>
      </c>
      <c r="AGH27" s="455">
        <v>44907</v>
      </c>
      <c r="AGI27" s="456" t="str">
        <f>CHOOSE(WEEKDAY(AGH27,2),"Monday","Tuesday","Wednesday","Thursday","Friday","Saturday","Sunday")</f>
        <v>Monday</v>
      </c>
      <c r="AGJ27" s="422" t="s">
        <v>22</v>
      </c>
      <c r="AGK27" s="422" t="s">
        <v>22</v>
      </c>
      <c r="AGL27" s="460" t="s">
        <v>22</v>
      </c>
      <c r="AGM27" s="430" t="s">
        <v>22</v>
      </c>
      <c r="AGN27" s="455">
        <v>44910</v>
      </c>
      <c r="AGO27" s="456" t="str">
        <f>CHOOSE(WEEKDAY(AGN27,2),"Monday","Tuesday","Wednesday","Thursday","Friday","Saturday","Sunday")</f>
        <v>Thursday</v>
      </c>
      <c r="AGP27" s="455">
        <v>44911</v>
      </c>
      <c r="AGQ27" s="456" t="str">
        <f>CHOOSE(WEEKDAY(AGP27,2),"Monday","Tuesday","Wednesday","Thursday","Friday","Saturday","Sunday")</f>
        <v>Friday</v>
      </c>
      <c r="AGR27" s="457" t="s">
        <v>22</v>
      </c>
      <c r="AGS27" s="430" t="s">
        <v>22</v>
      </c>
      <c r="AGT27" s="457" t="s">
        <v>22</v>
      </c>
      <c r="AGU27" s="430" t="s">
        <v>22</v>
      </c>
      <c r="AGV27" s="422" t="s">
        <v>22</v>
      </c>
      <c r="AGW27" s="430" t="s">
        <v>22</v>
      </c>
      <c r="AGX27" s="457" t="s">
        <v>22</v>
      </c>
      <c r="AGY27" s="430" t="s">
        <v>22</v>
      </c>
      <c r="AGZ27" s="455">
        <v>44914</v>
      </c>
      <c r="AHA27" s="456" t="str">
        <f>CHOOSE(WEEKDAY(AGZ27,2),"Monday","Tuesday","Wednesday","Thursday","Friday","Saturday","Sunday")</f>
        <v>Monday</v>
      </c>
      <c r="AHB27" s="457" t="s">
        <v>22</v>
      </c>
      <c r="AHC27" s="430" t="s">
        <v>22</v>
      </c>
      <c r="AHD27" s="455">
        <v>44918</v>
      </c>
      <c r="AHE27" s="456" t="str">
        <f>CHOOSE(WEEKDAY(AHD27,2),"Monday","Tuesday","Wednesday","Thursday","Friday","Saturday","Sunday")</f>
        <v>Friday</v>
      </c>
      <c r="AHF27" s="457" t="s">
        <v>22</v>
      </c>
      <c r="AHG27" s="430" t="s">
        <v>22</v>
      </c>
      <c r="AHH27" s="455">
        <v>44918</v>
      </c>
      <c r="AHI27" s="456" t="str">
        <f>CHOOSE(WEEKDAY(AHH27,2),"Monday","Tuesday","Wednesday","Thursday","Friday","Saturday","Sunday")</f>
        <v>Friday</v>
      </c>
      <c r="AHJ27" s="457" t="s">
        <v>22</v>
      </c>
      <c r="AHK27" s="430" t="s">
        <v>22</v>
      </c>
      <c r="AHL27" s="422" t="s">
        <v>22</v>
      </c>
      <c r="AHM27" s="430" t="s">
        <v>22</v>
      </c>
      <c r="AHN27" s="455">
        <v>44922</v>
      </c>
      <c r="AHO27" s="456" t="str">
        <f>CHOOSE(WEEKDAY(AHN27,2),"Monday","Tuesday","Wednesday","Thursday","Friday","Saturday","Sunday")</f>
        <v>Tuesday</v>
      </c>
      <c r="AHP27" s="457" t="s">
        <v>22</v>
      </c>
      <c r="AHQ27" s="430" t="s">
        <v>22</v>
      </c>
      <c r="AHR27" s="457" t="s">
        <v>22</v>
      </c>
      <c r="AHS27" s="422" t="s">
        <v>22</v>
      </c>
      <c r="AHT27" s="457" t="s">
        <v>22</v>
      </c>
      <c r="AHU27" s="422" t="s">
        <v>22</v>
      </c>
      <c r="AHV27" s="457" t="s">
        <v>22</v>
      </c>
      <c r="AHW27" s="430" t="s">
        <v>22</v>
      </c>
      <c r="AHX27" s="309">
        <v>44917</v>
      </c>
      <c r="AHY27" s="104" t="str">
        <f>CHOOSE(WEEKDAY(AHX27,2),"Monday","Tuesday","Wednesday","Thursday","Friday","Saturday","Sunday")</f>
        <v>Thursday</v>
      </c>
      <c r="AHZ27" s="455">
        <v>44926</v>
      </c>
      <c r="AIA27" s="456" t="str">
        <f>CHOOSE(WEEKDAY(AHZ27,2),"Monday","Tuesday","Wednesday","Thursday","Friday","Saturday","Sunday")</f>
        <v>Saturday</v>
      </c>
    </row>
    <row r="28" spans="1:911" ht="15" x14ac:dyDescent="0.2">
      <c r="A28" s="459"/>
      <c r="B28" s="417"/>
      <c r="C28" s="412"/>
      <c r="D28" s="417"/>
      <c r="E28" s="412"/>
      <c r="F28" s="417"/>
      <c r="G28" s="412"/>
      <c r="H28" s="417"/>
      <c r="I28" s="412"/>
      <c r="J28" s="417"/>
      <c r="K28" s="412"/>
      <c r="L28" s="417"/>
      <c r="M28" s="412"/>
      <c r="N28" s="417"/>
      <c r="O28" s="412"/>
      <c r="P28" s="417"/>
      <c r="Q28" s="412"/>
      <c r="R28" s="417"/>
      <c r="S28" s="412"/>
      <c r="T28" s="417"/>
      <c r="U28" s="412"/>
      <c r="V28" s="417"/>
      <c r="W28" s="412"/>
      <c r="X28" s="417"/>
      <c r="Y28" s="412"/>
      <c r="Z28" s="417"/>
      <c r="AA28" s="412"/>
      <c r="AB28" s="417"/>
      <c r="AC28" s="412"/>
      <c r="AD28" s="402"/>
      <c r="AE28" s="402"/>
      <c r="AF28" s="417"/>
      <c r="AG28" s="412"/>
      <c r="AH28" s="417"/>
      <c r="AI28" s="412"/>
      <c r="AJ28" s="402"/>
      <c r="AK28" s="402"/>
      <c r="AL28" s="417"/>
      <c r="AM28" s="412"/>
      <c r="AN28" s="417"/>
      <c r="AO28" s="412"/>
      <c r="AP28" s="417"/>
      <c r="AQ28" s="412"/>
      <c r="AR28" s="417"/>
      <c r="AS28" s="412"/>
      <c r="AT28" s="417"/>
      <c r="AU28" s="412"/>
      <c r="AV28" s="402"/>
      <c r="AW28" s="402"/>
      <c r="AX28" s="417"/>
      <c r="AY28" s="412"/>
      <c r="AZ28" s="417"/>
      <c r="BA28" s="412"/>
      <c r="BB28" s="402"/>
      <c r="BC28" s="402"/>
      <c r="BD28" s="417"/>
      <c r="BE28" s="412"/>
      <c r="BF28" s="417"/>
      <c r="BG28" s="412"/>
      <c r="BH28" s="417"/>
      <c r="BI28" s="412"/>
      <c r="BJ28" s="417"/>
      <c r="BK28" s="412"/>
      <c r="BL28" s="402"/>
      <c r="BM28" s="402"/>
      <c r="BN28" s="417"/>
      <c r="BO28" s="412"/>
      <c r="BP28" s="417"/>
      <c r="BQ28" s="412"/>
      <c r="BR28" s="417"/>
      <c r="BS28" s="412"/>
      <c r="BT28" s="417"/>
      <c r="BU28" s="412"/>
      <c r="BV28" s="417"/>
      <c r="BW28" s="412"/>
      <c r="BX28" s="402"/>
      <c r="BY28" s="402"/>
      <c r="BZ28" s="417"/>
      <c r="CA28" s="412"/>
      <c r="CB28" s="417"/>
      <c r="CC28" s="412"/>
      <c r="CD28" s="417"/>
      <c r="CE28" s="412"/>
      <c r="CF28" s="417"/>
      <c r="CG28" s="412"/>
      <c r="CH28" s="417"/>
      <c r="CI28" s="412"/>
      <c r="CJ28" s="417"/>
      <c r="CK28" s="412"/>
      <c r="CL28" s="402"/>
      <c r="CM28" s="402"/>
      <c r="CN28" s="417"/>
      <c r="CO28" s="412"/>
      <c r="CP28" s="417"/>
      <c r="CQ28" s="412"/>
      <c r="CR28" s="417"/>
      <c r="CS28" s="412"/>
      <c r="CT28" s="402"/>
      <c r="CU28" s="402"/>
      <c r="CV28" s="417"/>
      <c r="CW28" s="412"/>
      <c r="CX28" s="417"/>
      <c r="CY28" s="412"/>
      <c r="CZ28" s="402"/>
      <c r="DA28" s="402"/>
      <c r="DB28" s="417"/>
      <c r="DC28" s="412"/>
      <c r="DD28" s="417"/>
      <c r="DE28" s="412"/>
      <c r="DF28" s="417"/>
      <c r="DG28" s="412"/>
      <c r="DH28" s="417"/>
      <c r="DI28" s="412"/>
      <c r="DJ28" s="417"/>
      <c r="DK28" s="412"/>
      <c r="DL28" s="417"/>
      <c r="DM28" s="412"/>
      <c r="DN28" s="402"/>
      <c r="DO28" s="402"/>
      <c r="DP28" s="417"/>
      <c r="DQ28" s="412"/>
      <c r="DR28" s="417"/>
      <c r="DS28" s="412"/>
      <c r="DT28" s="417"/>
      <c r="DU28" s="412"/>
      <c r="DV28" s="417"/>
      <c r="DW28" s="412"/>
      <c r="DX28" s="417"/>
      <c r="DY28" s="412"/>
      <c r="DZ28" s="402"/>
      <c r="EA28" s="402"/>
      <c r="EB28" s="417"/>
      <c r="EC28" s="412"/>
      <c r="ED28" s="402"/>
      <c r="EE28" s="402"/>
      <c r="EF28" s="417"/>
      <c r="EG28" s="412"/>
      <c r="EH28" s="417"/>
      <c r="EI28" s="412"/>
      <c r="EJ28" s="417"/>
      <c r="EK28" s="412"/>
      <c r="EL28" s="417"/>
      <c r="EM28" s="412"/>
      <c r="EN28" s="417"/>
      <c r="EO28" s="412"/>
      <c r="EP28" s="417"/>
      <c r="EQ28" s="412"/>
      <c r="ER28" s="417"/>
      <c r="ES28" s="412"/>
      <c r="ET28" s="402"/>
      <c r="EU28" s="402"/>
      <c r="EV28" s="417"/>
      <c r="EW28" s="412"/>
      <c r="EX28" s="417"/>
      <c r="EY28" s="412"/>
      <c r="EZ28" s="417"/>
      <c r="FA28" s="412"/>
      <c r="FB28" s="402"/>
      <c r="FC28" s="402"/>
      <c r="FD28" s="417"/>
      <c r="FE28" s="412"/>
      <c r="FF28" s="402"/>
      <c r="FG28" s="412"/>
      <c r="FH28" s="402"/>
      <c r="FI28" s="402"/>
      <c r="FJ28" s="417"/>
      <c r="FK28" s="412"/>
      <c r="FL28" s="417"/>
      <c r="FM28" s="412"/>
      <c r="FN28" s="417"/>
      <c r="FO28" s="412"/>
      <c r="FP28" s="402"/>
      <c r="FQ28" s="402"/>
      <c r="FR28" s="417"/>
      <c r="FS28" s="412"/>
      <c r="FT28" s="417"/>
      <c r="FU28" s="412"/>
      <c r="FV28" s="402"/>
      <c r="FW28" s="412"/>
      <c r="FX28" s="402"/>
      <c r="FY28" s="402"/>
      <c r="FZ28" s="417"/>
      <c r="GA28" s="412"/>
      <c r="GB28" s="417"/>
      <c r="GC28" s="412"/>
      <c r="GD28" s="402"/>
      <c r="GE28" s="402"/>
      <c r="GF28" s="417"/>
      <c r="GG28" s="412"/>
      <c r="GH28" s="417"/>
      <c r="GI28" s="402"/>
      <c r="GJ28" s="417"/>
      <c r="GK28" s="412"/>
      <c r="GL28" s="402"/>
      <c r="GM28" s="412"/>
      <c r="GN28" s="417"/>
      <c r="GO28" s="412"/>
      <c r="GP28" s="402"/>
      <c r="GQ28" s="412"/>
      <c r="GR28" s="417"/>
      <c r="GS28" s="412"/>
      <c r="GT28" s="417"/>
      <c r="GU28" s="412"/>
      <c r="GV28" s="402"/>
      <c r="GW28" s="402"/>
      <c r="GX28" s="417"/>
      <c r="GY28" s="412"/>
      <c r="GZ28" s="417"/>
      <c r="HA28" s="412"/>
      <c r="HB28" s="417"/>
      <c r="HC28" s="412"/>
      <c r="HD28" s="402"/>
      <c r="HE28" s="412"/>
      <c r="HF28" s="402"/>
      <c r="HG28" s="412"/>
      <c r="HH28" s="402"/>
      <c r="HI28" s="402"/>
      <c r="HJ28" s="417"/>
      <c r="HK28" s="412"/>
      <c r="HL28" s="417"/>
      <c r="HM28" s="412"/>
      <c r="HN28" s="417"/>
      <c r="HO28" s="412"/>
      <c r="HP28" s="402"/>
      <c r="HQ28" s="402"/>
      <c r="HR28" s="417"/>
      <c r="HS28" s="412"/>
      <c r="HT28" s="417"/>
      <c r="HU28" s="412"/>
      <c r="HV28" s="417"/>
      <c r="HW28" s="412"/>
      <c r="HX28" s="417"/>
      <c r="HY28" s="412"/>
      <c r="HZ28" s="417"/>
      <c r="IA28" s="412"/>
      <c r="IB28" s="417"/>
      <c r="IC28" s="412"/>
      <c r="ID28" s="402"/>
      <c r="IE28" s="402"/>
      <c r="IF28" s="417"/>
      <c r="IG28" s="412"/>
      <c r="IH28" s="417"/>
      <c r="II28" s="412"/>
      <c r="IJ28" s="402"/>
      <c r="IK28" s="402"/>
      <c r="IL28" s="417"/>
      <c r="IM28" s="412"/>
      <c r="IN28" s="417"/>
      <c r="IO28" s="412"/>
      <c r="IP28" s="402"/>
      <c r="IQ28" s="402"/>
      <c r="IR28" s="417"/>
      <c r="IS28" s="412"/>
      <c r="IT28" s="417"/>
      <c r="IU28" s="412"/>
      <c r="IV28" s="417"/>
      <c r="IW28" s="412"/>
      <c r="IX28" s="417"/>
      <c r="IY28" s="412"/>
      <c r="IZ28" s="402"/>
      <c r="JA28" s="412"/>
      <c r="JB28" s="417"/>
      <c r="JC28" s="412"/>
      <c r="JD28" s="417"/>
      <c r="JE28" s="412"/>
      <c r="JF28" s="402"/>
      <c r="JG28" s="402"/>
      <c r="JH28" s="417"/>
      <c r="JI28" s="412"/>
      <c r="JJ28" s="417"/>
      <c r="JK28" s="412"/>
      <c r="JL28" s="417"/>
      <c r="JM28" s="412"/>
      <c r="JN28" s="417"/>
      <c r="JO28" s="412"/>
      <c r="JP28" s="402"/>
      <c r="JQ28" s="402"/>
      <c r="JR28" s="417"/>
      <c r="JS28" s="412"/>
      <c r="JT28" s="417"/>
      <c r="JU28" s="412"/>
      <c r="JV28" s="417"/>
      <c r="JW28" s="412"/>
      <c r="JX28" s="417"/>
      <c r="JY28" s="412"/>
      <c r="JZ28" s="417"/>
      <c r="KA28" s="412"/>
      <c r="KB28" s="417"/>
      <c r="KC28" s="412"/>
      <c r="KD28" s="402"/>
      <c r="KE28" s="402"/>
      <c r="KF28" s="417"/>
      <c r="KG28" s="412"/>
      <c r="KH28" s="402"/>
      <c r="KI28" s="402"/>
      <c r="KJ28" s="417"/>
      <c r="KK28" s="412"/>
      <c r="KL28" s="417"/>
      <c r="KM28" s="412"/>
      <c r="KN28" s="417"/>
      <c r="KO28" s="412"/>
      <c r="KP28" s="417"/>
      <c r="KQ28" s="412"/>
      <c r="KR28" s="402"/>
      <c r="KS28" s="402"/>
      <c r="KT28" s="417"/>
      <c r="KU28" s="412"/>
      <c r="KV28" s="417"/>
      <c r="KW28" s="412"/>
      <c r="KX28" s="417"/>
      <c r="KY28" s="412"/>
      <c r="KZ28" s="417"/>
      <c r="LA28" s="412"/>
      <c r="LB28" s="417"/>
      <c r="LC28" s="412"/>
      <c r="LD28" s="402"/>
      <c r="LE28" s="402"/>
      <c r="LF28" s="417"/>
      <c r="LG28" s="412"/>
      <c r="LH28" s="417"/>
      <c r="LI28" s="412"/>
      <c r="LJ28" s="402"/>
      <c r="LK28" s="402"/>
      <c r="LL28" s="281">
        <v>44687</v>
      </c>
      <c r="LM28" s="7" t="str">
        <f t="shared" si="64"/>
        <v>Friday</v>
      </c>
      <c r="LN28" s="402"/>
      <c r="LO28" s="402"/>
      <c r="LP28" s="417"/>
      <c r="LQ28" s="412"/>
      <c r="LR28" s="417"/>
      <c r="LS28" s="412"/>
      <c r="LT28" s="417"/>
      <c r="LU28" s="412"/>
      <c r="LV28" s="402"/>
      <c r="LW28" s="402"/>
      <c r="LX28" s="417"/>
      <c r="LY28" s="412"/>
      <c r="LZ28" s="402"/>
      <c r="MA28" s="402"/>
      <c r="MB28" s="417"/>
      <c r="MC28" s="412"/>
      <c r="MD28" s="417"/>
      <c r="ME28" s="412"/>
      <c r="MF28" s="417"/>
      <c r="MG28" s="412"/>
      <c r="MH28" s="417"/>
      <c r="MI28" s="412"/>
      <c r="MJ28" s="417"/>
      <c r="MK28" s="412"/>
      <c r="ML28" s="402"/>
      <c r="MM28" s="402"/>
      <c r="MN28" s="417"/>
      <c r="MO28" s="412"/>
      <c r="MP28" s="417"/>
      <c r="MQ28" s="412"/>
      <c r="MR28" s="417"/>
      <c r="MS28" s="412"/>
      <c r="MT28" s="417"/>
      <c r="MU28" s="412"/>
      <c r="MV28" s="402"/>
      <c r="MW28" s="402"/>
      <c r="MX28" s="417"/>
      <c r="MY28" s="412"/>
      <c r="MZ28" s="417"/>
      <c r="NA28" s="412"/>
      <c r="NB28" s="417"/>
      <c r="NC28" s="412"/>
      <c r="ND28" s="402"/>
      <c r="NE28" s="402"/>
      <c r="NF28" s="417"/>
      <c r="NG28" s="412"/>
      <c r="NH28" s="417"/>
      <c r="NI28" s="412"/>
      <c r="NJ28" s="417"/>
      <c r="NK28" s="412"/>
      <c r="NL28" s="417"/>
      <c r="NM28" s="412"/>
      <c r="NN28" s="417"/>
      <c r="NO28" s="412"/>
      <c r="NP28" s="417"/>
      <c r="NQ28" s="412"/>
      <c r="NR28" s="402"/>
      <c r="NS28" s="412"/>
      <c r="NT28" s="417"/>
      <c r="NU28" s="412"/>
      <c r="NV28" s="417"/>
      <c r="NW28" s="412"/>
      <c r="NX28" s="417"/>
      <c r="NY28" s="412"/>
      <c r="NZ28" s="489">
        <v>44715</v>
      </c>
      <c r="OA28" s="431" t="str">
        <f>CHOOSE(WEEKDAY(NZ29,2),"Monday","Tuesday","Wednesday","Thursday","Friday","Saturday","Sunday")</f>
        <v>Saturday</v>
      </c>
      <c r="OB28" s="417"/>
      <c r="OC28" s="412"/>
      <c r="OD28" s="489">
        <v>44717</v>
      </c>
      <c r="OE28" s="431" t="str">
        <f>CHOOSE(WEEKDAY(OD29,2),"Monday","Tuesday","Wednesday","Thursday","Friday","Saturday","Sunday")</f>
        <v>Saturday</v>
      </c>
      <c r="OF28" s="417"/>
      <c r="OG28" s="412"/>
      <c r="OH28" s="402"/>
      <c r="OI28" s="402"/>
      <c r="OJ28" s="417"/>
      <c r="OK28" s="412"/>
      <c r="OL28" s="417"/>
      <c r="OM28" s="412"/>
      <c r="ON28" s="417"/>
      <c r="OO28" s="412"/>
      <c r="OP28" s="417"/>
      <c r="OQ28" s="412"/>
      <c r="OR28" s="402"/>
      <c r="OS28" s="402"/>
      <c r="OT28" s="417"/>
      <c r="OU28" s="412"/>
      <c r="OV28" s="417"/>
      <c r="OW28" s="412"/>
      <c r="OX28" s="417"/>
      <c r="OY28" s="412"/>
      <c r="OZ28" s="417"/>
      <c r="PA28" s="412"/>
      <c r="PB28" s="417"/>
      <c r="PC28" s="412"/>
      <c r="PD28" s="402"/>
      <c r="PE28" s="402"/>
      <c r="PF28" s="417"/>
      <c r="PG28" s="412"/>
      <c r="PH28" s="417"/>
      <c r="PI28" s="412"/>
      <c r="PJ28" s="402"/>
      <c r="PK28" s="402"/>
      <c r="PL28" s="417"/>
      <c r="PM28" s="412"/>
      <c r="PN28" s="417"/>
      <c r="PO28" s="412"/>
      <c r="PP28" s="402"/>
      <c r="PQ28" s="402"/>
      <c r="PR28" s="417"/>
      <c r="PS28" s="412"/>
      <c r="PT28" s="402"/>
      <c r="PU28" s="402"/>
      <c r="PV28" s="417"/>
      <c r="PW28" s="412"/>
      <c r="PX28" s="417"/>
      <c r="PY28" s="412"/>
      <c r="PZ28" s="417"/>
      <c r="QA28" s="412"/>
      <c r="QB28" s="417"/>
      <c r="QC28" s="412"/>
      <c r="QD28" s="417"/>
      <c r="QE28" s="412"/>
      <c r="QF28" s="402"/>
      <c r="QG28" s="402"/>
      <c r="QH28" s="417"/>
      <c r="QI28" s="412"/>
      <c r="QJ28" s="402"/>
      <c r="QK28" s="402"/>
      <c r="QL28" s="417"/>
      <c r="QM28" s="412"/>
      <c r="QN28" s="417"/>
      <c r="QO28" s="412"/>
      <c r="QP28" s="417"/>
      <c r="QQ28" s="412"/>
      <c r="QR28" s="417"/>
      <c r="QS28" s="412"/>
      <c r="QT28" s="402"/>
      <c r="QU28" s="402"/>
      <c r="QV28" s="417"/>
      <c r="QW28" s="412"/>
      <c r="QX28" s="417"/>
      <c r="QY28" s="412"/>
      <c r="QZ28" s="417"/>
      <c r="RA28" s="412"/>
      <c r="RB28" s="417"/>
      <c r="RC28" s="412"/>
      <c r="RD28" s="417"/>
      <c r="RE28" s="412"/>
      <c r="RF28" s="417"/>
      <c r="RG28" s="412"/>
      <c r="RH28" s="417"/>
      <c r="RI28" s="412"/>
      <c r="RJ28" s="417"/>
      <c r="RK28" s="412"/>
      <c r="RL28" s="417"/>
      <c r="RM28" s="412"/>
      <c r="RN28" s="417"/>
      <c r="RO28" s="412"/>
      <c r="RP28" s="417"/>
      <c r="RQ28" s="412"/>
      <c r="RR28" s="417"/>
      <c r="RS28" s="412"/>
      <c r="RT28" s="417"/>
      <c r="RU28" s="412"/>
      <c r="RV28" s="417"/>
      <c r="RW28" s="412"/>
      <c r="RX28" s="417"/>
      <c r="RY28" s="412"/>
      <c r="RZ28" s="417"/>
      <c r="SA28" s="412"/>
      <c r="SB28" s="417"/>
      <c r="SC28" s="412"/>
      <c r="SD28" s="417"/>
      <c r="SE28" s="412"/>
      <c r="SF28" s="417"/>
      <c r="SG28" s="412"/>
      <c r="SH28" s="417"/>
      <c r="SI28" s="412"/>
      <c r="SJ28" s="417"/>
      <c r="SK28" s="412"/>
      <c r="SL28" s="417"/>
      <c r="SM28" s="412"/>
      <c r="SN28" s="417"/>
      <c r="SO28" s="412"/>
      <c r="SP28" s="402"/>
      <c r="SQ28" s="402"/>
      <c r="SR28" s="417"/>
      <c r="SS28" s="412"/>
      <c r="ST28" s="402"/>
      <c r="SU28" s="402"/>
      <c r="SV28" s="417"/>
      <c r="SW28" s="412"/>
      <c r="SX28" s="417"/>
      <c r="SY28" s="412"/>
      <c r="SZ28" s="417"/>
      <c r="TA28" s="412"/>
      <c r="TB28" s="417"/>
      <c r="TC28" s="412"/>
      <c r="TD28" s="402"/>
      <c r="TE28" s="402"/>
      <c r="TF28" s="417"/>
      <c r="TG28" s="412"/>
      <c r="TH28" s="417"/>
      <c r="TI28" s="412"/>
      <c r="TJ28" s="417"/>
      <c r="TK28" s="412"/>
      <c r="TL28" s="417"/>
      <c r="TM28" s="412"/>
      <c r="TN28" s="417"/>
      <c r="TO28" s="412"/>
      <c r="TP28" s="417"/>
      <c r="TQ28" s="412"/>
      <c r="TR28" s="417"/>
      <c r="TS28" s="412"/>
      <c r="TT28" s="417"/>
      <c r="TU28" s="412"/>
      <c r="TV28" s="417"/>
      <c r="TW28" s="402"/>
      <c r="TX28" s="417"/>
      <c r="TY28" s="412"/>
      <c r="TZ28" s="417"/>
      <c r="UA28" s="412"/>
      <c r="UB28" s="417"/>
      <c r="UC28" s="412"/>
      <c r="UD28" s="417"/>
      <c r="UE28" s="412"/>
      <c r="UF28" s="402"/>
      <c r="UG28" s="402"/>
      <c r="UH28" s="417"/>
      <c r="UI28" s="412"/>
      <c r="UJ28" s="417"/>
      <c r="UK28" s="412"/>
      <c r="UL28" s="417"/>
      <c r="UM28" s="412"/>
      <c r="UN28" s="417"/>
      <c r="UO28" s="412"/>
      <c r="UP28" s="417"/>
      <c r="UQ28" s="412"/>
      <c r="UR28" s="417"/>
      <c r="US28" s="412"/>
      <c r="UT28" s="417"/>
      <c r="UU28" s="412"/>
      <c r="UV28" s="402"/>
      <c r="UW28" s="402"/>
      <c r="UX28" s="417"/>
      <c r="UY28" s="412"/>
      <c r="UZ28" s="417"/>
      <c r="VA28" s="412"/>
      <c r="VB28" s="417"/>
      <c r="VC28" s="412"/>
      <c r="VD28" s="417"/>
      <c r="VE28" s="412"/>
      <c r="VF28" s="402"/>
      <c r="VG28" s="402"/>
      <c r="VH28" s="417"/>
      <c r="VI28" s="412"/>
      <c r="VJ28" s="402"/>
      <c r="VK28" s="402"/>
      <c r="VL28" s="417"/>
      <c r="VM28" s="412"/>
      <c r="VN28" s="417"/>
      <c r="VO28" s="412"/>
      <c r="VP28" s="402"/>
      <c r="VQ28" s="402"/>
      <c r="VR28" s="417"/>
      <c r="VS28" s="412"/>
      <c r="VT28" s="417"/>
      <c r="VU28" s="412"/>
      <c r="VV28" s="417"/>
      <c r="VW28" s="412"/>
      <c r="VX28" s="417"/>
      <c r="VY28" s="412"/>
      <c r="VZ28" s="417"/>
      <c r="WA28" s="412"/>
      <c r="WB28" s="417"/>
      <c r="WC28" s="412"/>
      <c r="WD28" s="417"/>
      <c r="WE28" s="412"/>
      <c r="WF28" s="402"/>
      <c r="WG28" s="402"/>
      <c r="WH28" s="417"/>
      <c r="WI28" s="412"/>
      <c r="WJ28" s="417"/>
      <c r="WK28" s="412"/>
      <c r="WL28" s="417"/>
      <c r="WM28" s="412"/>
      <c r="WN28" s="402"/>
      <c r="WO28" s="402"/>
      <c r="WP28" s="417"/>
      <c r="WQ28" s="412"/>
      <c r="WR28" s="417"/>
      <c r="WS28" s="412"/>
      <c r="WT28" s="402"/>
      <c r="WU28" s="402"/>
      <c r="WV28" s="417"/>
      <c r="WW28" s="412"/>
      <c r="WX28" s="417"/>
      <c r="WY28" s="412"/>
      <c r="WZ28" s="417"/>
      <c r="XA28" s="412"/>
      <c r="XB28" s="402"/>
      <c r="XC28" s="402"/>
      <c r="XD28" s="417"/>
      <c r="XE28" s="412"/>
      <c r="XF28" s="417"/>
      <c r="XG28" s="412"/>
      <c r="XH28" s="417"/>
      <c r="XI28" s="402"/>
      <c r="XJ28" s="417"/>
      <c r="XK28" s="402"/>
      <c r="XL28" s="417"/>
      <c r="XM28" s="402"/>
      <c r="XN28" s="417"/>
      <c r="XO28" s="412"/>
      <c r="XP28" s="417"/>
      <c r="XQ28" s="402"/>
      <c r="XR28" s="417"/>
      <c r="XS28" s="412"/>
      <c r="XT28" s="417"/>
      <c r="XU28" s="412"/>
      <c r="XV28" s="417"/>
      <c r="XW28" s="412"/>
      <c r="XX28" s="417"/>
      <c r="XY28" s="412"/>
      <c r="XZ28" s="417"/>
      <c r="YA28" s="412"/>
      <c r="YB28" s="417"/>
      <c r="YC28" s="412"/>
      <c r="YD28" s="417"/>
      <c r="YE28" s="412"/>
      <c r="YF28" s="417"/>
      <c r="YG28" s="412"/>
      <c r="YH28" s="417"/>
      <c r="YI28" s="412"/>
      <c r="YJ28" s="417"/>
      <c r="YK28" s="412"/>
      <c r="YL28" s="402"/>
      <c r="YM28" s="402"/>
      <c r="YN28" s="417"/>
      <c r="YO28" s="412"/>
      <c r="YP28" s="417"/>
      <c r="YQ28" s="412"/>
      <c r="YR28" s="417"/>
      <c r="YS28" s="412"/>
      <c r="YT28" s="417"/>
      <c r="YU28" s="412"/>
      <c r="YV28" s="417"/>
      <c r="YW28" s="412"/>
      <c r="YX28" s="402"/>
      <c r="YY28" s="402"/>
      <c r="YZ28" s="417"/>
      <c r="ZA28" s="412"/>
      <c r="ZB28" s="402"/>
      <c r="ZC28" s="402"/>
      <c r="ZD28" s="417"/>
      <c r="ZE28" s="412"/>
      <c r="ZF28" s="417"/>
      <c r="ZG28" s="412"/>
      <c r="ZH28" s="417"/>
      <c r="ZI28" s="412"/>
      <c r="ZJ28" s="402"/>
      <c r="ZK28" s="402"/>
      <c r="ZL28" s="417"/>
      <c r="ZM28" s="412"/>
      <c r="ZN28" s="402"/>
      <c r="ZO28" s="412"/>
      <c r="ZP28" s="417"/>
      <c r="ZQ28" s="412"/>
      <c r="ZR28" s="417"/>
      <c r="ZS28" s="412"/>
      <c r="ZT28" s="402"/>
      <c r="ZU28" s="402"/>
      <c r="ZV28" s="417"/>
      <c r="ZW28" s="412"/>
      <c r="ZX28" s="417"/>
      <c r="ZY28" s="412"/>
      <c r="ZZ28" s="417"/>
      <c r="AAA28" s="412"/>
      <c r="AAB28" s="417"/>
      <c r="AAC28" s="412"/>
      <c r="AAD28" s="402"/>
      <c r="AAE28" s="402"/>
      <c r="AAF28" s="417"/>
      <c r="AAG28" s="412"/>
      <c r="AAH28" s="417"/>
      <c r="AAI28" s="412"/>
      <c r="AAJ28" s="417"/>
      <c r="AAK28" s="412"/>
      <c r="AAL28" s="417"/>
      <c r="AAM28" s="412"/>
      <c r="AAN28" s="402"/>
      <c r="AAO28" s="412"/>
      <c r="AAP28" s="417"/>
      <c r="AAQ28" s="412"/>
      <c r="AAR28" s="417"/>
      <c r="AAS28" s="412"/>
      <c r="AAT28" s="417"/>
      <c r="AAU28" s="412"/>
      <c r="AAV28" s="402"/>
      <c r="AAW28" s="402"/>
      <c r="AAX28" s="417"/>
      <c r="AAY28" s="412"/>
      <c r="AAZ28" s="417"/>
      <c r="ABA28" s="412"/>
      <c r="ABB28" s="417"/>
      <c r="ABC28" s="412"/>
      <c r="ABD28" s="402"/>
      <c r="ABE28" s="402"/>
      <c r="ABF28" s="417"/>
      <c r="ABG28" s="412"/>
      <c r="ABH28" s="417"/>
      <c r="ABI28" s="412"/>
      <c r="ABJ28" s="417"/>
      <c r="ABK28" s="412"/>
      <c r="ABL28" s="417"/>
      <c r="ABM28" s="412"/>
      <c r="ABN28" s="402"/>
      <c r="ABO28" s="402"/>
      <c r="ABP28" s="417"/>
      <c r="ABQ28" s="412"/>
      <c r="ABR28" s="417"/>
      <c r="ABS28" s="412"/>
      <c r="ABT28" s="417"/>
      <c r="ABU28" s="412"/>
      <c r="ABV28" s="402"/>
      <c r="ABW28" s="402"/>
      <c r="ABX28" s="417"/>
      <c r="ABY28" s="412"/>
      <c r="ABZ28" s="402"/>
      <c r="ACA28" s="402"/>
      <c r="ACB28" s="417"/>
      <c r="ACC28" s="412"/>
      <c r="ACD28" s="417"/>
      <c r="ACE28" s="412"/>
      <c r="ACF28" s="417"/>
      <c r="ACG28" s="412"/>
      <c r="ACH28" s="417"/>
      <c r="ACI28" s="412"/>
      <c r="ACJ28" s="417"/>
      <c r="ACK28" s="412"/>
      <c r="ACL28" s="402"/>
      <c r="ACM28" s="402"/>
      <c r="ACN28" s="417"/>
      <c r="ACO28" s="412"/>
      <c r="ACP28" s="417"/>
      <c r="ACQ28" s="412"/>
      <c r="ACR28" s="417"/>
      <c r="ACS28" s="412"/>
      <c r="ACT28" s="464">
        <v>44872</v>
      </c>
      <c r="ACU28" s="431" t="str">
        <f>CHOOSE(WEEKDAY(ACT29,2),"Monday","Tuesday","Wednesday","Thursday","Friday","Saturday","Sunday")</f>
        <v>Saturday</v>
      </c>
      <c r="ACV28" s="417"/>
      <c r="ACW28" s="412"/>
      <c r="ACX28" s="417"/>
      <c r="ACY28" s="412"/>
      <c r="ACZ28" s="417"/>
      <c r="ADA28" s="412"/>
      <c r="ADB28" s="417"/>
      <c r="ADC28" s="412"/>
      <c r="ADD28" s="417"/>
      <c r="ADE28" s="412"/>
      <c r="ADF28" s="417"/>
      <c r="ADG28" s="412"/>
      <c r="ADH28" s="417"/>
      <c r="ADI28" s="412"/>
      <c r="ADJ28" s="417"/>
      <c r="ADK28" s="402"/>
      <c r="ADL28" s="417"/>
      <c r="ADM28" s="412"/>
      <c r="ADN28" s="417"/>
      <c r="ADO28" s="412"/>
      <c r="ADP28" s="417"/>
      <c r="ADQ28" s="412"/>
      <c r="ADR28" s="417"/>
      <c r="ADS28" s="412"/>
      <c r="ADT28" s="402"/>
      <c r="ADU28" s="402"/>
      <c r="ADV28" s="417"/>
      <c r="ADW28" s="412"/>
      <c r="ADX28" s="402"/>
      <c r="ADY28" s="412"/>
      <c r="ADZ28" s="417"/>
      <c r="AEA28" s="412"/>
      <c r="AEB28" s="417"/>
      <c r="AEC28" s="412"/>
      <c r="AED28" s="417"/>
      <c r="AEE28" s="412"/>
      <c r="AEF28" s="402"/>
      <c r="AEG28" s="402"/>
      <c r="AEH28" s="417"/>
      <c r="AEI28" s="412"/>
      <c r="AEJ28" s="402"/>
      <c r="AEK28" s="402"/>
      <c r="AEL28" s="417"/>
      <c r="AEM28" s="412"/>
      <c r="AEN28" s="402"/>
      <c r="AEO28" s="402"/>
      <c r="AEP28" s="417"/>
      <c r="AEQ28" s="412"/>
      <c r="AER28" s="417"/>
      <c r="AES28" s="412"/>
      <c r="AET28" s="402"/>
      <c r="AEU28" s="402"/>
      <c r="AEV28" s="417"/>
      <c r="AEW28" s="412"/>
      <c r="AEX28" s="417"/>
      <c r="AEY28" s="412"/>
      <c r="AEZ28" s="417"/>
      <c r="AFA28" s="412"/>
      <c r="AFB28" s="417"/>
      <c r="AFC28" s="412"/>
      <c r="AFD28" s="464">
        <v>44890</v>
      </c>
      <c r="AFE28" s="431" t="str">
        <f>CHOOSE(WEEKDAY(AFD29,2),"Monday","Tuesday","Wednesday","Thursday","Friday","Saturday","Sunday")</f>
        <v>Saturday</v>
      </c>
      <c r="AFF28" s="417"/>
      <c r="AFG28" s="412"/>
      <c r="AFH28" s="402"/>
      <c r="AFI28" s="402"/>
      <c r="AFJ28" s="417"/>
      <c r="AFK28" s="412"/>
      <c r="AFL28" s="417"/>
      <c r="AFM28" s="412"/>
      <c r="AFN28" s="417"/>
      <c r="AFO28" s="412"/>
      <c r="AFP28" s="417"/>
      <c r="AFQ28" s="412"/>
      <c r="AFR28" s="417"/>
      <c r="AFS28" s="412"/>
      <c r="AFT28" s="402"/>
      <c r="AFU28" s="402"/>
      <c r="AFV28" s="417"/>
      <c r="AFW28" s="412"/>
      <c r="AFX28" s="417"/>
      <c r="AFY28" s="412"/>
      <c r="AFZ28" s="417"/>
      <c r="AGA28" s="412"/>
      <c r="AGB28" s="417"/>
      <c r="AGC28" s="412"/>
      <c r="AGD28" s="402"/>
      <c r="AGE28" s="402"/>
      <c r="AGF28" s="417"/>
      <c r="AGG28" s="412"/>
      <c r="AGH28" s="417"/>
      <c r="AGI28" s="412"/>
      <c r="AGJ28" s="402"/>
      <c r="AGK28" s="402"/>
      <c r="AGL28" s="417"/>
      <c r="AGM28" s="412"/>
      <c r="AGN28" s="417"/>
      <c r="AGO28" s="412"/>
      <c r="AGP28" s="417"/>
      <c r="AGQ28" s="412"/>
      <c r="AGR28" s="417"/>
      <c r="AGS28" s="412"/>
      <c r="AGT28" s="417"/>
      <c r="AGU28" s="412"/>
      <c r="AGV28" s="402"/>
      <c r="AGW28" s="412"/>
      <c r="AGX28" s="417"/>
      <c r="AGY28" s="412"/>
      <c r="AGZ28" s="417"/>
      <c r="AHA28" s="412"/>
      <c r="AHB28" s="417"/>
      <c r="AHC28" s="412"/>
      <c r="AHD28" s="417"/>
      <c r="AHE28" s="412"/>
      <c r="AHF28" s="417"/>
      <c r="AHG28" s="412"/>
      <c r="AHH28" s="417"/>
      <c r="AHI28" s="412"/>
      <c r="AHJ28" s="417"/>
      <c r="AHK28" s="412"/>
      <c r="AHL28" s="402"/>
      <c r="AHM28" s="412"/>
      <c r="AHN28" s="417"/>
      <c r="AHO28" s="412"/>
      <c r="AHP28" s="417"/>
      <c r="AHQ28" s="412"/>
      <c r="AHR28" s="417"/>
      <c r="AHS28" s="402"/>
      <c r="AHT28" s="417"/>
      <c r="AHU28" s="402"/>
      <c r="AHV28" s="417"/>
      <c r="AHW28" s="412"/>
      <c r="AHX28" s="464">
        <v>44924</v>
      </c>
      <c r="AHY28" s="431" t="str">
        <f>CHOOSE(WEEKDAY(AHX29,2),"Monday","Tuesday","Wednesday","Thursday","Friday","Saturday","Sunday")</f>
        <v>Saturday</v>
      </c>
      <c r="AHZ28" s="417"/>
      <c r="AIA28" s="412"/>
    </row>
    <row r="29" spans="1:911" ht="15" x14ac:dyDescent="0.2">
      <c r="A29" s="459"/>
      <c r="B29" s="417"/>
      <c r="C29" s="412"/>
      <c r="D29" s="417"/>
      <c r="E29" s="412"/>
      <c r="F29" s="417"/>
      <c r="G29" s="412"/>
      <c r="H29" s="417"/>
      <c r="I29" s="412"/>
      <c r="J29" s="417"/>
      <c r="K29" s="412"/>
      <c r="L29" s="417"/>
      <c r="M29" s="412"/>
      <c r="N29" s="417"/>
      <c r="O29" s="412"/>
      <c r="P29" s="417"/>
      <c r="Q29" s="412"/>
      <c r="R29" s="417"/>
      <c r="S29" s="412"/>
      <c r="T29" s="417"/>
      <c r="U29" s="412"/>
      <c r="V29" s="417"/>
      <c r="W29" s="412"/>
      <c r="X29" s="417"/>
      <c r="Y29" s="412"/>
      <c r="Z29" s="417"/>
      <c r="AA29" s="412"/>
      <c r="AB29" s="417"/>
      <c r="AC29" s="412"/>
      <c r="AD29" s="402"/>
      <c r="AE29" s="402"/>
      <c r="AF29" s="417"/>
      <c r="AG29" s="412"/>
      <c r="AH29" s="417"/>
      <c r="AI29" s="412"/>
      <c r="AJ29" s="402"/>
      <c r="AK29" s="402"/>
      <c r="AL29" s="417"/>
      <c r="AM29" s="412"/>
      <c r="AN29" s="417"/>
      <c r="AO29" s="412"/>
      <c r="AP29" s="417"/>
      <c r="AQ29" s="412"/>
      <c r="AR29" s="417"/>
      <c r="AS29" s="412"/>
      <c r="AT29" s="417"/>
      <c r="AU29" s="412"/>
      <c r="AV29" s="402"/>
      <c r="AW29" s="402"/>
      <c r="AX29" s="417"/>
      <c r="AY29" s="412"/>
      <c r="AZ29" s="417"/>
      <c r="BA29" s="412"/>
      <c r="BB29" s="402"/>
      <c r="BC29" s="402"/>
      <c r="BD29" s="417"/>
      <c r="BE29" s="412"/>
      <c r="BF29" s="417"/>
      <c r="BG29" s="412"/>
      <c r="BH29" s="417"/>
      <c r="BI29" s="412"/>
      <c r="BJ29" s="417"/>
      <c r="BK29" s="412"/>
      <c r="BL29" s="402"/>
      <c r="BM29" s="402"/>
      <c r="BN29" s="417"/>
      <c r="BO29" s="412"/>
      <c r="BP29" s="417"/>
      <c r="BQ29" s="412"/>
      <c r="BR29" s="417"/>
      <c r="BS29" s="412"/>
      <c r="BT29" s="417"/>
      <c r="BU29" s="412"/>
      <c r="BV29" s="417"/>
      <c r="BW29" s="412"/>
      <c r="BX29" s="402"/>
      <c r="BY29" s="402"/>
      <c r="BZ29" s="417"/>
      <c r="CA29" s="412"/>
      <c r="CB29" s="417"/>
      <c r="CC29" s="412"/>
      <c r="CD29" s="417"/>
      <c r="CE29" s="412"/>
      <c r="CF29" s="417"/>
      <c r="CG29" s="412"/>
      <c r="CH29" s="417"/>
      <c r="CI29" s="412"/>
      <c r="CJ29" s="417"/>
      <c r="CK29" s="412"/>
      <c r="CL29" s="402"/>
      <c r="CM29" s="402"/>
      <c r="CN29" s="417"/>
      <c r="CO29" s="412"/>
      <c r="CP29" s="417"/>
      <c r="CQ29" s="412"/>
      <c r="CR29" s="417"/>
      <c r="CS29" s="412"/>
      <c r="CT29" s="402"/>
      <c r="CU29" s="402"/>
      <c r="CV29" s="417"/>
      <c r="CW29" s="412"/>
      <c r="CX29" s="417"/>
      <c r="CY29" s="412"/>
      <c r="CZ29" s="402"/>
      <c r="DA29" s="402"/>
      <c r="DB29" s="417"/>
      <c r="DC29" s="412"/>
      <c r="DD29" s="417"/>
      <c r="DE29" s="412"/>
      <c r="DF29" s="417"/>
      <c r="DG29" s="412"/>
      <c r="DH29" s="417"/>
      <c r="DI29" s="412"/>
      <c r="DJ29" s="417"/>
      <c r="DK29" s="412"/>
      <c r="DL29" s="417"/>
      <c r="DM29" s="412"/>
      <c r="DN29" s="402"/>
      <c r="DO29" s="402"/>
      <c r="DP29" s="417"/>
      <c r="DQ29" s="412"/>
      <c r="DR29" s="417"/>
      <c r="DS29" s="412"/>
      <c r="DT29" s="417"/>
      <c r="DU29" s="412"/>
      <c r="DV29" s="417"/>
      <c r="DW29" s="412"/>
      <c r="DX29" s="417"/>
      <c r="DY29" s="412"/>
      <c r="DZ29" s="402"/>
      <c r="EA29" s="402"/>
      <c r="EB29" s="417"/>
      <c r="EC29" s="412"/>
      <c r="ED29" s="402"/>
      <c r="EE29" s="402"/>
      <c r="EF29" s="417"/>
      <c r="EG29" s="412"/>
      <c r="EH29" s="417"/>
      <c r="EI29" s="412"/>
      <c r="EJ29" s="417"/>
      <c r="EK29" s="412"/>
      <c r="EL29" s="417"/>
      <c r="EM29" s="412"/>
      <c r="EN29" s="417"/>
      <c r="EO29" s="412"/>
      <c r="EP29" s="417"/>
      <c r="EQ29" s="412"/>
      <c r="ER29" s="417"/>
      <c r="ES29" s="412"/>
      <c r="ET29" s="402"/>
      <c r="EU29" s="402"/>
      <c r="EV29" s="417"/>
      <c r="EW29" s="412"/>
      <c r="EX29" s="417"/>
      <c r="EY29" s="412"/>
      <c r="EZ29" s="417"/>
      <c r="FA29" s="412"/>
      <c r="FB29" s="402"/>
      <c r="FC29" s="402"/>
      <c r="FD29" s="417"/>
      <c r="FE29" s="412"/>
      <c r="FF29" s="402"/>
      <c r="FG29" s="412"/>
      <c r="FH29" s="402"/>
      <c r="FI29" s="402"/>
      <c r="FJ29" s="417"/>
      <c r="FK29" s="412"/>
      <c r="FL29" s="417"/>
      <c r="FM29" s="412"/>
      <c r="FN29" s="417"/>
      <c r="FO29" s="412"/>
      <c r="FP29" s="402"/>
      <c r="FQ29" s="402"/>
      <c r="FR29" s="417"/>
      <c r="FS29" s="412"/>
      <c r="FT29" s="417"/>
      <c r="FU29" s="412"/>
      <c r="FV29" s="402"/>
      <c r="FW29" s="412"/>
      <c r="FX29" s="402"/>
      <c r="FY29" s="402"/>
      <c r="FZ29" s="417"/>
      <c r="GA29" s="412"/>
      <c r="GB29" s="417"/>
      <c r="GC29" s="412"/>
      <c r="GD29" s="402"/>
      <c r="GE29" s="402"/>
      <c r="GF29" s="417"/>
      <c r="GG29" s="412"/>
      <c r="GH29" s="417"/>
      <c r="GI29" s="402"/>
      <c r="GJ29" s="417"/>
      <c r="GK29" s="412"/>
      <c r="GL29" s="402"/>
      <c r="GM29" s="412"/>
      <c r="GN29" s="417"/>
      <c r="GO29" s="412"/>
      <c r="GP29" s="402"/>
      <c r="GQ29" s="412"/>
      <c r="GR29" s="417"/>
      <c r="GS29" s="412"/>
      <c r="GT29" s="417"/>
      <c r="GU29" s="412"/>
      <c r="GV29" s="402"/>
      <c r="GW29" s="402"/>
      <c r="GX29" s="417"/>
      <c r="GY29" s="412"/>
      <c r="GZ29" s="417"/>
      <c r="HA29" s="412"/>
      <c r="HB29" s="417"/>
      <c r="HC29" s="412"/>
      <c r="HD29" s="402"/>
      <c r="HE29" s="412"/>
      <c r="HF29" s="402"/>
      <c r="HG29" s="412"/>
      <c r="HH29" s="402"/>
      <c r="HI29" s="402"/>
      <c r="HJ29" s="417"/>
      <c r="HK29" s="412"/>
      <c r="HL29" s="417"/>
      <c r="HM29" s="412"/>
      <c r="HN29" s="417"/>
      <c r="HO29" s="412"/>
      <c r="HP29" s="402"/>
      <c r="HQ29" s="402"/>
      <c r="HR29" s="417"/>
      <c r="HS29" s="412"/>
      <c r="HT29" s="417"/>
      <c r="HU29" s="412"/>
      <c r="HV29" s="417"/>
      <c r="HW29" s="412"/>
      <c r="HX29" s="417"/>
      <c r="HY29" s="412"/>
      <c r="HZ29" s="417"/>
      <c r="IA29" s="412"/>
      <c r="IB29" s="417"/>
      <c r="IC29" s="412"/>
      <c r="ID29" s="402"/>
      <c r="IE29" s="402"/>
      <c r="IF29" s="417"/>
      <c r="IG29" s="412"/>
      <c r="IH29" s="417"/>
      <c r="II29" s="412"/>
      <c r="IJ29" s="402"/>
      <c r="IK29" s="402"/>
      <c r="IL29" s="417"/>
      <c r="IM29" s="412"/>
      <c r="IN29" s="417"/>
      <c r="IO29" s="412"/>
      <c r="IP29" s="402"/>
      <c r="IQ29" s="402"/>
      <c r="IR29" s="417"/>
      <c r="IS29" s="412"/>
      <c r="IT29" s="417"/>
      <c r="IU29" s="412"/>
      <c r="IV29" s="417"/>
      <c r="IW29" s="412"/>
      <c r="IX29" s="417"/>
      <c r="IY29" s="412"/>
      <c r="IZ29" s="402"/>
      <c r="JA29" s="412"/>
      <c r="JB29" s="417"/>
      <c r="JC29" s="412"/>
      <c r="JD29" s="417"/>
      <c r="JE29" s="412"/>
      <c r="JF29" s="402"/>
      <c r="JG29" s="402"/>
      <c r="JH29" s="417"/>
      <c r="JI29" s="412"/>
      <c r="JJ29" s="417"/>
      <c r="JK29" s="412"/>
      <c r="JL29" s="417"/>
      <c r="JM29" s="412"/>
      <c r="JN29" s="417"/>
      <c r="JO29" s="412"/>
      <c r="JP29" s="402"/>
      <c r="JQ29" s="402"/>
      <c r="JR29" s="417"/>
      <c r="JS29" s="412"/>
      <c r="JT29" s="417"/>
      <c r="JU29" s="412"/>
      <c r="JV29" s="417"/>
      <c r="JW29" s="412"/>
      <c r="JX29" s="417"/>
      <c r="JY29" s="412"/>
      <c r="JZ29" s="417"/>
      <c r="KA29" s="412"/>
      <c r="KB29" s="417"/>
      <c r="KC29" s="412"/>
      <c r="KD29" s="402"/>
      <c r="KE29" s="402"/>
      <c r="KF29" s="417"/>
      <c r="KG29" s="412"/>
      <c r="KH29" s="402"/>
      <c r="KI29" s="402"/>
      <c r="KJ29" s="417"/>
      <c r="KK29" s="412"/>
      <c r="KL29" s="417"/>
      <c r="KM29" s="412"/>
      <c r="KN29" s="417"/>
      <c r="KO29" s="412"/>
      <c r="KP29" s="417"/>
      <c r="KQ29" s="412"/>
      <c r="KR29" s="402"/>
      <c r="KS29" s="402"/>
      <c r="KT29" s="417"/>
      <c r="KU29" s="412"/>
      <c r="KV29" s="417"/>
      <c r="KW29" s="412"/>
      <c r="KX29" s="417"/>
      <c r="KY29" s="412"/>
      <c r="KZ29" s="417"/>
      <c r="LA29" s="412"/>
      <c r="LB29" s="417"/>
      <c r="LC29" s="412"/>
      <c r="LD29" s="402"/>
      <c r="LE29" s="402"/>
      <c r="LF29" s="417"/>
      <c r="LG29" s="412"/>
      <c r="LH29" s="417"/>
      <c r="LI29" s="412"/>
      <c r="LJ29" s="402"/>
      <c r="LK29" s="402"/>
      <c r="LL29" s="282">
        <v>44687</v>
      </c>
      <c r="LM29" s="7" t="str">
        <f t="shared" si="64"/>
        <v>Friday</v>
      </c>
      <c r="LN29" s="402"/>
      <c r="LO29" s="402"/>
      <c r="LP29" s="417"/>
      <c r="LQ29" s="412"/>
      <c r="LR29" s="417"/>
      <c r="LS29" s="412"/>
      <c r="LT29" s="417"/>
      <c r="LU29" s="412"/>
      <c r="LV29" s="402"/>
      <c r="LW29" s="402"/>
      <c r="LX29" s="417"/>
      <c r="LY29" s="412"/>
      <c r="LZ29" s="402"/>
      <c r="MA29" s="402"/>
      <c r="MB29" s="417"/>
      <c r="MC29" s="412"/>
      <c r="MD29" s="417"/>
      <c r="ME29" s="412"/>
      <c r="MF29" s="417"/>
      <c r="MG29" s="412"/>
      <c r="MH29" s="417"/>
      <c r="MI29" s="412"/>
      <c r="MJ29" s="417"/>
      <c r="MK29" s="412"/>
      <c r="ML29" s="402"/>
      <c r="MM29" s="402"/>
      <c r="MN29" s="417"/>
      <c r="MO29" s="412"/>
      <c r="MP29" s="417"/>
      <c r="MQ29" s="412"/>
      <c r="MR29" s="417"/>
      <c r="MS29" s="412"/>
      <c r="MT29" s="417"/>
      <c r="MU29" s="412"/>
      <c r="MV29" s="402"/>
      <c r="MW29" s="402"/>
      <c r="MX29" s="417"/>
      <c r="MY29" s="412"/>
      <c r="MZ29" s="417"/>
      <c r="NA29" s="412"/>
      <c r="NB29" s="417"/>
      <c r="NC29" s="412"/>
      <c r="ND29" s="402"/>
      <c r="NE29" s="402"/>
      <c r="NF29" s="417"/>
      <c r="NG29" s="412"/>
      <c r="NH29" s="417"/>
      <c r="NI29" s="412"/>
      <c r="NJ29" s="417"/>
      <c r="NK29" s="412"/>
      <c r="NL29" s="417"/>
      <c r="NM29" s="412"/>
      <c r="NN29" s="417"/>
      <c r="NO29" s="412"/>
      <c r="NP29" s="417"/>
      <c r="NQ29" s="412"/>
      <c r="NR29" s="402"/>
      <c r="NS29" s="412"/>
      <c r="NT29" s="417"/>
      <c r="NU29" s="412"/>
      <c r="NV29" s="417"/>
      <c r="NW29" s="412"/>
      <c r="NX29" s="417"/>
      <c r="NY29" s="412"/>
      <c r="NZ29" s="417"/>
      <c r="OA29" s="412"/>
      <c r="OB29" s="417"/>
      <c r="OC29" s="412"/>
      <c r="OD29" s="417"/>
      <c r="OE29" s="412"/>
      <c r="OF29" s="417"/>
      <c r="OG29" s="412"/>
      <c r="OH29" s="402"/>
      <c r="OI29" s="402"/>
      <c r="OJ29" s="417"/>
      <c r="OK29" s="412"/>
      <c r="OL29" s="417"/>
      <c r="OM29" s="412"/>
      <c r="ON29" s="417"/>
      <c r="OO29" s="412"/>
      <c r="OP29" s="417"/>
      <c r="OQ29" s="412"/>
      <c r="OR29" s="402"/>
      <c r="OS29" s="402"/>
      <c r="OT29" s="417"/>
      <c r="OU29" s="412"/>
      <c r="OV29" s="417"/>
      <c r="OW29" s="412"/>
      <c r="OX29" s="417"/>
      <c r="OY29" s="412"/>
      <c r="OZ29" s="417"/>
      <c r="PA29" s="412"/>
      <c r="PB29" s="417"/>
      <c r="PC29" s="412"/>
      <c r="PD29" s="402"/>
      <c r="PE29" s="402"/>
      <c r="PF29" s="417"/>
      <c r="PG29" s="412"/>
      <c r="PH29" s="417"/>
      <c r="PI29" s="412"/>
      <c r="PJ29" s="402"/>
      <c r="PK29" s="402"/>
      <c r="PL29" s="417"/>
      <c r="PM29" s="412"/>
      <c r="PN29" s="417"/>
      <c r="PO29" s="412"/>
      <c r="PP29" s="402"/>
      <c r="PQ29" s="402"/>
      <c r="PR29" s="417"/>
      <c r="PS29" s="412"/>
      <c r="PT29" s="402"/>
      <c r="PU29" s="402"/>
      <c r="PV29" s="417"/>
      <c r="PW29" s="412"/>
      <c r="PX29" s="417"/>
      <c r="PY29" s="412"/>
      <c r="PZ29" s="417"/>
      <c r="QA29" s="412"/>
      <c r="QB29" s="417"/>
      <c r="QC29" s="412"/>
      <c r="QD29" s="417"/>
      <c r="QE29" s="412"/>
      <c r="QF29" s="402"/>
      <c r="QG29" s="402"/>
      <c r="QH29" s="417"/>
      <c r="QI29" s="412"/>
      <c r="QJ29" s="402"/>
      <c r="QK29" s="402"/>
      <c r="QL29" s="417"/>
      <c r="QM29" s="412"/>
      <c r="QN29" s="417"/>
      <c r="QO29" s="412"/>
      <c r="QP29" s="417"/>
      <c r="QQ29" s="412"/>
      <c r="QR29" s="417"/>
      <c r="QS29" s="412"/>
      <c r="QT29" s="402"/>
      <c r="QU29" s="402"/>
      <c r="QV29" s="417"/>
      <c r="QW29" s="412"/>
      <c r="QX29" s="417"/>
      <c r="QY29" s="412"/>
      <c r="QZ29" s="417"/>
      <c r="RA29" s="412"/>
      <c r="RB29" s="417"/>
      <c r="RC29" s="412"/>
      <c r="RD29" s="417"/>
      <c r="RE29" s="412"/>
      <c r="RF29" s="417"/>
      <c r="RG29" s="412"/>
      <c r="RH29" s="417"/>
      <c r="RI29" s="412"/>
      <c r="RJ29" s="417"/>
      <c r="RK29" s="412"/>
      <c r="RL29" s="417"/>
      <c r="RM29" s="412"/>
      <c r="RN29" s="417"/>
      <c r="RO29" s="412"/>
      <c r="RP29" s="417"/>
      <c r="RQ29" s="412"/>
      <c r="RR29" s="417"/>
      <c r="RS29" s="412"/>
      <c r="RT29" s="417"/>
      <c r="RU29" s="412"/>
      <c r="RV29" s="417"/>
      <c r="RW29" s="412"/>
      <c r="RX29" s="417"/>
      <c r="RY29" s="412"/>
      <c r="RZ29" s="417"/>
      <c r="SA29" s="412"/>
      <c r="SB29" s="417"/>
      <c r="SC29" s="412"/>
      <c r="SD29" s="417"/>
      <c r="SE29" s="412"/>
      <c r="SF29" s="417"/>
      <c r="SG29" s="412"/>
      <c r="SH29" s="417"/>
      <c r="SI29" s="412"/>
      <c r="SJ29" s="417"/>
      <c r="SK29" s="412"/>
      <c r="SL29" s="417"/>
      <c r="SM29" s="412"/>
      <c r="SN29" s="417"/>
      <c r="SO29" s="412"/>
      <c r="SP29" s="402"/>
      <c r="SQ29" s="402"/>
      <c r="SR29" s="417"/>
      <c r="SS29" s="412"/>
      <c r="ST29" s="402"/>
      <c r="SU29" s="402"/>
      <c r="SV29" s="417"/>
      <c r="SW29" s="412"/>
      <c r="SX29" s="417"/>
      <c r="SY29" s="412"/>
      <c r="SZ29" s="417"/>
      <c r="TA29" s="412"/>
      <c r="TB29" s="417"/>
      <c r="TC29" s="412"/>
      <c r="TD29" s="402"/>
      <c r="TE29" s="402"/>
      <c r="TF29" s="417"/>
      <c r="TG29" s="412"/>
      <c r="TH29" s="417"/>
      <c r="TI29" s="412"/>
      <c r="TJ29" s="417"/>
      <c r="TK29" s="412"/>
      <c r="TL29" s="417"/>
      <c r="TM29" s="412"/>
      <c r="TN29" s="417"/>
      <c r="TO29" s="412"/>
      <c r="TP29" s="417"/>
      <c r="TQ29" s="412"/>
      <c r="TR29" s="417"/>
      <c r="TS29" s="412"/>
      <c r="TT29" s="417"/>
      <c r="TU29" s="412"/>
      <c r="TV29" s="417"/>
      <c r="TW29" s="402"/>
      <c r="TX29" s="417"/>
      <c r="TY29" s="412"/>
      <c r="TZ29" s="417"/>
      <c r="UA29" s="412"/>
      <c r="UB29" s="417"/>
      <c r="UC29" s="412"/>
      <c r="UD29" s="417"/>
      <c r="UE29" s="412"/>
      <c r="UF29" s="402"/>
      <c r="UG29" s="402"/>
      <c r="UH29" s="417"/>
      <c r="UI29" s="412"/>
      <c r="UJ29" s="417"/>
      <c r="UK29" s="412"/>
      <c r="UL29" s="417"/>
      <c r="UM29" s="412"/>
      <c r="UN29" s="417"/>
      <c r="UO29" s="412"/>
      <c r="UP29" s="417"/>
      <c r="UQ29" s="412"/>
      <c r="UR29" s="417"/>
      <c r="US29" s="412"/>
      <c r="UT29" s="417"/>
      <c r="UU29" s="412"/>
      <c r="UV29" s="402"/>
      <c r="UW29" s="402"/>
      <c r="UX29" s="417"/>
      <c r="UY29" s="412"/>
      <c r="UZ29" s="417"/>
      <c r="VA29" s="412"/>
      <c r="VB29" s="417"/>
      <c r="VC29" s="412"/>
      <c r="VD29" s="417"/>
      <c r="VE29" s="412"/>
      <c r="VF29" s="402"/>
      <c r="VG29" s="402"/>
      <c r="VH29" s="417"/>
      <c r="VI29" s="412"/>
      <c r="VJ29" s="402"/>
      <c r="VK29" s="402"/>
      <c r="VL29" s="417"/>
      <c r="VM29" s="412"/>
      <c r="VN29" s="417"/>
      <c r="VO29" s="412"/>
      <c r="VP29" s="402"/>
      <c r="VQ29" s="402"/>
      <c r="VR29" s="417"/>
      <c r="VS29" s="412"/>
      <c r="VT29" s="417"/>
      <c r="VU29" s="412"/>
      <c r="VV29" s="417"/>
      <c r="VW29" s="412"/>
      <c r="VX29" s="417"/>
      <c r="VY29" s="412"/>
      <c r="VZ29" s="417"/>
      <c r="WA29" s="412"/>
      <c r="WB29" s="417"/>
      <c r="WC29" s="412"/>
      <c r="WD29" s="417"/>
      <c r="WE29" s="412"/>
      <c r="WF29" s="402"/>
      <c r="WG29" s="402"/>
      <c r="WH29" s="417"/>
      <c r="WI29" s="412"/>
      <c r="WJ29" s="417"/>
      <c r="WK29" s="412"/>
      <c r="WL29" s="417"/>
      <c r="WM29" s="412"/>
      <c r="WN29" s="402"/>
      <c r="WO29" s="402"/>
      <c r="WP29" s="417"/>
      <c r="WQ29" s="412"/>
      <c r="WR29" s="417"/>
      <c r="WS29" s="412"/>
      <c r="WT29" s="402"/>
      <c r="WU29" s="402"/>
      <c r="WV29" s="417"/>
      <c r="WW29" s="412"/>
      <c r="WX29" s="417"/>
      <c r="WY29" s="412"/>
      <c r="WZ29" s="417"/>
      <c r="XA29" s="412"/>
      <c r="XB29" s="402"/>
      <c r="XC29" s="402"/>
      <c r="XD29" s="417"/>
      <c r="XE29" s="412"/>
      <c r="XF29" s="417"/>
      <c r="XG29" s="412"/>
      <c r="XH29" s="417"/>
      <c r="XI29" s="402"/>
      <c r="XJ29" s="417"/>
      <c r="XK29" s="402"/>
      <c r="XL29" s="417"/>
      <c r="XM29" s="402"/>
      <c r="XN29" s="417"/>
      <c r="XO29" s="412"/>
      <c r="XP29" s="417"/>
      <c r="XQ29" s="402"/>
      <c r="XR29" s="417"/>
      <c r="XS29" s="412"/>
      <c r="XT29" s="417"/>
      <c r="XU29" s="412"/>
      <c r="XV29" s="417"/>
      <c r="XW29" s="412"/>
      <c r="XX29" s="417"/>
      <c r="XY29" s="412"/>
      <c r="XZ29" s="417"/>
      <c r="YA29" s="412"/>
      <c r="YB29" s="417"/>
      <c r="YC29" s="412"/>
      <c r="YD29" s="417"/>
      <c r="YE29" s="412"/>
      <c r="YF29" s="417"/>
      <c r="YG29" s="412"/>
      <c r="YH29" s="417"/>
      <c r="YI29" s="412"/>
      <c r="YJ29" s="417"/>
      <c r="YK29" s="412"/>
      <c r="YL29" s="402"/>
      <c r="YM29" s="402"/>
      <c r="YN29" s="417"/>
      <c r="YO29" s="412"/>
      <c r="YP29" s="417"/>
      <c r="YQ29" s="412"/>
      <c r="YR29" s="417"/>
      <c r="YS29" s="412"/>
      <c r="YT29" s="417"/>
      <c r="YU29" s="412"/>
      <c r="YV29" s="417"/>
      <c r="YW29" s="412"/>
      <c r="YX29" s="402"/>
      <c r="YY29" s="402"/>
      <c r="YZ29" s="417"/>
      <c r="ZA29" s="412"/>
      <c r="ZB29" s="402"/>
      <c r="ZC29" s="402"/>
      <c r="ZD29" s="417"/>
      <c r="ZE29" s="412"/>
      <c r="ZF29" s="417"/>
      <c r="ZG29" s="412"/>
      <c r="ZH29" s="417"/>
      <c r="ZI29" s="412"/>
      <c r="ZJ29" s="402"/>
      <c r="ZK29" s="402"/>
      <c r="ZL29" s="417"/>
      <c r="ZM29" s="412"/>
      <c r="ZN29" s="402"/>
      <c r="ZO29" s="412"/>
      <c r="ZP29" s="417"/>
      <c r="ZQ29" s="412"/>
      <c r="ZR29" s="417"/>
      <c r="ZS29" s="412"/>
      <c r="ZT29" s="402"/>
      <c r="ZU29" s="402"/>
      <c r="ZV29" s="417"/>
      <c r="ZW29" s="412"/>
      <c r="ZX29" s="417"/>
      <c r="ZY29" s="412"/>
      <c r="ZZ29" s="417"/>
      <c r="AAA29" s="412"/>
      <c r="AAB29" s="417"/>
      <c r="AAC29" s="412"/>
      <c r="AAD29" s="402"/>
      <c r="AAE29" s="402"/>
      <c r="AAF29" s="417"/>
      <c r="AAG29" s="412"/>
      <c r="AAH29" s="417"/>
      <c r="AAI29" s="412"/>
      <c r="AAJ29" s="417"/>
      <c r="AAK29" s="412"/>
      <c r="AAL29" s="417"/>
      <c r="AAM29" s="412"/>
      <c r="AAN29" s="402"/>
      <c r="AAO29" s="412"/>
      <c r="AAP29" s="417"/>
      <c r="AAQ29" s="412"/>
      <c r="AAR29" s="417"/>
      <c r="AAS29" s="412"/>
      <c r="AAT29" s="417"/>
      <c r="AAU29" s="412"/>
      <c r="AAV29" s="402"/>
      <c r="AAW29" s="402"/>
      <c r="AAX29" s="417"/>
      <c r="AAY29" s="412"/>
      <c r="AAZ29" s="417"/>
      <c r="ABA29" s="412"/>
      <c r="ABB29" s="417"/>
      <c r="ABC29" s="412"/>
      <c r="ABD29" s="402"/>
      <c r="ABE29" s="402"/>
      <c r="ABF29" s="417"/>
      <c r="ABG29" s="412"/>
      <c r="ABH29" s="417"/>
      <c r="ABI29" s="412"/>
      <c r="ABJ29" s="417"/>
      <c r="ABK29" s="412"/>
      <c r="ABL29" s="417"/>
      <c r="ABM29" s="412"/>
      <c r="ABN29" s="402"/>
      <c r="ABO29" s="402"/>
      <c r="ABP29" s="417"/>
      <c r="ABQ29" s="412"/>
      <c r="ABR29" s="417"/>
      <c r="ABS29" s="412"/>
      <c r="ABT29" s="417"/>
      <c r="ABU29" s="412"/>
      <c r="ABV29" s="402"/>
      <c r="ABW29" s="402"/>
      <c r="ABX29" s="417"/>
      <c r="ABY29" s="412"/>
      <c r="ABZ29" s="402"/>
      <c r="ACA29" s="402"/>
      <c r="ACB29" s="417"/>
      <c r="ACC29" s="412"/>
      <c r="ACD29" s="417"/>
      <c r="ACE29" s="412"/>
      <c r="ACF29" s="417"/>
      <c r="ACG29" s="412"/>
      <c r="ACH29" s="417"/>
      <c r="ACI29" s="412"/>
      <c r="ACJ29" s="417"/>
      <c r="ACK29" s="412"/>
      <c r="ACL29" s="402"/>
      <c r="ACM29" s="402"/>
      <c r="ACN29" s="417"/>
      <c r="ACO29" s="412"/>
      <c r="ACP29" s="417"/>
      <c r="ACQ29" s="412"/>
      <c r="ACR29" s="417"/>
      <c r="ACS29" s="412"/>
      <c r="ACT29" s="417"/>
      <c r="ACU29" s="412"/>
      <c r="ACV29" s="417"/>
      <c r="ACW29" s="412"/>
      <c r="ACX29" s="417"/>
      <c r="ACY29" s="412"/>
      <c r="ACZ29" s="417"/>
      <c r="ADA29" s="412"/>
      <c r="ADB29" s="417"/>
      <c r="ADC29" s="412"/>
      <c r="ADD29" s="417"/>
      <c r="ADE29" s="412"/>
      <c r="ADF29" s="417"/>
      <c r="ADG29" s="412"/>
      <c r="ADH29" s="417"/>
      <c r="ADI29" s="412"/>
      <c r="ADJ29" s="417"/>
      <c r="ADK29" s="402"/>
      <c r="ADL29" s="417"/>
      <c r="ADM29" s="412"/>
      <c r="ADN29" s="417"/>
      <c r="ADO29" s="412"/>
      <c r="ADP29" s="417"/>
      <c r="ADQ29" s="412"/>
      <c r="ADR29" s="417"/>
      <c r="ADS29" s="412"/>
      <c r="ADT29" s="402"/>
      <c r="ADU29" s="402"/>
      <c r="ADV29" s="417"/>
      <c r="ADW29" s="412"/>
      <c r="ADX29" s="402"/>
      <c r="ADY29" s="412"/>
      <c r="ADZ29" s="417"/>
      <c r="AEA29" s="412"/>
      <c r="AEB29" s="417"/>
      <c r="AEC29" s="412"/>
      <c r="AED29" s="417"/>
      <c r="AEE29" s="412"/>
      <c r="AEF29" s="402"/>
      <c r="AEG29" s="402"/>
      <c r="AEH29" s="417"/>
      <c r="AEI29" s="412"/>
      <c r="AEJ29" s="402"/>
      <c r="AEK29" s="402"/>
      <c r="AEL29" s="417"/>
      <c r="AEM29" s="412"/>
      <c r="AEN29" s="402"/>
      <c r="AEO29" s="402"/>
      <c r="AEP29" s="417"/>
      <c r="AEQ29" s="412"/>
      <c r="AER29" s="417"/>
      <c r="AES29" s="412"/>
      <c r="AET29" s="402"/>
      <c r="AEU29" s="402"/>
      <c r="AEV29" s="417"/>
      <c r="AEW29" s="412"/>
      <c r="AEX29" s="417"/>
      <c r="AEY29" s="412"/>
      <c r="AEZ29" s="417"/>
      <c r="AFA29" s="412"/>
      <c r="AFB29" s="417"/>
      <c r="AFC29" s="412"/>
      <c r="AFD29" s="417"/>
      <c r="AFE29" s="412"/>
      <c r="AFF29" s="417"/>
      <c r="AFG29" s="412"/>
      <c r="AFH29" s="402"/>
      <c r="AFI29" s="402"/>
      <c r="AFJ29" s="417"/>
      <c r="AFK29" s="412"/>
      <c r="AFL29" s="417"/>
      <c r="AFM29" s="412"/>
      <c r="AFN29" s="417"/>
      <c r="AFO29" s="412"/>
      <c r="AFP29" s="417"/>
      <c r="AFQ29" s="412"/>
      <c r="AFR29" s="417"/>
      <c r="AFS29" s="412"/>
      <c r="AFT29" s="402"/>
      <c r="AFU29" s="402"/>
      <c r="AFV29" s="417"/>
      <c r="AFW29" s="412"/>
      <c r="AFX29" s="417"/>
      <c r="AFY29" s="412"/>
      <c r="AFZ29" s="417"/>
      <c r="AGA29" s="412"/>
      <c r="AGB29" s="417"/>
      <c r="AGC29" s="412"/>
      <c r="AGD29" s="402"/>
      <c r="AGE29" s="402"/>
      <c r="AGF29" s="417"/>
      <c r="AGG29" s="412"/>
      <c r="AGH29" s="417"/>
      <c r="AGI29" s="412"/>
      <c r="AGJ29" s="402"/>
      <c r="AGK29" s="402"/>
      <c r="AGL29" s="417"/>
      <c r="AGM29" s="412"/>
      <c r="AGN29" s="417"/>
      <c r="AGO29" s="412"/>
      <c r="AGP29" s="417"/>
      <c r="AGQ29" s="412"/>
      <c r="AGR29" s="417"/>
      <c r="AGS29" s="412"/>
      <c r="AGT29" s="417"/>
      <c r="AGU29" s="412"/>
      <c r="AGV29" s="402"/>
      <c r="AGW29" s="412"/>
      <c r="AGX29" s="417"/>
      <c r="AGY29" s="412"/>
      <c r="AGZ29" s="417"/>
      <c r="AHA29" s="412"/>
      <c r="AHB29" s="417"/>
      <c r="AHC29" s="412"/>
      <c r="AHD29" s="417"/>
      <c r="AHE29" s="412"/>
      <c r="AHF29" s="417"/>
      <c r="AHG29" s="412"/>
      <c r="AHH29" s="417"/>
      <c r="AHI29" s="412"/>
      <c r="AHJ29" s="417"/>
      <c r="AHK29" s="412"/>
      <c r="AHL29" s="402"/>
      <c r="AHM29" s="412"/>
      <c r="AHN29" s="417"/>
      <c r="AHO29" s="412"/>
      <c r="AHP29" s="417"/>
      <c r="AHQ29" s="412"/>
      <c r="AHR29" s="417"/>
      <c r="AHS29" s="402"/>
      <c r="AHT29" s="417"/>
      <c r="AHU29" s="402"/>
      <c r="AHV29" s="417"/>
      <c r="AHW29" s="412"/>
      <c r="AHX29" s="417"/>
      <c r="AHY29" s="412"/>
      <c r="AHZ29" s="417"/>
      <c r="AIA29" s="412"/>
    </row>
    <row r="30" spans="1:911" ht="15" x14ac:dyDescent="0.2">
      <c r="A30" s="456">
        <v>2023</v>
      </c>
      <c r="B30" s="463" t="s">
        <v>22</v>
      </c>
      <c r="C30" s="462" t="s">
        <v>22</v>
      </c>
      <c r="D30" s="461">
        <v>44927</v>
      </c>
      <c r="E30" s="456" t="str">
        <f>CHOOSE(WEEKDAY(D30,2),"Monday","Tuesday","Wednesday","Thursday","Friday","Saturday","Sunday")</f>
        <v>Sunday</v>
      </c>
      <c r="F30" s="463" t="s">
        <v>22</v>
      </c>
      <c r="G30" s="462" t="s">
        <v>22</v>
      </c>
      <c r="H30" s="461">
        <v>44930</v>
      </c>
      <c r="I30" s="456" t="str">
        <f>CHOOSE(WEEKDAY(H30,2),"Monday","Tuesday","Wednesday","Thursday","Friday","Saturday","Sunday")</f>
        <v>Wednesday</v>
      </c>
      <c r="J30" s="461">
        <v>44934</v>
      </c>
      <c r="K30" s="456" t="str">
        <f>CHOOSE(WEEKDAY(J30,2),"Monday","Tuesday","Wednesday","Thursday","Friday","Saturday","Sunday")</f>
        <v>Sunday</v>
      </c>
      <c r="L30" s="463" t="s">
        <v>22</v>
      </c>
      <c r="M30" s="462" t="s">
        <v>22</v>
      </c>
      <c r="N30" s="461">
        <v>44938</v>
      </c>
      <c r="O30" s="456" t="str">
        <f>CHOOSE(WEEKDAY(N30,2),"Monday","Tuesday","Wednesday","Thursday","Friday","Saturday","Sunday")</f>
        <v>Thursday</v>
      </c>
      <c r="P30" s="463" t="s">
        <v>22</v>
      </c>
      <c r="Q30" s="462" t="s">
        <v>22</v>
      </c>
      <c r="R30" s="463" t="s">
        <v>22</v>
      </c>
      <c r="S30" s="462" t="s">
        <v>22</v>
      </c>
      <c r="T30" s="463" t="s">
        <v>22</v>
      </c>
      <c r="U30" s="462" t="s">
        <v>22</v>
      </c>
      <c r="V30" s="463" t="s">
        <v>22</v>
      </c>
      <c r="W30" s="462" t="s">
        <v>22</v>
      </c>
      <c r="X30" s="461">
        <v>44939</v>
      </c>
      <c r="Y30" s="456" t="str">
        <f>CHOOSE(WEEKDAY(X30,2),"Monday","Tuesday","Wednesday","Thursday","Friday","Saturday","Sunday")</f>
        <v>Friday</v>
      </c>
      <c r="Z30" s="463" t="s">
        <v>22</v>
      </c>
      <c r="AA30" s="462" t="s">
        <v>22</v>
      </c>
      <c r="AB30" s="463" t="s">
        <v>22</v>
      </c>
      <c r="AC30" s="462" t="s">
        <v>22</v>
      </c>
      <c r="AD30" s="463" t="s">
        <v>22</v>
      </c>
      <c r="AE30" s="462" t="s">
        <v>22</v>
      </c>
      <c r="AF30" s="461">
        <v>44946</v>
      </c>
      <c r="AG30" s="456" t="str">
        <f>CHOOSE(WEEKDAY(AF30,2),"Monday","Tuesday","Wednesday","Thursday","Friday","Saturday","Sunday")</f>
        <v>Friday</v>
      </c>
      <c r="AH30" s="463" t="s">
        <v>22</v>
      </c>
      <c r="AI30" s="462" t="s">
        <v>22</v>
      </c>
      <c r="AJ30" s="463" t="s">
        <v>22</v>
      </c>
      <c r="AK30" s="462" t="s">
        <v>22</v>
      </c>
      <c r="AL30" s="461">
        <v>44942</v>
      </c>
      <c r="AM30" s="456" t="str">
        <f>CHOOSE(WEEKDAY(AL30,2),"Monday","Tuesday","Wednesday","Thursday","Friday","Saturday","Sunday")</f>
        <v>Monday</v>
      </c>
      <c r="AN30" s="461">
        <v>44950</v>
      </c>
      <c r="AO30" s="456" t="str">
        <f>CHOOSE(WEEKDAY(AN30,2),"Monday","Tuesday","Wednesday","Thursday","Friday","Saturday","Sunday")</f>
        <v>Tuesday</v>
      </c>
      <c r="AP30" s="463" t="s">
        <v>22</v>
      </c>
      <c r="AQ30" s="462" t="s">
        <v>22</v>
      </c>
      <c r="AR30" s="463" t="s">
        <v>22</v>
      </c>
      <c r="AS30" s="462" t="s">
        <v>22</v>
      </c>
      <c r="AT30" s="461">
        <v>44952</v>
      </c>
      <c r="AU30" s="456" t="str">
        <f>CHOOSE(WEEKDAY(AT30,2),"Monday","Tuesday","Wednesday","Thursday","Friday","Saturday","Sunday")</f>
        <v>Thursday</v>
      </c>
      <c r="AV30" s="463" t="s">
        <v>22</v>
      </c>
      <c r="AW30" s="462" t="s">
        <v>22</v>
      </c>
      <c r="AX30" s="461">
        <v>44954</v>
      </c>
      <c r="AY30" s="456" t="str">
        <f>CHOOSE(WEEKDAY(AX30,2),"Monday","Tuesday","Wednesday","Thursday","Friday","Saturday","Sunday")</f>
        <v>Saturday</v>
      </c>
      <c r="AZ30" s="463" t="s">
        <v>22</v>
      </c>
      <c r="BA30" s="462" t="s">
        <v>22</v>
      </c>
      <c r="BB30" s="463" t="s">
        <v>22</v>
      </c>
      <c r="BC30" s="462" t="s">
        <v>22</v>
      </c>
      <c r="BD30" s="463" t="s">
        <v>22</v>
      </c>
      <c r="BE30" s="462" t="s">
        <v>22</v>
      </c>
      <c r="BF30" s="461">
        <v>44959</v>
      </c>
      <c r="BG30" s="456" t="str">
        <f>CHOOSE(WEEKDAY(BF30,2),"Monday","Tuesday","Wednesday","Thursday","Friday","Saturday","Sunday")</f>
        <v>Thursday</v>
      </c>
      <c r="BH30" s="461">
        <v>44958</v>
      </c>
      <c r="BI30" s="456" t="str">
        <f>CHOOSE(WEEKDAY(BH30,2),"Monday","Tuesday","Wednesday","Thursday","Friday","Saturday","Sunday")</f>
        <v>Wednesday</v>
      </c>
      <c r="BJ30" s="463" t="s">
        <v>22</v>
      </c>
      <c r="BK30" s="462" t="s">
        <v>22</v>
      </c>
      <c r="BL30" s="463" t="s">
        <v>22</v>
      </c>
      <c r="BM30" s="462" t="s">
        <v>22</v>
      </c>
      <c r="BN30" s="461">
        <v>44961</v>
      </c>
      <c r="BO30" s="456" t="str">
        <f>CHOOSE(WEEKDAY(BN30,2),"Monday","Tuesday","Wednesday","Thursday","Friday","Saturday","Sunday")</f>
        <v>Saturday</v>
      </c>
      <c r="BP30" s="463" t="s">
        <v>22</v>
      </c>
      <c r="BQ30" s="462" t="s">
        <v>22</v>
      </c>
      <c r="BR30" s="463" t="s">
        <v>22</v>
      </c>
      <c r="BS30" s="462" t="s">
        <v>22</v>
      </c>
      <c r="BT30" s="461">
        <v>44944</v>
      </c>
      <c r="BU30" s="456" t="str">
        <f>CHOOSE(WEEKDAY(BT30,2),"Monday","Tuesday","Wednesday","Thursday","Friday","Saturday","Sunday")</f>
        <v>Wednesday</v>
      </c>
      <c r="BV30" s="463" t="s">
        <v>22</v>
      </c>
      <c r="BW30" s="462" t="s">
        <v>22</v>
      </c>
      <c r="BX30" s="463" t="s">
        <v>22</v>
      </c>
      <c r="BY30" s="462" t="s">
        <v>22</v>
      </c>
      <c r="BZ30" s="463" t="s">
        <v>22</v>
      </c>
      <c r="CA30" s="462" t="s">
        <v>22</v>
      </c>
      <c r="CB30" s="461">
        <v>44965</v>
      </c>
      <c r="CC30" s="456" t="str">
        <f>CHOOSE(WEEKDAY(CB30,2),"Monday","Tuesday","Wednesday","Thursday","Friday","Saturday","Sunday")</f>
        <v>Wednesday</v>
      </c>
      <c r="CD30" s="463" t="s">
        <v>22</v>
      </c>
      <c r="CE30" s="462" t="s">
        <v>22</v>
      </c>
      <c r="CF30" s="463" t="s">
        <v>22</v>
      </c>
      <c r="CG30" s="462" t="s">
        <v>22</v>
      </c>
      <c r="CH30" s="461">
        <v>44967</v>
      </c>
      <c r="CI30" s="456" t="str">
        <f>CHOOSE(WEEKDAY(CH30,2),"Monday","Tuesday","Wednesday","Thursday","Friday","Saturday","Sunday")</f>
        <v>Friday</v>
      </c>
      <c r="CJ30" s="461">
        <v>44968</v>
      </c>
      <c r="CK30" s="456" t="str">
        <f>CHOOSE(WEEKDAY(CJ30,2),"Monday","Tuesday","Wednesday","Thursday","Friday","Saturday","Sunday")</f>
        <v>Saturday</v>
      </c>
      <c r="CL30" s="463" t="s">
        <v>22</v>
      </c>
      <c r="CM30" s="462" t="s">
        <v>22</v>
      </c>
      <c r="CN30" s="461">
        <v>44971</v>
      </c>
      <c r="CO30" s="456" t="str">
        <f>CHOOSE(WEEKDAY(CN30,2),"Monday","Tuesday","Wednesday","Thursday","Friday","Saturday","Sunday")</f>
        <v>Tuesday</v>
      </c>
      <c r="CP30" s="461">
        <v>44972</v>
      </c>
      <c r="CQ30" s="456" t="str">
        <f>CHOOSE(WEEKDAY(CP30,2),"Monday","Tuesday","Wednesday","Thursday","Friday","Saturday","Sunday")</f>
        <v>Wednesday</v>
      </c>
      <c r="CR30" s="463" t="s">
        <v>22</v>
      </c>
      <c r="CS30" s="462" t="s">
        <v>22</v>
      </c>
      <c r="CT30" s="463" t="s">
        <v>22</v>
      </c>
      <c r="CU30" s="462" t="s">
        <v>22</v>
      </c>
      <c r="CV30" s="461">
        <v>44973</v>
      </c>
      <c r="CW30" s="456" t="str">
        <f>CHOOSE(WEEKDAY(CV30,2),"Monday","Tuesday","Wednesday","Thursday","Friday","Saturday","Sunday")</f>
        <v>Thursday</v>
      </c>
      <c r="CX30" s="463" t="s">
        <v>22</v>
      </c>
      <c r="CY30" s="462" t="s">
        <v>22</v>
      </c>
      <c r="CZ30" s="463" t="s">
        <v>22</v>
      </c>
      <c r="DA30" s="462" t="s">
        <v>22</v>
      </c>
      <c r="DB30" s="463" t="s">
        <v>22</v>
      </c>
      <c r="DC30" s="462" t="s">
        <v>22</v>
      </c>
      <c r="DD30" s="461">
        <v>44978</v>
      </c>
      <c r="DE30" s="456" t="str">
        <f>CHOOSE(WEEKDAY(DD30,2),"Monday","Tuesday","Wednesday","Thursday","Friday","Saturday","Sunday")</f>
        <v>Tuesday</v>
      </c>
      <c r="DF30" s="463" t="s">
        <v>22</v>
      </c>
      <c r="DG30" s="462" t="s">
        <v>22</v>
      </c>
      <c r="DH30" s="461">
        <v>44976</v>
      </c>
      <c r="DI30" s="456" t="str">
        <f>CHOOSE(WEEKDAY(DH30,2),"Monday","Tuesday","Wednesday","Thursday","Friday","Saturday","Sunday")</f>
        <v>Sunday</v>
      </c>
      <c r="DJ30" s="463" t="s">
        <v>22</v>
      </c>
      <c r="DK30" s="462" t="s">
        <v>22</v>
      </c>
      <c r="DL30" s="463" t="s">
        <v>22</v>
      </c>
      <c r="DM30" s="462" t="s">
        <v>22</v>
      </c>
      <c r="DN30" s="463" t="s">
        <v>22</v>
      </c>
      <c r="DO30" s="462" t="s">
        <v>22</v>
      </c>
      <c r="DP30" s="463" t="s">
        <v>22</v>
      </c>
      <c r="DQ30" s="462" t="s">
        <v>22</v>
      </c>
      <c r="DR30" s="463" t="s">
        <v>22</v>
      </c>
      <c r="DS30" s="462" t="s">
        <v>22</v>
      </c>
      <c r="DT30" s="461">
        <v>44979</v>
      </c>
      <c r="DU30" s="456" t="str">
        <f>CHOOSE(WEEKDAY(DT30,2),"Monday","Tuesday","Wednesday","Thursday","Friday","Saturday","Sunday")</f>
        <v>Wednesday</v>
      </c>
      <c r="DV30" s="461">
        <v>44979</v>
      </c>
      <c r="DW30" s="456" t="str">
        <f>CHOOSE(WEEKDAY(DV30,2),"Monday","Tuesday","Wednesday","Thursday","Friday","Saturday","Sunday")</f>
        <v>Wednesday</v>
      </c>
      <c r="DX30" s="463" t="s">
        <v>22</v>
      </c>
      <c r="DY30" s="462" t="s">
        <v>22</v>
      </c>
      <c r="DZ30" s="463" t="s">
        <v>22</v>
      </c>
      <c r="EA30" s="462" t="s">
        <v>22</v>
      </c>
      <c r="EB30" s="463" t="s">
        <v>22</v>
      </c>
      <c r="EC30" s="462" t="s">
        <v>22</v>
      </c>
      <c r="ED30" s="463" t="s">
        <v>22</v>
      </c>
      <c r="EE30" s="462" t="s">
        <v>22</v>
      </c>
      <c r="EF30" s="461">
        <v>44982</v>
      </c>
      <c r="EG30" s="456" t="str">
        <f>CHOOSE(WEEKDAY(EF30,2),"Monday","Tuesday","Wednesday","Thursday","Friday","Saturday","Sunday")</f>
        <v>Saturday</v>
      </c>
      <c r="EH30" s="463" t="s">
        <v>22</v>
      </c>
      <c r="EI30" s="462" t="s">
        <v>22</v>
      </c>
      <c r="EJ30" s="463" t="s">
        <v>22</v>
      </c>
      <c r="EK30" s="462" t="s">
        <v>22</v>
      </c>
      <c r="EL30" s="463" t="s">
        <v>22</v>
      </c>
      <c r="EM30" s="462" t="s">
        <v>22</v>
      </c>
      <c r="EN30" s="461">
        <v>44986</v>
      </c>
      <c r="EO30" s="456" t="str">
        <f>CHOOSE(WEEKDAY(EN30,2),"Monday","Tuesday","Wednesday","Thursday","Friday","Saturday","Sunday")</f>
        <v>Wednesday</v>
      </c>
      <c r="EP30" s="463" t="s">
        <v>22</v>
      </c>
      <c r="EQ30" s="462" t="s">
        <v>22</v>
      </c>
      <c r="ER30" s="461">
        <v>44990</v>
      </c>
      <c r="ES30" s="456" t="str">
        <f>CHOOSE(WEEKDAY(ER30,2),"Monday","Tuesday","Wednesday","Thursday","Friday","Saturday","Sunday")</f>
        <v>Sunday</v>
      </c>
      <c r="ET30" s="463" t="s">
        <v>22</v>
      </c>
      <c r="EU30" s="462" t="s">
        <v>22</v>
      </c>
      <c r="EV30" s="463" t="s">
        <v>22</v>
      </c>
      <c r="EW30" s="462" t="s">
        <v>22</v>
      </c>
      <c r="EX30" s="461">
        <v>44991</v>
      </c>
      <c r="EY30" s="456" t="str">
        <f>CHOOSE(WEEKDAY(EX30,2),"Monday","Tuesday","Wednesday","Thursday","Friday","Saturday","Sunday")</f>
        <v>Monday</v>
      </c>
      <c r="EZ30" s="461">
        <v>44993</v>
      </c>
      <c r="FA30" s="456" t="str">
        <f>CHOOSE(WEEKDAY(EZ30,2),"Monday","Tuesday","Wednesday","Thursday","Friday","Saturday","Sunday")</f>
        <v>Wednesday</v>
      </c>
      <c r="FB30" s="463" t="s">
        <v>22</v>
      </c>
      <c r="FC30" s="462" t="s">
        <v>22</v>
      </c>
      <c r="FD30" s="463" t="s">
        <v>22</v>
      </c>
      <c r="FE30" s="462" t="s">
        <v>22</v>
      </c>
      <c r="FF30" s="461">
        <v>44994</v>
      </c>
      <c r="FG30" s="456" t="str">
        <f>CHOOSE(WEEKDAY(FF30,2),"Monday","Tuesday","Wednesday","Thursday","Friday","Saturday","Sunday")</f>
        <v>Thursday</v>
      </c>
      <c r="FH30" s="463" t="s">
        <v>22</v>
      </c>
      <c r="FI30" s="462" t="s">
        <v>22</v>
      </c>
      <c r="FJ30" s="463" t="s">
        <v>22</v>
      </c>
      <c r="FK30" s="462" t="s">
        <v>22</v>
      </c>
      <c r="FL30" s="463" t="s">
        <v>22</v>
      </c>
      <c r="FM30" s="462" t="s">
        <v>22</v>
      </c>
      <c r="FN30" s="463" t="s">
        <v>22</v>
      </c>
      <c r="FO30" s="462" t="s">
        <v>22</v>
      </c>
      <c r="FP30" s="463" t="s">
        <v>22</v>
      </c>
      <c r="FQ30" s="462" t="s">
        <v>22</v>
      </c>
      <c r="FR30" s="461">
        <v>44998</v>
      </c>
      <c r="FS30" s="456" t="str">
        <f>CHOOSE(WEEKDAY(FR30,2),"Monday","Tuesday","Wednesday","Thursday","Friday","Saturday","Sunday")</f>
        <v>Monday</v>
      </c>
      <c r="FT30" s="461">
        <v>45001</v>
      </c>
      <c r="FU30" s="456" t="str">
        <f>CHOOSE(WEEKDAY(FT30,2),"Monday","Tuesday","Wednesday","Thursday","Friday","Saturday","Sunday")</f>
        <v>Thursday</v>
      </c>
      <c r="FV30" s="461">
        <v>45002</v>
      </c>
      <c r="FW30" s="456" t="str">
        <f>CHOOSE(WEEKDAY(FV30,2),"Monday","Tuesday","Wednesday","Thursday","Friday","Saturday","Sunday")</f>
        <v>Friday</v>
      </c>
      <c r="FX30" s="463" t="s">
        <v>22</v>
      </c>
      <c r="FY30" s="462" t="s">
        <v>22</v>
      </c>
      <c r="FZ30" s="461">
        <v>45005</v>
      </c>
      <c r="GA30" s="456" t="str">
        <f>CHOOSE(WEEKDAY(FZ30,2),"Monday","Tuesday","Wednesday","Thursday","Friday","Saturday","Sunday")</f>
        <v>Monday</v>
      </c>
      <c r="GB30" s="463" t="s">
        <v>22</v>
      </c>
      <c r="GC30" s="462" t="s">
        <v>22</v>
      </c>
      <c r="GD30" s="463" t="s">
        <v>22</v>
      </c>
      <c r="GE30" s="462" t="s">
        <v>22</v>
      </c>
      <c r="GF30" s="463" t="s">
        <v>22</v>
      </c>
      <c r="GG30" s="462" t="s">
        <v>22</v>
      </c>
      <c r="GH30" s="461">
        <v>44991</v>
      </c>
      <c r="GI30" s="456" t="str">
        <f>CHOOSE(WEEKDAY(GH30,2),"Monday","Tuesday","Wednesday","Thursday","Friday","Saturday","Sunday")</f>
        <v>Monday</v>
      </c>
      <c r="GJ30" s="463" t="s">
        <v>22</v>
      </c>
      <c r="GK30" s="462" t="s">
        <v>22</v>
      </c>
      <c r="GL30" s="461">
        <v>45006</v>
      </c>
      <c r="GM30" s="456" t="str">
        <f>CHOOSE(WEEKDAY(GL30,2),"Monday","Tuesday","Wednesday","Thursday","Friday","Saturday","Sunday")</f>
        <v>Tuesday</v>
      </c>
      <c r="GN30" s="463" t="s">
        <v>22</v>
      </c>
      <c r="GO30" s="462" t="s">
        <v>22</v>
      </c>
      <c r="GP30" s="461">
        <v>45008</v>
      </c>
      <c r="GQ30" s="456" t="str">
        <f>CHOOSE(WEEKDAY(GP30,2),"Monday","Tuesday","Wednesday","Thursday","Friday","Saturday","Sunday")</f>
        <v>Thursday</v>
      </c>
      <c r="GR30" s="463" t="s">
        <v>22</v>
      </c>
      <c r="GS30" s="462" t="s">
        <v>22</v>
      </c>
      <c r="GT30" s="463" t="s">
        <v>22</v>
      </c>
      <c r="GU30" s="462" t="s">
        <v>22</v>
      </c>
      <c r="GV30" s="463" t="s">
        <v>22</v>
      </c>
      <c r="GW30" s="462" t="s">
        <v>22</v>
      </c>
      <c r="GX30" s="463" t="s">
        <v>22</v>
      </c>
      <c r="GY30" s="462" t="s">
        <v>22</v>
      </c>
      <c r="GZ30" s="461">
        <v>45012</v>
      </c>
      <c r="HA30" s="456" t="str">
        <f>CHOOSE(WEEKDAY(GZ30,2),"Monday","Tuesday","Wednesday","Thursday","Friday","Saturday","Sunday")</f>
        <v>Monday</v>
      </c>
      <c r="HB30" s="463" t="s">
        <v>22</v>
      </c>
      <c r="HC30" s="462" t="s">
        <v>22</v>
      </c>
      <c r="HD30" s="461">
        <v>45013</v>
      </c>
      <c r="HE30" s="456" t="str">
        <f>CHOOSE(WEEKDAY(HD30,2),"Monday","Tuesday","Wednesday","Thursday","Friday","Saturday","Sunday")</f>
        <v>Tuesday</v>
      </c>
      <c r="HF30" s="461">
        <v>45013</v>
      </c>
      <c r="HG30" s="456" t="str">
        <f>CHOOSE(WEEKDAY(HF30,2),"Monday","Tuesday","Wednesday","Thursday","Friday","Saturday","Sunday")</f>
        <v>Tuesday</v>
      </c>
      <c r="HH30" s="463" t="s">
        <v>22</v>
      </c>
      <c r="HI30" s="462" t="s">
        <v>22</v>
      </c>
      <c r="HJ30" s="461">
        <v>45015</v>
      </c>
      <c r="HK30" s="456" t="str">
        <f>CHOOSE(WEEKDAY(HJ30,2),"Monday","Tuesday","Wednesday","Thursday","Friday","Saturday","Sunday")</f>
        <v>Thursday</v>
      </c>
      <c r="HL30" s="463" t="s">
        <v>22</v>
      </c>
      <c r="HM30" s="462" t="s">
        <v>22</v>
      </c>
      <c r="HN30" s="311">
        <v>45016</v>
      </c>
      <c r="HO30" s="104" t="str">
        <f>CHOOSE(WEEKDAY(HN30,2),"Monday","Tuesday","Wednesday","Thursday","Friday","Saturday","Sunday")</f>
        <v>Friday</v>
      </c>
      <c r="HP30" s="461">
        <v>45016</v>
      </c>
      <c r="HQ30" s="456" t="str">
        <f>CHOOSE(WEEKDAY(HP30,2),"Monday","Tuesday","Wednesday","Thursday","Friday","Saturday","Sunday")</f>
        <v>Friday</v>
      </c>
      <c r="HR30" s="463" t="s">
        <v>22</v>
      </c>
      <c r="HS30" s="462" t="s">
        <v>22</v>
      </c>
      <c r="HT30" s="461">
        <v>45017</v>
      </c>
      <c r="HU30" s="456" t="str">
        <f>CHOOSE(WEEKDAY(HT30,2),"Monday","Tuesday","Wednesday","Thursday","Friday","Saturday","Sunday")</f>
        <v>Saturday</v>
      </c>
      <c r="HV30" s="463" t="s">
        <v>22</v>
      </c>
      <c r="HW30" s="462" t="s">
        <v>22</v>
      </c>
      <c r="HX30" s="463" t="s">
        <v>22</v>
      </c>
      <c r="HY30" s="462" t="s">
        <v>22</v>
      </c>
      <c r="HZ30" s="463" t="s">
        <v>22</v>
      </c>
      <c r="IA30" s="462" t="s">
        <v>22</v>
      </c>
      <c r="IB30" s="461">
        <v>45021</v>
      </c>
      <c r="IC30" s="456" t="str">
        <f>CHOOSE(WEEKDAY(IB30,2),"Monday","Tuesday","Wednesday","Thursday","Friday","Saturday","Sunday")</f>
        <v>Wednesday</v>
      </c>
      <c r="ID30" s="463" t="s">
        <v>22</v>
      </c>
      <c r="IE30" s="462" t="s">
        <v>22</v>
      </c>
      <c r="IF30" s="463" t="s">
        <v>22</v>
      </c>
      <c r="IG30" s="462" t="s">
        <v>22</v>
      </c>
      <c r="IH30" s="463" t="s">
        <v>22</v>
      </c>
      <c r="II30" s="462" t="s">
        <v>22</v>
      </c>
      <c r="IJ30" s="461">
        <v>45025</v>
      </c>
      <c r="IK30" s="456" t="str">
        <f>CHOOSE(WEEKDAY(IJ30,2),"Monday","Tuesday","Wednesday","Thursday","Friday","Saturday","Sunday")</f>
        <v>Sunday</v>
      </c>
      <c r="IL30" s="461">
        <v>45028</v>
      </c>
      <c r="IM30" s="456" t="str">
        <f>CHOOSE(WEEKDAY(IL30,2),"Monday","Tuesday","Wednesday","Thursday","Friday","Saturday","Sunday")</f>
        <v>Wednesday</v>
      </c>
      <c r="IN30" s="463" t="s">
        <v>22</v>
      </c>
      <c r="IO30" s="462" t="s">
        <v>22</v>
      </c>
      <c r="IP30" s="463" t="s">
        <v>22</v>
      </c>
      <c r="IQ30" s="462" t="s">
        <v>22</v>
      </c>
      <c r="IR30" s="461">
        <v>45029</v>
      </c>
      <c r="IS30" s="456" t="str">
        <f>CHOOSE(WEEKDAY(IR30,2),"Monday","Tuesday","Wednesday","Thursday","Friday","Saturday","Sunday")</f>
        <v>Thursday</v>
      </c>
      <c r="IT30" s="461">
        <v>45029</v>
      </c>
      <c r="IU30" s="456" t="str">
        <f>CHOOSE(WEEKDAY(IT30,2),"Monday","Tuesday","Wednesday","Thursday","Friday","Saturday","Sunday")</f>
        <v>Thursday</v>
      </c>
      <c r="IV30" s="463" t="s">
        <v>22</v>
      </c>
      <c r="IW30" s="462" t="s">
        <v>22</v>
      </c>
      <c r="IX30" s="461">
        <v>45033</v>
      </c>
      <c r="IY30" s="456" t="str">
        <f>CHOOSE(WEEKDAY(IX30,2),"Monday","Tuesday","Wednesday","Thursday","Friday","Saturday","Sunday")</f>
        <v>Monday</v>
      </c>
      <c r="IZ30" s="463" t="s">
        <v>22</v>
      </c>
      <c r="JA30" s="462" t="s">
        <v>22</v>
      </c>
      <c r="JB30" s="463" t="s">
        <v>22</v>
      </c>
      <c r="JC30" s="462" t="s">
        <v>22</v>
      </c>
      <c r="JD30" s="461">
        <v>45034</v>
      </c>
      <c r="JE30" s="456" t="str">
        <f>CHOOSE(WEEKDAY(JD30,2),"Monday","Tuesday","Wednesday","Thursday","Friday","Saturday","Sunday")</f>
        <v>Tuesday</v>
      </c>
      <c r="JF30" s="463" t="s">
        <v>22</v>
      </c>
      <c r="JG30" s="462" t="s">
        <v>22</v>
      </c>
      <c r="JH30" s="461">
        <v>45036</v>
      </c>
      <c r="JI30" s="456" t="str">
        <f>CHOOSE(WEEKDAY(JH30,2),"Monday","Tuesday","Wednesday","Thursday","Friday","Saturday","Sunday")</f>
        <v>Thursday</v>
      </c>
      <c r="JJ30" s="463" t="s">
        <v>22</v>
      </c>
      <c r="JK30" s="462" t="s">
        <v>22</v>
      </c>
      <c r="JL30" s="463" t="s">
        <v>22</v>
      </c>
      <c r="JM30" s="462" t="s">
        <v>22</v>
      </c>
      <c r="JN30" s="463" t="s">
        <v>22</v>
      </c>
      <c r="JO30" s="462" t="s">
        <v>22</v>
      </c>
      <c r="JP30" s="463" t="s">
        <v>22</v>
      </c>
      <c r="JQ30" s="462" t="s">
        <v>22</v>
      </c>
      <c r="JR30" s="463" t="s">
        <v>22</v>
      </c>
      <c r="JS30" s="462" t="s">
        <v>22</v>
      </c>
      <c r="JT30" s="461">
        <v>45040</v>
      </c>
      <c r="JU30" s="456" t="str">
        <f>CHOOSE(WEEKDAY(JT30,2),"Monday","Tuesday","Wednesday","Thursday","Friday","Saturday","Sunday")</f>
        <v>Monday</v>
      </c>
      <c r="JV30" s="461">
        <v>45041</v>
      </c>
      <c r="JW30" s="456" t="str">
        <f>CHOOSE(WEEKDAY(JV30,2),"Monday","Tuesday","Wednesday","Thursday","Friday","Saturday","Sunday")</f>
        <v>Tuesday</v>
      </c>
      <c r="JX30" s="461">
        <v>45043</v>
      </c>
      <c r="JY30" s="456" t="str">
        <f>CHOOSE(WEEKDAY(JX30,2),"Monday","Tuesday","Wednesday","Thursday","Friday","Saturday","Sunday")</f>
        <v>Thursday</v>
      </c>
      <c r="JZ30" s="461">
        <v>45044</v>
      </c>
      <c r="KA30" s="456" t="str">
        <f>CHOOSE(WEEKDAY(JZ30,2),"Monday","Tuesday","Wednesday","Thursday","Friday","Saturday","Sunday")</f>
        <v>Friday</v>
      </c>
      <c r="KB30" s="463" t="s">
        <v>22</v>
      </c>
      <c r="KC30" s="462" t="s">
        <v>22</v>
      </c>
      <c r="KD30" s="463" t="s">
        <v>22</v>
      </c>
      <c r="KE30" s="462" t="s">
        <v>22</v>
      </c>
      <c r="KF30" s="463" t="s">
        <v>22</v>
      </c>
      <c r="KG30" s="462" t="s">
        <v>22</v>
      </c>
      <c r="KH30" s="463" t="s">
        <v>22</v>
      </c>
      <c r="KI30" s="462" t="s">
        <v>22</v>
      </c>
      <c r="KJ30" s="461">
        <v>45047</v>
      </c>
      <c r="KK30" s="456" t="str">
        <f>CHOOSE(WEEKDAY(KJ30,2),"Monday","Tuesday","Wednesday","Thursday","Friday","Saturday","Sunday")</f>
        <v>Monday</v>
      </c>
      <c r="KL30" s="463" t="s">
        <v>22</v>
      </c>
      <c r="KM30" s="462" t="s">
        <v>22</v>
      </c>
      <c r="KN30" s="463" t="s">
        <v>22</v>
      </c>
      <c r="KO30" s="462" t="s">
        <v>22</v>
      </c>
      <c r="KP30" s="461">
        <v>45049</v>
      </c>
      <c r="KQ30" s="456" t="str">
        <f>CHOOSE(WEEKDAY(KP30,2),"Monday","Tuesday","Wednesday","Thursday","Friday","Saturday","Sunday")</f>
        <v>Wednesday</v>
      </c>
      <c r="KR30" s="463" t="s">
        <v>22</v>
      </c>
      <c r="KS30" s="462" t="s">
        <v>22</v>
      </c>
      <c r="KT30" s="463" t="s">
        <v>22</v>
      </c>
      <c r="KU30" s="462" t="s">
        <v>22</v>
      </c>
      <c r="KV30" s="463" t="s">
        <v>22</v>
      </c>
      <c r="KW30" s="462" t="s">
        <v>22</v>
      </c>
      <c r="KX30" s="463" t="s">
        <v>22</v>
      </c>
      <c r="KY30" s="462" t="s">
        <v>22</v>
      </c>
      <c r="KZ30" s="461">
        <v>45041</v>
      </c>
      <c r="LA30" s="456" t="str">
        <f>CHOOSE(WEEKDAY(KZ30,2),"Monday","Tuesday","Wednesday","Thursday","Friday","Saturday","Sunday")</f>
        <v>Tuesday</v>
      </c>
      <c r="LB30" s="461">
        <v>45050</v>
      </c>
      <c r="LC30" s="456" t="str">
        <f>CHOOSE(WEEKDAY(LB30,2),"Monday","Tuesday","Wednesday","Thursday","Friday","Saturday","Sunday")</f>
        <v>Thursday</v>
      </c>
      <c r="LD30" s="463" t="s">
        <v>22</v>
      </c>
      <c r="LE30" s="462" t="s">
        <v>22</v>
      </c>
      <c r="LF30" s="463" t="s">
        <v>22</v>
      </c>
      <c r="LG30" s="462" t="s">
        <v>22</v>
      </c>
      <c r="LH30" s="461">
        <v>45053</v>
      </c>
      <c r="LI30" s="456" t="str">
        <f>CHOOSE(WEEKDAY(LH30,2),"Monday","Tuesday","Wednesday","Thursday","Friday","Saturday","Sunday")</f>
        <v>Sunday</v>
      </c>
      <c r="LJ30" s="463" t="s">
        <v>22</v>
      </c>
      <c r="LK30" s="462" t="s">
        <v>22</v>
      </c>
      <c r="LL30" s="311">
        <v>45044</v>
      </c>
      <c r="LM30" s="312" t="str">
        <f t="shared" si="64"/>
        <v>Friday</v>
      </c>
      <c r="LN30" s="463" t="s">
        <v>22</v>
      </c>
      <c r="LO30" s="462" t="s">
        <v>22</v>
      </c>
      <c r="LP30" s="461">
        <v>45056</v>
      </c>
      <c r="LQ30" s="456" t="str">
        <f>CHOOSE(WEEKDAY(LP30,2),"Monday","Tuesday","Wednesday","Thursday","Friday","Saturday","Sunday")</f>
        <v>Wednesday</v>
      </c>
      <c r="LR30" s="461">
        <v>45059</v>
      </c>
      <c r="LS30" s="456" t="str">
        <f>CHOOSE(WEEKDAY(LR30,2),"Monday","Tuesday","Wednesday","Thursday","Friday","Saturday","Sunday")</f>
        <v>Saturday</v>
      </c>
      <c r="LT30" s="461">
        <v>44964</v>
      </c>
      <c r="LU30" s="456" t="str">
        <f>CHOOSE(WEEKDAY(LT30,2),"Monday","Tuesday","Wednesday","Thursday","Friday","Saturday","Sunday")</f>
        <v>Tuesday</v>
      </c>
      <c r="LV30" s="463" t="s">
        <v>22</v>
      </c>
      <c r="LW30" s="462" t="s">
        <v>22</v>
      </c>
      <c r="LX30" s="463" t="s">
        <v>22</v>
      </c>
      <c r="LY30" s="462" t="s">
        <v>22</v>
      </c>
      <c r="LZ30" s="463" t="s">
        <v>22</v>
      </c>
      <c r="MA30" s="462" t="s">
        <v>22</v>
      </c>
      <c r="MB30" s="463" t="s">
        <v>22</v>
      </c>
      <c r="MC30" s="462" t="s">
        <v>22</v>
      </c>
      <c r="MD30" s="463" t="s">
        <v>22</v>
      </c>
      <c r="ME30" s="462" t="s">
        <v>22</v>
      </c>
      <c r="MF30" s="461">
        <v>45064</v>
      </c>
      <c r="MG30" s="456" t="str">
        <f>CHOOSE(WEEKDAY(MF30,2),"Monday","Tuesday","Wednesday","Thursday","Friday","Saturday","Sunday")</f>
        <v>Thursday</v>
      </c>
      <c r="MH30" s="461">
        <v>45065</v>
      </c>
      <c r="MI30" s="456" t="str">
        <f>CHOOSE(WEEKDAY(MH30,2),"Monday","Tuesday","Wednesday","Thursday","Friday","Saturday","Sunday")</f>
        <v>Friday</v>
      </c>
      <c r="MJ30" s="461">
        <v>45065</v>
      </c>
      <c r="MK30" s="456" t="str">
        <f>CHOOSE(WEEKDAY(MJ30,2),"Monday","Tuesday","Wednesday","Thursday","Friday","Saturday","Sunday")</f>
        <v>Friday</v>
      </c>
      <c r="ML30" s="463" t="s">
        <v>22</v>
      </c>
      <c r="MM30" s="462" t="s">
        <v>22</v>
      </c>
      <c r="MN30" s="463" t="s">
        <v>22</v>
      </c>
      <c r="MO30" s="462" t="s">
        <v>22</v>
      </c>
      <c r="MP30" s="463" t="s">
        <v>22</v>
      </c>
      <c r="MQ30" s="462" t="s">
        <v>22</v>
      </c>
      <c r="MR30" s="461">
        <v>45069</v>
      </c>
      <c r="MS30" s="456" t="str">
        <f>CHOOSE(WEEKDAY(MR30,2),"Monday","Tuesday","Wednesday","Thursday","Friday","Saturday","Sunday")</f>
        <v>Tuesday</v>
      </c>
      <c r="MT30" s="463" t="s">
        <v>22</v>
      </c>
      <c r="MU30" s="462" t="s">
        <v>22</v>
      </c>
      <c r="MV30" s="463" t="s">
        <v>22</v>
      </c>
      <c r="MW30" s="462" t="s">
        <v>22</v>
      </c>
      <c r="MX30" s="463" t="s">
        <v>22</v>
      </c>
      <c r="MY30" s="462" t="s">
        <v>22</v>
      </c>
      <c r="MZ30" s="463" t="s">
        <v>22</v>
      </c>
      <c r="NA30" s="462" t="s">
        <v>22</v>
      </c>
      <c r="NB30" s="461">
        <v>45072</v>
      </c>
      <c r="NC30" s="456" t="str">
        <f>CHOOSE(WEEKDAY(NB30,2),"Monday","Tuesday","Wednesday","Thursday","Friday","Saturday","Sunday")</f>
        <v>Friday</v>
      </c>
      <c r="ND30" s="463" t="s">
        <v>22</v>
      </c>
      <c r="NE30" s="462" t="s">
        <v>22</v>
      </c>
      <c r="NF30" s="463" t="s">
        <v>22</v>
      </c>
      <c r="NG30" s="462" t="s">
        <v>22</v>
      </c>
      <c r="NH30" s="461">
        <v>45072</v>
      </c>
      <c r="NI30" s="456" t="str">
        <f>CHOOSE(WEEKDAY(NH30,2),"Monday","Tuesday","Wednesday","Thursday","Friday","Saturday","Sunday")</f>
        <v>Friday</v>
      </c>
      <c r="NJ30" s="461">
        <v>45073</v>
      </c>
      <c r="NK30" s="456" t="str">
        <f>CHOOSE(WEEKDAY(NJ30,2),"Monday","Tuesday","Wednesday","Thursday","Friday","Saturday","Sunday")</f>
        <v>Saturday</v>
      </c>
      <c r="NL30" s="463" t="s">
        <v>22</v>
      </c>
      <c r="NM30" s="462" t="s">
        <v>22</v>
      </c>
      <c r="NN30" s="463" t="s">
        <v>22</v>
      </c>
      <c r="NO30" s="462" t="s">
        <v>22</v>
      </c>
      <c r="NP30" s="463" t="s">
        <v>22</v>
      </c>
      <c r="NQ30" s="462" t="s">
        <v>22</v>
      </c>
      <c r="NR30" s="463" t="s">
        <v>22</v>
      </c>
      <c r="NS30" s="462" t="s">
        <v>22</v>
      </c>
      <c r="NT30" s="463" t="s">
        <v>22</v>
      </c>
      <c r="NU30" s="462" t="s">
        <v>22</v>
      </c>
      <c r="NV30" s="461">
        <v>45078</v>
      </c>
      <c r="NW30" s="456" t="str">
        <f>CHOOSE(WEEKDAY(NV30,2),"Monday","Tuesday","Wednesday","Thursday","Friday","Saturday","Sunday")</f>
        <v>Thursday</v>
      </c>
      <c r="NX30" s="461">
        <v>45079</v>
      </c>
      <c r="NY30" s="456" t="str">
        <f>CHOOSE(WEEKDAY(NX30,2),"Monday","Tuesday","Wednesday","Thursday","Friday","Saturday","Sunday")</f>
        <v>Friday</v>
      </c>
      <c r="NZ30" s="461">
        <v>45078</v>
      </c>
      <c r="OA30" s="456" t="str">
        <f>CHOOSE(WEEKDAY(NZ30,2),"Monday","Tuesday","Wednesday","Thursday","Friday","Saturday","Sunday")</f>
        <v>Thursday</v>
      </c>
      <c r="OB30" s="461">
        <v>45082</v>
      </c>
      <c r="OC30" s="456" t="str">
        <f>CHOOSE(WEEKDAY(OB30,2),"Monday","Tuesday","Wednesday","Thursday","Friday","Saturday","Sunday")</f>
        <v>Monday</v>
      </c>
      <c r="OD30" s="311">
        <v>45079</v>
      </c>
      <c r="OE30" s="312" t="str">
        <f t="shared" ref="OE30:OE33" si="69">CHOOSE(WEEKDAY(OD30,2),"Monday","Tuesday","Wednesday","Thursday","Friday","Saturday","Sunday")</f>
        <v>Friday</v>
      </c>
      <c r="OF30" s="463" t="s">
        <v>22</v>
      </c>
      <c r="OG30" s="462" t="s">
        <v>22</v>
      </c>
      <c r="OH30" s="463" t="s">
        <v>22</v>
      </c>
      <c r="OI30" s="462" t="s">
        <v>22</v>
      </c>
      <c r="OJ30" s="461">
        <v>45086</v>
      </c>
      <c r="OK30" s="456" t="str">
        <f>CHOOSE(WEEKDAY(OJ30,2),"Monday","Tuesday","Wednesday","Thursday","Friday","Saturday","Sunday")</f>
        <v>Friday</v>
      </c>
      <c r="OL30" s="463" t="s">
        <v>22</v>
      </c>
      <c r="OM30" s="462" t="s">
        <v>22</v>
      </c>
      <c r="ON30" s="461">
        <v>45086</v>
      </c>
      <c r="OO30" s="456" t="str">
        <f>CHOOSE(WEEKDAY(ON30,2),"Monday","Tuesday","Wednesday","Thursday","Friday","Saturday","Sunday")</f>
        <v>Friday</v>
      </c>
      <c r="OP30" s="461">
        <v>45087</v>
      </c>
      <c r="OQ30" s="456" t="str">
        <f>CHOOSE(WEEKDAY(OP30,2),"Monday","Tuesday","Wednesday","Thursday","Friday","Saturday","Sunday")</f>
        <v>Saturday</v>
      </c>
      <c r="OR30" s="463" t="s">
        <v>22</v>
      </c>
      <c r="OS30" s="462" t="s">
        <v>22</v>
      </c>
      <c r="OT30" s="461">
        <v>45089</v>
      </c>
      <c r="OU30" s="456" t="str">
        <f>CHOOSE(WEEKDAY(OT30,2),"Monday","Tuesday","Wednesday","Thursday","Friday","Saturday","Sunday")</f>
        <v>Monday</v>
      </c>
      <c r="OV30" s="463" t="s">
        <v>22</v>
      </c>
      <c r="OW30" s="462" t="s">
        <v>22</v>
      </c>
      <c r="OX30" s="463" t="s">
        <v>22</v>
      </c>
      <c r="OY30" s="462" t="s">
        <v>22</v>
      </c>
      <c r="OZ30" s="461">
        <v>45092</v>
      </c>
      <c r="PA30" s="456" t="str">
        <f>CHOOSE(WEEKDAY(OZ30,2),"Monday","Tuesday","Wednesday","Thursday","Friday","Saturday","Sunday")</f>
        <v>Thursday</v>
      </c>
      <c r="PB30" s="461">
        <v>45092</v>
      </c>
      <c r="PC30" s="456" t="str">
        <f>CHOOSE(WEEKDAY(PB30,2),"Monday","Tuesday","Wednesday","Thursday","Friday","Saturday","Sunday")</f>
        <v>Thursday</v>
      </c>
      <c r="PD30" s="463" t="s">
        <v>22</v>
      </c>
      <c r="PE30" s="462" t="s">
        <v>22</v>
      </c>
      <c r="PF30" s="461">
        <v>45093</v>
      </c>
      <c r="PG30" s="456" t="str">
        <f>CHOOSE(WEEKDAY(PF30,2),"Monday","Tuesday","Wednesday","Thursday","Friday","Saturday","Sunday")</f>
        <v>Friday</v>
      </c>
      <c r="PH30" s="461">
        <v>45104</v>
      </c>
      <c r="PI30" s="456" t="str">
        <f>CHOOSE(WEEKDAY(PH30,2),"Monday","Tuesday","Wednesday","Thursday","Friday","Saturday","Sunday")</f>
        <v>Tuesday</v>
      </c>
      <c r="PJ30" s="463" t="s">
        <v>22</v>
      </c>
      <c r="PK30" s="462" t="s">
        <v>22</v>
      </c>
      <c r="PL30" s="463" t="s">
        <v>22</v>
      </c>
      <c r="PM30" s="462" t="s">
        <v>22</v>
      </c>
      <c r="PN30" s="461">
        <v>45096</v>
      </c>
      <c r="PO30" s="456" t="str">
        <f>CHOOSE(WEEKDAY(PN30,2),"Monday","Tuesday","Wednesday","Thursday","Friday","Saturday","Sunday")</f>
        <v>Monday</v>
      </c>
      <c r="PP30" s="463" t="s">
        <v>22</v>
      </c>
      <c r="PQ30" s="462" t="s">
        <v>22</v>
      </c>
      <c r="PR30" s="463" t="s">
        <v>22</v>
      </c>
      <c r="PS30" s="462" t="s">
        <v>22</v>
      </c>
      <c r="PT30" s="463" t="s">
        <v>22</v>
      </c>
      <c r="PU30" s="462" t="s">
        <v>22</v>
      </c>
      <c r="PV30" s="463" t="s">
        <v>22</v>
      </c>
      <c r="PW30" s="462" t="s">
        <v>22</v>
      </c>
      <c r="PX30" s="463" t="s">
        <v>22</v>
      </c>
      <c r="PY30" s="462" t="s">
        <v>22</v>
      </c>
      <c r="PZ30" s="461">
        <v>45100</v>
      </c>
      <c r="QA30" s="456" t="str">
        <f>CHOOSE(WEEKDAY(PZ30,2),"Monday","Tuesday","Wednesday","Thursday","Friday","Saturday","Sunday")</f>
        <v>Friday</v>
      </c>
      <c r="QB30" s="461">
        <v>45240</v>
      </c>
      <c r="QC30" s="456" t="str">
        <f>CHOOSE(WEEKDAY(QB30,2),"Monday","Tuesday","Wednesday","Thursday","Friday","Saturday","Sunday")</f>
        <v>Friday</v>
      </c>
      <c r="QD30" s="461">
        <v>45100</v>
      </c>
      <c r="QE30" s="456" t="str">
        <f>CHOOSE(WEEKDAY(QD30,2),"Monday","Tuesday","Wednesday","Thursday","Friday","Saturday","Sunday")</f>
        <v>Friday</v>
      </c>
      <c r="QF30" s="463" t="s">
        <v>22</v>
      </c>
      <c r="QG30" s="462" t="s">
        <v>22</v>
      </c>
      <c r="QH30" s="463" t="s">
        <v>22</v>
      </c>
      <c r="QI30" s="462" t="s">
        <v>22</v>
      </c>
      <c r="QJ30" s="463" t="s">
        <v>22</v>
      </c>
      <c r="QK30" s="462" t="s">
        <v>22</v>
      </c>
      <c r="QL30" s="463" t="s">
        <v>22</v>
      </c>
      <c r="QM30" s="462" t="s">
        <v>22</v>
      </c>
      <c r="QN30" s="463" t="s">
        <v>22</v>
      </c>
      <c r="QO30" s="462" t="s">
        <v>22</v>
      </c>
      <c r="QP30" s="463" t="s">
        <v>22</v>
      </c>
      <c r="QQ30" s="462" t="s">
        <v>22</v>
      </c>
      <c r="QR30" s="461">
        <v>45107</v>
      </c>
      <c r="QS30" s="456" t="str">
        <f>CHOOSE(WEEKDAY(QR30,2),"Monday","Tuesday","Wednesday","Thursday","Friday","Saturday","Sunday")</f>
        <v>Friday</v>
      </c>
      <c r="QT30" s="463" t="s">
        <v>22</v>
      </c>
      <c r="QU30" s="462" t="s">
        <v>22</v>
      </c>
      <c r="QV30" s="463" t="s">
        <v>22</v>
      </c>
      <c r="QW30" s="462" t="s">
        <v>22</v>
      </c>
      <c r="QX30" s="461">
        <v>45107</v>
      </c>
      <c r="QY30" s="456" t="str">
        <f>CHOOSE(WEEKDAY(QX30,2),"Monday","Tuesday","Wednesday","Thursday","Friday","Saturday","Sunday")</f>
        <v>Friday</v>
      </c>
      <c r="QZ30" s="461">
        <v>45110</v>
      </c>
      <c r="RA30" s="456" t="str">
        <f>CHOOSE(WEEKDAY(QZ30,2),"Monday","Tuesday","Wednesday","Thursday","Friday","Saturday","Sunday")</f>
        <v>Monday</v>
      </c>
      <c r="RB30" s="461">
        <v>45107</v>
      </c>
      <c r="RC30" s="456" t="str">
        <f>CHOOSE(WEEKDAY(RB30,2),"Monday","Tuesday","Wednesday","Thursday","Friday","Saturday","Sunday")</f>
        <v>Friday</v>
      </c>
      <c r="RD30" s="463" t="s">
        <v>22</v>
      </c>
      <c r="RE30" s="462" t="s">
        <v>22</v>
      </c>
      <c r="RF30" s="461">
        <v>45108</v>
      </c>
      <c r="RG30" s="456" t="str">
        <f>CHOOSE(WEEKDAY(RF30,2),"Monday","Tuesday","Wednesday","Thursday","Friday","Saturday","Sunday")</f>
        <v>Saturday</v>
      </c>
      <c r="RH30" s="463" t="s">
        <v>22</v>
      </c>
      <c r="RI30" s="462" t="s">
        <v>22</v>
      </c>
      <c r="RJ30" s="461">
        <v>45111</v>
      </c>
      <c r="RK30" s="456" t="str">
        <f>CHOOSE(WEEKDAY(RJ30,2),"Monday","Tuesday","Wednesday","Thursday","Friday","Saturday","Sunday")</f>
        <v>Tuesday</v>
      </c>
      <c r="RL30" s="311">
        <v>45112</v>
      </c>
      <c r="RM30" s="104" t="str">
        <f>CHOOSE(WEEKDAY(RL30,2),"Monday","Tuesday","Wednesday","Thursday","Friday","Saturday","Sunday")</f>
        <v>Wednesday</v>
      </c>
      <c r="RN30" s="461">
        <v>45014</v>
      </c>
      <c r="RO30" s="456" t="str">
        <f>CHOOSE(WEEKDAY(RN30,2),"Monday","Tuesday","Wednesday","Thursday","Friday","Saturday","Sunday")</f>
        <v>Wednesday</v>
      </c>
      <c r="RP30" s="311">
        <v>45114</v>
      </c>
      <c r="RQ30" s="312" t="str">
        <f>CHOOSE(WEEKDAY(RP30,2),"Monday","Tuesday","Wednesday","Thursday","Friday","Saturday","Sunday")</f>
        <v>Friday</v>
      </c>
      <c r="RR30" s="463" t="s">
        <v>22</v>
      </c>
      <c r="RS30" s="462" t="s">
        <v>22</v>
      </c>
      <c r="RT30" s="463" t="s">
        <v>22</v>
      </c>
      <c r="RU30" s="462" t="s">
        <v>22</v>
      </c>
      <c r="RV30" s="463" t="s">
        <v>22</v>
      </c>
      <c r="RW30" s="462" t="s">
        <v>22</v>
      </c>
      <c r="RX30" s="463" t="s">
        <v>22</v>
      </c>
      <c r="RY30" s="462" t="s">
        <v>22</v>
      </c>
      <c r="RZ30" s="463" t="s">
        <v>22</v>
      </c>
      <c r="SA30" s="462" t="s">
        <v>22</v>
      </c>
      <c r="SB30" s="461">
        <v>45118</v>
      </c>
      <c r="SC30" s="456" t="str">
        <f>CHOOSE(WEEKDAY(SB30,2),"Monday","Tuesday","Wednesday","Thursday","Friday","Saturday","Sunday")</f>
        <v>Tuesday</v>
      </c>
      <c r="SD30" s="463" t="s">
        <v>22</v>
      </c>
      <c r="SE30" s="462" t="s">
        <v>22</v>
      </c>
      <c r="SF30" s="461">
        <v>45119</v>
      </c>
      <c r="SG30" s="456" t="str">
        <f>CHOOSE(WEEKDAY(SF30,2),"Monday","Tuesday","Wednesday","Thursday","Friday","Saturday","Sunday")</f>
        <v>Wednesday</v>
      </c>
      <c r="SH30" s="461">
        <v>45119</v>
      </c>
      <c r="SI30" s="456" t="str">
        <f>CHOOSE(WEEKDAY(SH30,2),"Monday","Tuesday","Wednesday","Thursday","Friday","Saturday","Sunday")</f>
        <v>Wednesday</v>
      </c>
      <c r="SJ30" s="463" t="s">
        <v>22</v>
      </c>
      <c r="SK30" s="462" t="s">
        <v>22</v>
      </c>
      <c r="SL30" s="463" t="s">
        <v>22</v>
      </c>
      <c r="SM30" s="462" t="s">
        <v>22</v>
      </c>
      <c r="SN30" s="463" t="s">
        <v>22</v>
      </c>
      <c r="SO30" s="462" t="s">
        <v>22</v>
      </c>
      <c r="SP30" s="461">
        <v>45123</v>
      </c>
      <c r="SQ30" s="456" t="str">
        <f>CHOOSE(WEEKDAY(SP30,2),"Monday","Tuesday","Wednesday","Thursday","Friday","Saturday","Sunday")</f>
        <v>Sunday</v>
      </c>
      <c r="SR30" s="461">
        <v>45121</v>
      </c>
      <c r="SS30" s="456" t="str">
        <f>CHOOSE(WEEKDAY(SR30,2),"Monday","Tuesday","Wednesday","Thursday","Friday","Saturday","Sunday")</f>
        <v>Friday</v>
      </c>
      <c r="ST30" s="463" t="s">
        <v>22</v>
      </c>
      <c r="SU30" s="462" t="s">
        <v>22</v>
      </c>
      <c r="SV30" s="463" t="s">
        <v>22</v>
      </c>
      <c r="SW30" s="462" t="s">
        <v>22</v>
      </c>
      <c r="SX30" s="461">
        <v>45127</v>
      </c>
      <c r="SY30" s="456" t="str">
        <f>CHOOSE(WEEKDAY(SX30,2),"Monday","Tuesday","Wednesday","Thursday","Friday","Saturday","Sunday")</f>
        <v>Thursday</v>
      </c>
      <c r="SZ30" s="461">
        <v>45127</v>
      </c>
      <c r="TA30" s="456" t="str">
        <f>CHOOSE(WEEKDAY(SZ30,2),"Monday","Tuesday","Wednesday","Thursday","Friday","Saturday","Sunday")</f>
        <v>Thursday</v>
      </c>
      <c r="TB30" s="461">
        <v>45127</v>
      </c>
      <c r="TC30" s="456" t="str">
        <f>CHOOSE(WEEKDAY(TB30,2),"Monday","Tuesday","Wednesday","Thursday","Friday","Saturday","Sunday")</f>
        <v>Thursday</v>
      </c>
      <c r="TD30" s="463" t="s">
        <v>22</v>
      </c>
      <c r="TE30" s="462" t="s">
        <v>22</v>
      </c>
      <c r="TF30" s="461">
        <v>45131</v>
      </c>
      <c r="TG30" s="456" t="str">
        <f>CHOOSE(WEEKDAY(TF30,2),"Monday","Tuesday","Wednesday","Thursday","Friday","Saturday","Sunday")</f>
        <v>Monday</v>
      </c>
      <c r="TH30" s="463" t="s">
        <v>22</v>
      </c>
      <c r="TI30" s="462" t="s">
        <v>22</v>
      </c>
      <c r="TJ30" s="461">
        <v>45135</v>
      </c>
      <c r="TK30" s="456" t="str">
        <f>CHOOSE(WEEKDAY(TJ30,2),"Monday","Tuesday","Wednesday","Thursday","Friday","Saturday","Sunday")</f>
        <v>Friday</v>
      </c>
      <c r="TL30" s="463" t="s">
        <v>22</v>
      </c>
      <c r="TM30" s="462" t="s">
        <v>22</v>
      </c>
      <c r="TN30" s="461">
        <v>45135</v>
      </c>
      <c r="TO30" s="456" t="str">
        <f>CHOOSE(WEEKDAY(TN30,2),"Monday","Tuesday","Wednesday","Thursday","Friday","Saturday","Sunday")</f>
        <v>Friday</v>
      </c>
      <c r="TP30" s="461">
        <v>45139</v>
      </c>
      <c r="TQ30" s="456" t="str">
        <f>CHOOSE(WEEKDAY(TP30,2),"Monday","Tuesday","Wednesday","Thursday","Friday","Saturday","Sunday")</f>
        <v>Tuesday</v>
      </c>
      <c r="TR30" s="461">
        <v>45139</v>
      </c>
      <c r="TS30" s="456" t="str">
        <f>CHOOSE(WEEKDAY(TR30,2),"Monday","Tuesday","Wednesday","Thursday","Friday","Saturday","Sunday")</f>
        <v>Tuesday</v>
      </c>
      <c r="TT30" s="463" t="s">
        <v>22</v>
      </c>
      <c r="TU30" s="462" t="s">
        <v>22</v>
      </c>
      <c r="TV30" s="461">
        <v>45140</v>
      </c>
      <c r="TW30" s="456" t="str">
        <f>CHOOSE(WEEKDAY(TV30,2),"Monday","Tuesday","Wednesday","Thursday","Friday","Saturday","Sunday")</f>
        <v>Wednesday</v>
      </c>
      <c r="TX30" s="463" t="s">
        <v>22</v>
      </c>
      <c r="TY30" s="462" t="s">
        <v>22</v>
      </c>
      <c r="TZ30" s="463" t="s">
        <v>22</v>
      </c>
      <c r="UA30" s="462" t="s">
        <v>22</v>
      </c>
      <c r="UB30" s="461">
        <v>45142</v>
      </c>
      <c r="UC30" s="456" t="str">
        <f>CHOOSE(WEEKDAY(UB30,2),"Monday","Tuesday","Wednesday","Thursday","Friday","Saturday","Sunday")</f>
        <v>Friday</v>
      </c>
      <c r="UD30" s="461">
        <v>45142</v>
      </c>
      <c r="UE30" s="456" t="str">
        <f>CHOOSE(WEEKDAY(UD30,2),"Monday","Tuesday","Wednesday","Thursday","Friday","Saturday","Sunday")</f>
        <v>Friday</v>
      </c>
      <c r="UF30" s="463" t="s">
        <v>22</v>
      </c>
      <c r="UG30" s="462" t="s">
        <v>22</v>
      </c>
      <c r="UH30" s="463" t="s">
        <v>22</v>
      </c>
      <c r="UI30" s="462" t="s">
        <v>22</v>
      </c>
      <c r="UJ30" s="463" t="s">
        <v>22</v>
      </c>
      <c r="UK30" s="462" t="s">
        <v>22</v>
      </c>
      <c r="UL30" s="461">
        <v>45147</v>
      </c>
      <c r="UM30" s="456" t="str">
        <f>CHOOSE(WEEKDAY(UL30,2),"Monday","Tuesday","Wednesday","Thursday","Friday","Saturday","Sunday")</f>
        <v>Wednesday</v>
      </c>
      <c r="UN30" s="461">
        <v>45149</v>
      </c>
      <c r="UO30" s="456" t="str">
        <f>CHOOSE(WEEKDAY(UN30,2),"Monday","Tuesday","Wednesday","Thursday","Friday","Saturday","Sunday")</f>
        <v>Friday</v>
      </c>
      <c r="UP30" s="461">
        <v>45150</v>
      </c>
      <c r="UQ30" s="456" t="str">
        <f>CHOOSE(WEEKDAY(UP30,2),"Monday","Tuesday","Wednesday","Thursday","Friday","Saturday","Sunday")</f>
        <v>Saturday</v>
      </c>
      <c r="UR30" s="463" t="s">
        <v>22</v>
      </c>
      <c r="US30" s="462" t="s">
        <v>22</v>
      </c>
      <c r="UT30" s="463" t="s">
        <v>22</v>
      </c>
      <c r="UU30" s="462" t="s">
        <v>22</v>
      </c>
      <c r="UV30" s="463" t="s">
        <v>22</v>
      </c>
      <c r="UW30" s="462" t="s">
        <v>22</v>
      </c>
      <c r="UX30" s="461">
        <v>45153</v>
      </c>
      <c r="UY30" s="456" t="str">
        <f>CHOOSE(WEEKDAY(UX30,2),"Monday","Tuesday","Wednesday","Thursday","Friday","Saturday","Sunday")</f>
        <v>Tuesday</v>
      </c>
      <c r="UZ30" s="463" t="s">
        <v>22</v>
      </c>
      <c r="VA30" s="462" t="s">
        <v>22</v>
      </c>
      <c r="VB30" s="461">
        <v>45154</v>
      </c>
      <c r="VC30" s="456" t="str">
        <f>CHOOSE(WEEKDAY(VB30,2),"Monday","Tuesday","Wednesday","Thursday","Friday","Saturday","Sunday")</f>
        <v>Wednesday</v>
      </c>
      <c r="VD30" s="463" t="s">
        <v>22</v>
      </c>
      <c r="VE30" s="462" t="s">
        <v>22</v>
      </c>
      <c r="VF30" s="461">
        <v>45155</v>
      </c>
      <c r="VG30" s="456" t="str">
        <f>CHOOSE(WEEKDAY(VF30,2),"Monday","Tuesday","Wednesday","Thursday","Friday","Saturday","Sunday")</f>
        <v>Thursday</v>
      </c>
      <c r="VH30" s="463" t="s">
        <v>22</v>
      </c>
      <c r="VI30" s="462" t="s">
        <v>22</v>
      </c>
      <c r="VJ30" s="463" t="s">
        <v>22</v>
      </c>
      <c r="VK30" s="462" t="s">
        <v>22</v>
      </c>
      <c r="VL30" s="461">
        <v>45158</v>
      </c>
      <c r="VM30" s="456" t="str">
        <f>CHOOSE(WEEKDAY(VL30,2),"Monday","Tuesday","Wednesday","Thursday","Friday","Saturday","Sunday")</f>
        <v>Sunday</v>
      </c>
      <c r="VN30" s="463" t="s">
        <v>22</v>
      </c>
      <c r="VO30" s="462" t="s">
        <v>22</v>
      </c>
      <c r="VP30" s="463" t="s">
        <v>22</v>
      </c>
      <c r="VQ30" s="462" t="s">
        <v>22</v>
      </c>
      <c r="VR30" s="463" t="s">
        <v>22</v>
      </c>
      <c r="VS30" s="462" t="s">
        <v>22</v>
      </c>
      <c r="VT30" s="461">
        <v>45161</v>
      </c>
      <c r="VU30" s="456" t="str">
        <f>CHOOSE(WEEKDAY(VT30,2),"Monday","Tuesday","Wednesday","Thursday","Friday","Saturday","Sunday")</f>
        <v>Wednesday</v>
      </c>
      <c r="VV30" s="463" t="s">
        <v>22</v>
      </c>
      <c r="VW30" s="462" t="s">
        <v>22</v>
      </c>
      <c r="VX30" s="461">
        <v>45162</v>
      </c>
      <c r="VY30" s="456" t="str">
        <f>CHOOSE(WEEKDAY(VX30,2),"Monday","Tuesday","Wednesday","Thursday","Friday","Saturday","Sunday")</f>
        <v>Thursday</v>
      </c>
      <c r="VZ30" s="463" t="s">
        <v>22</v>
      </c>
      <c r="WA30" s="462" t="s">
        <v>22</v>
      </c>
      <c r="WB30" s="463" t="s">
        <v>22</v>
      </c>
      <c r="WC30" s="462" t="s">
        <v>22</v>
      </c>
      <c r="WD30" s="461">
        <v>45166</v>
      </c>
      <c r="WE30" s="456" t="str">
        <f>CHOOSE(WEEKDAY(WD30,2),"Monday","Tuesday","Wednesday","Thursday","Friday","Saturday","Sunday")</f>
        <v>Monday</v>
      </c>
      <c r="WF30" s="463" t="s">
        <v>22</v>
      </c>
      <c r="WG30" s="462" t="s">
        <v>22</v>
      </c>
      <c r="WH30" s="463" t="s">
        <v>22</v>
      </c>
      <c r="WI30" s="462" t="s">
        <v>22</v>
      </c>
      <c r="WJ30" s="461">
        <v>45170</v>
      </c>
      <c r="WK30" s="456" t="str">
        <f>CHOOSE(WEEKDAY(WJ30,2),"Monday","Tuesday","Wednesday","Thursday","Friday","Saturday","Sunday")</f>
        <v>Friday</v>
      </c>
      <c r="WL30" s="461">
        <v>45170</v>
      </c>
      <c r="WM30" s="456" t="str">
        <f>CHOOSE(WEEKDAY(WL30,2),"Monday","Tuesday","Wednesday","Thursday","Friday","Saturday","Sunday")</f>
        <v>Friday</v>
      </c>
      <c r="WN30" s="463" t="s">
        <v>22</v>
      </c>
      <c r="WO30" s="462" t="s">
        <v>22</v>
      </c>
      <c r="WP30" s="463" t="s">
        <v>22</v>
      </c>
      <c r="WQ30" s="462" t="s">
        <v>22</v>
      </c>
      <c r="WR30" s="463" t="s">
        <v>22</v>
      </c>
      <c r="WS30" s="462" t="s">
        <v>22</v>
      </c>
      <c r="WT30" s="463" t="s">
        <v>22</v>
      </c>
      <c r="WU30" s="462" t="s">
        <v>22</v>
      </c>
      <c r="WV30" s="461">
        <v>45173</v>
      </c>
      <c r="WW30" s="468" t="str">
        <f>CHOOSE(WEEKDAY(WV30,2),"Monday","Tuesday","Wednesday","Thursday","Friday","Saturday","Sunday")</f>
        <v>Monday</v>
      </c>
      <c r="WX30" s="461">
        <v>45177</v>
      </c>
      <c r="WY30" s="468" t="str">
        <f>CHOOSE(WEEKDAY(WX30,2),"Monday","Tuesday","Wednesday","Thursday","Friday","Saturday","Sunday")</f>
        <v>Friday</v>
      </c>
      <c r="WZ30" s="463" t="s">
        <v>22</v>
      </c>
      <c r="XA30" s="462" t="s">
        <v>22</v>
      </c>
      <c r="XB30" s="463" t="s">
        <v>22</v>
      </c>
      <c r="XC30" s="462" t="s">
        <v>22</v>
      </c>
      <c r="XD30" s="463" t="s">
        <v>22</v>
      </c>
      <c r="XE30" s="462" t="s">
        <v>22</v>
      </c>
      <c r="XF30" s="461">
        <v>45177</v>
      </c>
      <c r="XG30" s="456" t="str">
        <f>CHOOSE(WEEKDAY(XF30,2),"Monday","Tuesday","Wednesday","Thursday","Friday","Saturday","Sunday")</f>
        <v>Friday</v>
      </c>
      <c r="XH30" s="463" t="s">
        <v>22</v>
      </c>
      <c r="XI30" s="462" t="s">
        <v>22</v>
      </c>
      <c r="XJ30" s="463" t="s">
        <v>22</v>
      </c>
      <c r="XK30" s="462" t="s">
        <v>22</v>
      </c>
      <c r="XL30" s="463" t="s">
        <v>22</v>
      </c>
      <c r="XM30" s="462" t="s">
        <v>22</v>
      </c>
      <c r="XN30" s="461">
        <v>45181</v>
      </c>
      <c r="XO30" s="456" t="str">
        <f>CHOOSE(WEEKDAY(XN30,2),"Monday","Tuesday","Wednesday","Thursday","Friday","Saturday","Sunday")</f>
        <v>Tuesday</v>
      </c>
      <c r="XP30" s="463" t="s">
        <v>22</v>
      </c>
      <c r="XQ30" s="462" t="s">
        <v>22</v>
      </c>
      <c r="XR30" s="463" t="s">
        <v>22</v>
      </c>
      <c r="XS30" s="462" t="s">
        <v>22</v>
      </c>
      <c r="XT30" s="463" t="s">
        <v>22</v>
      </c>
      <c r="XU30" s="462" t="s">
        <v>22</v>
      </c>
      <c r="XV30" s="461">
        <v>45184</v>
      </c>
      <c r="XW30" s="456" t="str">
        <f>CHOOSE(WEEKDAY(XV30,2),"Monday","Tuesday","Wednesday","Thursday","Friday","Saturday","Sunday")</f>
        <v>Friday</v>
      </c>
      <c r="XX30" s="461">
        <v>45184</v>
      </c>
      <c r="XY30" s="456" t="str">
        <f>CHOOSE(WEEKDAY(XX30,2),"Monday","Tuesday","Wednesday","Thursday","Friday","Saturday","Sunday")</f>
        <v>Friday</v>
      </c>
      <c r="XZ30" s="463" t="s">
        <v>22</v>
      </c>
      <c r="YA30" s="462" t="s">
        <v>22</v>
      </c>
      <c r="YB30" s="463" t="s">
        <v>22</v>
      </c>
      <c r="YC30" s="462" t="s">
        <v>22</v>
      </c>
      <c r="YD30" s="461">
        <v>45185</v>
      </c>
      <c r="YE30" s="456" t="str">
        <f>CHOOSE(WEEKDAY(YD30,2),"Monday","Tuesday","Wednesday","Thursday","Friday","Saturday","Sunday")</f>
        <v>Saturday</v>
      </c>
      <c r="YF30" s="461">
        <v>45187</v>
      </c>
      <c r="YG30" s="456" t="str">
        <f>CHOOSE(WEEKDAY(YF30,2),"Monday","Tuesday","Wednesday","Thursday","Friday","Saturday","Sunday")</f>
        <v>Monday</v>
      </c>
      <c r="YH30" s="463" t="s">
        <v>22</v>
      </c>
      <c r="YI30" s="462" t="s">
        <v>22</v>
      </c>
      <c r="YJ30" s="463" t="s">
        <v>22</v>
      </c>
      <c r="YK30" s="462" t="s">
        <v>22</v>
      </c>
      <c r="YL30" s="463" t="s">
        <v>22</v>
      </c>
      <c r="YM30" s="462" t="s">
        <v>22</v>
      </c>
      <c r="YN30" s="461">
        <v>45189</v>
      </c>
      <c r="YO30" s="456" t="str">
        <f>CHOOSE(WEEKDAY(YN30,2),"Monday","Tuesday","Wednesday","Thursday","Friday","Saturday","Sunday")</f>
        <v>Wednesday</v>
      </c>
      <c r="YP30" s="461">
        <v>45189</v>
      </c>
      <c r="YQ30" s="456" t="str">
        <f>CHOOSE(WEEKDAY(YP30,2),"Monday","Tuesday","Wednesday","Thursday","Friday","Saturday","Sunday")</f>
        <v>Wednesday</v>
      </c>
      <c r="YR30" s="461">
        <v>45191</v>
      </c>
      <c r="YS30" s="456" t="str">
        <f>CHOOSE(WEEKDAY(YR30,2),"Monday","Tuesday","Wednesday","Thursday","Friday","Saturday","Sunday")</f>
        <v>Friday</v>
      </c>
      <c r="YT30" s="463" t="s">
        <v>22</v>
      </c>
      <c r="YU30" s="462" t="s">
        <v>22</v>
      </c>
      <c r="YV30" s="461">
        <v>45192</v>
      </c>
      <c r="YW30" s="456" t="str">
        <f>CHOOSE(WEEKDAY(YV30,2),"Monday","Tuesday","Wednesday","Thursday","Friday","Saturday","Sunday")</f>
        <v>Saturday</v>
      </c>
      <c r="YX30" s="463" t="s">
        <v>22</v>
      </c>
      <c r="YY30" s="462" t="s">
        <v>22</v>
      </c>
      <c r="YZ30" s="463" t="s">
        <v>22</v>
      </c>
      <c r="ZA30" s="462" t="s">
        <v>22</v>
      </c>
      <c r="ZB30" s="461">
        <v>45208</v>
      </c>
      <c r="ZC30" s="456" t="str">
        <f>CHOOSE(WEEKDAY(ZB30,2),"Monday","Tuesday","Wednesday","Thursday","Friday","Saturday","Sunday")</f>
        <v>Monday</v>
      </c>
      <c r="ZD30" s="463" t="s">
        <v>22</v>
      </c>
      <c r="ZE30" s="462" t="s">
        <v>22</v>
      </c>
      <c r="ZF30" s="463" t="s">
        <v>22</v>
      </c>
      <c r="ZG30" s="462" t="s">
        <v>22</v>
      </c>
      <c r="ZH30" s="461">
        <v>45196</v>
      </c>
      <c r="ZI30" s="456" t="str">
        <f>CHOOSE(WEEKDAY(ZH30,2),"Monday","Tuesday","Wednesday","Thursday","Friday","Saturday","Sunday")</f>
        <v>Wednesday</v>
      </c>
      <c r="ZJ30" s="463" t="s">
        <v>22</v>
      </c>
      <c r="ZK30" s="462" t="s">
        <v>22</v>
      </c>
      <c r="ZL30" s="463" t="s">
        <v>22</v>
      </c>
      <c r="ZM30" s="462" t="s">
        <v>22</v>
      </c>
      <c r="ZN30" s="461">
        <v>45198</v>
      </c>
      <c r="ZO30" s="456" t="str">
        <f>CHOOSE(WEEKDAY(ZN30,2),"Monday","Tuesday","Wednesday","Thursday","Friday","Saturday","Sunday")</f>
        <v>Friday</v>
      </c>
      <c r="ZP30" s="461">
        <v>45200</v>
      </c>
      <c r="ZQ30" s="456" t="str">
        <f>CHOOSE(WEEKDAY(ZP30,2),"Monday","Tuesday","Wednesday","Thursday","Friday","Saturday","Sunday")</f>
        <v>Sunday</v>
      </c>
      <c r="ZR30" s="461">
        <v>45202</v>
      </c>
      <c r="ZS30" s="456" t="str">
        <f>CHOOSE(WEEKDAY(ZR30,2),"Monday","Tuesday","Wednesday","Thursday","Friday","Saturday","Sunday")</f>
        <v>Tuesday</v>
      </c>
      <c r="ZT30" s="463" t="s">
        <v>22</v>
      </c>
      <c r="ZU30" s="462" t="s">
        <v>22</v>
      </c>
      <c r="ZV30" s="463" t="s">
        <v>22</v>
      </c>
      <c r="ZW30" s="462" t="s">
        <v>22</v>
      </c>
      <c r="ZX30" s="463" t="s">
        <v>22</v>
      </c>
      <c r="ZY30" s="462" t="s">
        <v>22</v>
      </c>
      <c r="ZZ30" s="463" t="s">
        <v>22</v>
      </c>
      <c r="AAA30" s="462" t="s">
        <v>22</v>
      </c>
      <c r="AAB30" s="461">
        <v>45204</v>
      </c>
      <c r="AAC30" s="456" t="str">
        <f>CHOOSE(WEEKDAY(AAB30,2),"Monday","Tuesday","Wednesday","Thursday","Friday","Saturday","Sunday")</f>
        <v>Thursday</v>
      </c>
      <c r="AAD30" s="463" t="s">
        <v>22</v>
      </c>
      <c r="AAE30" s="462" t="s">
        <v>22</v>
      </c>
      <c r="AAF30" s="461">
        <v>45208</v>
      </c>
      <c r="AAG30" s="456" t="str">
        <f>CHOOSE(WEEKDAY(AAF30,2),"Monday","Tuesday","Wednesday","Thursday","Friday","Saturday","Sunday")</f>
        <v>Monday</v>
      </c>
      <c r="AAH30" s="463" t="s">
        <v>22</v>
      </c>
      <c r="AAI30" s="462" t="s">
        <v>22</v>
      </c>
      <c r="AAJ30" s="463" t="s">
        <v>22</v>
      </c>
      <c r="AAK30" s="462" t="s">
        <v>22</v>
      </c>
      <c r="AAL30" s="463" t="s">
        <v>22</v>
      </c>
      <c r="AAM30" s="462" t="s">
        <v>22</v>
      </c>
      <c r="AAN30" s="461">
        <v>45212</v>
      </c>
      <c r="AAO30" s="456" t="str">
        <f>CHOOSE(WEEKDAY(AAN30,2),"Monday","Tuesday","Wednesday","Thursday","Friday","Saturday","Sunday")</f>
        <v>Friday</v>
      </c>
      <c r="AAP30" s="463" t="s">
        <v>22</v>
      </c>
      <c r="AAQ30" s="462" t="s">
        <v>22</v>
      </c>
      <c r="AAR30" s="461">
        <v>45212</v>
      </c>
      <c r="AAS30" s="456" t="str">
        <f>CHOOSE(WEEKDAY(AAR30,2),"Monday","Tuesday","Wednesday","Thursday","Friday","Saturday","Sunday")</f>
        <v>Friday</v>
      </c>
      <c r="AAT30" s="463" t="s">
        <v>22</v>
      </c>
      <c r="AAU30" s="462" t="s">
        <v>22</v>
      </c>
      <c r="AAV30" s="463" t="s">
        <v>22</v>
      </c>
      <c r="AAW30" s="462" t="s">
        <v>22</v>
      </c>
      <c r="AAX30" s="463" t="s">
        <v>22</v>
      </c>
      <c r="AAY30" s="462" t="s">
        <v>22</v>
      </c>
      <c r="AAZ30" s="461">
        <v>45215</v>
      </c>
      <c r="ABA30" s="456" t="str">
        <f>CHOOSE(WEEKDAY(AAZ30,2),"Monday","Tuesday","Wednesday","Thursday","Friday","Saturday","Sunday")</f>
        <v>Monday</v>
      </c>
      <c r="ABB30" s="461">
        <v>45215</v>
      </c>
      <c r="ABC30" s="456" t="str">
        <f>CHOOSE(WEEKDAY(ABB30,2),"Monday","Tuesday","Wednesday","Thursday","Friday","Saturday","Sunday")</f>
        <v>Monday</v>
      </c>
      <c r="ABD30" s="463" t="s">
        <v>22</v>
      </c>
      <c r="ABE30" s="462" t="s">
        <v>22</v>
      </c>
      <c r="ABF30" s="463" t="s">
        <v>22</v>
      </c>
      <c r="ABG30" s="462" t="s">
        <v>22</v>
      </c>
      <c r="ABH30" s="461">
        <v>45219</v>
      </c>
      <c r="ABI30" s="456" t="str">
        <f>CHOOSE(WEEKDAY(ABH30,2),"Monday","Tuesday","Wednesday","Thursday","Friday","Saturday","Sunday")</f>
        <v>Friday</v>
      </c>
      <c r="ABJ30" s="461">
        <v>45219</v>
      </c>
      <c r="ABK30" s="456" t="str">
        <f>CHOOSE(WEEKDAY(ABJ30,2),"Monday","Tuesday","Wednesday","Thursday","Friday","Saturday","Sunday")</f>
        <v>Friday</v>
      </c>
      <c r="ABL30" s="463" t="s">
        <v>22</v>
      </c>
      <c r="ABM30" s="462" t="s">
        <v>22</v>
      </c>
      <c r="ABN30" s="463" t="s">
        <v>22</v>
      </c>
      <c r="ABO30" s="462" t="s">
        <v>22</v>
      </c>
      <c r="ABP30" s="463" t="s">
        <v>22</v>
      </c>
      <c r="ABQ30" s="462" t="s">
        <v>22</v>
      </c>
      <c r="ABR30" s="461">
        <v>45222</v>
      </c>
      <c r="ABS30" s="456" t="str">
        <f>CHOOSE(WEEKDAY(ABR30,2),"Monday","Tuesday","Wednesday","Thursday","Friday","Saturday","Sunday")</f>
        <v>Monday</v>
      </c>
      <c r="ABT30" s="463" t="s">
        <v>22</v>
      </c>
      <c r="ABU30" s="462" t="s">
        <v>22</v>
      </c>
      <c r="ABV30" s="463" t="s">
        <v>22</v>
      </c>
      <c r="ABW30" s="462" t="s">
        <v>22</v>
      </c>
      <c r="ABX30" s="463" t="s">
        <v>22</v>
      </c>
      <c r="ABY30" s="462" t="s">
        <v>22</v>
      </c>
      <c r="ABZ30" s="463" t="s">
        <v>22</v>
      </c>
      <c r="ACA30" s="462" t="s">
        <v>22</v>
      </c>
      <c r="ACB30" s="463" t="s">
        <v>22</v>
      </c>
      <c r="ACC30" s="462" t="s">
        <v>22</v>
      </c>
      <c r="ACD30" s="461">
        <v>45224</v>
      </c>
      <c r="ACE30" s="456" t="str">
        <f>CHOOSE(WEEKDAY(ACD30,2),"Monday","Tuesday","Wednesday","Thursday","Friday","Saturday","Sunday")</f>
        <v>Wednesday</v>
      </c>
      <c r="ACF30" s="461">
        <v>45226</v>
      </c>
      <c r="ACG30" s="456" t="str">
        <f>CHOOSE(WEEKDAY(ACF30,2),"Monday","Tuesday","Wednesday","Thursday","Friday","Saturday","Sunday")</f>
        <v>Friday</v>
      </c>
      <c r="ACH30" s="461">
        <v>45226</v>
      </c>
      <c r="ACI30" s="456" t="str">
        <f>CHOOSE(WEEKDAY(ACH30,2),"Monday","Tuesday","Wednesday","Thursday","Friday","Saturday","Sunday")</f>
        <v>Friday</v>
      </c>
      <c r="ACJ30" s="463" t="s">
        <v>22</v>
      </c>
      <c r="ACK30" s="462" t="s">
        <v>22</v>
      </c>
      <c r="ACL30" s="463" t="s">
        <v>22</v>
      </c>
      <c r="ACM30" s="462" t="s">
        <v>22</v>
      </c>
      <c r="ACN30" s="461">
        <v>45226</v>
      </c>
      <c r="ACO30" s="456" t="str">
        <f>CHOOSE(WEEKDAY(ACN30,2),"Monday","Tuesday","Wednesday","Thursday","Friday","Saturday","Sunday")</f>
        <v>Friday</v>
      </c>
      <c r="ACP30" s="461">
        <v>45231</v>
      </c>
      <c r="ACQ30" s="456" t="str">
        <f>CHOOSE(WEEKDAY(ACP30,2),"Monday","Tuesday","Wednesday","Thursday","Friday","Saturday","Sunday")</f>
        <v>Wednesday</v>
      </c>
      <c r="ACR30" s="461">
        <v>45233</v>
      </c>
      <c r="ACS30" s="456" t="str">
        <f>CHOOSE(WEEKDAY(ACR30,2),"Monday","Tuesday","Wednesday","Thursday","Friday","Saturday","Sunday")</f>
        <v>Friday</v>
      </c>
      <c r="ACT30" s="311">
        <v>45230</v>
      </c>
      <c r="ACU30" s="310" t="str">
        <f t="shared" ref="ACU30:ACU35" si="70">CHOOSE(WEEKDAY(ACT30,2),"Monday","Tuesday","Wednesday","Thursday","Friday","Saturday","Sunday")</f>
        <v>Tuesday</v>
      </c>
      <c r="ACV30" s="461">
        <v>45235</v>
      </c>
      <c r="ACW30" s="456" t="str">
        <f>CHOOSE(WEEKDAY(ACV30,2),"Monday","Tuesday","Wednesday","Thursday","Friday","Saturday","Sunday")</f>
        <v>Sunday</v>
      </c>
      <c r="ACX30" s="463" t="s">
        <v>22</v>
      </c>
      <c r="ACY30" s="462" t="s">
        <v>22</v>
      </c>
      <c r="ACZ30" s="463" t="s">
        <v>22</v>
      </c>
      <c r="ADA30" s="462" t="s">
        <v>22</v>
      </c>
      <c r="ADB30" s="463" t="s">
        <v>22</v>
      </c>
      <c r="ADC30" s="462" t="s">
        <v>22</v>
      </c>
      <c r="ADD30" s="463" t="s">
        <v>22</v>
      </c>
      <c r="ADE30" s="462" t="s">
        <v>22</v>
      </c>
      <c r="ADF30" s="461">
        <v>45239</v>
      </c>
      <c r="ADG30" s="456" t="str">
        <f>CHOOSE(WEEKDAY(ADF30,2),"Monday","Tuesday","Wednesday","Thursday","Friday","Saturday","Sunday")</f>
        <v>Thursday</v>
      </c>
      <c r="ADH30" s="463" t="s">
        <v>22</v>
      </c>
      <c r="ADI30" s="462" t="s">
        <v>22</v>
      </c>
      <c r="ADJ30" s="463" t="s">
        <v>22</v>
      </c>
      <c r="ADK30" s="462" t="s">
        <v>22</v>
      </c>
      <c r="ADL30" s="461">
        <v>45240</v>
      </c>
      <c r="ADM30" s="456" t="str">
        <f>CHOOSE(WEEKDAY(ADL30,2),"Monday","Tuesday","Wednesday","Thursday","Friday","Saturday","Sunday")</f>
        <v>Friday</v>
      </c>
      <c r="ADN30" s="461">
        <v>45240</v>
      </c>
      <c r="ADO30" s="456" t="str">
        <f>CHOOSE(WEEKDAY(ADN30,2),"Monday","Tuesday","Wednesday","Thursday","Friday","Saturday","Sunday")</f>
        <v>Friday</v>
      </c>
      <c r="ADP30" s="461">
        <v>45242</v>
      </c>
      <c r="ADQ30" s="456" t="str">
        <f>CHOOSE(WEEKDAY(ADP30,2),"Monday","Tuesday","Wednesday","Thursday","Friday","Saturday","Sunday")</f>
        <v>Sunday</v>
      </c>
      <c r="ADR30" s="463" t="s">
        <v>22</v>
      </c>
      <c r="ADS30" s="462" t="s">
        <v>22</v>
      </c>
      <c r="ADT30" s="463" t="s">
        <v>22</v>
      </c>
      <c r="ADU30" s="462" t="s">
        <v>22</v>
      </c>
      <c r="ADV30" s="463" t="s">
        <v>22</v>
      </c>
      <c r="ADW30" s="462" t="s">
        <v>22</v>
      </c>
      <c r="ADX30" s="463" t="s">
        <v>22</v>
      </c>
      <c r="ADY30" s="462" t="s">
        <v>22</v>
      </c>
      <c r="ADZ30" s="461">
        <v>45246</v>
      </c>
      <c r="AEA30" s="456" t="str">
        <f>CHOOSE(WEEKDAY(ADZ30,2),"Monday","Tuesday","Wednesday","Thursday","Friday","Saturday","Sunday")</f>
        <v>Thursday</v>
      </c>
      <c r="AEB30" s="461">
        <v>45249</v>
      </c>
      <c r="AEC30" s="456" t="str">
        <f>CHOOSE(WEEKDAY(AEB30,2),"Monday","Tuesday","Wednesday","Thursday","Friday","Saturday","Sunday")</f>
        <v>Sunday</v>
      </c>
      <c r="AED30" s="463" t="s">
        <v>22</v>
      </c>
      <c r="AEE30" s="462" t="s">
        <v>22</v>
      </c>
      <c r="AEF30" s="463" t="s">
        <v>22</v>
      </c>
      <c r="AEG30" s="462" t="s">
        <v>22</v>
      </c>
      <c r="AEH30" s="461">
        <v>45251</v>
      </c>
      <c r="AEI30" s="456" t="str">
        <f>CHOOSE(WEEKDAY(AEH30,2),"Monday","Tuesday","Wednesday","Thursday","Friday","Saturday","Sunday")</f>
        <v>Tuesday</v>
      </c>
      <c r="AEJ30" s="463" t="s">
        <v>22</v>
      </c>
      <c r="AEK30" s="462" t="s">
        <v>22</v>
      </c>
      <c r="AEL30" s="463" t="s">
        <v>22</v>
      </c>
      <c r="AEM30" s="462" t="s">
        <v>22</v>
      </c>
      <c r="AEN30" s="463" t="s">
        <v>22</v>
      </c>
      <c r="AEO30" s="462" t="s">
        <v>22</v>
      </c>
      <c r="AEP30" s="461">
        <v>45257</v>
      </c>
      <c r="AEQ30" s="456" t="str">
        <f>CHOOSE(WEEKDAY(AEP30,2),"Monday","Tuesday","Wednesday","Thursday","Friday","Saturday","Sunday")</f>
        <v>Monday</v>
      </c>
      <c r="AER30" s="463" t="s">
        <v>22</v>
      </c>
      <c r="AES30" s="462" t="s">
        <v>22</v>
      </c>
      <c r="AET30" s="463" t="s">
        <v>22</v>
      </c>
      <c r="AEU30" s="462" t="s">
        <v>22</v>
      </c>
      <c r="AEV30" s="463" t="s">
        <v>22</v>
      </c>
      <c r="AEW30" s="462" t="s">
        <v>22</v>
      </c>
      <c r="AEX30" s="461">
        <v>45259</v>
      </c>
      <c r="AEY30" s="456" t="str">
        <f>CHOOSE(WEEKDAY(AEX30,2),"Monday","Tuesday","Wednesday","Thursday","Friday","Saturday","Sunday")</f>
        <v>Wednesday</v>
      </c>
      <c r="AEZ30" s="463" t="s">
        <v>22</v>
      </c>
      <c r="AFA30" s="462" t="s">
        <v>22</v>
      </c>
      <c r="AFB30" s="461">
        <v>45261</v>
      </c>
      <c r="AFC30" s="456" t="str">
        <f>CHOOSE(WEEKDAY(AFB30,2),"Monday","Tuesday","Wednesday","Thursday","Friday","Saturday","Sunday")</f>
        <v>Friday</v>
      </c>
      <c r="AFD30" s="461">
        <v>45253</v>
      </c>
      <c r="AFE30" s="456" t="str">
        <f>CHOOSE(WEEKDAY(AFD30,2),"Monday","Tuesday","Wednesday","Thursday","Friday","Saturday","Sunday")</f>
        <v>Thursday</v>
      </c>
      <c r="AFF30" s="463" t="s">
        <v>22</v>
      </c>
      <c r="AFG30" s="462" t="s">
        <v>22</v>
      </c>
      <c r="AFH30" s="463" t="s">
        <v>22</v>
      </c>
      <c r="AFI30" s="462" t="s">
        <v>22</v>
      </c>
      <c r="AFJ30" s="463" t="s">
        <v>22</v>
      </c>
      <c r="AFK30" s="462" t="s">
        <v>22</v>
      </c>
      <c r="AFL30" s="461">
        <v>45265</v>
      </c>
      <c r="AFM30" s="456" t="str">
        <f>CHOOSE(WEEKDAY(AFL30,2),"Monday","Tuesday","Wednesday","Thursday","Friday","Saturday","Sunday")</f>
        <v>Tuesday</v>
      </c>
      <c r="AFN30" s="463" t="s">
        <v>22</v>
      </c>
      <c r="AFO30" s="462" t="s">
        <v>22</v>
      </c>
      <c r="AFP30" s="463" t="s">
        <v>22</v>
      </c>
      <c r="AFQ30" s="462" t="s">
        <v>22</v>
      </c>
      <c r="AFR30" s="463" t="s">
        <v>22</v>
      </c>
      <c r="AFS30" s="462" t="s">
        <v>22</v>
      </c>
      <c r="AFT30" s="463" t="s">
        <v>22</v>
      </c>
      <c r="AFU30" s="462" t="s">
        <v>22</v>
      </c>
      <c r="AFV30" s="463" t="s">
        <v>22</v>
      </c>
      <c r="AFW30" s="462" t="s">
        <v>22</v>
      </c>
      <c r="AFX30" s="461">
        <v>45269</v>
      </c>
      <c r="AFY30" s="456" t="str">
        <f>CHOOSE(WEEKDAY(AFX30,2),"Monday","Tuesday","Wednesday","Thursday","Friday","Saturday","Sunday")</f>
        <v>Saturday</v>
      </c>
      <c r="AFZ30" s="463" t="s">
        <v>22</v>
      </c>
      <c r="AGA30" s="462" t="s">
        <v>22</v>
      </c>
      <c r="AGB30" s="463" t="s">
        <v>22</v>
      </c>
      <c r="AGC30" s="462" t="s">
        <v>22</v>
      </c>
      <c r="AGD30" s="463" t="s">
        <v>22</v>
      </c>
      <c r="AGE30" s="462" t="s">
        <v>22</v>
      </c>
      <c r="AGF30" s="463" t="s">
        <v>22</v>
      </c>
      <c r="AGG30" s="462" t="s">
        <v>22</v>
      </c>
      <c r="AGH30" s="461">
        <v>45272</v>
      </c>
      <c r="AGI30" s="456" t="str">
        <f>CHOOSE(WEEKDAY(AGH30,2),"Monday","Tuesday","Wednesday","Thursday","Friday","Saturday","Sunday")</f>
        <v>Tuesday</v>
      </c>
      <c r="AGJ30" s="463" t="s">
        <v>22</v>
      </c>
      <c r="AGK30" s="462" t="s">
        <v>22</v>
      </c>
      <c r="AGL30" s="463" t="s">
        <v>22</v>
      </c>
      <c r="AGM30" s="462" t="s">
        <v>22</v>
      </c>
      <c r="AGN30" s="463" t="s">
        <v>22</v>
      </c>
      <c r="AGO30" s="462" t="s">
        <v>22</v>
      </c>
      <c r="AGP30" s="461">
        <v>45276</v>
      </c>
      <c r="AGQ30" s="456" t="str">
        <f>CHOOSE(WEEKDAY(AGP30,2),"Monday","Tuesday","Wednesday","Thursday","Friday","Saturday","Sunday")</f>
        <v>Saturday</v>
      </c>
      <c r="AGR30" s="463" t="s">
        <v>22</v>
      </c>
      <c r="AGS30" s="462" t="s">
        <v>22</v>
      </c>
      <c r="AGT30" s="463" t="s">
        <v>22</v>
      </c>
      <c r="AGU30" s="462" t="s">
        <v>22</v>
      </c>
      <c r="AGV30" s="463" t="s">
        <v>22</v>
      </c>
      <c r="AGW30" s="462" t="s">
        <v>22</v>
      </c>
      <c r="AGX30" s="461">
        <v>45279</v>
      </c>
      <c r="AGY30" s="456" t="str">
        <f>CHOOSE(WEEKDAY(AGX30,2),"Monday","Tuesday","Wednesday","Thursday","Friday","Saturday","Sunday")</f>
        <v>Tuesday</v>
      </c>
      <c r="AGZ30" s="463" t="s">
        <v>22</v>
      </c>
      <c r="AHA30" s="462" t="s">
        <v>22</v>
      </c>
      <c r="AHB30" s="463" t="s">
        <v>22</v>
      </c>
      <c r="AHC30" s="462" t="s">
        <v>22</v>
      </c>
      <c r="AHD30" s="463" t="s">
        <v>22</v>
      </c>
      <c r="AHE30" s="462" t="s">
        <v>22</v>
      </c>
      <c r="AHF30" s="461">
        <v>45283</v>
      </c>
      <c r="AHG30" s="456" t="str">
        <f>CHOOSE(WEEKDAY(AHF30,2),"Monday","Tuesday","Wednesday","Thursday","Friday","Saturday","Sunday")</f>
        <v>Saturday</v>
      </c>
      <c r="AHH30" s="463" t="s">
        <v>22</v>
      </c>
      <c r="AHI30" s="462" t="s">
        <v>22</v>
      </c>
      <c r="AHJ30" s="463" t="s">
        <v>22</v>
      </c>
      <c r="AHK30" s="462" t="s">
        <v>22</v>
      </c>
      <c r="AHL30" s="463" t="s">
        <v>22</v>
      </c>
      <c r="AHM30" s="462" t="s">
        <v>22</v>
      </c>
      <c r="AHN30" s="463" t="s">
        <v>22</v>
      </c>
      <c r="AHO30" s="462" t="s">
        <v>22</v>
      </c>
      <c r="AHP30" s="461">
        <v>45287</v>
      </c>
      <c r="AHQ30" s="456" t="str">
        <f>CHOOSE(WEEKDAY(AHP30,2),"Monday","Tuesday","Wednesday","Thursday","Friday","Saturday","Sunday")</f>
        <v>Wednesday</v>
      </c>
      <c r="AHR30" s="461">
        <v>45289</v>
      </c>
      <c r="AHS30" s="456" t="str">
        <f>CHOOSE(WEEKDAY(AHR30,2),"Monday","Tuesday","Wednesday","Thursday","Friday","Saturday","Sunday")</f>
        <v>Friday</v>
      </c>
      <c r="AHT30" s="463" t="s">
        <v>22</v>
      </c>
      <c r="AHU30" s="462" t="s">
        <v>22</v>
      </c>
      <c r="AHV30" s="463" t="s">
        <v>22</v>
      </c>
      <c r="AHW30" s="462" t="s">
        <v>22</v>
      </c>
      <c r="AHX30" s="311">
        <v>45280</v>
      </c>
      <c r="AHY30" s="104" t="str">
        <f>CHOOSE(WEEKDAY(AHX30,2),"Monday","Tuesday","Wednesday","Thursday","Friday","Saturday","Sunday")</f>
        <v>Wednesday</v>
      </c>
      <c r="AHZ30" s="461">
        <v>45291</v>
      </c>
      <c r="AIA30" s="456" t="str">
        <f>CHOOSE(WEEKDAY(AHZ30,2),"Monday","Tuesday","Wednesday","Thursday","Friday","Saturday","Sunday")</f>
        <v>Sunday</v>
      </c>
    </row>
    <row r="31" spans="1:911" ht="15" x14ac:dyDescent="0.2">
      <c r="A31" s="412"/>
      <c r="B31" s="417"/>
      <c r="C31" s="412"/>
      <c r="D31" s="417"/>
      <c r="E31" s="412"/>
      <c r="F31" s="417"/>
      <c r="G31" s="412"/>
      <c r="H31" s="417"/>
      <c r="I31" s="412"/>
      <c r="J31" s="417"/>
      <c r="K31" s="412"/>
      <c r="L31" s="417"/>
      <c r="M31" s="412"/>
      <c r="N31" s="417"/>
      <c r="O31" s="412"/>
      <c r="P31" s="417"/>
      <c r="Q31" s="412"/>
      <c r="R31" s="417"/>
      <c r="S31" s="412"/>
      <c r="T31" s="417"/>
      <c r="U31" s="412"/>
      <c r="V31" s="417"/>
      <c r="W31" s="412"/>
      <c r="X31" s="417"/>
      <c r="Y31" s="412"/>
      <c r="Z31" s="417"/>
      <c r="AA31" s="412"/>
      <c r="AB31" s="417"/>
      <c r="AC31" s="412"/>
      <c r="AD31" s="417"/>
      <c r="AE31" s="412"/>
      <c r="AF31" s="417"/>
      <c r="AG31" s="412"/>
      <c r="AH31" s="417"/>
      <c r="AI31" s="412"/>
      <c r="AJ31" s="417"/>
      <c r="AK31" s="412"/>
      <c r="AL31" s="417"/>
      <c r="AM31" s="412"/>
      <c r="AN31" s="417"/>
      <c r="AO31" s="412"/>
      <c r="AP31" s="417"/>
      <c r="AQ31" s="412"/>
      <c r="AR31" s="417"/>
      <c r="AS31" s="412"/>
      <c r="AT31" s="417"/>
      <c r="AU31" s="412"/>
      <c r="AV31" s="417"/>
      <c r="AW31" s="412"/>
      <c r="AX31" s="417"/>
      <c r="AY31" s="412"/>
      <c r="AZ31" s="417"/>
      <c r="BA31" s="412"/>
      <c r="BB31" s="417"/>
      <c r="BC31" s="412"/>
      <c r="BD31" s="417"/>
      <c r="BE31" s="412"/>
      <c r="BF31" s="417"/>
      <c r="BG31" s="412"/>
      <c r="BH31" s="417"/>
      <c r="BI31" s="412"/>
      <c r="BJ31" s="417"/>
      <c r="BK31" s="412"/>
      <c r="BL31" s="417"/>
      <c r="BM31" s="412"/>
      <c r="BN31" s="417"/>
      <c r="BO31" s="412"/>
      <c r="BP31" s="417"/>
      <c r="BQ31" s="412"/>
      <c r="BR31" s="417"/>
      <c r="BS31" s="412"/>
      <c r="BT31" s="417"/>
      <c r="BU31" s="412"/>
      <c r="BV31" s="417"/>
      <c r="BW31" s="412"/>
      <c r="BX31" s="417"/>
      <c r="BY31" s="412"/>
      <c r="BZ31" s="417"/>
      <c r="CA31" s="412"/>
      <c r="CB31" s="417"/>
      <c r="CC31" s="412"/>
      <c r="CD31" s="417"/>
      <c r="CE31" s="412"/>
      <c r="CF31" s="417"/>
      <c r="CG31" s="412"/>
      <c r="CH31" s="417"/>
      <c r="CI31" s="412"/>
      <c r="CJ31" s="417"/>
      <c r="CK31" s="412"/>
      <c r="CL31" s="417"/>
      <c r="CM31" s="412"/>
      <c r="CN31" s="417"/>
      <c r="CO31" s="412"/>
      <c r="CP31" s="417"/>
      <c r="CQ31" s="412"/>
      <c r="CR31" s="417"/>
      <c r="CS31" s="412"/>
      <c r="CT31" s="417"/>
      <c r="CU31" s="412"/>
      <c r="CV31" s="417"/>
      <c r="CW31" s="412"/>
      <c r="CX31" s="417"/>
      <c r="CY31" s="412"/>
      <c r="CZ31" s="417"/>
      <c r="DA31" s="412"/>
      <c r="DB31" s="417"/>
      <c r="DC31" s="412"/>
      <c r="DD31" s="417"/>
      <c r="DE31" s="412"/>
      <c r="DF31" s="417"/>
      <c r="DG31" s="412"/>
      <c r="DH31" s="417"/>
      <c r="DI31" s="412"/>
      <c r="DJ31" s="417"/>
      <c r="DK31" s="412"/>
      <c r="DL31" s="417"/>
      <c r="DM31" s="412"/>
      <c r="DN31" s="417"/>
      <c r="DO31" s="412"/>
      <c r="DP31" s="417"/>
      <c r="DQ31" s="412"/>
      <c r="DR31" s="417"/>
      <c r="DS31" s="412"/>
      <c r="DT31" s="417"/>
      <c r="DU31" s="412"/>
      <c r="DV31" s="417"/>
      <c r="DW31" s="412"/>
      <c r="DX31" s="417"/>
      <c r="DY31" s="412"/>
      <c r="DZ31" s="417"/>
      <c r="EA31" s="412"/>
      <c r="EB31" s="417"/>
      <c r="EC31" s="412"/>
      <c r="ED31" s="417"/>
      <c r="EE31" s="412"/>
      <c r="EF31" s="417"/>
      <c r="EG31" s="412"/>
      <c r="EH31" s="417"/>
      <c r="EI31" s="412"/>
      <c r="EJ31" s="417"/>
      <c r="EK31" s="412"/>
      <c r="EL31" s="417"/>
      <c r="EM31" s="412"/>
      <c r="EN31" s="417"/>
      <c r="EO31" s="412"/>
      <c r="EP31" s="417"/>
      <c r="EQ31" s="412"/>
      <c r="ER31" s="417"/>
      <c r="ES31" s="412"/>
      <c r="ET31" s="417"/>
      <c r="EU31" s="412"/>
      <c r="EV31" s="417"/>
      <c r="EW31" s="412"/>
      <c r="EX31" s="417"/>
      <c r="EY31" s="412"/>
      <c r="EZ31" s="417"/>
      <c r="FA31" s="412"/>
      <c r="FB31" s="417"/>
      <c r="FC31" s="412"/>
      <c r="FD31" s="417"/>
      <c r="FE31" s="412"/>
      <c r="FF31" s="417"/>
      <c r="FG31" s="412"/>
      <c r="FH31" s="417"/>
      <c r="FI31" s="412"/>
      <c r="FJ31" s="417"/>
      <c r="FK31" s="412"/>
      <c r="FL31" s="417"/>
      <c r="FM31" s="412"/>
      <c r="FN31" s="417"/>
      <c r="FO31" s="412"/>
      <c r="FP31" s="417"/>
      <c r="FQ31" s="412"/>
      <c r="FR31" s="417"/>
      <c r="FS31" s="412"/>
      <c r="FT31" s="417"/>
      <c r="FU31" s="412"/>
      <c r="FV31" s="417"/>
      <c r="FW31" s="412"/>
      <c r="FX31" s="417"/>
      <c r="FY31" s="412"/>
      <c r="FZ31" s="417"/>
      <c r="GA31" s="412"/>
      <c r="GB31" s="417"/>
      <c r="GC31" s="412"/>
      <c r="GD31" s="417"/>
      <c r="GE31" s="412"/>
      <c r="GF31" s="417"/>
      <c r="GG31" s="412"/>
      <c r="GH31" s="417"/>
      <c r="GI31" s="412"/>
      <c r="GJ31" s="417"/>
      <c r="GK31" s="412"/>
      <c r="GL31" s="417"/>
      <c r="GM31" s="412"/>
      <c r="GN31" s="417"/>
      <c r="GO31" s="412"/>
      <c r="GP31" s="417"/>
      <c r="GQ31" s="412"/>
      <c r="GR31" s="417"/>
      <c r="GS31" s="412"/>
      <c r="GT31" s="417"/>
      <c r="GU31" s="412"/>
      <c r="GV31" s="417"/>
      <c r="GW31" s="412"/>
      <c r="GX31" s="417"/>
      <c r="GY31" s="412"/>
      <c r="GZ31" s="417"/>
      <c r="HA31" s="412"/>
      <c r="HB31" s="417"/>
      <c r="HC31" s="412"/>
      <c r="HD31" s="417"/>
      <c r="HE31" s="412"/>
      <c r="HF31" s="417"/>
      <c r="HG31" s="412"/>
      <c r="HH31" s="417"/>
      <c r="HI31" s="412"/>
      <c r="HJ31" s="417"/>
      <c r="HK31" s="412"/>
      <c r="HL31" s="417"/>
      <c r="HM31" s="412"/>
      <c r="HN31" s="469">
        <v>45016</v>
      </c>
      <c r="HO31" s="431" t="str">
        <f>CHOOSE(WEEKDAY(HN32,2),"Monday","Tuesday","Wednesday","Thursday","Friday","Saturday","Sunday")</f>
        <v>Saturday</v>
      </c>
      <c r="HP31" s="417"/>
      <c r="HQ31" s="412"/>
      <c r="HR31" s="417"/>
      <c r="HS31" s="412"/>
      <c r="HT31" s="417"/>
      <c r="HU31" s="412"/>
      <c r="HV31" s="417"/>
      <c r="HW31" s="412"/>
      <c r="HX31" s="417"/>
      <c r="HY31" s="412"/>
      <c r="HZ31" s="417"/>
      <c r="IA31" s="412"/>
      <c r="IB31" s="417"/>
      <c r="IC31" s="412"/>
      <c r="ID31" s="417"/>
      <c r="IE31" s="412"/>
      <c r="IF31" s="417"/>
      <c r="IG31" s="412"/>
      <c r="IH31" s="417"/>
      <c r="II31" s="412"/>
      <c r="IJ31" s="417"/>
      <c r="IK31" s="412"/>
      <c r="IL31" s="417"/>
      <c r="IM31" s="412"/>
      <c r="IN31" s="417"/>
      <c r="IO31" s="412"/>
      <c r="IP31" s="417"/>
      <c r="IQ31" s="412"/>
      <c r="IR31" s="417"/>
      <c r="IS31" s="412"/>
      <c r="IT31" s="417"/>
      <c r="IU31" s="412"/>
      <c r="IV31" s="417"/>
      <c r="IW31" s="412"/>
      <c r="IX31" s="417"/>
      <c r="IY31" s="412"/>
      <c r="IZ31" s="417"/>
      <c r="JA31" s="412"/>
      <c r="JB31" s="417"/>
      <c r="JC31" s="412"/>
      <c r="JD31" s="417"/>
      <c r="JE31" s="412"/>
      <c r="JF31" s="417"/>
      <c r="JG31" s="412"/>
      <c r="JH31" s="417"/>
      <c r="JI31" s="412"/>
      <c r="JJ31" s="417"/>
      <c r="JK31" s="412"/>
      <c r="JL31" s="417"/>
      <c r="JM31" s="412"/>
      <c r="JN31" s="417"/>
      <c r="JO31" s="412"/>
      <c r="JP31" s="417"/>
      <c r="JQ31" s="412"/>
      <c r="JR31" s="417"/>
      <c r="JS31" s="412"/>
      <c r="JT31" s="417"/>
      <c r="JU31" s="412"/>
      <c r="JV31" s="417"/>
      <c r="JW31" s="412"/>
      <c r="JX31" s="417"/>
      <c r="JY31" s="412"/>
      <c r="JZ31" s="417"/>
      <c r="KA31" s="412"/>
      <c r="KB31" s="417"/>
      <c r="KC31" s="412"/>
      <c r="KD31" s="417"/>
      <c r="KE31" s="412"/>
      <c r="KF31" s="417"/>
      <c r="KG31" s="412"/>
      <c r="KH31" s="417"/>
      <c r="KI31" s="412"/>
      <c r="KJ31" s="417"/>
      <c r="KK31" s="412"/>
      <c r="KL31" s="417"/>
      <c r="KM31" s="412"/>
      <c r="KN31" s="417"/>
      <c r="KO31" s="412"/>
      <c r="KP31" s="417"/>
      <c r="KQ31" s="412"/>
      <c r="KR31" s="417"/>
      <c r="KS31" s="412"/>
      <c r="KT31" s="417"/>
      <c r="KU31" s="412"/>
      <c r="KV31" s="417"/>
      <c r="KW31" s="412"/>
      <c r="KX31" s="417"/>
      <c r="KY31" s="412"/>
      <c r="KZ31" s="417"/>
      <c r="LA31" s="412"/>
      <c r="LB31" s="417"/>
      <c r="LC31" s="412"/>
      <c r="LD31" s="417"/>
      <c r="LE31" s="412"/>
      <c r="LF31" s="417"/>
      <c r="LG31" s="412"/>
      <c r="LH31" s="417"/>
      <c r="LI31" s="412"/>
      <c r="LJ31" s="417"/>
      <c r="LK31" s="412"/>
      <c r="LL31" s="313">
        <v>45051</v>
      </c>
      <c r="LM31" s="314" t="str">
        <f t="shared" si="64"/>
        <v>Friday</v>
      </c>
      <c r="LN31" s="417"/>
      <c r="LO31" s="412"/>
      <c r="LP31" s="417"/>
      <c r="LQ31" s="412"/>
      <c r="LR31" s="417"/>
      <c r="LS31" s="412"/>
      <c r="LT31" s="417"/>
      <c r="LU31" s="412"/>
      <c r="LV31" s="417"/>
      <c r="LW31" s="412"/>
      <c r="LX31" s="417"/>
      <c r="LY31" s="412"/>
      <c r="LZ31" s="417"/>
      <c r="MA31" s="412"/>
      <c r="MB31" s="417"/>
      <c r="MC31" s="412"/>
      <c r="MD31" s="417"/>
      <c r="ME31" s="412"/>
      <c r="MF31" s="417"/>
      <c r="MG31" s="412"/>
      <c r="MH31" s="417"/>
      <c r="MI31" s="412"/>
      <c r="MJ31" s="417"/>
      <c r="MK31" s="412"/>
      <c r="ML31" s="417"/>
      <c r="MM31" s="412"/>
      <c r="MN31" s="417"/>
      <c r="MO31" s="412"/>
      <c r="MP31" s="417"/>
      <c r="MQ31" s="412"/>
      <c r="MR31" s="417"/>
      <c r="MS31" s="412"/>
      <c r="MT31" s="417"/>
      <c r="MU31" s="412"/>
      <c r="MV31" s="417"/>
      <c r="MW31" s="412"/>
      <c r="MX31" s="417"/>
      <c r="MY31" s="412"/>
      <c r="MZ31" s="417"/>
      <c r="NA31" s="412"/>
      <c r="NB31" s="417"/>
      <c r="NC31" s="412"/>
      <c r="ND31" s="417"/>
      <c r="NE31" s="412"/>
      <c r="NF31" s="417"/>
      <c r="NG31" s="412"/>
      <c r="NH31" s="417"/>
      <c r="NI31" s="412"/>
      <c r="NJ31" s="417"/>
      <c r="NK31" s="412"/>
      <c r="NL31" s="417"/>
      <c r="NM31" s="412"/>
      <c r="NN31" s="417"/>
      <c r="NO31" s="412"/>
      <c r="NP31" s="417"/>
      <c r="NQ31" s="412"/>
      <c r="NR31" s="417"/>
      <c r="NS31" s="412"/>
      <c r="NT31" s="417"/>
      <c r="NU31" s="412"/>
      <c r="NV31" s="417"/>
      <c r="NW31" s="412"/>
      <c r="NX31" s="417"/>
      <c r="NY31" s="412"/>
      <c r="NZ31" s="417"/>
      <c r="OA31" s="412"/>
      <c r="OB31" s="417"/>
      <c r="OC31" s="412"/>
      <c r="OD31" s="313">
        <v>45082</v>
      </c>
      <c r="OE31" s="314" t="str">
        <f t="shared" si="69"/>
        <v>Monday</v>
      </c>
      <c r="OF31" s="417"/>
      <c r="OG31" s="412"/>
      <c r="OH31" s="417"/>
      <c r="OI31" s="412"/>
      <c r="OJ31" s="417"/>
      <c r="OK31" s="412"/>
      <c r="OL31" s="417"/>
      <c r="OM31" s="412"/>
      <c r="ON31" s="417"/>
      <c r="OO31" s="412"/>
      <c r="OP31" s="417"/>
      <c r="OQ31" s="412"/>
      <c r="OR31" s="417"/>
      <c r="OS31" s="412"/>
      <c r="OT31" s="417"/>
      <c r="OU31" s="412"/>
      <c r="OV31" s="417"/>
      <c r="OW31" s="412"/>
      <c r="OX31" s="417"/>
      <c r="OY31" s="412"/>
      <c r="OZ31" s="417"/>
      <c r="PA31" s="412"/>
      <c r="PB31" s="417"/>
      <c r="PC31" s="412"/>
      <c r="PD31" s="417"/>
      <c r="PE31" s="412"/>
      <c r="PF31" s="417"/>
      <c r="PG31" s="412"/>
      <c r="PH31" s="417"/>
      <c r="PI31" s="412"/>
      <c r="PJ31" s="417"/>
      <c r="PK31" s="412"/>
      <c r="PL31" s="417"/>
      <c r="PM31" s="412"/>
      <c r="PN31" s="417"/>
      <c r="PO31" s="412"/>
      <c r="PP31" s="417"/>
      <c r="PQ31" s="412"/>
      <c r="PR31" s="417"/>
      <c r="PS31" s="412"/>
      <c r="PT31" s="417"/>
      <c r="PU31" s="412"/>
      <c r="PV31" s="417"/>
      <c r="PW31" s="412"/>
      <c r="PX31" s="417"/>
      <c r="PY31" s="412"/>
      <c r="PZ31" s="417"/>
      <c r="QA31" s="412"/>
      <c r="QB31" s="417"/>
      <c r="QC31" s="412"/>
      <c r="QD31" s="417"/>
      <c r="QE31" s="412"/>
      <c r="QF31" s="417"/>
      <c r="QG31" s="412"/>
      <c r="QH31" s="417"/>
      <c r="QI31" s="412"/>
      <c r="QJ31" s="417"/>
      <c r="QK31" s="412"/>
      <c r="QL31" s="417"/>
      <c r="QM31" s="412"/>
      <c r="QN31" s="417"/>
      <c r="QO31" s="412"/>
      <c r="QP31" s="417"/>
      <c r="QQ31" s="412"/>
      <c r="QR31" s="417"/>
      <c r="QS31" s="412"/>
      <c r="QT31" s="417"/>
      <c r="QU31" s="412"/>
      <c r="QV31" s="417"/>
      <c r="QW31" s="412"/>
      <c r="QX31" s="417"/>
      <c r="QY31" s="412"/>
      <c r="QZ31" s="417"/>
      <c r="RA31" s="412"/>
      <c r="RB31" s="417"/>
      <c r="RC31" s="412"/>
      <c r="RD31" s="417"/>
      <c r="RE31" s="412"/>
      <c r="RF31" s="417"/>
      <c r="RG31" s="412"/>
      <c r="RH31" s="417"/>
      <c r="RI31" s="412"/>
      <c r="RJ31" s="417"/>
      <c r="RK31" s="412"/>
      <c r="RL31" s="469">
        <v>45161</v>
      </c>
      <c r="RM31" s="470" t="str">
        <f>CHOOSE(WEEKDAY(RL32,2),"Monday","Tuesday","Wednesday","Thursday","Friday","Saturday","Sunday")</f>
        <v>Saturday</v>
      </c>
      <c r="RN31" s="417"/>
      <c r="RO31" s="412"/>
      <c r="RP31" s="469">
        <v>45116</v>
      </c>
      <c r="RQ31" s="470" t="str">
        <f>CHOOSE(WEEKDAY(RP32,2),"Monday","Tuesday","Wednesday","Thursday","Friday","Saturday","Sunday")</f>
        <v>Saturday</v>
      </c>
      <c r="RR31" s="417"/>
      <c r="RS31" s="412"/>
      <c r="RT31" s="417"/>
      <c r="RU31" s="412"/>
      <c r="RV31" s="417"/>
      <c r="RW31" s="412"/>
      <c r="RX31" s="417"/>
      <c r="RY31" s="412"/>
      <c r="RZ31" s="417"/>
      <c r="SA31" s="412"/>
      <c r="SB31" s="417"/>
      <c r="SC31" s="412"/>
      <c r="SD31" s="417"/>
      <c r="SE31" s="412"/>
      <c r="SF31" s="417"/>
      <c r="SG31" s="412"/>
      <c r="SH31" s="417"/>
      <c r="SI31" s="412"/>
      <c r="SJ31" s="417"/>
      <c r="SK31" s="412"/>
      <c r="SL31" s="417"/>
      <c r="SM31" s="412"/>
      <c r="SN31" s="417"/>
      <c r="SO31" s="412"/>
      <c r="SP31" s="417"/>
      <c r="SQ31" s="412"/>
      <c r="SR31" s="417"/>
      <c r="SS31" s="412"/>
      <c r="ST31" s="417"/>
      <c r="SU31" s="412"/>
      <c r="SV31" s="417"/>
      <c r="SW31" s="412"/>
      <c r="SX31" s="417"/>
      <c r="SY31" s="412"/>
      <c r="SZ31" s="417"/>
      <c r="TA31" s="412"/>
      <c r="TB31" s="417"/>
      <c r="TC31" s="412"/>
      <c r="TD31" s="417"/>
      <c r="TE31" s="412"/>
      <c r="TF31" s="417"/>
      <c r="TG31" s="412"/>
      <c r="TH31" s="417"/>
      <c r="TI31" s="412"/>
      <c r="TJ31" s="417"/>
      <c r="TK31" s="412"/>
      <c r="TL31" s="417"/>
      <c r="TM31" s="412"/>
      <c r="TN31" s="417"/>
      <c r="TO31" s="412"/>
      <c r="TP31" s="417"/>
      <c r="TQ31" s="412"/>
      <c r="TR31" s="417"/>
      <c r="TS31" s="412"/>
      <c r="TT31" s="417"/>
      <c r="TU31" s="412"/>
      <c r="TV31" s="417"/>
      <c r="TW31" s="412"/>
      <c r="TX31" s="417"/>
      <c r="TY31" s="412"/>
      <c r="TZ31" s="417"/>
      <c r="UA31" s="412"/>
      <c r="UB31" s="417"/>
      <c r="UC31" s="412"/>
      <c r="UD31" s="417"/>
      <c r="UE31" s="412"/>
      <c r="UF31" s="417"/>
      <c r="UG31" s="412"/>
      <c r="UH31" s="417"/>
      <c r="UI31" s="412"/>
      <c r="UJ31" s="417"/>
      <c r="UK31" s="412"/>
      <c r="UL31" s="417"/>
      <c r="UM31" s="412"/>
      <c r="UN31" s="417"/>
      <c r="UO31" s="412"/>
      <c r="UP31" s="417"/>
      <c r="UQ31" s="412"/>
      <c r="UR31" s="417"/>
      <c r="US31" s="412"/>
      <c r="UT31" s="417"/>
      <c r="UU31" s="412"/>
      <c r="UV31" s="417"/>
      <c r="UW31" s="412"/>
      <c r="UX31" s="417"/>
      <c r="UY31" s="412"/>
      <c r="UZ31" s="417"/>
      <c r="VA31" s="412"/>
      <c r="VB31" s="417"/>
      <c r="VC31" s="412"/>
      <c r="VD31" s="417"/>
      <c r="VE31" s="412"/>
      <c r="VF31" s="417"/>
      <c r="VG31" s="412"/>
      <c r="VH31" s="417"/>
      <c r="VI31" s="412"/>
      <c r="VJ31" s="417"/>
      <c r="VK31" s="412"/>
      <c r="VL31" s="417"/>
      <c r="VM31" s="412"/>
      <c r="VN31" s="417"/>
      <c r="VO31" s="412"/>
      <c r="VP31" s="417"/>
      <c r="VQ31" s="412"/>
      <c r="VR31" s="417"/>
      <c r="VS31" s="412"/>
      <c r="VT31" s="417"/>
      <c r="VU31" s="412"/>
      <c r="VV31" s="417"/>
      <c r="VW31" s="412"/>
      <c r="VX31" s="417"/>
      <c r="VY31" s="412"/>
      <c r="VZ31" s="417"/>
      <c r="WA31" s="412"/>
      <c r="WB31" s="417"/>
      <c r="WC31" s="412"/>
      <c r="WD31" s="417"/>
      <c r="WE31" s="412"/>
      <c r="WF31" s="417"/>
      <c r="WG31" s="412"/>
      <c r="WH31" s="417"/>
      <c r="WI31" s="412"/>
      <c r="WJ31" s="417"/>
      <c r="WK31" s="412"/>
      <c r="WL31" s="417"/>
      <c r="WM31" s="412"/>
      <c r="WN31" s="417"/>
      <c r="WO31" s="412"/>
      <c r="WP31" s="417"/>
      <c r="WQ31" s="412"/>
      <c r="WR31" s="417"/>
      <c r="WS31" s="412"/>
      <c r="WT31" s="417"/>
      <c r="WU31" s="412"/>
      <c r="WV31" s="417"/>
      <c r="WW31" s="402"/>
      <c r="WX31" s="417"/>
      <c r="WY31" s="402"/>
      <c r="WZ31" s="417"/>
      <c r="XA31" s="412"/>
      <c r="XB31" s="417"/>
      <c r="XC31" s="412"/>
      <c r="XD31" s="417"/>
      <c r="XE31" s="412"/>
      <c r="XF31" s="417"/>
      <c r="XG31" s="412"/>
      <c r="XH31" s="417"/>
      <c r="XI31" s="412"/>
      <c r="XJ31" s="417"/>
      <c r="XK31" s="412"/>
      <c r="XL31" s="417"/>
      <c r="XM31" s="412"/>
      <c r="XN31" s="417"/>
      <c r="XO31" s="412"/>
      <c r="XP31" s="417"/>
      <c r="XQ31" s="412"/>
      <c r="XR31" s="417"/>
      <c r="XS31" s="412"/>
      <c r="XT31" s="417"/>
      <c r="XU31" s="412"/>
      <c r="XV31" s="417"/>
      <c r="XW31" s="412"/>
      <c r="XX31" s="417"/>
      <c r="XY31" s="412"/>
      <c r="XZ31" s="417"/>
      <c r="YA31" s="412"/>
      <c r="YB31" s="417"/>
      <c r="YC31" s="412"/>
      <c r="YD31" s="417"/>
      <c r="YE31" s="412"/>
      <c r="YF31" s="417"/>
      <c r="YG31" s="412"/>
      <c r="YH31" s="417"/>
      <c r="YI31" s="412"/>
      <c r="YJ31" s="417"/>
      <c r="YK31" s="412"/>
      <c r="YL31" s="417"/>
      <c r="YM31" s="412"/>
      <c r="YN31" s="417"/>
      <c r="YO31" s="412"/>
      <c r="YP31" s="417"/>
      <c r="YQ31" s="412"/>
      <c r="YR31" s="417"/>
      <c r="YS31" s="412"/>
      <c r="YT31" s="417"/>
      <c r="YU31" s="412"/>
      <c r="YV31" s="417"/>
      <c r="YW31" s="412"/>
      <c r="YX31" s="417"/>
      <c r="YY31" s="412"/>
      <c r="YZ31" s="417"/>
      <c r="ZA31" s="412"/>
      <c r="ZB31" s="417"/>
      <c r="ZC31" s="412"/>
      <c r="ZD31" s="417"/>
      <c r="ZE31" s="412"/>
      <c r="ZF31" s="417"/>
      <c r="ZG31" s="412"/>
      <c r="ZH31" s="417"/>
      <c r="ZI31" s="412"/>
      <c r="ZJ31" s="417"/>
      <c r="ZK31" s="412"/>
      <c r="ZL31" s="417"/>
      <c r="ZM31" s="412"/>
      <c r="ZN31" s="417"/>
      <c r="ZO31" s="412"/>
      <c r="ZP31" s="417"/>
      <c r="ZQ31" s="412"/>
      <c r="ZR31" s="417"/>
      <c r="ZS31" s="412"/>
      <c r="ZT31" s="417"/>
      <c r="ZU31" s="412"/>
      <c r="ZV31" s="417"/>
      <c r="ZW31" s="412"/>
      <c r="ZX31" s="417"/>
      <c r="ZY31" s="412"/>
      <c r="ZZ31" s="417"/>
      <c r="AAA31" s="412"/>
      <c r="AAB31" s="417"/>
      <c r="AAC31" s="412"/>
      <c r="AAD31" s="417"/>
      <c r="AAE31" s="412"/>
      <c r="AAF31" s="417"/>
      <c r="AAG31" s="412"/>
      <c r="AAH31" s="417"/>
      <c r="AAI31" s="412"/>
      <c r="AAJ31" s="417"/>
      <c r="AAK31" s="412"/>
      <c r="AAL31" s="417"/>
      <c r="AAM31" s="412"/>
      <c r="AAN31" s="417"/>
      <c r="AAO31" s="412"/>
      <c r="AAP31" s="417"/>
      <c r="AAQ31" s="412"/>
      <c r="AAR31" s="417"/>
      <c r="AAS31" s="412"/>
      <c r="AAT31" s="417"/>
      <c r="AAU31" s="412"/>
      <c r="AAV31" s="417"/>
      <c r="AAW31" s="412"/>
      <c r="AAX31" s="417"/>
      <c r="AAY31" s="412"/>
      <c r="AAZ31" s="417"/>
      <c r="ABA31" s="412"/>
      <c r="ABB31" s="417"/>
      <c r="ABC31" s="412"/>
      <c r="ABD31" s="417"/>
      <c r="ABE31" s="412"/>
      <c r="ABF31" s="417"/>
      <c r="ABG31" s="412"/>
      <c r="ABH31" s="417"/>
      <c r="ABI31" s="412"/>
      <c r="ABJ31" s="417"/>
      <c r="ABK31" s="412"/>
      <c r="ABL31" s="417"/>
      <c r="ABM31" s="412"/>
      <c r="ABN31" s="417"/>
      <c r="ABO31" s="412"/>
      <c r="ABP31" s="417"/>
      <c r="ABQ31" s="412"/>
      <c r="ABR31" s="417"/>
      <c r="ABS31" s="412"/>
      <c r="ABT31" s="417"/>
      <c r="ABU31" s="412"/>
      <c r="ABV31" s="417"/>
      <c r="ABW31" s="412"/>
      <c r="ABX31" s="417"/>
      <c r="ABY31" s="412"/>
      <c r="ABZ31" s="417"/>
      <c r="ACA31" s="412"/>
      <c r="ACB31" s="417"/>
      <c r="ACC31" s="412"/>
      <c r="ACD31" s="417"/>
      <c r="ACE31" s="412"/>
      <c r="ACF31" s="417"/>
      <c r="ACG31" s="412"/>
      <c r="ACH31" s="417"/>
      <c r="ACI31" s="412"/>
      <c r="ACJ31" s="417"/>
      <c r="ACK31" s="412"/>
      <c r="ACL31" s="417"/>
      <c r="ACM31" s="412"/>
      <c r="ACN31" s="417"/>
      <c r="ACO31" s="412"/>
      <c r="ACP31" s="417"/>
      <c r="ACQ31" s="412"/>
      <c r="ACR31" s="417"/>
      <c r="ACS31" s="412"/>
      <c r="ACT31" s="315">
        <v>45233</v>
      </c>
      <c r="ACU31" s="275" t="str">
        <f t="shared" si="70"/>
        <v>Friday</v>
      </c>
      <c r="ACV31" s="417"/>
      <c r="ACW31" s="412"/>
      <c r="ACX31" s="417"/>
      <c r="ACY31" s="412"/>
      <c r="ACZ31" s="417"/>
      <c r="ADA31" s="412"/>
      <c r="ADB31" s="417"/>
      <c r="ADC31" s="412"/>
      <c r="ADD31" s="417"/>
      <c r="ADE31" s="412"/>
      <c r="ADF31" s="417"/>
      <c r="ADG31" s="412"/>
      <c r="ADH31" s="417"/>
      <c r="ADI31" s="412"/>
      <c r="ADJ31" s="417"/>
      <c r="ADK31" s="412"/>
      <c r="ADL31" s="417"/>
      <c r="ADM31" s="412"/>
      <c r="ADN31" s="417"/>
      <c r="ADO31" s="412"/>
      <c r="ADP31" s="417"/>
      <c r="ADQ31" s="412"/>
      <c r="ADR31" s="417"/>
      <c r="ADS31" s="412"/>
      <c r="ADT31" s="417"/>
      <c r="ADU31" s="412"/>
      <c r="ADV31" s="417"/>
      <c r="ADW31" s="412"/>
      <c r="ADX31" s="417"/>
      <c r="ADY31" s="412"/>
      <c r="ADZ31" s="417"/>
      <c r="AEA31" s="412"/>
      <c r="AEB31" s="417"/>
      <c r="AEC31" s="412"/>
      <c r="AED31" s="417"/>
      <c r="AEE31" s="412"/>
      <c r="AEF31" s="417"/>
      <c r="AEG31" s="412"/>
      <c r="AEH31" s="417"/>
      <c r="AEI31" s="412"/>
      <c r="AEJ31" s="417"/>
      <c r="AEK31" s="412"/>
      <c r="AEL31" s="417"/>
      <c r="AEM31" s="412"/>
      <c r="AEN31" s="417"/>
      <c r="AEO31" s="412"/>
      <c r="AEP31" s="417"/>
      <c r="AEQ31" s="412"/>
      <c r="AER31" s="417"/>
      <c r="AES31" s="412"/>
      <c r="AET31" s="417"/>
      <c r="AEU31" s="412"/>
      <c r="AEV31" s="417"/>
      <c r="AEW31" s="412"/>
      <c r="AEX31" s="417"/>
      <c r="AEY31" s="412"/>
      <c r="AEZ31" s="417"/>
      <c r="AFA31" s="412"/>
      <c r="AFB31" s="417"/>
      <c r="AFC31" s="412"/>
      <c r="AFD31" s="417"/>
      <c r="AFE31" s="412"/>
      <c r="AFF31" s="417"/>
      <c r="AFG31" s="412"/>
      <c r="AFH31" s="417"/>
      <c r="AFI31" s="412"/>
      <c r="AFJ31" s="417"/>
      <c r="AFK31" s="412"/>
      <c r="AFL31" s="417"/>
      <c r="AFM31" s="412"/>
      <c r="AFN31" s="417"/>
      <c r="AFO31" s="412"/>
      <c r="AFP31" s="417"/>
      <c r="AFQ31" s="412"/>
      <c r="AFR31" s="417"/>
      <c r="AFS31" s="412"/>
      <c r="AFT31" s="417"/>
      <c r="AFU31" s="412"/>
      <c r="AFV31" s="417"/>
      <c r="AFW31" s="412"/>
      <c r="AFX31" s="417"/>
      <c r="AFY31" s="412"/>
      <c r="AFZ31" s="417"/>
      <c r="AGA31" s="412"/>
      <c r="AGB31" s="417"/>
      <c r="AGC31" s="412"/>
      <c r="AGD31" s="417"/>
      <c r="AGE31" s="412"/>
      <c r="AGF31" s="417"/>
      <c r="AGG31" s="412"/>
      <c r="AGH31" s="417"/>
      <c r="AGI31" s="412"/>
      <c r="AGJ31" s="417"/>
      <c r="AGK31" s="412"/>
      <c r="AGL31" s="417"/>
      <c r="AGM31" s="412"/>
      <c r="AGN31" s="417"/>
      <c r="AGO31" s="412"/>
      <c r="AGP31" s="417"/>
      <c r="AGQ31" s="412"/>
      <c r="AGR31" s="417"/>
      <c r="AGS31" s="412"/>
      <c r="AGT31" s="417"/>
      <c r="AGU31" s="412"/>
      <c r="AGV31" s="417"/>
      <c r="AGW31" s="412"/>
      <c r="AGX31" s="417"/>
      <c r="AGY31" s="412"/>
      <c r="AGZ31" s="417"/>
      <c r="AHA31" s="412"/>
      <c r="AHB31" s="417"/>
      <c r="AHC31" s="412"/>
      <c r="AHD31" s="417"/>
      <c r="AHE31" s="412"/>
      <c r="AHF31" s="417"/>
      <c r="AHG31" s="412"/>
      <c r="AHH31" s="417"/>
      <c r="AHI31" s="412"/>
      <c r="AHJ31" s="417"/>
      <c r="AHK31" s="412"/>
      <c r="AHL31" s="417"/>
      <c r="AHM31" s="412"/>
      <c r="AHN31" s="417"/>
      <c r="AHO31" s="412"/>
      <c r="AHP31" s="417"/>
      <c r="AHQ31" s="412"/>
      <c r="AHR31" s="417"/>
      <c r="AHS31" s="412"/>
      <c r="AHT31" s="417"/>
      <c r="AHU31" s="412"/>
      <c r="AHV31" s="417"/>
      <c r="AHW31" s="412"/>
      <c r="AHX31" s="466">
        <v>45286</v>
      </c>
      <c r="AHY31" s="467" t="str">
        <f>CHOOSE(WEEKDAY(AHX32,2),"Monday","Tuesday","Wednesday","Thursday","Friday","Saturday","Sunday")</f>
        <v>Saturday</v>
      </c>
      <c r="AHZ31" s="417"/>
      <c r="AIA31" s="412"/>
    </row>
    <row r="32" spans="1:911" ht="15" x14ac:dyDescent="0.2">
      <c r="A32" s="412"/>
      <c r="B32" s="417"/>
      <c r="C32" s="412"/>
      <c r="D32" s="417"/>
      <c r="E32" s="412"/>
      <c r="F32" s="417"/>
      <c r="G32" s="412"/>
      <c r="H32" s="417"/>
      <c r="I32" s="412"/>
      <c r="J32" s="417"/>
      <c r="K32" s="412"/>
      <c r="L32" s="417"/>
      <c r="M32" s="412"/>
      <c r="N32" s="417"/>
      <c r="O32" s="412"/>
      <c r="P32" s="417"/>
      <c r="Q32" s="412"/>
      <c r="R32" s="417"/>
      <c r="S32" s="412"/>
      <c r="T32" s="417"/>
      <c r="U32" s="412"/>
      <c r="V32" s="417"/>
      <c r="W32" s="412"/>
      <c r="X32" s="417"/>
      <c r="Y32" s="412"/>
      <c r="Z32" s="417"/>
      <c r="AA32" s="412"/>
      <c r="AB32" s="417"/>
      <c r="AC32" s="412"/>
      <c r="AD32" s="417"/>
      <c r="AE32" s="412"/>
      <c r="AF32" s="417"/>
      <c r="AG32" s="412"/>
      <c r="AH32" s="417"/>
      <c r="AI32" s="412"/>
      <c r="AJ32" s="417"/>
      <c r="AK32" s="412"/>
      <c r="AL32" s="417"/>
      <c r="AM32" s="412"/>
      <c r="AN32" s="417"/>
      <c r="AO32" s="412"/>
      <c r="AP32" s="417"/>
      <c r="AQ32" s="412"/>
      <c r="AR32" s="417"/>
      <c r="AS32" s="412"/>
      <c r="AT32" s="417"/>
      <c r="AU32" s="412"/>
      <c r="AV32" s="417"/>
      <c r="AW32" s="412"/>
      <c r="AX32" s="417"/>
      <c r="AY32" s="412"/>
      <c r="AZ32" s="417"/>
      <c r="BA32" s="412"/>
      <c r="BB32" s="417"/>
      <c r="BC32" s="412"/>
      <c r="BD32" s="417"/>
      <c r="BE32" s="412"/>
      <c r="BF32" s="417"/>
      <c r="BG32" s="412"/>
      <c r="BH32" s="417"/>
      <c r="BI32" s="412"/>
      <c r="BJ32" s="417"/>
      <c r="BK32" s="412"/>
      <c r="BL32" s="417"/>
      <c r="BM32" s="412"/>
      <c r="BN32" s="417"/>
      <c r="BO32" s="412"/>
      <c r="BP32" s="417"/>
      <c r="BQ32" s="412"/>
      <c r="BR32" s="417"/>
      <c r="BS32" s="412"/>
      <c r="BT32" s="417"/>
      <c r="BU32" s="412"/>
      <c r="BV32" s="417"/>
      <c r="BW32" s="412"/>
      <c r="BX32" s="417"/>
      <c r="BY32" s="412"/>
      <c r="BZ32" s="417"/>
      <c r="CA32" s="412"/>
      <c r="CB32" s="417"/>
      <c r="CC32" s="412"/>
      <c r="CD32" s="417"/>
      <c r="CE32" s="412"/>
      <c r="CF32" s="417"/>
      <c r="CG32" s="412"/>
      <c r="CH32" s="417"/>
      <c r="CI32" s="412"/>
      <c r="CJ32" s="417"/>
      <c r="CK32" s="412"/>
      <c r="CL32" s="417"/>
      <c r="CM32" s="412"/>
      <c r="CN32" s="417"/>
      <c r="CO32" s="412"/>
      <c r="CP32" s="417"/>
      <c r="CQ32" s="412"/>
      <c r="CR32" s="417"/>
      <c r="CS32" s="412"/>
      <c r="CT32" s="417"/>
      <c r="CU32" s="412"/>
      <c r="CV32" s="417"/>
      <c r="CW32" s="412"/>
      <c r="CX32" s="417"/>
      <c r="CY32" s="412"/>
      <c r="CZ32" s="417"/>
      <c r="DA32" s="412"/>
      <c r="DB32" s="417"/>
      <c r="DC32" s="412"/>
      <c r="DD32" s="417"/>
      <c r="DE32" s="412"/>
      <c r="DF32" s="417"/>
      <c r="DG32" s="412"/>
      <c r="DH32" s="417"/>
      <c r="DI32" s="412"/>
      <c r="DJ32" s="417"/>
      <c r="DK32" s="412"/>
      <c r="DL32" s="417"/>
      <c r="DM32" s="412"/>
      <c r="DN32" s="417"/>
      <c r="DO32" s="412"/>
      <c r="DP32" s="417"/>
      <c r="DQ32" s="412"/>
      <c r="DR32" s="417"/>
      <c r="DS32" s="412"/>
      <c r="DT32" s="417"/>
      <c r="DU32" s="412"/>
      <c r="DV32" s="417"/>
      <c r="DW32" s="412"/>
      <c r="DX32" s="417"/>
      <c r="DY32" s="412"/>
      <c r="DZ32" s="417"/>
      <c r="EA32" s="412"/>
      <c r="EB32" s="417"/>
      <c r="EC32" s="412"/>
      <c r="ED32" s="417"/>
      <c r="EE32" s="412"/>
      <c r="EF32" s="417"/>
      <c r="EG32" s="412"/>
      <c r="EH32" s="417"/>
      <c r="EI32" s="412"/>
      <c r="EJ32" s="417"/>
      <c r="EK32" s="412"/>
      <c r="EL32" s="417"/>
      <c r="EM32" s="412"/>
      <c r="EN32" s="417"/>
      <c r="EO32" s="412"/>
      <c r="EP32" s="417"/>
      <c r="EQ32" s="412"/>
      <c r="ER32" s="417"/>
      <c r="ES32" s="412"/>
      <c r="ET32" s="417"/>
      <c r="EU32" s="412"/>
      <c r="EV32" s="417"/>
      <c r="EW32" s="412"/>
      <c r="EX32" s="417"/>
      <c r="EY32" s="412"/>
      <c r="EZ32" s="417"/>
      <c r="FA32" s="412"/>
      <c r="FB32" s="417"/>
      <c r="FC32" s="412"/>
      <c r="FD32" s="417"/>
      <c r="FE32" s="412"/>
      <c r="FF32" s="417"/>
      <c r="FG32" s="412"/>
      <c r="FH32" s="417"/>
      <c r="FI32" s="412"/>
      <c r="FJ32" s="417"/>
      <c r="FK32" s="412"/>
      <c r="FL32" s="417"/>
      <c r="FM32" s="412"/>
      <c r="FN32" s="417"/>
      <c r="FO32" s="412"/>
      <c r="FP32" s="417"/>
      <c r="FQ32" s="412"/>
      <c r="FR32" s="417"/>
      <c r="FS32" s="412"/>
      <c r="FT32" s="417"/>
      <c r="FU32" s="412"/>
      <c r="FV32" s="417"/>
      <c r="FW32" s="412"/>
      <c r="FX32" s="417"/>
      <c r="FY32" s="412"/>
      <c r="FZ32" s="417"/>
      <c r="GA32" s="412"/>
      <c r="GB32" s="417"/>
      <c r="GC32" s="412"/>
      <c r="GD32" s="417"/>
      <c r="GE32" s="412"/>
      <c r="GF32" s="417"/>
      <c r="GG32" s="412"/>
      <c r="GH32" s="417"/>
      <c r="GI32" s="412"/>
      <c r="GJ32" s="417"/>
      <c r="GK32" s="412"/>
      <c r="GL32" s="417"/>
      <c r="GM32" s="412"/>
      <c r="GN32" s="417"/>
      <c r="GO32" s="412"/>
      <c r="GP32" s="417"/>
      <c r="GQ32" s="412"/>
      <c r="GR32" s="417"/>
      <c r="GS32" s="412"/>
      <c r="GT32" s="417"/>
      <c r="GU32" s="412"/>
      <c r="GV32" s="417"/>
      <c r="GW32" s="412"/>
      <c r="GX32" s="417"/>
      <c r="GY32" s="412"/>
      <c r="GZ32" s="417"/>
      <c r="HA32" s="412"/>
      <c r="HB32" s="417"/>
      <c r="HC32" s="412"/>
      <c r="HD32" s="417"/>
      <c r="HE32" s="412"/>
      <c r="HF32" s="417"/>
      <c r="HG32" s="412"/>
      <c r="HH32" s="417"/>
      <c r="HI32" s="412"/>
      <c r="HJ32" s="417"/>
      <c r="HK32" s="412"/>
      <c r="HL32" s="417"/>
      <c r="HM32" s="412"/>
      <c r="HN32" s="417"/>
      <c r="HO32" s="412"/>
      <c r="HP32" s="417"/>
      <c r="HQ32" s="412"/>
      <c r="HR32" s="417"/>
      <c r="HS32" s="412"/>
      <c r="HT32" s="417"/>
      <c r="HU32" s="412"/>
      <c r="HV32" s="417"/>
      <c r="HW32" s="412"/>
      <c r="HX32" s="417"/>
      <c r="HY32" s="412"/>
      <c r="HZ32" s="417"/>
      <c r="IA32" s="412"/>
      <c r="IB32" s="417"/>
      <c r="IC32" s="412"/>
      <c r="ID32" s="417"/>
      <c r="IE32" s="412"/>
      <c r="IF32" s="417"/>
      <c r="IG32" s="412"/>
      <c r="IH32" s="417"/>
      <c r="II32" s="412"/>
      <c r="IJ32" s="417"/>
      <c r="IK32" s="412"/>
      <c r="IL32" s="417"/>
      <c r="IM32" s="412"/>
      <c r="IN32" s="417"/>
      <c r="IO32" s="412"/>
      <c r="IP32" s="417"/>
      <c r="IQ32" s="412"/>
      <c r="IR32" s="417"/>
      <c r="IS32" s="412"/>
      <c r="IT32" s="417"/>
      <c r="IU32" s="412"/>
      <c r="IV32" s="417"/>
      <c r="IW32" s="412"/>
      <c r="IX32" s="417"/>
      <c r="IY32" s="412"/>
      <c r="IZ32" s="417"/>
      <c r="JA32" s="412"/>
      <c r="JB32" s="417"/>
      <c r="JC32" s="412"/>
      <c r="JD32" s="417"/>
      <c r="JE32" s="412"/>
      <c r="JF32" s="417"/>
      <c r="JG32" s="412"/>
      <c r="JH32" s="417"/>
      <c r="JI32" s="412"/>
      <c r="JJ32" s="417"/>
      <c r="JK32" s="412"/>
      <c r="JL32" s="417"/>
      <c r="JM32" s="412"/>
      <c r="JN32" s="417"/>
      <c r="JO32" s="412"/>
      <c r="JP32" s="417"/>
      <c r="JQ32" s="412"/>
      <c r="JR32" s="417"/>
      <c r="JS32" s="412"/>
      <c r="JT32" s="417"/>
      <c r="JU32" s="412"/>
      <c r="JV32" s="417"/>
      <c r="JW32" s="412"/>
      <c r="JX32" s="417"/>
      <c r="JY32" s="412"/>
      <c r="JZ32" s="417"/>
      <c r="KA32" s="412"/>
      <c r="KB32" s="417"/>
      <c r="KC32" s="412"/>
      <c r="KD32" s="417"/>
      <c r="KE32" s="412"/>
      <c r="KF32" s="417"/>
      <c r="KG32" s="412"/>
      <c r="KH32" s="417"/>
      <c r="KI32" s="412"/>
      <c r="KJ32" s="417"/>
      <c r="KK32" s="412"/>
      <c r="KL32" s="417"/>
      <c r="KM32" s="412"/>
      <c r="KN32" s="417"/>
      <c r="KO32" s="412"/>
      <c r="KP32" s="417"/>
      <c r="KQ32" s="412"/>
      <c r="KR32" s="417"/>
      <c r="KS32" s="412"/>
      <c r="KT32" s="417"/>
      <c r="KU32" s="412"/>
      <c r="KV32" s="417"/>
      <c r="KW32" s="412"/>
      <c r="KX32" s="417"/>
      <c r="KY32" s="412"/>
      <c r="KZ32" s="417"/>
      <c r="LA32" s="412"/>
      <c r="LB32" s="417"/>
      <c r="LC32" s="412"/>
      <c r="LD32" s="417"/>
      <c r="LE32" s="412"/>
      <c r="LF32" s="417"/>
      <c r="LG32" s="412"/>
      <c r="LH32" s="417"/>
      <c r="LI32" s="412"/>
      <c r="LJ32" s="417"/>
      <c r="LK32" s="412"/>
      <c r="LL32" s="313">
        <v>45051</v>
      </c>
      <c r="LM32" s="314" t="str">
        <f t="shared" si="64"/>
        <v>Friday</v>
      </c>
      <c r="LN32" s="417"/>
      <c r="LO32" s="412"/>
      <c r="LP32" s="417"/>
      <c r="LQ32" s="412"/>
      <c r="LR32" s="417"/>
      <c r="LS32" s="412"/>
      <c r="LT32" s="417"/>
      <c r="LU32" s="412"/>
      <c r="LV32" s="417"/>
      <c r="LW32" s="412"/>
      <c r="LX32" s="417"/>
      <c r="LY32" s="412"/>
      <c r="LZ32" s="417"/>
      <c r="MA32" s="412"/>
      <c r="MB32" s="417"/>
      <c r="MC32" s="412"/>
      <c r="MD32" s="417"/>
      <c r="ME32" s="412"/>
      <c r="MF32" s="417"/>
      <c r="MG32" s="412"/>
      <c r="MH32" s="417"/>
      <c r="MI32" s="412"/>
      <c r="MJ32" s="417"/>
      <c r="MK32" s="412"/>
      <c r="ML32" s="417"/>
      <c r="MM32" s="412"/>
      <c r="MN32" s="417"/>
      <c r="MO32" s="412"/>
      <c r="MP32" s="417"/>
      <c r="MQ32" s="412"/>
      <c r="MR32" s="417"/>
      <c r="MS32" s="412"/>
      <c r="MT32" s="417"/>
      <c r="MU32" s="412"/>
      <c r="MV32" s="417"/>
      <c r="MW32" s="412"/>
      <c r="MX32" s="417"/>
      <c r="MY32" s="412"/>
      <c r="MZ32" s="417"/>
      <c r="NA32" s="412"/>
      <c r="NB32" s="417"/>
      <c r="NC32" s="412"/>
      <c r="ND32" s="417"/>
      <c r="NE32" s="412"/>
      <c r="NF32" s="417"/>
      <c r="NG32" s="412"/>
      <c r="NH32" s="417"/>
      <c r="NI32" s="412"/>
      <c r="NJ32" s="417"/>
      <c r="NK32" s="412"/>
      <c r="NL32" s="417"/>
      <c r="NM32" s="412"/>
      <c r="NN32" s="417"/>
      <c r="NO32" s="412"/>
      <c r="NP32" s="417"/>
      <c r="NQ32" s="412"/>
      <c r="NR32" s="417"/>
      <c r="NS32" s="412"/>
      <c r="NT32" s="417"/>
      <c r="NU32" s="412"/>
      <c r="NV32" s="417"/>
      <c r="NW32" s="412"/>
      <c r="NX32" s="417"/>
      <c r="NY32" s="412"/>
      <c r="NZ32" s="417"/>
      <c r="OA32" s="412"/>
      <c r="OB32" s="417"/>
      <c r="OC32" s="412"/>
      <c r="OD32" s="313">
        <v>45083</v>
      </c>
      <c r="OE32" s="314" t="str">
        <f t="shared" si="69"/>
        <v>Tuesday</v>
      </c>
      <c r="OF32" s="417"/>
      <c r="OG32" s="412"/>
      <c r="OH32" s="417"/>
      <c r="OI32" s="412"/>
      <c r="OJ32" s="417"/>
      <c r="OK32" s="412"/>
      <c r="OL32" s="417"/>
      <c r="OM32" s="412"/>
      <c r="ON32" s="417"/>
      <c r="OO32" s="412"/>
      <c r="OP32" s="417"/>
      <c r="OQ32" s="412"/>
      <c r="OR32" s="417"/>
      <c r="OS32" s="412"/>
      <c r="OT32" s="417"/>
      <c r="OU32" s="412"/>
      <c r="OV32" s="417"/>
      <c r="OW32" s="412"/>
      <c r="OX32" s="417"/>
      <c r="OY32" s="412"/>
      <c r="OZ32" s="417"/>
      <c r="PA32" s="412"/>
      <c r="PB32" s="417"/>
      <c r="PC32" s="412"/>
      <c r="PD32" s="417"/>
      <c r="PE32" s="412"/>
      <c r="PF32" s="417"/>
      <c r="PG32" s="412"/>
      <c r="PH32" s="417"/>
      <c r="PI32" s="412"/>
      <c r="PJ32" s="417"/>
      <c r="PK32" s="412"/>
      <c r="PL32" s="417"/>
      <c r="PM32" s="412"/>
      <c r="PN32" s="417"/>
      <c r="PO32" s="412"/>
      <c r="PP32" s="417"/>
      <c r="PQ32" s="412"/>
      <c r="PR32" s="417"/>
      <c r="PS32" s="412"/>
      <c r="PT32" s="417"/>
      <c r="PU32" s="412"/>
      <c r="PV32" s="417"/>
      <c r="PW32" s="412"/>
      <c r="PX32" s="417"/>
      <c r="PY32" s="412"/>
      <c r="PZ32" s="417"/>
      <c r="QA32" s="412"/>
      <c r="QB32" s="417"/>
      <c r="QC32" s="412"/>
      <c r="QD32" s="417"/>
      <c r="QE32" s="412"/>
      <c r="QF32" s="417"/>
      <c r="QG32" s="412"/>
      <c r="QH32" s="417"/>
      <c r="QI32" s="412"/>
      <c r="QJ32" s="417"/>
      <c r="QK32" s="412"/>
      <c r="QL32" s="417"/>
      <c r="QM32" s="412"/>
      <c r="QN32" s="417"/>
      <c r="QO32" s="412"/>
      <c r="QP32" s="417"/>
      <c r="QQ32" s="412"/>
      <c r="QR32" s="417"/>
      <c r="QS32" s="412"/>
      <c r="QT32" s="417"/>
      <c r="QU32" s="412"/>
      <c r="QV32" s="417"/>
      <c r="QW32" s="412"/>
      <c r="QX32" s="417"/>
      <c r="QY32" s="412"/>
      <c r="QZ32" s="417"/>
      <c r="RA32" s="412"/>
      <c r="RB32" s="417"/>
      <c r="RC32" s="412"/>
      <c r="RD32" s="417"/>
      <c r="RE32" s="412"/>
      <c r="RF32" s="417"/>
      <c r="RG32" s="412"/>
      <c r="RH32" s="417"/>
      <c r="RI32" s="412"/>
      <c r="RJ32" s="417"/>
      <c r="RK32" s="412"/>
      <c r="RL32" s="417"/>
      <c r="RM32" s="402"/>
      <c r="RN32" s="417"/>
      <c r="RO32" s="412"/>
      <c r="RP32" s="417"/>
      <c r="RQ32" s="402"/>
      <c r="RR32" s="417"/>
      <c r="RS32" s="412"/>
      <c r="RT32" s="417"/>
      <c r="RU32" s="412"/>
      <c r="RV32" s="417"/>
      <c r="RW32" s="412"/>
      <c r="RX32" s="417"/>
      <c r="RY32" s="412"/>
      <c r="RZ32" s="417"/>
      <c r="SA32" s="412"/>
      <c r="SB32" s="417"/>
      <c r="SC32" s="412"/>
      <c r="SD32" s="417"/>
      <c r="SE32" s="412"/>
      <c r="SF32" s="417"/>
      <c r="SG32" s="412"/>
      <c r="SH32" s="417"/>
      <c r="SI32" s="412"/>
      <c r="SJ32" s="417"/>
      <c r="SK32" s="412"/>
      <c r="SL32" s="417"/>
      <c r="SM32" s="412"/>
      <c r="SN32" s="417"/>
      <c r="SO32" s="412"/>
      <c r="SP32" s="417"/>
      <c r="SQ32" s="412"/>
      <c r="SR32" s="417"/>
      <c r="SS32" s="412"/>
      <c r="ST32" s="417"/>
      <c r="SU32" s="412"/>
      <c r="SV32" s="417"/>
      <c r="SW32" s="412"/>
      <c r="SX32" s="417"/>
      <c r="SY32" s="412"/>
      <c r="SZ32" s="417"/>
      <c r="TA32" s="412"/>
      <c r="TB32" s="417"/>
      <c r="TC32" s="412"/>
      <c r="TD32" s="417"/>
      <c r="TE32" s="412"/>
      <c r="TF32" s="417"/>
      <c r="TG32" s="412"/>
      <c r="TH32" s="417"/>
      <c r="TI32" s="412"/>
      <c r="TJ32" s="417"/>
      <c r="TK32" s="412"/>
      <c r="TL32" s="417"/>
      <c r="TM32" s="412"/>
      <c r="TN32" s="417"/>
      <c r="TO32" s="412"/>
      <c r="TP32" s="417"/>
      <c r="TQ32" s="412"/>
      <c r="TR32" s="417"/>
      <c r="TS32" s="412"/>
      <c r="TT32" s="417"/>
      <c r="TU32" s="412"/>
      <c r="TV32" s="417"/>
      <c r="TW32" s="412"/>
      <c r="TX32" s="417"/>
      <c r="TY32" s="412"/>
      <c r="TZ32" s="417"/>
      <c r="UA32" s="412"/>
      <c r="UB32" s="417"/>
      <c r="UC32" s="412"/>
      <c r="UD32" s="417"/>
      <c r="UE32" s="412"/>
      <c r="UF32" s="417"/>
      <c r="UG32" s="412"/>
      <c r="UH32" s="417"/>
      <c r="UI32" s="412"/>
      <c r="UJ32" s="417"/>
      <c r="UK32" s="412"/>
      <c r="UL32" s="417"/>
      <c r="UM32" s="412"/>
      <c r="UN32" s="417"/>
      <c r="UO32" s="412"/>
      <c r="UP32" s="417"/>
      <c r="UQ32" s="412"/>
      <c r="UR32" s="417"/>
      <c r="US32" s="412"/>
      <c r="UT32" s="417"/>
      <c r="UU32" s="412"/>
      <c r="UV32" s="417"/>
      <c r="UW32" s="412"/>
      <c r="UX32" s="417"/>
      <c r="UY32" s="412"/>
      <c r="UZ32" s="417"/>
      <c r="VA32" s="412"/>
      <c r="VB32" s="417"/>
      <c r="VC32" s="412"/>
      <c r="VD32" s="417"/>
      <c r="VE32" s="412"/>
      <c r="VF32" s="417"/>
      <c r="VG32" s="412"/>
      <c r="VH32" s="417"/>
      <c r="VI32" s="412"/>
      <c r="VJ32" s="417"/>
      <c r="VK32" s="412"/>
      <c r="VL32" s="417"/>
      <c r="VM32" s="412"/>
      <c r="VN32" s="417"/>
      <c r="VO32" s="412"/>
      <c r="VP32" s="417"/>
      <c r="VQ32" s="412"/>
      <c r="VR32" s="417"/>
      <c r="VS32" s="412"/>
      <c r="VT32" s="417"/>
      <c r="VU32" s="412"/>
      <c r="VV32" s="417"/>
      <c r="VW32" s="412"/>
      <c r="VX32" s="417"/>
      <c r="VY32" s="412"/>
      <c r="VZ32" s="417"/>
      <c r="WA32" s="412"/>
      <c r="WB32" s="417"/>
      <c r="WC32" s="412"/>
      <c r="WD32" s="417"/>
      <c r="WE32" s="412"/>
      <c r="WF32" s="417"/>
      <c r="WG32" s="412"/>
      <c r="WH32" s="417"/>
      <c r="WI32" s="412"/>
      <c r="WJ32" s="417"/>
      <c r="WK32" s="412"/>
      <c r="WL32" s="417"/>
      <c r="WM32" s="412"/>
      <c r="WN32" s="417"/>
      <c r="WO32" s="412"/>
      <c r="WP32" s="417"/>
      <c r="WQ32" s="412"/>
      <c r="WR32" s="417"/>
      <c r="WS32" s="412"/>
      <c r="WT32" s="417"/>
      <c r="WU32" s="412"/>
      <c r="WV32" s="417"/>
      <c r="WW32" s="402"/>
      <c r="WX32" s="417"/>
      <c r="WY32" s="402"/>
      <c r="WZ32" s="417"/>
      <c r="XA32" s="412"/>
      <c r="XB32" s="417"/>
      <c r="XC32" s="412"/>
      <c r="XD32" s="417"/>
      <c r="XE32" s="412"/>
      <c r="XF32" s="417"/>
      <c r="XG32" s="412"/>
      <c r="XH32" s="417"/>
      <c r="XI32" s="412"/>
      <c r="XJ32" s="417"/>
      <c r="XK32" s="412"/>
      <c r="XL32" s="417"/>
      <c r="XM32" s="412"/>
      <c r="XN32" s="417"/>
      <c r="XO32" s="412"/>
      <c r="XP32" s="417"/>
      <c r="XQ32" s="412"/>
      <c r="XR32" s="417"/>
      <c r="XS32" s="412"/>
      <c r="XT32" s="417"/>
      <c r="XU32" s="412"/>
      <c r="XV32" s="417"/>
      <c r="XW32" s="412"/>
      <c r="XX32" s="417"/>
      <c r="XY32" s="412"/>
      <c r="XZ32" s="417"/>
      <c r="YA32" s="412"/>
      <c r="YB32" s="417"/>
      <c r="YC32" s="412"/>
      <c r="YD32" s="417"/>
      <c r="YE32" s="412"/>
      <c r="YF32" s="417"/>
      <c r="YG32" s="412"/>
      <c r="YH32" s="417"/>
      <c r="YI32" s="412"/>
      <c r="YJ32" s="417"/>
      <c r="YK32" s="412"/>
      <c r="YL32" s="417"/>
      <c r="YM32" s="412"/>
      <c r="YN32" s="417"/>
      <c r="YO32" s="412"/>
      <c r="YP32" s="417"/>
      <c r="YQ32" s="412"/>
      <c r="YR32" s="417"/>
      <c r="YS32" s="412"/>
      <c r="YT32" s="417"/>
      <c r="YU32" s="412"/>
      <c r="YV32" s="417"/>
      <c r="YW32" s="412"/>
      <c r="YX32" s="417"/>
      <c r="YY32" s="412"/>
      <c r="YZ32" s="417"/>
      <c r="ZA32" s="412"/>
      <c r="ZB32" s="417"/>
      <c r="ZC32" s="412"/>
      <c r="ZD32" s="417"/>
      <c r="ZE32" s="412"/>
      <c r="ZF32" s="417"/>
      <c r="ZG32" s="412"/>
      <c r="ZH32" s="417"/>
      <c r="ZI32" s="412"/>
      <c r="ZJ32" s="417"/>
      <c r="ZK32" s="412"/>
      <c r="ZL32" s="417"/>
      <c r="ZM32" s="412"/>
      <c r="ZN32" s="417"/>
      <c r="ZO32" s="412"/>
      <c r="ZP32" s="417"/>
      <c r="ZQ32" s="412"/>
      <c r="ZR32" s="417"/>
      <c r="ZS32" s="412"/>
      <c r="ZT32" s="417"/>
      <c r="ZU32" s="412"/>
      <c r="ZV32" s="417"/>
      <c r="ZW32" s="412"/>
      <c r="ZX32" s="417"/>
      <c r="ZY32" s="412"/>
      <c r="ZZ32" s="417"/>
      <c r="AAA32" s="412"/>
      <c r="AAB32" s="417"/>
      <c r="AAC32" s="412"/>
      <c r="AAD32" s="417"/>
      <c r="AAE32" s="412"/>
      <c r="AAF32" s="417"/>
      <c r="AAG32" s="412"/>
      <c r="AAH32" s="417"/>
      <c r="AAI32" s="412"/>
      <c r="AAJ32" s="417"/>
      <c r="AAK32" s="412"/>
      <c r="AAL32" s="417"/>
      <c r="AAM32" s="412"/>
      <c r="AAN32" s="417"/>
      <c r="AAO32" s="412"/>
      <c r="AAP32" s="417"/>
      <c r="AAQ32" s="412"/>
      <c r="AAR32" s="417"/>
      <c r="AAS32" s="412"/>
      <c r="AAT32" s="417"/>
      <c r="AAU32" s="412"/>
      <c r="AAV32" s="417"/>
      <c r="AAW32" s="412"/>
      <c r="AAX32" s="417"/>
      <c r="AAY32" s="412"/>
      <c r="AAZ32" s="417"/>
      <c r="ABA32" s="412"/>
      <c r="ABB32" s="417"/>
      <c r="ABC32" s="412"/>
      <c r="ABD32" s="417"/>
      <c r="ABE32" s="412"/>
      <c r="ABF32" s="417"/>
      <c r="ABG32" s="412"/>
      <c r="ABH32" s="417"/>
      <c r="ABI32" s="412"/>
      <c r="ABJ32" s="417"/>
      <c r="ABK32" s="412"/>
      <c r="ABL32" s="417"/>
      <c r="ABM32" s="412"/>
      <c r="ABN32" s="417"/>
      <c r="ABO32" s="412"/>
      <c r="ABP32" s="417"/>
      <c r="ABQ32" s="412"/>
      <c r="ABR32" s="417"/>
      <c r="ABS32" s="412"/>
      <c r="ABT32" s="417"/>
      <c r="ABU32" s="412"/>
      <c r="ABV32" s="417"/>
      <c r="ABW32" s="412"/>
      <c r="ABX32" s="417"/>
      <c r="ABY32" s="412"/>
      <c r="ABZ32" s="417"/>
      <c r="ACA32" s="412"/>
      <c r="ACB32" s="417"/>
      <c r="ACC32" s="412"/>
      <c r="ACD32" s="417"/>
      <c r="ACE32" s="412"/>
      <c r="ACF32" s="417"/>
      <c r="ACG32" s="412"/>
      <c r="ACH32" s="417"/>
      <c r="ACI32" s="412"/>
      <c r="ACJ32" s="417"/>
      <c r="ACK32" s="412"/>
      <c r="ACL32" s="417"/>
      <c r="ACM32" s="412"/>
      <c r="ACN32" s="417"/>
      <c r="ACO32" s="412"/>
      <c r="ACP32" s="417"/>
      <c r="ACQ32" s="412"/>
      <c r="ACR32" s="417"/>
      <c r="ACS32" s="412"/>
      <c r="ACT32" s="315">
        <v>45236</v>
      </c>
      <c r="ACU32" s="275" t="str">
        <f t="shared" si="70"/>
        <v>Monday</v>
      </c>
      <c r="ACV32" s="417"/>
      <c r="ACW32" s="412"/>
      <c r="ACX32" s="417"/>
      <c r="ACY32" s="412"/>
      <c r="ACZ32" s="417"/>
      <c r="ADA32" s="412"/>
      <c r="ADB32" s="417"/>
      <c r="ADC32" s="412"/>
      <c r="ADD32" s="417"/>
      <c r="ADE32" s="412"/>
      <c r="ADF32" s="417"/>
      <c r="ADG32" s="412"/>
      <c r="ADH32" s="417"/>
      <c r="ADI32" s="412"/>
      <c r="ADJ32" s="417"/>
      <c r="ADK32" s="412"/>
      <c r="ADL32" s="417"/>
      <c r="ADM32" s="412"/>
      <c r="ADN32" s="417"/>
      <c r="ADO32" s="412"/>
      <c r="ADP32" s="417"/>
      <c r="ADQ32" s="412"/>
      <c r="ADR32" s="417"/>
      <c r="ADS32" s="412"/>
      <c r="ADT32" s="417"/>
      <c r="ADU32" s="412"/>
      <c r="ADV32" s="417"/>
      <c r="ADW32" s="412"/>
      <c r="ADX32" s="417"/>
      <c r="ADY32" s="412"/>
      <c r="ADZ32" s="417"/>
      <c r="AEA32" s="412"/>
      <c r="AEB32" s="417"/>
      <c r="AEC32" s="412"/>
      <c r="AED32" s="417"/>
      <c r="AEE32" s="412"/>
      <c r="AEF32" s="417"/>
      <c r="AEG32" s="412"/>
      <c r="AEH32" s="417"/>
      <c r="AEI32" s="412"/>
      <c r="AEJ32" s="417"/>
      <c r="AEK32" s="412"/>
      <c r="AEL32" s="417"/>
      <c r="AEM32" s="412"/>
      <c r="AEN32" s="417"/>
      <c r="AEO32" s="412"/>
      <c r="AEP32" s="417"/>
      <c r="AEQ32" s="412"/>
      <c r="AER32" s="417"/>
      <c r="AES32" s="412"/>
      <c r="AET32" s="417"/>
      <c r="AEU32" s="412"/>
      <c r="AEV32" s="417"/>
      <c r="AEW32" s="412"/>
      <c r="AEX32" s="417"/>
      <c r="AEY32" s="412"/>
      <c r="AEZ32" s="417"/>
      <c r="AFA32" s="412"/>
      <c r="AFB32" s="417"/>
      <c r="AFC32" s="412"/>
      <c r="AFD32" s="417"/>
      <c r="AFE32" s="412"/>
      <c r="AFF32" s="417"/>
      <c r="AFG32" s="412"/>
      <c r="AFH32" s="417"/>
      <c r="AFI32" s="412"/>
      <c r="AFJ32" s="417"/>
      <c r="AFK32" s="412"/>
      <c r="AFL32" s="417"/>
      <c r="AFM32" s="412"/>
      <c r="AFN32" s="417"/>
      <c r="AFO32" s="412"/>
      <c r="AFP32" s="417"/>
      <c r="AFQ32" s="412"/>
      <c r="AFR32" s="417"/>
      <c r="AFS32" s="412"/>
      <c r="AFT32" s="417"/>
      <c r="AFU32" s="412"/>
      <c r="AFV32" s="417"/>
      <c r="AFW32" s="412"/>
      <c r="AFX32" s="417"/>
      <c r="AFY32" s="412"/>
      <c r="AFZ32" s="417"/>
      <c r="AGA32" s="412"/>
      <c r="AGB32" s="417"/>
      <c r="AGC32" s="412"/>
      <c r="AGD32" s="417"/>
      <c r="AGE32" s="412"/>
      <c r="AGF32" s="417"/>
      <c r="AGG32" s="412"/>
      <c r="AGH32" s="417"/>
      <c r="AGI32" s="412"/>
      <c r="AGJ32" s="417"/>
      <c r="AGK32" s="412"/>
      <c r="AGL32" s="417"/>
      <c r="AGM32" s="412"/>
      <c r="AGN32" s="417"/>
      <c r="AGO32" s="412"/>
      <c r="AGP32" s="417"/>
      <c r="AGQ32" s="412"/>
      <c r="AGR32" s="417"/>
      <c r="AGS32" s="412"/>
      <c r="AGT32" s="417"/>
      <c r="AGU32" s="412"/>
      <c r="AGV32" s="417"/>
      <c r="AGW32" s="412"/>
      <c r="AGX32" s="417"/>
      <c r="AGY32" s="412"/>
      <c r="AGZ32" s="417"/>
      <c r="AHA32" s="412"/>
      <c r="AHB32" s="417"/>
      <c r="AHC32" s="412"/>
      <c r="AHD32" s="417"/>
      <c r="AHE32" s="412"/>
      <c r="AHF32" s="417"/>
      <c r="AHG32" s="412"/>
      <c r="AHH32" s="417"/>
      <c r="AHI32" s="412"/>
      <c r="AHJ32" s="417"/>
      <c r="AHK32" s="412"/>
      <c r="AHL32" s="417"/>
      <c r="AHM32" s="412"/>
      <c r="AHN32" s="417"/>
      <c r="AHO32" s="412"/>
      <c r="AHP32" s="417"/>
      <c r="AHQ32" s="412"/>
      <c r="AHR32" s="417"/>
      <c r="AHS32" s="412"/>
      <c r="AHT32" s="417"/>
      <c r="AHU32" s="412"/>
      <c r="AHV32" s="417"/>
      <c r="AHW32" s="412"/>
      <c r="AHX32" s="417"/>
      <c r="AHY32" s="412"/>
      <c r="AHZ32" s="417"/>
      <c r="AIA32" s="412"/>
    </row>
    <row r="33" spans="1:911" ht="15" x14ac:dyDescent="0.2">
      <c r="A33" s="458">
        <v>2024</v>
      </c>
      <c r="B33" s="455">
        <v>45292</v>
      </c>
      <c r="C33" s="456" t="str">
        <f>CHOOSE(WEEKDAY(B33,2),"Monday","Tuesday","Wednesday","Thursday","Friday","Saturday","Sunday")</f>
        <v>Monday</v>
      </c>
      <c r="D33" s="457" t="s">
        <v>22</v>
      </c>
      <c r="E33" s="430" t="s">
        <v>22</v>
      </c>
      <c r="F33" s="460" t="s">
        <v>22</v>
      </c>
      <c r="G33" s="430" t="s">
        <v>22</v>
      </c>
      <c r="H33" s="455">
        <v>45295</v>
      </c>
      <c r="I33" s="456" t="str">
        <f>CHOOSE(WEEKDAY(H33,2),"Monday","Tuesday","Wednesday","Thursday","Friday","Saturday","Sunday")</f>
        <v>Thursday</v>
      </c>
      <c r="J33" s="455">
        <v>45299</v>
      </c>
      <c r="K33" s="456" t="str">
        <f>CHOOSE(WEEKDAY(J33,2),"Monday","Tuesday","Wednesday","Thursday","Friday","Saturday","Sunday")</f>
        <v>Monday</v>
      </c>
      <c r="L33" s="457" t="s">
        <v>22</v>
      </c>
      <c r="M33" s="430" t="s">
        <v>22</v>
      </c>
      <c r="N33" s="457" t="s">
        <v>22</v>
      </c>
      <c r="O33" s="430" t="s">
        <v>22</v>
      </c>
      <c r="P33" s="457" t="s">
        <v>22</v>
      </c>
      <c r="Q33" s="430" t="s">
        <v>22</v>
      </c>
      <c r="R33" s="457" t="s">
        <v>22</v>
      </c>
      <c r="S33" s="430" t="s">
        <v>22</v>
      </c>
      <c r="T33" s="455">
        <v>45303</v>
      </c>
      <c r="U33" s="456" t="str">
        <f>CHOOSE(WEEKDAY(T33,2),"Monday","Tuesday","Wednesday","Thursday","Friday","Saturday","Sunday")</f>
        <v>Friday</v>
      </c>
      <c r="V33" s="457" t="s">
        <v>22</v>
      </c>
      <c r="W33" s="430" t="s">
        <v>22</v>
      </c>
      <c r="X33" s="455">
        <v>45303</v>
      </c>
      <c r="Y33" s="456" t="str">
        <f>CHOOSE(WEEKDAY(X33,2),"Monday","Tuesday","Wednesday","Thursday","Friday","Saturday","Sunday")</f>
        <v>Friday</v>
      </c>
      <c r="Z33" s="457" t="s">
        <v>22</v>
      </c>
      <c r="AA33" s="430" t="s">
        <v>22</v>
      </c>
      <c r="AB33" s="457" t="s">
        <v>22</v>
      </c>
      <c r="AC33" s="430" t="s">
        <v>22</v>
      </c>
      <c r="AD33" s="422" t="s">
        <v>22</v>
      </c>
      <c r="AE33" s="422" t="s">
        <v>22</v>
      </c>
      <c r="AF33" s="455">
        <v>45311</v>
      </c>
      <c r="AG33" s="456" t="str">
        <f>CHOOSE(WEEKDAY(AF33,2),"Monday","Tuesday","Wednesday","Thursday","Friday","Saturday","Sunday")</f>
        <v>Saturday</v>
      </c>
      <c r="AH33" s="455">
        <v>45499</v>
      </c>
      <c r="AI33" s="456" t="str">
        <f>CHOOSE(WEEKDAY(AH33,2),"Monday","Tuesday","Wednesday","Thursday","Friday","Saturday","Sunday")</f>
        <v>Friday</v>
      </c>
      <c r="AJ33" s="422" t="s">
        <v>22</v>
      </c>
      <c r="AK33" s="422" t="s">
        <v>22</v>
      </c>
      <c r="AL33" s="309">
        <v>45307</v>
      </c>
      <c r="AM33" s="104" t="str">
        <f>CHOOSE(WEEKDAY(AL33,2),"Monday","Tuesday","Wednesday","Thursday","Friday","Saturday","Sunday")</f>
        <v>Tuesday</v>
      </c>
      <c r="AN33" s="460" t="s">
        <v>22</v>
      </c>
      <c r="AO33" s="430" t="s">
        <v>22</v>
      </c>
      <c r="AP33" s="455">
        <v>45315</v>
      </c>
      <c r="AQ33" s="456" t="str">
        <f>CHOOSE(WEEKDAY(AP33,2),"Monday","Tuesday","Wednesday","Thursday","Friday","Saturday","Sunday")</f>
        <v>Wednesday</v>
      </c>
      <c r="AR33" s="455">
        <v>45315</v>
      </c>
      <c r="AS33" s="456" t="str">
        <f>CHOOSE(WEEKDAY(AR33,2),"Monday","Tuesday","Wednesday","Thursday","Friday","Saturday","Sunday")</f>
        <v>Wednesday</v>
      </c>
      <c r="AT33" s="455">
        <v>45317</v>
      </c>
      <c r="AU33" s="456" t="str">
        <f>CHOOSE(WEEKDAY(AT33,2),"Monday","Tuesday","Wednesday","Thursday","Friday","Saturday","Sunday")</f>
        <v>Friday</v>
      </c>
      <c r="AV33" s="422" t="s">
        <v>22</v>
      </c>
      <c r="AW33" s="422" t="s">
        <v>22</v>
      </c>
      <c r="AX33" s="455">
        <v>45319</v>
      </c>
      <c r="AY33" s="456" t="str">
        <f>CHOOSE(WEEKDAY(AX33,2),"Monday","Tuesday","Wednesday","Thursday","Friday","Saturday","Sunday")</f>
        <v>Sunday</v>
      </c>
      <c r="AZ33" s="457" t="s">
        <v>22</v>
      </c>
      <c r="BA33" s="430" t="s">
        <v>22</v>
      </c>
      <c r="BB33" s="422" t="s">
        <v>22</v>
      </c>
      <c r="BC33" s="422" t="s">
        <v>22</v>
      </c>
      <c r="BD33" s="455">
        <v>45321</v>
      </c>
      <c r="BE33" s="456" t="str">
        <f>CHOOSE(WEEKDAY(BD33,2),"Monday","Tuesday","Wednesday","Thursday","Friday","Saturday","Sunday")</f>
        <v>Tuesday</v>
      </c>
      <c r="BF33" s="460" t="s">
        <v>22</v>
      </c>
      <c r="BG33" s="430" t="s">
        <v>22</v>
      </c>
      <c r="BH33" s="460" t="s">
        <v>22</v>
      </c>
      <c r="BI33" s="430" t="s">
        <v>22</v>
      </c>
      <c r="BJ33" s="455">
        <v>45323</v>
      </c>
      <c r="BK33" s="456" t="str">
        <f>CHOOSE(WEEKDAY(BJ33,2),"Monday","Tuesday","Wednesday","Thursday","Friday","Saturday","Sunday")</f>
        <v>Thursday</v>
      </c>
      <c r="BL33" s="422" t="s">
        <v>22</v>
      </c>
      <c r="BM33" s="422" t="s">
        <v>22</v>
      </c>
      <c r="BN33" s="460" t="s">
        <v>22</v>
      </c>
      <c r="BO33" s="430" t="s">
        <v>22</v>
      </c>
      <c r="BP33" s="455">
        <v>45326</v>
      </c>
      <c r="BQ33" s="456" t="str">
        <f>CHOOSE(WEEKDAY(BP33,2),"Monday","Tuesday","Wednesday","Thursday","Friday","Saturday","Sunday")</f>
        <v>Sunday</v>
      </c>
      <c r="BR33" s="457" t="s">
        <v>22</v>
      </c>
      <c r="BS33" s="430" t="s">
        <v>22</v>
      </c>
      <c r="BT33" s="455">
        <v>45331</v>
      </c>
      <c r="BU33" s="456" t="str">
        <f>CHOOSE(WEEKDAY(BT33,2),"Monday","Tuesday","Wednesday","Thursday","Friday","Saturday","Sunday")</f>
        <v>Friday</v>
      </c>
      <c r="BV33" s="457" t="s">
        <v>22</v>
      </c>
      <c r="BW33" s="430" t="s">
        <v>22</v>
      </c>
      <c r="BX33" s="422" t="s">
        <v>22</v>
      </c>
      <c r="BY33" s="422" t="s">
        <v>22</v>
      </c>
      <c r="BZ33" s="457" t="s">
        <v>22</v>
      </c>
      <c r="CA33" s="430" t="s">
        <v>22</v>
      </c>
      <c r="CB33" s="455">
        <v>45330</v>
      </c>
      <c r="CC33" s="456" t="str">
        <f>CHOOSE(WEEKDAY(CB33,2),"Monday","Tuesday","Wednesday","Thursday","Friday","Saturday","Sunday")</f>
        <v>Thursday</v>
      </c>
      <c r="CD33" s="455">
        <v>45331</v>
      </c>
      <c r="CE33" s="456" t="str">
        <f>CHOOSE(WEEKDAY(CD33,2),"Monday","Tuesday","Wednesday","Thursday","Friday","Saturday","Sunday")</f>
        <v>Friday</v>
      </c>
      <c r="CF33" s="457" t="s">
        <v>22</v>
      </c>
      <c r="CG33" s="430" t="s">
        <v>22</v>
      </c>
      <c r="CH33" s="455">
        <v>45330</v>
      </c>
      <c r="CI33" s="456" t="str">
        <f>CHOOSE(WEEKDAY(CH33,2),"Monday","Tuesday","Wednesday","Thursday","Friday","Saturday","Sunday")</f>
        <v>Thursday</v>
      </c>
      <c r="CJ33" s="455">
        <v>45333</v>
      </c>
      <c r="CK33" s="456" t="str">
        <f>CHOOSE(WEEKDAY(CJ33,2),"Monday","Tuesday","Wednesday","Thursday","Friday","Saturday","Sunday")</f>
        <v>Sunday</v>
      </c>
      <c r="CL33" s="422" t="s">
        <v>22</v>
      </c>
      <c r="CM33" s="422" t="s">
        <v>22</v>
      </c>
      <c r="CN33" s="455">
        <v>45336</v>
      </c>
      <c r="CO33" s="456" t="str">
        <f>CHOOSE(WEEKDAY(CN33,2),"Monday","Tuesday","Wednesday","Thursday","Friday","Saturday","Sunday")</f>
        <v>Wednesday</v>
      </c>
      <c r="CP33" s="460" t="s">
        <v>22</v>
      </c>
      <c r="CQ33" s="430" t="s">
        <v>22</v>
      </c>
      <c r="CR33" s="455">
        <v>45337</v>
      </c>
      <c r="CS33" s="456" t="str">
        <f>CHOOSE(WEEKDAY(CR33,2),"Monday","Tuesday","Wednesday","Thursday","Friday","Saturday","Sunday")</f>
        <v>Thursday</v>
      </c>
      <c r="CT33" s="422" t="s">
        <v>22</v>
      </c>
      <c r="CU33" s="422" t="s">
        <v>22</v>
      </c>
      <c r="CV33" s="455">
        <v>45338</v>
      </c>
      <c r="CW33" s="456" t="str">
        <f>CHOOSE(WEEKDAY(CV33,2),"Monday","Tuesday","Wednesday","Thursday","Friday","Saturday","Sunday")</f>
        <v>Friday</v>
      </c>
      <c r="CX33" s="457" t="s">
        <v>22</v>
      </c>
      <c r="CY33" s="430" t="s">
        <v>22</v>
      </c>
      <c r="CZ33" s="422" t="s">
        <v>22</v>
      </c>
      <c r="DA33" s="422" t="s">
        <v>22</v>
      </c>
      <c r="DB33" s="457" t="s">
        <v>22</v>
      </c>
      <c r="DC33" s="430" t="s">
        <v>22</v>
      </c>
      <c r="DD33" s="455">
        <v>45343</v>
      </c>
      <c r="DE33" s="456" t="str">
        <f>CHOOSE(WEEKDAY(DD33,2),"Monday","Tuesday","Wednesday","Thursday","Friday","Saturday","Sunday")</f>
        <v>Wednesday</v>
      </c>
      <c r="DF33" s="457" t="s">
        <v>22</v>
      </c>
      <c r="DG33" s="430" t="s">
        <v>22</v>
      </c>
      <c r="DH33" s="455">
        <v>45341</v>
      </c>
      <c r="DI33" s="456" t="str">
        <f>CHOOSE(WEEKDAY(DH33,2),"Monday","Tuesday","Wednesday","Thursday","Friday","Saturday","Sunday")</f>
        <v>Monday</v>
      </c>
      <c r="DJ33" s="455">
        <v>45341</v>
      </c>
      <c r="DK33" s="456" t="str">
        <f>CHOOSE(WEEKDAY(DJ33,2),"Monday","Tuesday","Wednesday","Thursday","Friday","Saturday","Sunday")</f>
        <v>Monday</v>
      </c>
      <c r="DL33" s="457" t="s">
        <v>22</v>
      </c>
      <c r="DM33" s="430" t="s">
        <v>22</v>
      </c>
      <c r="DN33" s="422" t="s">
        <v>22</v>
      </c>
      <c r="DO33" s="422" t="s">
        <v>22</v>
      </c>
      <c r="DP33" s="457" t="s">
        <v>22</v>
      </c>
      <c r="DQ33" s="430" t="s">
        <v>22</v>
      </c>
      <c r="DR33" s="457" t="s">
        <v>22</v>
      </c>
      <c r="DS33" s="430" t="s">
        <v>22</v>
      </c>
      <c r="DT33" s="455">
        <v>45344</v>
      </c>
      <c r="DU33" s="456" t="str">
        <f>CHOOSE(WEEKDAY(DT33,2),"Monday","Tuesday","Wednesday","Thursday","Friday","Saturday","Sunday")</f>
        <v>Thursday</v>
      </c>
      <c r="DV33" s="455">
        <v>45344</v>
      </c>
      <c r="DW33" s="456" t="str">
        <f>CHOOSE(WEEKDAY(DV33,2),"Monday","Tuesday","Wednesday","Thursday","Friday","Saturday","Sunday")</f>
        <v>Thursday</v>
      </c>
      <c r="DX33" s="457" t="s">
        <v>22</v>
      </c>
      <c r="DY33" s="430" t="s">
        <v>22</v>
      </c>
      <c r="DZ33" s="422" t="s">
        <v>22</v>
      </c>
      <c r="EA33" s="422" t="s">
        <v>22</v>
      </c>
      <c r="EB33" s="457" t="s">
        <v>22</v>
      </c>
      <c r="EC33" s="430" t="s">
        <v>22</v>
      </c>
      <c r="ED33" s="422" t="s">
        <v>22</v>
      </c>
      <c r="EE33" s="422" t="s">
        <v>22</v>
      </c>
      <c r="EF33" s="455">
        <v>45348</v>
      </c>
      <c r="EG33" s="456" t="str">
        <f>CHOOSE(WEEKDAY(EF33,2),"Monday","Tuesday","Wednesday","Thursday","Friday","Saturday","Sunday")</f>
        <v>Monday</v>
      </c>
      <c r="EH33" s="457" t="s">
        <v>22</v>
      </c>
      <c r="EI33" s="430" t="s">
        <v>22</v>
      </c>
      <c r="EJ33" s="455">
        <v>45351</v>
      </c>
      <c r="EK33" s="456" t="str">
        <f>CHOOSE(WEEKDAY(EJ33,2),"Monday","Tuesday","Wednesday","Thursday","Friday","Saturday","Sunday")</f>
        <v>Thursday</v>
      </c>
      <c r="EL33" s="457" t="s">
        <v>22</v>
      </c>
      <c r="EM33" s="430" t="s">
        <v>22</v>
      </c>
      <c r="EN33" s="455">
        <v>45352</v>
      </c>
      <c r="EO33" s="456" t="str">
        <f>CHOOSE(WEEKDAY(EN33,2),"Monday","Tuesday","Wednesday","Thursday","Friday","Saturday","Sunday")</f>
        <v>Friday</v>
      </c>
      <c r="EP33" s="460" t="s">
        <v>22</v>
      </c>
      <c r="EQ33" s="430" t="s">
        <v>22</v>
      </c>
      <c r="ER33" s="455">
        <v>45356</v>
      </c>
      <c r="ES33" s="456" t="str">
        <f>CHOOSE(WEEKDAY(ER33,2),"Monday","Tuesday","Wednesday","Thursday","Friday","Saturday","Sunday")</f>
        <v>Tuesday</v>
      </c>
      <c r="ET33" s="422" t="s">
        <v>22</v>
      </c>
      <c r="EU33" s="422" t="s">
        <v>22</v>
      </c>
      <c r="EV33" s="460" t="s">
        <v>22</v>
      </c>
      <c r="EW33" s="430" t="s">
        <v>22</v>
      </c>
      <c r="EX33" s="455">
        <v>45357</v>
      </c>
      <c r="EY33" s="456" t="str">
        <f>CHOOSE(WEEKDAY(EX33,2),"Monday","Tuesday","Wednesday","Thursday","Friday","Saturday","Sunday")</f>
        <v>Wednesday</v>
      </c>
      <c r="EZ33" s="455">
        <v>45358</v>
      </c>
      <c r="FA33" s="456" t="str">
        <f>CHOOSE(WEEKDAY(EZ33,2),"Monday","Tuesday","Wednesday","Thursday","Friday","Saturday","Sunday")</f>
        <v>Thursday</v>
      </c>
      <c r="FB33" s="422" t="s">
        <v>22</v>
      </c>
      <c r="FC33" s="422" t="s">
        <v>22</v>
      </c>
      <c r="FD33" s="457" t="s">
        <v>22</v>
      </c>
      <c r="FE33" s="430" t="s">
        <v>22</v>
      </c>
      <c r="FF33" s="455">
        <v>45360</v>
      </c>
      <c r="FG33" s="456" t="str">
        <f>CHOOSE(WEEKDAY(FF33,2),"Monday","Tuesday","Wednesday","Thursday","Friday","Saturday","Sunday")</f>
        <v>Saturday</v>
      </c>
      <c r="FH33" s="422" t="s">
        <v>22</v>
      </c>
      <c r="FI33" s="422" t="s">
        <v>22</v>
      </c>
      <c r="FJ33" s="460" t="s">
        <v>22</v>
      </c>
      <c r="FK33" s="430" t="s">
        <v>22</v>
      </c>
      <c r="FL33" s="457" t="s">
        <v>22</v>
      </c>
      <c r="FM33" s="430" t="s">
        <v>22</v>
      </c>
      <c r="FN33" s="455">
        <v>45364</v>
      </c>
      <c r="FO33" s="456" t="str">
        <f>CHOOSE(WEEKDAY(FN33,2),"Monday","Tuesday","Wednesday","Thursday","Friday","Saturday","Sunday")</f>
        <v>Wednesday</v>
      </c>
      <c r="FP33" s="422" t="s">
        <v>22</v>
      </c>
      <c r="FQ33" s="422" t="s">
        <v>22</v>
      </c>
      <c r="FR33" s="460" t="s">
        <v>22</v>
      </c>
      <c r="FS33" s="430" t="s">
        <v>22</v>
      </c>
      <c r="FT33" s="455">
        <v>45367</v>
      </c>
      <c r="FU33" s="456" t="str">
        <f>CHOOSE(WEEKDAY(FT33,2),"Monday","Tuesday","Wednesday","Thursday","Friday","Saturday","Sunday")</f>
        <v>Saturday</v>
      </c>
      <c r="FV33" s="455">
        <v>45366</v>
      </c>
      <c r="FW33" s="456" t="str">
        <f>CHOOSE(WEEKDAY(FV33,2),"Monday","Tuesday","Wednesday","Thursday","Friday","Saturday","Sunday")</f>
        <v>Friday</v>
      </c>
      <c r="FX33" s="422" t="s">
        <v>22</v>
      </c>
      <c r="FY33" s="422" t="s">
        <v>22</v>
      </c>
      <c r="FZ33" s="460" t="s">
        <v>22</v>
      </c>
      <c r="GA33" s="430" t="s">
        <v>22</v>
      </c>
      <c r="GB33" s="457" t="s">
        <v>22</v>
      </c>
      <c r="GC33" s="430" t="s">
        <v>22</v>
      </c>
      <c r="GD33" s="422" t="s">
        <v>22</v>
      </c>
      <c r="GE33" s="422" t="s">
        <v>22</v>
      </c>
      <c r="GF33" s="457" t="s">
        <v>22</v>
      </c>
      <c r="GG33" s="430" t="s">
        <v>22</v>
      </c>
      <c r="GH33" s="455">
        <v>45357</v>
      </c>
      <c r="GI33" s="456" t="str">
        <f>CHOOSE(WEEKDAY(GH33,2),"Monday","Tuesday","Wednesday","Thursday","Friday","Saturday","Sunday")</f>
        <v>Wednesday</v>
      </c>
      <c r="GJ33" s="457" t="s">
        <v>22</v>
      </c>
      <c r="GK33" s="430" t="s">
        <v>22</v>
      </c>
      <c r="GL33" s="455">
        <v>45372</v>
      </c>
      <c r="GM33" s="456" t="str">
        <f>CHOOSE(WEEKDAY(GL33,2),"Monday","Tuesday","Wednesday","Thursday","Friday","Saturday","Sunday")</f>
        <v>Thursday</v>
      </c>
      <c r="GN33" s="460" t="s">
        <v>22</v>
      </c>
      <c r="GO33" s="430" t="s">
        <v>22</v>
      </c>
      <c r="GP33" s="455">
        <v>45371</v>
      </c>
      <c r="GQ33" s="456" t="str">
        <f>CHOOSE(WEEKDAY(GP33,2),"Monday","Tuesday","Wednesday","Thursday","Friday","Saturday","Sunday")</f>
        <v>Wednesday</v>
      </c>
      <c r="GR33" s="455">
        <v>45374</v>
      </c>
      <c r="GS33" s="456" t="str">
        <f>CHOOSE(WEEKDAY(GR33,2),"Monday","Tuesday","Wednesday","Thursday","Friday","Saturday","Sunday")</f>
        <v>Saturday</v>
      </c>
      <c r="GT33" s="457" t="s">
        <v>22</v>
      </c>
      <c r="GU33" s="430" t="s">
        <v>22</v>
      </c>
      <c r="GV33" s="422" t="s">
        <v>22</v>
      </c>
      <c r="GW33" s="422" t="s">
        <v>22</v>
      </c>
      <c r="GX33" s="460" t="s">
        <v>22</v>
      </c>
      <c r="GY33" s="430" t="s">
        <v>22</v>
      </c>
      <c r="GZ33" s="455">
        <v>45378</v>
      </c>
      <c r="HA33" s="456" t="str">
        <f>CHOOSE(WEEKDAY(GZ33,2),"Monday","Tuesday","Wednesday","Thursday","Friday","Saturday","Sunday")</f>
        <v>Wednesday</v>
      </c>
      <c r="HB33" s="457" t="s">
        <v>22</v>
      </c>
      <c r="HC33" s="430" t="s">
        <v>22</v>
      </c>
      <c r="HD33" s="457" t="s">
        <v>22</v>
      </c>
      <c r="HE33" s="430" t="s">
        <v>22</v>
      </c>
      <c r="HF33" s="455">
        <v>45379</v>
      </c>
      <c r="HG33" s="456" t="str">
        <f>CHOOSE(WEEKDAY(HF33,2),"Monday","Tuesday","Wednesday","Thursday","Friday","Saturday","Sunday")</f>
        <v>Thursday</v>
      </c>
      <c r="HH33" s="422" t="s">
        <v>22</v>
      </c>
      <c r="HI33" s="422" t="s">
        <v>22</v>
      </c>
      <c r="HJ33" s="457" t="s">
        <v>22</v>
      </c>
      <c r="HK33" s="430" t="s">
        <v>22</v>
      </c>
      <c r="HL33" s="457" t="s">
        <v>22</v>
      </c>
      <c r="HM33" s="430" t="s">
        <v>22</v>
      </c>
      <c r="HN33" s="455">
        <v>45383</v>
      </c>
      <c r="HO33" s="456" t="str">
        <f>CHOOSE(WEEKDAY(HN33,2),"Monday","Tuesday","Wednesday","Thursday","Friday","Saturday","Sunday")</f>
        <v>Monday</v>
      </c>
      <c r="HP33" s="455">
        <v>45380</v>
      </c>
      <c r="HQ33" s="456" t="str">
        <f>CHOOSE(WEEKDAY(HP33,2),"Monday","Tuesday","Wednesday","Thursday","Friday","Saturday","Sunday")</f>
        <v>Friday</v>
      </c>
      <c r="HR33" s="457" t="s">
        <v>22</v>
      </c>
      <c r="HS33" s="430" t="s">
        <v>22</v>
      </c>
      <c r="HT33" s="457" t="s">
        <v>22</v>
      </c>
      <c r="HU33" s="430" t="s">
        <v>22</v>
      </c>
      <c r="HV33" s="455">
        <v>45383</v>
      </c>
      <c r="HW33" s="456" t="str">
        <f>CHOOSE(WEEKDAY(HV33,2),"Monday","Tuesday","Wednesday","Thursday","Friday","Saturday","Sunday")</f>
        <v>Monday</v>
      </c>
      <c r="HX33" s="457" t="s">
        <v>22</v>
      </c>
      <c r="HY33" s="430" t="s">
        <v>22</v>
      </c>
      <c r="HZ33" s="457" t="s">
        <v>22</v>
      </c>
      <c r="IA33" s="430" t="s">
        <v>22</v>
      </c>
      <c r="IB33" s="455">
        <v>45387</v>
      </c>
      <c r="IC33" s="456" t="str">
        <f>CHOOSE(WEEKDAY(IB33,2),"Monday","Tuesday","Wednesday","Thursday","Friday","Saturday","Sunday")</f>
        <v>Friday</v>
      </c>
      <c r="ID33" s="422" t="s">
        <v>22</v>
      </c>
      <c r="IE33" s="422" t="s">
        <v>22</v>
      </c>
      <c r="IF33" s="457" t="s">
        <v>22</v>
      </c>
      <c r="IG33" s="430" t="s">
        <v>22</v>
      </c>
      <c r="IH33" s="457" t="s">
        <v>22</v>
      </c>
      <c r="II33" s="430" t="s">
        <v>22</v>
      </c>
      <c r="IJ33" s="455">
        <v>45391</v>
      </c>
      <c r="IK33" s="456" t="str">
        <f>CHOOSE(WEEKDAY(IJ33,2),"Monday","Tuesday","Wednesday","Thursday","Friday","Saturday","Sunday")</f>
        <v>Tuesday</v>
      </c>
      <c r="IL33" s="455">
        <v>45394</v>
      </c>
      <c r="IM33" s="456" t="str">
        <f>CHOOSE(WEEKDAY(IL33,2),"Monday","Tuesday","Wednesday","Thursday","Friday","Saturday","Sunday")</f>
        <v>Friday</v>
      </c>
      <c r="IN33" s="422" t="s">
        <v>22</v>
      </c>
      <c r="IO33" s="430" t="s">
        <v>22</v>
      </c>
      <c r="IP33" s="422" t="s">
        <v>22</v>
      </c>
      <c r="IQ33" s="422" t="s">
        <v>22</v>
      </c>
      <c r="IR33" s="455">
        <v>45395</v>
      </c>
      <c r="IS33" s="456" t="str">
        <f>CHOOSE(WEEKDAY(IR33,2),"Monday","Tuesday","Wednesday","Thursday","Friday","Saturday","Sunday")</f>
        <v>Saturday</v>
      </c>
      <c r="IT33" s="457" t="s">
        <v>22</v>
      </c>
      <c r="IU33" s="430" t="s">
        <v>22</v>
      </c>
      <c r="IV33" s="422" t="s">
        <v>22</v>
      </c>
      <c r="IW33" s="430" t="s">
        <v>22</v>
      </c>
      <c r="IX33" s="455">
        <v>45399</v>
      </c>
      <c r="IY33" s="456" t="str">
        <f>CHOOSE(WEEKDAY(IX33,2),"Monday","Tuesday","Wednesday","Thursday","Friday","Saturday","Sunday")</f>
        <v>Wednesday</v>
      </c>
      <c r="IZ33" s="422" t="s">
        <v>22</v>
      </c>
      <c r="JA33" s="430" t="s">
        <v>22</v>
      </c>
      <c r="JB33" s="422" t="s">
        <v>22</v>
      </c>
      <c r="JC33" s="430" t="s">
        <v>22</v>
      </c>
      <c r="JD33" s="457" t="s">
        <v>22</v>
      </c>
      <c r="JE33" s="430" t="s">
        <v>22</v>
      </c>
      <c r="JF33" s="422" t="s">
        <v>22</v>
      </c>
      <c r="JG33" s="422" t="s">
        <v>22</v>
      </c>
      <c r="JH33" s="455">
        <v>45402</v>
      </c>
      <c r="JI33" s="456" t="str">
        <f>CHOOSE(WEEKDAY(JH33,2),"Monday","Tuesday","Wednesday","Thursday","Friday","Saturday","Sunday")</f>
        <v>Saturday</v>
      </c>
      <c r="JJ33" s="457" t="s">
        <v>22</v>
      </c>
      <c r="JK33" s="430" t="s">
        <v>22</v>
      </c>
      <c r="JL33" s="457" t="s">
        <v>22</v>
      </c>
      <c r="JM33" s="430" t="s">
        <v>22</v>
      </c>
      <c r="JN33" s="455">
        <v>45405</v>
      </c>
      <c r="JO33" s="456" t="str">
        <f>CHOOSE(WEEKDAY(JN33,2),"Monday","Tuesday","Wednesday","Thursday","Friday","Saturday","Sunday")</f>
        <v>Tuesday</v>
      </c>
      <c r="JP33" s="422" t="s">
        <v>22</v>
      </c>
      <c r="JQ33" s="422" t="s">
        <v>22</v>
      </c>
      <c r="JR33" s="455">
        <v>45406</v>
      </c>
      <c r="JS33" s="456" t="str">
        <f>CHOOSE(WEEKDAY(JR33,2),"Monday","Tuesday","Wednesday","Thursday","Friday","Saturday","Sunday")</f>
        <v>Wednesday</v>
      </c>
      <c r="JT33" s="422" t="s">
        <v>22</v>
      </c>
      <c r="JU33" s="430" t="s">
        <v>22</v>
      </c>
      <c r="JV33" s="455">
        <v>45407</v>
      </c>
      <c r="JW33" s="456" t="str">
        <f>CHOOSE(WEEKDAY(JV33,2),"Monday","Tuesday","Wednesday","Thursday","Friday","Saturday","Sunday")</f>
        <v>Thursday</v>
      </c>
      <c r="JX33" s="455">
        <v>45409</v>
      </c>
      <c r="JY33" s="456" t="str">
        <f>CHOOSE(WEEKDAY(JX33,2),"Monday","Tuesday","Wednesday","Thursday","Friday","Saturday","Sunday")</f>
        <v>Saturday</v>
      </c>
      <c r="JZ33" s="455">
        <v>45411</v>
      </c>
      <c r="KA33" s="456" t="str">
        <f>CHOOSE(WEEKDAY(JZ33,2),"Monday","Tuesday","Wednesday","Thursday","Friday","Saturday","Sunday")</f>
        <v>Monday</v>
      </c>
      <c r="KB33" s="457" t="s">
        <v>22</v>
      </c>
      <c r="KC33" s="430" t="s">
        <v>22</v>
      </c>
      <c r="KD33" s="422" t="s">
        <v>22</v>
      </c>
      <c r="KE33" s="422" t="s">
        <v>22</v>
      </c>
      <c r="KF33" s="457" t="s">
        <v>22</v>
      </c>
      <c r="KG33" s="430" t="s">
        <v>22</v>
      </c>
      <c r="KH33" s="422" t="s">
        <v>22</v>
      </c>
      <c r="KI33" s="422" t="s">
        <v>22</v>
      </c>
      <c r="KJ33" s="457" t="s">
        <v>22</v>
      </c>
      <c r="KK33" s="430" t="s">
        <v>22</v>
      </c>
      <c r="KL33" s="455">
        <v>45413</v>
      </c>
      <c r="KM33" s="456" t="str">
        <f>CHOOSE(WEEKDAY(KL33,2),"Monday","Tuesday","Wednesday","Thursday","Friday","Saturday","Sunday")</f>
        <v>Wednesday</v>
      </c>
      <c r="KN33" s="455">
        <v>45413</v>
      </c>
      <c r="KO33" s="456" t="str">
        <f>CHOOSE(WEEKDAY(KN33,2),"Monday","Tuesday","Wednesday","Thursday","Friday","Saturday","Sunday")</f>
        <v>Wednesday</v>
      </c>
      <c r="KP33" s="457" t="s">
        <v>22</v>
      </c>
      <c r="KQ33" s="430" t="s">
        <v>22</v>
      </c>
      <c r="KR33" s="457" t="s">
        <v>22</v>
      </c>
      <c r="KS33" s="422" t="s">
        <v>22</v>
      </c>
      <c r="KT33" s="457" t="s">
        <v>22</v>
      </c>
      <c r="KU33" s="430" t="s">
        <v>22</v>
      </c>
      <c r="KV33" s="457" t="s">
        <v>22</v>
      </c>
      <c r="KW33" s="430" t="s">
        <v>22</v>
      </c>
      <c r="KX33" s="457" t="s">
        <v>22</v>
      </c>
      <c r="KY33" s="430" t="s">
        <v>22</v>
      </c>
      <c r="KZ33" s="457" t="s">
        <v>22</v>
      </c>
      <c r="LA33" s="430" t="s">
        <v>22</v>
      </c>
      <c r="LB33" s="455">
        <v>45416</v>
      </c>
      <c r="LC33" s="456" t="str">
        <f>CHOOSE(WEEKDAY(LB33,2),"Monday","Tuesday","Wednesday","Thursday","Friday","Saturday","Sunday")</f>
        <v>Saturday</v>
      </c>
      <c r="LD33" s="422" t="s">
        <v>22</v>
      </c>
      <c r="LE33" s="422" t="s">
        <v>22</v>
      </c>
      <c r="LF33" s="457" t="s">
        <v>22</v>
      </c>
      <c r="LG33" s="430" t="s">
        <v>22</v>
      </c>
      <c r="LH33" s="455">
        <v>45419</v>
      </c>
      <c r="LI33" s="456" t="str">
        <f>CHOOSE(WEEKDAY(LH33,2),"Monday","Tuesday","Wednesday","Thursday","Friday","Saturday","Sunday")</f>
        <v>Tuesday</v>
      </c>
      <c r="LJ33" s="422" t="s">
        <v>22</v>
      </c>
      <c r="LK33" s="422" t="s">
        <v>22</v>
      </c>
      <c r="LL33" s="309">
        <v>45408</v>
      </c>
      <c r="LM33" s="104" t="str">
        <f t="shared" si="64"/>
        <v>Friday</v>
      </c>
      <c r="LN33" s="422" t="s">
        <v>22</v>
      </c>
      <c r="LO33" s="422" t="s">
        <v>22</v>
      </c>
      <c r="LP33" s="455">
        <v>45422</v>
      </c>
      <c r="LQ33" s="456" t="str">
        <f>CHOOSE(WEEKDAY(LP33,2),"Monday","Tuesday","Wednesday","Thursday","Friday","Saturday","Sunday")</f>
        <v>Friday</v>
      </c>
      <c r="LR33" s="455">
        <v>45425</v>
      </c>
      <c r="LS33" s="456" t="str">
        <f>CHOOSE(WEEKDAY(LR33,2),"Monday","Tuesday","Wednesday","Thursday","Friday","Saturday","Sunday")</f>
        <v>Monday</v>
      </c>
      <c r="LT33" s="457" t="s">
        <v>22</v>
      </c>
      <c r="LU33" s="430" t="s">
        <v>22</v>
      </c>
      <c r="LV33" s="422" t="s">
        <v>22</v>
      </c>
      <c r="LW33" s="422" t="s">
        <v>22</v>
      </c>
      <c r="LX33" s="457" t="s">
        <v>22</v>
      </c>
      <c r="LY33" s="430" t="s">
        <v>22</v>
      </c>
      <c r="LZ33" s="422" t="s">
        <v>22</v>
      </c>
      <c r="MA33" s="422" t="s">
        <v>22</v>
      </c>
      <c r="MB33" s="457" t="s">
        <v>22</v>
      </c>
      <c r="MC33" s="430" t="s">
        <v>22</v>
      </c>
      <c r="MD33" s="457" t="s">
        <v>22</v>
      </c>
      <c r="ME33" s="430" t="s">
        <v>22</v>
      </c>
      <c r="MF33" s="455">
        <v>45430</v>
      </c>
      <c r="MG33" s="456" t="str">
        <f>CHOOSE(WEEKDAY(MF33,2),"Monday","Tuesday","Wednesday","Thursday","Friday","Saturday","Sunday")</f>
        <v>Saturday</v>
      </c>
      <c r="MH33" s="455">
        <v>45429</v>
      </c>
      <c r="MI33" s="456" t="str">
        <f>CHOOSE(WEEKDAY(MH33,2),"Monday","Tuesday","Wednesday","Thursday","Friday","Saturday","Sunday")</f>
        <v>Friday</v>
      </c>
      <c r="MJ33" s="455">
        <v>45434</v>
      </c>
      <c r="MK33" s="456" t="str">
        <f>CHOOSE(WEEKDAY(MJ33,2),"Monday","Tuesday","Wednesday","Thursday","Friday","Saturday","Sunday")</f>
        <v>Wednesday</v>
      </c>
      <c r="ML33" s="422" t="s">
        <v>22</v>
      </c>
      <c r="MM33" s="422" t="s">
        <v>22</v>
      </c>
      <c r="MN33" s="457" t="s">
        <v>22</v>
      </c>
      <c r="MO33" s="430" t="s">
        <v>22</v>
      </c>
      <c r="MP33" s="457" t="s">
        <v>22</v>
      </c>
      <c r="MQ33" s="430" t="s">
        <v>22</v>
      </c>
      <c r="MR33" s="455">
        <v>45435</v>
      </c>
      <c r="MS33" s="456" t="str">
        <f>CHOOSE(WEEKDAY(MR33,2),"Monday","Tuesday","Wednesday","Thursday","Friday","Saturday","Sunday")</f>
        <v>Thursday</v>
      </c>
      <c r="MT33" s="455">
        <v>45436</v>
      </c>
      <c r="MU33" s="456" t="str">
        <f>CHOOSE(WEEKDAY(MT33,2),"Monday","Tuesday","Wednesday","Thursday","Friday","Saturday","Sunday")</f>
        <v>Friday</v>
      </c>
      <c r="MV33" s="422" t="s">
        <v>22</v>
      </c>
      <c r="MW33" s="422" t="s">
        <v>22</v>
      </c>
      <c r="MX33" s="457" t="s">
        <v>22</v>
      </c>
      <c r="MY33" s="430" t="s">
        <v>22</v>
      </c>
      <c r="MZ33" s="457" t="s">
        <v>22</v>
      </c>
      <c r="NA33" s="430" t="s">
        <v>22</v>
      </c>
      <c r="NB33" s="457" t="s">
        <v>22</v>
      </c>
      <c r="NC33" s="430" t="s">
        <v>22</v>
      </c>
      <c r="ND33" s="422" t="s">
        <v>22</v>
      </c>
      <c r="NE33" s="422" t="s">
        <v>22</v>
      </c>
      <c r="NF33" s="457" t="s">
        <v>22</v>
      </c>
      <c r="NG33" s="430" t="s">
        <v>22</v>
      </c>
      <c r="NH33" s="455">
        <v>45441</v>
      </c>
      <c r="NI33" s="456" t="str">
        <f>CHOOSE(WEEKDAY(NH33,2),"Monday","Tuesday","Wednesday","Thursday","Friday","Saturday","Sunday")</f>
        <v>Wednesday</v>
      </c>
      <c r="NJ33" s="455">
        <v>45439</v>
      </c>
      <c r="NK33" s="456" t="str">
        <f>CHOOSE(WEEKDAY(NJ33,2),"Monday","Tuesday","Wednesday","Thursday","Friday","Saturday","Sunday")</f>
        <v>Monday</v>
      </c>
      <c r="NL33" s="457" t="s">
        <v>22</v>
      </c>
      <c r="NM33" s="430" t="s">
        <v>22</v>
      </c>
      <c r="NN33" s="455">
        <v>45440</v>
      </c>
      <c r="NO33" s="456" t="str">
        <f>CHOOSE(WEEKDAY(NN33,2),"Monday","Tuesday","Wednesday","Thursday","Friday","Saturday","Sunday")</f>
        <v>Tuesday</v>
      </c>
      <c r="NP33" s="457" t="s">
        <v>22</v>
      </c>
      <c r="NQ33" s="430" t="s">
        <v>22</v>
      </c>
      <c r="NR33" s="422" t="s">
        <v>22</v>
      </c>
      <c r="NS33" s="430" t="s">
        <v>22</v>
      </c>
      <c r="NT33" s="455">
        <v>45441</v>
      </c>
      <c r="NU33" s="456" t="str">
        <f>CHOOSE(WEEKDAY(NT33,2),"Monday","Tuesday","Wednesday","Thursday","Friday","Saturday","Sunday")</f>
        <v>Wednesday</v>
      </c>
      <c r="NV33" s="455">
        <v>45443</v>
      </c>
      <c r="NW33" s="456" t="str">
        <f>CHOOSE(WEEKDAY(NV33,2),"Monday","Tuesday","Wednesday","Thursday","Friday","Saturday","Sunday")</f>
        <v>Friday</v>
      </c>
      <c r="NX33" s="455">
        <v>45443</v>
      </c>
      <c r="NY33" s="456" t="str">
        <f>CHOOSE(WEEKDAY(NX33,2),"Monday","Tuesday","Wednesday","Thursday","Friday","Saturday","Sunday")</f>
        <v>Friday</v>
      </c>
      <c r="NZ33" s="455">
        <v>45444</v>
      </c>
      <c r="OA33" s="456" t="str">
        <f>CHOOSE(WEEKDAY(NZ33,2),"Monday","Tuesday","Wednesday","Thursday","Friday","Saturday","Sunday")</f>
        <v>Saturday</v>
      </c>
      <c r="OB33" s="457" t="s">
        <v>22</v>
      </c>
      <c r="OC33" s="430" t="s">
        <v>22</v>
      </c>
      <c r="OD33" s="309">
        <v>45448</v>
      </c>
      <c r="OE33" s="104" t="str">
        <f t="shared" si="69"/>
        <v>Wednesday</v>
      </c>
      <c r="OF33" s="457" t="s">
        <v>22</v>
      </c>
      <c r="OG33" s="430" t="s">
        <v>22</v>
      </c>
      <c r="OH33" s="422" t="s">
        <v>22</v>
      </c>
      <c r="OI33" s="430" t="s">
        <v>22</v>
      </c>
      <c r="OJ33" s="422" t="s">
        <v>22</v>
      </c>
      <c r="OK33" s="430" t="s">
        <v>22</v>
      </c>
      <c r="OL33" s="455">
        <v>45452</v>
      </c>
      <c r="OM33" s="456" t="str">
        <f>CHOOSE(WEEKDAY(OL33,2),"Monday","Tuesday","Wednesday","Thursday","Friday","Saturday","Sunday")</f>
        <v>Sunday</v>
      </c>
      <c r="ON33" s="455">
        <v>45453</v>
      </c>
      <c r="OO33" s="456" t="str">
        <f>CHOOSE(WEEKDAY(ON33,2),"Monday","Tuesday","Wednesday","Thursday","Friday","Saturday","Sunday")</f>
        <v>Monday</v>
      </c>
      <c r="OP33" s="455">
        <v>45455</v>
      </c>
      <c r="OQ33" s="456" t="str">
        <f>CHOOSE(WEEKDAY(OP33,2),"Monday","Tuesday","Wednesday","Thursday","Friday","Saturday","Sunday")</f>
        <v>Wednesday</v>
      </c>
      <c r="OR33" s="422" t="s">
        <v>22</v>
      </c>
      <c r="OS33" s="422" t="s">
        <v>22</v>
      </c>
      <c r="OT33" s="455">
        <v>45455</v>
      </c>
      <c r="OU33" s="456" t="str">
        <f>CHOOSE(WEEKDAY(OT33,2),"Monday","Tuesday","Wednesday","Thursday","Friday","Saturday","Sunday")</f>
        <v>Wednesday</v>
      </c>
      <c r="OV33" s="457" t="s">
        <v>22</v>
      </c>
      <c r="OW33" s="430" t="s">
        <v>22</v>
      </c>
      <c r="OX33" s="457" t="s">
        <v>22</v>
      </c>
      <c r="OY33" s="430" t="s">
        <v>22</v>
      </c>
      <c r="OZ33" s="455">
        <v>45457</v>
      </c>
      <c r="PA33" s="456" t="str">
        <f>CHOOSE(WEEKDAY(OZ33,2),"Monday","Tuesday","Wednesday","Thursday","Friday","Saturday","Sunday")</f>
        <v>Friday</v>
      </c>
      <c r="PB33" s="455">
        <v>45458</v>
      </c>
      <c r="PC33" s="456" t="str">
        <f>CHOOSE(WEEKDAY(PB33,2),"Monday","Tuesday","Wednesday","Thursday","Friday","Saturday","Sunday")</f>
        <v>Saturday</v>
      </c>
      <c r="PD33" s="422" t="s">
        <v>22</v>
      </c>
      <c r="PE33" s="422" t="s">
        <v>22</v>
      </c>
      <c r="PF33" s="455">
        <v>45457</v>
      </c>
      <c r="PG33" s="456" t="str">
        <f>CHOOSE(WEEKDAY(PF33,2),"Monday","Tuesday","Wednesday","Thursday","Friday","Saturday","Sunday")</f>
        <v>Friday</v>
      </c>
      <c r="PH33" s="455">
        <v>45469</v>
      </c>
      <c r="PI33" s="456" t="str">
        <f>CHOOSE(WEEKDAY(PH33,2),"Monday","Tuesday","Wednesday","Thursday","Friday","Saturday","Sunday")</f>
        <v>Wednesday</v>
      </c>
      <c r="PJ33" s="422" t="s">
        <v>22</v>
      </c>
      <c r="PK33" s="422" t="s">
        <v>22</v>
      </c>
      <c r="PL33" s="457" t="s">
        <v>22</v>
      </c>
      <c r="PM33" s="430" t="s">
        <v>22</v>
      </c>
      <c r="PN33" s="455">
        <v>45462</v>
      </c>
      <c r="PO33" s="456" t="str">
        <f>CHOOSE(WEEKDAY(PN33,2),"Monday","Tuesday","Wednesday","Thursday","Friday","Saturday","Sunday")</f>
        <v>Wednesday</v>
      </c>
      <c r="PP33" s="422" t="s">
        <v>22</v>
      </c>
      <c r="PQ33" s="422" t="s">
        <v>22</v>
      </c>
      <c r="PR33" s="457" t="s">
        <v>22</v>
      </c>
      <c r="PS33" s="430" t="s">
        <v>22</v>
      </c>
      <c r="PT33" s="422" t="s">
        <v>22</v>
      </c>
      <c r="PU33" s="422" t="s">
        <v>22</v>
      </c>
      <c r="PV33" s="457" t="s">
        <v>22</v>
      </c>
      <c r="PW33" s="430" t="s">
        <v>22</v>
      </c>
      <c r="PX33" s="455">
        <v>45533</v>
      </c>
      <c r="PY33" s="456" t="str">
        <f>CHOOSE(WEEKDAY(PX33,2),"Monday","Tuesday","Wednesday","Thursday","Friday","Saturday","Sunday")</f>
        <v>Thursday</v>
      </c>
      <c r="PZ33" s="455">
        <v>45466</v>
      </c>
      <c r="QA33" s="456" t="str">
        <f>CHOOSE(WEEKDAY(PZ33,2),"Monday","Tuesday","Wednesday","Thursday","Friday","Saturday","Sunday")</f>
        <v>Sunday</v>
      </c>
      <c r="QB33" s="455">
        <v>45608</v>
      </c>
      <c r="QC33" s="456" t="str">
        <f>CHOOSE(WEEKDAY(QB33,2),"Monday","Tuesday","Wednesday","Thursday","Friday","Saturday","Sunday")</f>
        <v>Tuesday</v>
      </c>
      <c r="QD33" s="455">
        <v>45471</v>
      </c>
      <c r="QE33" s="456" t="str">
        <f>CHOOSE(WEEKDAY(QD33,2),"Monday","Tuesday","Wednesday","Thursday","Friday","Saturday","Sunday")</f>
        <v>Friday</v>
      </c>
      <c r="QF33" s="422" t="s">
        <v>22</v>
      </c>
      <c r="QG33" s="422" t="s">
        <v>22</v>
      </c>
      <c r="QH33" s="457" t="s">
        <v>22</v>
      </c>
      <c r="QI33" s="430" t="s">
        <v>22</v>
      </c>
      <c r="QJ33" s="422" t="s">
        <v>22</v>
      </c>
      <c r="QK33" s="430" t="s">
        <v>22</v>
      </c>
      <c r="QL33" s="457" t="s">
        <v>22</v>
      </c>
      <c r="QM33" s="430" t="s">
        <v>22</v>
      </c>
      <c r="QN33" s="457" t="s">
        <v>22</v>
      </c>
      <c r="QO33" s="430" t="s">
        <v>22</v>
      </c>
      <c r="QP33" s="455">
        <v>45470</v>
      </c>
      <c r="QQ33" s="456" t="str">
        <f>CHOOSE(WEEKDAY(QP33,2),"Monday","Tuesday","Wednesday","Thursday","Friday","Saturday","Sunday")</f>
        <v>Thursday</v>
      </c>
      <c r="QR33" s="455">
        <v>45474</v>
      </c>
      <c r="QS33" s="456" t="str">
        <f>CHOOSE(WEEKDAY(QR33,2),"Monday","Tuesday","Wednesday","Thursday","Friday","Saturday","Sunday")</f>
        <v>Monday</v>
      </c>
      <c r="QT33" s="422" t="s">
        <v>22</v>
      </c>
      <c r="QU33" s="430" t="s">
        <v>22</v>
      </c>
      <c r="QV33" s="457" t="s">
        <v>22</v>
      </c>
      <c r="QW33" s="422" t="s">
        <v>22</v>
      </c>
      <c r="QX33" s="457" t="s">
        <v>22</v>
      </c>
      <c r="QY33" s="430" t="s">
        <v>22</v>
      </c>
      <c r="QZ33" s="455">
        <v>45476</v>
      </c>
      <c r="RA33" s="456" t="str">
        <f>CHOOSE(WEEKDAY(QZ33,2),"Monday","Tuesday","Wednesday","Thursday","Friday","Saturday","Sunday")</f>
        <v>Wednesday</v>
      </c>
      <c r="RB33" s="455">
        <v>45474</v>
      </c>
      <c r="RC33" s="456" t="str">
        <f>CHOOSE(WEEKDAY(RB33,2),"Monday","Tuesday","Wednesday","Thursday","Friday","Saturday","Sunday")</f>
        <v>Monday</v>
      </c>
      <c r="RD33" s="457" t="s">
        <v>22</v>
      </c>
      <c r="RE33" s="430" t="s">
        <v>22</v>
      </c>
      <c r="RF33" s="455">
        <v>45474</v>
      </c>
      <c r="RG33" s="456" t="str">
        <f>CHOOSE(WEEKDAY(RF33,2),"Monday","Tuesday","Wednesday","Thursday","Friday","Saturday","Sunday")</f>
        <v>Monday</v>
      </c>
      <c r="RH33" s="455">
        <v>45474</v>
      </c>
      <c r="RI33" s="456" t="str">
        <f>CHOOSE(WEEKDAY(RH33,2),"Monday","Tuesday","Wednesday","Thursday","Friday","Saturday","Sunday")</f>
        <v>Monday</v>
      </c>
      <c r="RJ33" s="455">
        <v>45477</v>
      </c>
      <c r="RK33" s="456" t="str">
        <f>CHOOSE(WEEKDAY(RJ33,2),"Monday","Tuesday","Wednesday","Thursday","Friday","Saturday","Sunday")</f>
        <v>Thursday</v>
      </c>
      <c r="RL33" s="455">
        <v>45478</v>
      </c>
      <c r="RM33" s="456" t="str">
        <f>CHOOSE(WEEKDAY(RL33,2),"Monday","Tuesday","Wednesday","Thursday","Friday","Saturday","Sunday")</f>
        <v>Friday</v>
      </c>
      <c r="RN33" s="455">
        <v>45362</v>
      </c>
      <c r="RO33" s="456" t="str">
        <f>CHOOSE(WEEKDAY(RN33,2),"Monday","Tuesday","Wednesday","Thursday","Friday","Saturday","Sunday")</f>
        <v>Monday</v>
      </c>
      <c r="RP33" s="455">
        <v>45482</v>
      </c>
      <c r="RQ33" s="456" t="str">
        <f>CHOOSE(WEEKDAY(RP33,2),"Monday","Tuesday","Wednesday","Thursday","Friday","Saturday","Sunday")</f>
        <v>Tuesday</v>
      </c>
      <c r="RR33" s="457" t="s">
        <v>22</v>
      </c>
      <c r="RS33" s="430" t="s">
        <v>22</v>
      </c>
      <c r="RT33" s="457" t="s">
        <v>22</v>
      </c>
      <c r="RU33" s="430" t="s">
        <v>22</v>
      </c>
      <c r="RV33" s="457" t="s">
        <v>22</v>
      </c>
      <c r="RW33" s="430" t="s">
        <v>22</v>
      </c>
      <c r="RX33" s="455">
        <v>45482</v>
      </c>
      <c r="RY33" s="456" t="str">
        <f>CHOOSE(WEEKDAY(RX33,2),"Monday","Tuesday","Wednesday","Thursday","Friday","Saturday","Sunday")</f>
        <v>Tuesday</v>
      </c>
      <c r="RZ33" s="457" t="s">
        <v>22</v>
      </c>
      <c r="SA33" s="430" t="s">
        <v>22</v>
      </c>
      <c r="SB33" s="457" t="s">
        <v>22</v>
      </c>
      <c r="SC33" s="430" t="s">
        <v>22</v>
      </c>
      <c r="SD33" s="457" t="s">
        <v>22</v>
      </c>
      <c r="SE33" s="430" t="s">
        <v>22</v>
      </c>
      <c r="SF33" s="455">
        <v>45485</v>
      </c>
      <c r="SG33" s="456" t="str">
        <f>CHOOSE(WEEKDAY(SF33,2),"Monday","Tuesday","Wednesday","Thursday","Friday","Saturday","Sunday")</f>
        <v>Friday</v>
      </c>
      <c r="SH33" s="455">
        <v>45485</v>
      </c>
      <c r="SI33" s="456" t="str">
        <f>CHOOSE(WEEKDAY(SH33,2),"Monday","Tuesday","Wednesday","Thursday","Friday","Saturday","Sunday")</f>
        <v>Friday</v>
      </c>
      <c r="SJ33" s="457" t="s">
        <v>22</v>
      </c>
      <c r="SK33" s="430" t="s">
        <v>22</v>
      </c>
      <c r="SL33" s="457" t="s">
        <v>22</v>
      </c>
      <c r="SM33" s="430" t="s">
        <v>22</v>
      </c>
      <c r="SN33" s="457" t="s">
        <v>22</v>
      </c>
      <c r="SO33" s="430" t="s">
        <v>22</v>
      </c>
      <c r="SP33" s="455">
        <v>45489</v>
      </c>
      <c r="SQ33" s="456" t="str">
        <f>CHOOSE(WEEKDAY(SP33,2),"Monday","Tuesday","Wednesday","Thursday","Friday","Saturday","Sunday")</f>
        <v>Tuesday</v>
      </c>
      <c r="SR33" s="455">
        <v>45485</v>
      </c>
      <c r="SS33" s="456" t="str">
        <f>CHOOSE(WEEKDAY(SR33,2),"Monday","Tuesday","Wednesday","Thursday","Friday","Saturday","Sunday")</f>
        <v>Friday</v>
      </c>
      <c r="ST33" s="422" t="s">
        <v>22</v>
      </c>
      <c r="SU33" s="422" t="s">
        <v>22</v>
      </c>
      <c r="SV33" s="457" t="s">
        <v>22</v>
      </c>
      <c r="SW33" s="430" t="s">
        <v>22</v>
      </c>
      <c r="SX33" s="455">
        <v>45493</v>
      </c>
      <c r="SY33" s="456" t="str">
        <f>CHOOSE(WEEKDAY(SX33,2),"Monday","Tuesday","Wednesday","Thursday","Friday","Saturday","Sunday")</f>
        <v>Saturday</v>
      </c>
      <c r="SZ33" s="455">
        <v>45492</v>
      </c>
      <c r="TA33" s="456" t="str">
        <f>CHOOSE(WEEKDAY(SZ33,2),"Monday","Tuesday","Wednesday","Thursday","Friday","Saturday","Sunday")</f>
        <v>Friday</v>
      </c>
      <c r="TB33" s="455">
        <v>45492</v>
      </c>
      <c r="TC33" s="456" t="str">
        <f>CHOOSE(WEEKDAY(TB33,2),"Monday","Tuesday","Wednesday","Thursday","Friday","Saturday","Sunday")</f>
        <v>Friday</v>
      </c>
      <c r="TD33" s="422" t="s">
        <v>22</v>
      </c>
      <c r="TE33" s="422" t="s">
        <v>22</v>
      </c>
      <c r="TF33" s="455">
        <v>45497</v>
      </c>
      <c r="TG33" s="456" t="str">
        <f>CHOOSE(WEEKDAY(TF33,2),"Monday","Tuesday","Wednesday","Thursday","Friday","Saturday","Sunday")</f>
        <v>Wednesday</v>
      </c>
      <c r="TH33" s="457" t="s">
        <v>22</v>
      </c>
      <c r="TI33" s="430" t="s">
        <v>22</v>
      </c>
      <c r="TJ33" s="455">
        <v>45499</v>
      </c>
      <c r="TK33" s="456" t="str">
        <f>CHOOSE(WEEKDAY(TJ33,2),"Monday","Tuesday","Wednesday","Thursday","Friday","Saturday","Sunday")</f>
        <v>Friday</v>
      </c>
      <c r="TL33" s="457" t="s">
        <v>22</v>
      </c>
      <c r="TM33" s="430" t="s">
        <v>22</v>
      </c>
      <c r="TN33" s="455">
        <v>45501</v>
      </c>
      <c r="TO33" s="456" t="str">
        <f>CHOOSE(WEEKDAY(TN33,2),"Monday","Tuesday","Wednesday","Thursday","Friday","Saturday","Sunday")</f>
        <v>Sunday</v>
      </c>
      <c r="TP33" s="455">
        <v>45505</v>
      </c>
      <c r="TQ33" s="456" t="str">
        <f>CHOOSE(WEEKDAY(TP33,2),"Monday","Tuesday","Wednesday","Thursday","Friday","Saturday","Sunday")</f>
        <v>Thursday</v>
      </c>
      <c r="TR33" s="455">
        <v>45505</v>
      </c>
      <c r="TS33" s="456" t="str">
        <f>CHOOSE(WEEKDAY(TR33,2),"Monday","Tuesday","Wednesday","Thursday","Friday","Saturday","Sunday")</f>
        <v>Thursday</v>
      </c>
      <c r="TT33" s="457" t="s">
        <v>22</v>
      </c>
      <c r="TU33" s="430" t="s">
        <v>22</v>
      </c>
      <c r="TV33" s="455">
        <v>45506</v>
      </c>
      <c r="TW33" s="456" t="str">
        <f>CHOOSE(WEEKDAY(TV33,2),"Monday","Tuesday","Wednesday","Thursday","Friday","Saturday","Sunday")</f>
        <v>Friday</v>
      </c>
      <c r="TX33" s="457" t="s">
        <v>22</v>
      </c>
      <c r="TY33" s="430" t="s">
        <v>22</v>
      </c>
      <c r="TZ33" s="457" t="s">
        <v>22</v>
      </c>
      <c r="UA33" s="430" t="s">
        <v>22</v>
      </c>
      <c r="UB33" s="455">
        <v>45506</v>
      </c>
      <c r="UC33" s="456" t="str">
        <f>CHOOSE(WEEKDAY(UB33,2),"Monday","Tuesday","Wednesday","Thursday","Friday","Saturday","Sunday")</f>
        <v>Friday</v>
      </c>
      <c r="UD33" s="455">
        <v>45509</v>
      </c>
      <c r="UE33" s="456" t="str">
        <f>CHOOSE(WEEKDAY(UD33,2),"Monday","Tuesday","Wednesday","Thursday","Friday","Saturday","Sunday")</f>
        <v>Monday</v>
      </c>
      <c r="UF33" s="422" t="s">
        <v>22</v>
      </c>
      <c r="UG33" s="422" t="s">
        <v>22</v>
      </c>
      <c r="UH33" s="457" t="s">
        <v>22</v>
      </c>
      <c r="UI33" s="430" t="s">
        <v>22</v>
      </c>
      <c r="UJ33" s="457" t="s">
        <v>22</v>
      </c>
      <c r="UK33" s="430" t="s">
        <v>22</v>
      </c>
      <c r="UL33" s="455">
        <v>45513</v>
      </c>
      <c r="UM33" s="456" t="str">
        <f>CHOOSE(WEEKDAY(UL33,2),"Monday","Tuesday","Wednesday","Thursday","Friday","Saturday","Sunday")</f>
        <v>Friday</v>
      </c>
      <c r="UN33" s="455">
        <v>45516</v>
      </c>
      <c r="UO33" s="456" t="str">
        <f>CHOOSE(WEEKDAY(UN33,2),"Monday","Tuesday","Wednesday","Thursday","Friday","Saturday","Sunday")</f>
        <v>Monday</v>
      </c>
      <c r="UP33" s="455">
        <v>45516</v>
      </c>
      <c r="UQ33" s="456" t="str">
        <f>CHOOSE(WEEKDAY(UP33,2),"Monday","Tuesday","Wednesday","Thursday","Friday","Saturday","Sunday")</f>
        <v>Monday</v>
      </c>
      <c r="UR33" s="457" t="s">
        <v>22</v>
      </c>
      <c r="US33" s="430" t="s">
        <v>22</v>
      </c>
      <c r="UT33" s="455">
        <v>45518</v>
      </c>
      <c r="UU33" s="456" t="str">
        <f>CHOOSE(WEEKDAY(UT33,2),"Monday","Tuesday","Wednesday","Thursday","Friday","Saturday","Sunday")</f>
        <v>Wednesday</v>
      </c>
      <c r="UV33" s="422" t="s">
        <v>22</v>
      </c>
      <c r="UW33" s="422" t="s">
        <v>22</v>
      </c>
      <c r="UX33" s="455">
        <v>45519</v>
      </c>
      <c r="UY33" s="456" t="str">
        <f>CHOOSE(WEEKDAY(UX33,2),"Monday","Tuesday","Wednesday","Thursday","Friday","Saturday","Sunday")</f>
        <v>Thursday</v>
      </c>
      <c r="UZ33" s="457" t="s">
        <v>22</v>
      </c>
      <c r="VA33" s="430" t="s">
        <v>22</v>
      </c>
      <c r="VB33" s="455">
        <v>45520</v>
      </c>
      <c r="VC33" s="456" t="str">
        <f>CHOOSE(WEEKDAY(VB33,2),"Monday","Tuesday","Wednesday","Thursday","Friday","Saturday","Sunday")</f>
        <v>Friday</v>
      </c>
      <c r="VD33" s="457" t="s">
        <v>22</v>
      </c>
      <c r="VE33" s="430" t="s">
        <v>22</v>
      </c>
      <c r="VF33" s="455">
        <v>45521</v>
      </c>
      <c r="VG33" s="456" t="str">
        <f>CHOOSE(WEEKDAY(VF33,2),"Monday","Tuesday","Wednesday","Thursday","Friday","Saturday","Sunday")</f>
        <v>Saturday</v>
      </c>
      <c r="VH33" s="457" t="s">
        <v>22</v>
      </c>
      <c r="VI33" s="430" t="s">
        <v>22</v>
      </c>
      <c r="VJ33" s="422" t="s">
        <v>22</v>
      </c>
      <c r="VK33" s="422" t="s">
        <v>22</v>
      </c>
      <c r="VL33" s="455">
        <v>45525</v>
      </c>
      <c r="VM33" s="456" t="str">
        <f>CHOOSE(WEEKDAY(VL33,2),"Monday","Tuesday","Wednesday","Thursday","Friday","Saturday","Sunday")</f>
        <v>Wednesday</v>
      </c>
      <c r="VN33" s="457" t="s">
        <v>22</v>
      </c>
      <c r="VO33" s="430" t="s">
        <v>22</v>
      </c>
      <c r="VP33" s="422" t="s">
        <v>22</v>
      </c>
      <c r="VQ33" s="422" t="s">
        <v>22</v>
      </c>
      <c r="VR33" s="455">
        <v>45526</v>
      </c>
      <c r="VS33" s="456" t="str">
        <f>CHOOSE(WEEKDAY(VR33,2),"Monday","Tuesday","Wednesday","Thursday","Friday","Saturday","Sunday")</f>
        <v>Thursday</v>
      </c>
      <c r="VT33" s="455">
        <v>45527</v>
      </c>
      <c r="VU33" s="456" t="str">
        <f>CHOOSE(WEEKDAY(VT33,2),"Monday","Tuesday","Wednesday","Thursday","Friday","Saturday","Sunday")</f>
        <v>Friday</v>
      </c>
      <c r="VV33" s="457" t="s">
        <v>22</v>
      </c>
      <c r="VW33" s="430" t="s">
        <v>22</v>
      </c>
      <c r="VX33" s="309">
        <v>45520</v>
      </c>
      <c r="VY33" s="104" t="str">
        <f>CHOOSE(WEEKDAY(VX33,2),"Monday","Tuesday","Wednesday","Thursday","Friday","Saturday","Sunday")</f>
        <v>Friday</v>
      </c>
      <c r="VZ33" s="457" t="s">
        <v>22</v>
      </c>
      <c r="WA33" s="430" t="s">
        <v>22</v>
      </c>
      <c r="WB33" s="457" t="s">
        <v>22</v>
      </c>
      <c r="WC33" s="430" t="s">
        <v>22</v>
      </c>
      <c r="WD33" s="455">
        <v>45532</v>
      </c>
      <c r="WE33" s="456" t="str">
        <f>CHOOSE(WEEKDAY(WD33,2),"Monday","Tuesday","Wednesday","Thursday","Friday","Saturday","Sunday")</f>
        <v>Wednesday</v>
      </c>
      <c r="WF33" s="422" t="s">
        <v>22</v>
      </c>
      <c r="WG33" s="422" t="s">
        <v>22</v>
      </c>
      <c r="WH33" s="457" t="s">
        <v>22</v>
      </c>
      <c r="WI33" s="430" t="s">
        <v>22</v>
      </c>
      <c r="WJ33" s="455">
        <v>45536</v>
      </c>
      <c r="WK33" s="456" t="str">
        <f>CHOOSE(WEEKDAY(WJ33,2),"Monday","Tuesday","Wednesday","Thursday","Friday","Saturday","Sunday")</f>
        <v>Sunday</v>
      </c>
      <c r="WL33" s="455">
        <v>45537</v>
      </c>
      <c r="WM33" s="456" t="str">
        <f>CHOOSE(WEEKDAY(WL33,2),"Monday","Tuesday","Wednesday","Thursday","Friday","Saturday","Sunday")</f>
        <v>Monday</v>
      </c>
      <c r="WN33" s="422" t="s">
        <v>22</v>
      </c>
      <c r="WO33" s="422" t="s">
        <v>22</v>
      </c>
      <c r="WP33" s="457" t="s">
        <v>22</v>
      </c>
      <c r="WQ33" s="430" t="s">
        <v>22</v>
      </c>
      <c r="WR33" s="457" t="s">
        <v>22</v>
      </c>
      <c r="WS33" s="430" t="s">
        <v>22</v>
      </c>
      <c r="WT33" s="422" t="s">
        <v>22</v>
      </c>
      <c r="WU33" s="422" t="s">
        <v>22</v>
      </c>
      <c r="WV33" s="455">
        <v>45540</v>
      </c>
      <c r="WW33" s="456" t="str">
        <f>CHOOSE(WEEKDAY(WV33,2),"Monday","Tuesday","Wednesday","Thursday","Friday","Saturday","Sunday")</f>
        <v>Thursday</v>
      </c>
      <c r="WX33" s="455">
        <v>45541</v>
      </c>
      <c r="WY33" s="456" t="str">
        <f>CHOOSE(WEEKDAY(WX33,2),"Monday","Tuesday","Wednesday","Thursday","Friday","Saturday","Sunday")</f>
        <v>Friday</v>
      </c>
      <c r="WZ33" s="455">
        <v>45542</v>
      </c>
      <c r="XA33" s="456" t="str">
        <f>CHOOSE(WEEKDAY(WZ33,2),"Monday","Tuesday","Wednesday","Thursday","Friday","Saturday","Sunday")</f>
        <v>Saturday</v>
      </c>
      <c r="XB33" s="422" t="s">
        <v>22</v>
      </c>
      <c r="XC33" s="422" t="s">
        <v>22</v>
      </c>
      <c r="XD33" s="457" t="s">
        <v>22</v>
      </c>
      <c r="XE33" s="430" t="s">
        <v>22</v>
      </c>
      <c r="XF33" s="455">
        <v>45543</v>
      </c>
      <c r="XG33" s="456" t="str">
        <f>CHOOSE(WEEKDAY(XF33,2),"Monday","Tuesday","Wednesday","Thursday","Friday","Saturday","Sunday")</f>
        <v>Sunday</v>
      </c>
      <c r="XH33" s="457" t="s">
        <v>22</v>
      </c>
      <c r="XI33" s="422" t="s">
        <v>22</v>
      </c>
      <c r="XJ33" s="457" t="s">
        <v>22</v>
      </c>
      <c r="XK33" s="422" t="s">
        <v>22</v>
      </c>
      <c r="XL33" s="457" t="s">
        <v>22</v>
      </c>
      <c r="XM33" s="422" t="s">
        <v>22</v>
      </c>
      <c r="XN33" s="455">
        <v>45547</v>
      </c>
      <c r="XO33" s="456" t="str">
        <f>CHOOSE(WEEKDAY(XN33,2),"Monday","Tuesday","Wednesday","Thursday","Friday","Saturday","Sunday")</f>
        <v>Thursday</v>
      </c>
      <c r="XP33" s="457" t="s">
        <v>22</v>
      </c>
      <c r="XQ33" s="422" t="s">
        <v>22</v>
      </c>
      <c r="XR33" s="457" t="s">
        <v>22</v>
      </c>
      <c r="XS33" s="430" t="s">
        <v>22</v>
      </c>
      <c r="XT33" s="455">
        <v>45548</v>
      </c>
      <c r="XU33" s="456" t="str">
        <f>CHOOSE(WEEKDAY(XT33,2),"Monday","Tuesday","Wednesday","Thursday","Friday","Saturday","Sunday")</f>
        <v>Friday</v>
      </c>
      <c r="XV33" s="455">
        <v>45548</v>
      </c>
      <c r="XW33" s="456" t="str">
        <f>CHOOSE(WEEKDAY(XV33,2),"Monday","Tuesday","Wednesday","Thursday","Friday","Saturday","Sunday")</f>
        <v>Friday</v>
      </c>
      <c r="XX33" s="455">
        <v>45552</v>
      </c>
      <c r="XY33" s="456" t="str">
        <f>CHOOSE(WEEKDAY(XX33,2),"Monday","Tuesday","Wednesday","Thursday","Friday","Saturday","Sunday")</f>
        <v>Tuesday</v>
      </c>
      <c r="XZ33" s="457" t="s">
        <v>22</v>
      </c>
      <c r="YA33" s="430" t="s">
        <v>22</v>
      </c>
      <c r="YB33" s="457" t="s">
        <v>22</v>
      </c>
      <c r="YC33" s="430" t="s">
        <v>22</v>
      </c>
      <c r="YD33" s="455">
        <v>45551</v>
      </c>
      <c r="YE33" s="456" t="str">
        <f>CHOOSE(WEEKDAY(YD33,2),"Monday","Tuesday","Wednesday","Thursday","Friday","Saturday","Sunday")</f>
        <v>Monday</v>
      </c>
      <c r="YF33" s="455">
        <v>45553</v>
      </c>
      <c r="YG33" s="456" t="str">
        <f>CHOOSE(WEEKDAY(YF33,2),"Monday","Tuesday","Wednesday","Thursday","Friday","Saturday","Sunday")</f>
        <v>Wednesday</v>
      </c>
      <c r="YH33" s="455">
        <v>45554</v>
      </c>
      <c r="YI33" s="456" t="str">
        <f>CHOOSE(WEEKDAY(YH33,2),"Monday","Tuesday","Wednesday","Thursday","Friday","Saturday","Sunday")</f>
        <v>Thursday</v>
      </c>
      <c r="YJ33" s="457" t="s">
        <v>22</v>
      </c>
      <c r="YK33" s="430" t="s">
        <v>22</v>
      </c>
      <c r="YL33" s="422" t="s">
        <v>22</v>
      </c>
      <c r="YM33" s="422" t="s">
        <v>22</v>
      </c>
      <c r="YN33" s="455">
        <v>45554</v>
      </c>
      <c r="YO33" s="456" t="str">
        <f>CHOOSE(WEEKDAY(YN33,2),"Monday","Tuesday","Wednesday","Thursday","Friday","Saturday","Sunday")</f>
        <v>Thursday</v>
      </c>
      <c r="YP33" s="457" t="s">
        <v>22</v>
      </c>
      <c r="YQ33" s="430" t="s">
        <v>22</v>
      </c>
      <c r="YR33" s="455">
        <v>45555</v>
      </c>
      <c r="YS33" s="456" t="str">
        <f>CHOOSE(WEEKDAY(YR33,2),"Monday","Tuesday","Wednesday","Thursday","Friday","Saturday","Sunday")</f>
        <v>Friday</v>
      </c>
      <c r="YT33" s="457" t="s">
        <v>22</v>
      </c>
      <c r="YU33" s="430" t="s">
        <v>22</v>
      </c>
      <c r="YV33" s="455">
        <v>45558</v>
      </c>
      <c r="YW33" s="456" t="str">
        <f>CHOOSE(WEEKDAY(YV33,2),"Monday","Tuesday","Wednesday","Thursday","Friday","Saturday","Sunday")</f>
        <v>Monday</v>
      </c>
      <c r="YX33" s="422" t="s">
        <v>22</v>
      </c>
      <c r="YY33" s="422" t="s">
        <v>22</v>
      </c>
      <c r="YZ33" s="457" t="s">
        <v>22</v>
      </c>
      <c r="ZA33" s="430" t="s">
        <v>22</v>
      </c>
      <c r="ZB33" s="422" t="s">
        <v>22</v>
      </c>
      <c r="ZC33" s="422" t="s">
        <v>22</v>
      </c>
      <c r="ZD33" s="457" t="s">
        <v>22</v>
      </c>
      <c r="ZE33" s="430" t="s">
        <v>22</v>
      </c>
      <c r="ZF33" s="457" t="s">
        <v>22</v>
      </c>
      <c r="ZG33" s="430" t="s">
        <v>22</v>
      </c>
      <c r="ZH33" s="455">
        <v>45562</v>
      </c>
      <c r="ZI33" s="456" t="str">
        <f>CHOOSE(WEEKDAY(ZH33,2),"Monday","Tuesday","Wednesday","Thursday","Friday","Saturday","Sunday")</f>
        <v>Friday</v>
      </c>
      <c r="ZJ33" s="422" t="s">
        <v>22</v>
      </c>
      <c r="ZK33" s="422" t="s">
        <v>22</v>
      </c>
      <c r="ZL33" s="457" t="s">
        <v>22</v>
      </c>
      <c r="ZM33" s="430" t="s">
        <v>22</v>
      </c>
      <c r="ZN33" s="455">
        <v>45566</v>
      </c>
      <c r="ZO33" s="456" t="str">
        <f>CHOOSE(WEEKDAY(ZN33,2),"Monday","Tuesday","Wednesday","Thursday","Friday","Saturday","Sunday")</f>
        <v>Tuesday</v>
      </c>
      <c r="ZP33" s="455">
        <v>45566</v>
      </c>
      <c r="ZQ33" s="456" t="str">
        <f>CHOOSE(WEEKDAY(ZP33,2),"Monday","Tuesday","Wednesday","Thursday","Friday","Saturday","Sunday")</f>
        <v>Tuesday</v>
      </c>
      <c r="ZR33" s="455">
        <v>45568</v>
      </c>
      <c r="ZS33" s="456" t="str">
        <f>CHOOSE(WEEKDAY(ZR33,2),"Monday","Tuesday","Wednesday","Thursday","Friday","Saturday","Sunday")</f>
        <v>Thursday</v>
      </c>
      <c r="ZT33" s="422" t="s">
        <v>22</v>
      </c>
      <c r="ZU33" s="422" t="s">
        <v>22</v>
      </c>
      <c r="ZV33" s="457" t="s">
        <v>22</v>
      </c>
      <c r="ZW33" s="430" t="s">
        <v>22</v>
      </c>
      <c r="ZX33" s="457" t="s">
        <v>2004</v>
      </c>
      <c r="ZY33" s="430" t="s">
        <v>22</v>
      </c>
      <c r="ZZ33" s="455">
        <v>45570</v>
      </c>
      <c r="AAA33" s="456" t="str">
        <f>CHOOSE(WEEKDAY(ZZ33,2),"Monday","Tuesday","Wednesday","Thursday","Friday","Saturday","Sunday")</f>
        <v>Saturday</v>
      </c>
      <c r="AAB33" s="457" t="s">
        <v>22</v>
      </c>
      <c r="AAC33" s="430" t="s">
        <v>22</v>
      </c>
      <c r="AAD33" s="422" t="s">
        <v>22</v>
      </c>
      <c r="AAE33" s="422" t="s">
        <v>22</v>
      </c>
      <c r="AAF33" s="455">
        <v>45574</v>
      </c>
      <c r="AAG33" s="456" t="str">
        <f>CHOOSE(WEEKDAY(AAF33,2),"Monday","Tuesday","Wednesday","Thursday","Friday","Saturday","Sunday")</f>
        <v>Wednesday</v>
      </c>
      <c r="AAH33" s="457" t="s">
        <v>22</v>
      </c>
      <c r="AAI33" s="430" t="s">
        <v>22</v>
      </c>
      <c r="AAJ33" s="457" t="s">
        <v>22</v>
      </c>
      <c r="AAK33" s="430" t="s">
        <v>22</v>
      </c>
      <c r="AAL33" s="455">
        <v>45576</v>
      </c>
      <c r="AAM33" s="456" t="str">
        <f>CHOOSE(WEEKDAY(AAL33,2),"Monday","Tuesday","Wednesday","Thursday","Friday","Saturday","Sunday")</f>
        <v>Friday</v>
      </c>
      <c r="AAN33" s="455">
        <v>45576</v>
      </c>
      <c r="AAO33" s="456" t="str">
        <f>CHOOSE(WEEKDAY(AAN33,2),"Monday","Tuesday","Wednesday","Thursday","Friday","Saturday","Sunday")</f>
        <v>Friday</v>
      </c>
      <c r="AAP33" s="455">
        <v>45578</v>
      </c>
      <c r="AAQ33" s="456" t="str">
        <f>CHOOSE(WEEKDAY(AAP33,2),"Monday","Tuesday","Wednesday","Thursday","Friday","Saturday","Sunday")</f>
        <v>Sunday</v>
      </c>
      <c r="AAR33" s="457" t="s">
        <v>22</v>
      </c>
      <c r="AAS33" s="430" t="s">
        <v>22</v>
      </c>
      <c r="AAT33" s="457" t="s">
        <v>22</v>
      </c>
      <c r="AAU33" s="430" t="s">
        <v>22</v>
      </c>
      <c r="AAV33" s="422" t="s">
        <v>22</v>
      </c>
      <c r="AAW33" s="422" t="s">
        <v>22</v>
      </c>
      <c r="AAX33" s="457" t="s">
        <v>22</v>
      </c>
      <c r="AAY33" s="430" t="s">
        <v>22</v>
      </c>
      <c r="AAZ33" s="457" t="s">
        <v>22</v>
      </c>
      <c r="ABA33" s="430" t="s">
        <v>22</v>
      </c>
      <c r="ABB33" s="455">
        <v>45581</v>
      </c>
      <c r="ABC33" s="456" t="str">
        <f>CHOOSE(WEEKDAY(ABB33,2),"Monday","Tuesday","Wednesday","Thursday","Friday","Saturday","Sunday")</f>
        <v>Wednesday</v>
      </c>
      <c r="ABD33" s="422" t="s">
        <v>22</v>
      </c>
      <c r="ABE33" s="422" t="s">
        <v>22</v>
      </c>
      <c r="ABF33" s="455">
        <v>45331</v>
      </c>
      <c r="ABG33" s="456" t="str">
        <f>CHOOSE(WEEKDAY(ABF33,2),"Monday","Tuesday","Wednesday","Thursday","Friday","Saturday","Sunday")</f>
        <v>Friday</v>
      </c>
      <c r="ABH33" s="455">
        <v>45585</v>
      </c>
      <c r="ABI33" s="456" t="str">
        <f>CHOOSE(WEEKDAY(ABH33,2),"Monday","Tuesday","Wednesday","Thursday","Friday","Saturday","Sunday")</f>
        <v>Sunday</v>
      </c>
      <c r="ABJ33" s="455">
        <v>45586</v>
      </c>
      <c r="ABK33" s="456" t="str">
        <f>CHOOSE(WEEKDAY(ABJ33,2),"Monday","Tuesday","Wednesday","Thursday","Friday","Saturday","Sunday")</f>
        <v>Monday</v>
      </c>
      <c r="ABL33" s="455">
        <v>45586</v>
      </c>
      <c r="ABM33" s="456" t="str">
        <f>CHOOSE(WEEKDAY(ABL33,2),"Monday","Tuesday","Wednesday","Thursday","Friday","Saturday","Sunday")</f>
        <v>Monday</v>
      </c>
      <c r="ABN33" s="422" t="s">
        <v>22</v>
      </c>
      <c r="ABO33" s="422" t="s">
        <v>22</v>
      </c>
      <c r="ABP33" s="455">
        <v>45582</v>
      </c>
      <c r="ABQ33" s="456" t="str">
        <f>CHOOSE(WEEKDAY(ABP33,2),"Monday","Tuesday","Wednesday","Thursday","Friday","Saturday","Sunday")</f>
        <v>Thursday</v>
      </c>
      <c r="ABR33" s="455">
        <v>45588</v>
      </c>
      <c r="ABS33" s="456" t="str">
        <f>CHOOSE(WEEKDAY(ABR33,2),"Monday","Tuesday","Wednesday","Thursday","Friday","Saturday","Sunday")</f>
        <v>Wednesday</v>
      </c>
      <c r="ABT33" s="455">
        <v>45587</v>
      </c>
      <c r="ABU33" s="456" t="str">
        <f>CHOOSE(WEEKDAY(ABT33,2),"Monday","Tuesday","Wednesday","Thursday","Friday","Saturday","Sunday")</f>
        <v>Tuesday</v>
      </c>
      <c r="ABV33" s="422" t="s">
        <v>22</v>
      </c>
      <c r="ABW33" s="422" t="s">
        <v>22</v>
      </c>
      <c r="ABX33" s="457" t="s">
        <v>22</v>
      </c>
      <c r="ABY33" s="430" t="s">
        <v>22</v>
      </c>
      <c r="ABZ33" s="422" t="s">
        <v>22</v>
      </c>
      <c r="ACA33" s="422" t="s">
        <v>22</v>
      </c>
      <c r="ACB33" s="457" t="s">
        <v>22</v>
      </c>
      <c r="ACC33" s="430" t="s">
        <v>22</v>
      </c>
      <c r="ACD33" s="455">
        <v>45590</v>
      </c>
      <c r="ACE33" s="456" t="str">
        <f>CHOOSE(WEEKDAY(ACD33,2),"Monday","Tuesday","Wednesday","Thursday","Friday","Saturday","Sunday")</f>
        <v>Friday</v>
      </c>
      <c r="ACF33" s="457" t="s">
        <v>22</v>
      </c>
      <c r="ACG33" s="430" t="s">
        <v>22</v>
      </c>
      <c r="ACH33" s="455">
        <v>45593</v>
      </c>
      <c r="ACI33" s="456" t="str">
        <f>CHOOSE(WEEKDAY(ACH33,2),"Monday","Tuesday","Wednesday","Thursday","Friday","Saturday","Sunday")</f>
        <v>Monday</v>
      </c>
      <c r="ACJ33" s="457" t="s">
        <v>22</v>
      </c>
      <c r="ACK33" s="430" t="s">
        <v>22</v>
      </c>
      <c r="ACL33" s="422" t="s">
        <v>22</v>
      </c>
      <c r="ACM33" s="422" t="s">
        <v>22</v>
      </c>
      <c r="ACN33" s="455">
        <v>45590</v>
      </c>
      <c r="ACO33" s="456" t="str">
        <f>CHOOSE(WEEKDAY(ACN33,2),"Monday","Tuesday","Wednesday","Thursday","Friday","Saturday","Sunday")</f>
        <v>Friday</v>
      </c>
      <c r="ACP33" s="455">
        <v>45597</v>
      </c>
      <c r="ACQ33" s="456" t="str">
        <f>CHOOSE(WEEKDAY(ACP33,2),"Monday","Tuesday","Wednesday","Thursday","Friday","Saturday","Sunday")</f>
        <v>Friday</v>
      </c>
      <c r="ACR33" s="455">
        <v>45600</v>
      </c>
      <c r="ACS33" s="456" t="str">
        <f>CHOOSE(WEEKDAY(ACR33,2),"Monday","Tuesday","Wednesday","Thursday","Friday","Saturday","Sunday")</f>
        <v>Monday</v>
      </c>
      <c r="ACT33" s="309">
        <v>45588</v>
      </c>
      <c r="ACU33" s="104" t="str">
        <f t="shared" si="70"/>
        <v>Wednesday</v>
      </c>
      <c r="ACV33" s="457" t="s">
        <v>22</v>
      </c>
      <c r="ACW33" s="430" t="s">
        <v>22</v>
      </c>
      <c r="ACX33" s="455">
        <v>45601</v>
      </c>
      <c r="ACY33" s="456" t="str">
        <f>CHOOSE(WEEKDAY(ACX33,2),"Monday","Tuesday","Wednesday","Thursday","Friday","Saturday","Sunday")</f>
        <v>Tuesday</v>
      </c>
      <c r="ACZ33" s="455">
        <v>45602</v>
      </c>
      <c r="ADA33" s="456" t="str">
        <f>CHOOSE(WEEKDAY(ACZ33,2),"Monday","Tuesday","Wednesday","Thursday","Friday","Saturday","Sunday")</f>
        <v>Wednesday</v>
      </c>
      <c r="ADB33" s="455">
        <v>45604</v>
      </c>
      <c r="ADC33" s="456" t="str">
        <f>CHOOSE(WEEKDAY(ADB33,2),"Monday","Tuesday","Wednesday","Thursday","Friday","Saturday","Sunday")</f>
        <v>Friday</v>
      </c>
      <c r="ADD33" s="457" t="s">
        <v>22</v>
      </c>
      <c r="ADE33" s="430" t="s">
        <v>22</v>
      </c>
      <c r="ADF33" s="455">
        <v>45605</v>
      </c>
      <c r="ADG33" s="456" t="str">
        <f>CHOOSE(WEEKDAY(ADF33,2),"Monday","Tuesday","Wednesday","Thursday","Friday","Saturday","Sunday")</f>
        <v>Saturday</v>
      </c>
      <c r="ADH33" s="457" t="s">
        <v>22</v>
      </c>
      <c r="ADI33" s="430" t="s">
        <v>22</v>
      </c>
      <c r="ADJ33" s="455">
        <v>45607</v>
      </c>
      <c r="ADK33" s="456" t="str">
        <f>CHOOSE(WEEKDAY(ADJ33,2),"Monday","Tuesday","Wednesday","Thursday","Friday","Saturday","Sunday")</f>
        <v>Monday</v>
      </c>
      <c r="ADL33" s="455">
        <v>45607</v>
      </c>
      <c r="ADM33" s="456" t="str">
        <f>CHOOSE(WEEKDAY(ADL33,2),"Monday","Tuesday","Wednesday","Thursday","Friday","Saturday","Sunday")</f>
        <v>Monday</v>
      </c>
      <c r="ADN33" s="455">
        <v>45607</v>
      </c>
      <c r="ADO33" s="456" t="str">
        <f>CHOOSE(WEEKDAY(ADN33,2),"Monday","Tuesday","Wednesday","Thursday","Friday","Saturday","Sunday")</f>
        <v>Monday</v>
      </c>
      <c r="ADP33" s="455">
        <v>45609</v>
      </c>
      <c r="ADQ33" s="456" t="str">
        <f>CHOOSE(WEEKDAY(ADP33,2),"Monday","Tuesday","Wednesday","Thursday","Friday","Saturday","Sunday")</f>
        <v>Wednesday</v>
      </c>
      <c r="ADR33" s="457" t="s">
        <v>22</v>
      </c>
      <c r="ADS33" s="430" t="s">
        <v>22</v>
      </c>
      <c r="ADT33" s="422" t="s">
        <v>22</v>
      </c>
      <c r="ADU33" s="422" t="s">
        <v>22</v>
      </c>
      <c r="ADV33" s="457" t="s">
        <v>22</v>
      </c>
      <c r="ADW33" s="430" t="s">
        <v>22</v>
      </c>
      <c r="ADX33" s="422" t="s">
        <v>22</v>
      </c>
      <c r="ADY33" s="430" t="s">
        <v>22</v>
      </c>
      <c r="ADZ33" s="455">
        <v>45612</v>
      </c>
      <c r="AEA33" s="456" t="str">
        <f>CHOOSE(WEEKDAY(ADZ33,2),"Monday","Tuesday","Wednesday","Thursday","Friday","Saturday","Sunday")</f>
        <v>Saturday</v>
      </c>
      <c r="AEB33" s="455">
        <v>45615</v>
      </c>
      <c r="AEC33" s="456" t="str">
        <f>CHOOSE(WEEKDAY(AEB33,2),"Monday","Tuesday","Wednesday","Thursday","Friday","Saturday","Sunday")</f>
        <v>Tuesday</v>
      </c>
      <c r="AED33" s="457" t="s">
        <v>22</v>
      </c>
      <c r="AEE33" s="430" t="s">
        <v>22</v>
      </c>
      <c r="AEF33" s="422" t="s">
        <v>22</v>
      </c>
      <c r="AEG33" s="422" t="s">
        <v>22</v>
      </c>
      <c r="AEH33" s="455">
        <v>45623</v>
      </c>
      <c r="AEI33" s="456" t="str">
        <f>CHOOSE(WEEKDAY(AEH33,2),"Monday","Tuesday","Wednesday","Thursday","Friday","Saturday","Sunday")</f>
        <v>Wednesday</v>
      </c>
      <c r="AEJ33" s="422" t="s">
        <v>22</v>
      </c>
      <c r="AEK33" s="422" t="s">
        <v>22</v>
      </c>
      <c r="AEL33" s="457" t="s">
        <v>22</v>
      </c>
      <c r="AEM33" s="430" t="s">
        <v>22</v>
      </c>
      <c r="AEN33" s="422" t="s">
        <v>22</v>
      </c>
      <c r="AEO33" s="422" t="s">
        <v>22</v>
      </c>
      <c r="AEP33" s="455">
        <v>45625</v>
      </c>
      <c r="AEQ33" s="456" t="str">
        <f>CHOOSE(WEEKDAY(AEP33,2),"Monday","Tuesday","Wednesday","Thursday","Friday","Saturday","Sunday")</f>
        <v>Friday</v>
      </c>
      <c r="AER33" s="457" t="s">
        <v>22</v>
      </c>
      <c r="AES33" s="430" t="s">
        <v>22</v>
      </c>
      <c r="AET33" s="422" t="s">
        <v>22</v>
      </c>
      <c r="AEU33" s="422" t="s">
        <v>22</v>
      </c>
      <c r="AEV33" s="457" t="s">
        <v>22</v>
      </c>
      <c r="AEW33" s="430" t="s">
        <v>22</v>
      </c>
      <c r="AEX33" s="455">
        <v>45626</v>
      </c>
      <c r="AEY33" s="456" t="str">
        <f>CHOOSE(WEEKDAY(AEX33,2),"Monday","Tuesday","Wednesday","Thursday","Friday","Saturday","Sunday")</f>
        <v>Saturday</v>
      </c>
      <c r="AEZ33" s="455">
        <v>45627</v>
      </c>
      <c r="AFA33" s="456" t="str">
        <f>CHOOSE(WEEKDAY(AEZ33,2),"Monday","Tuesday","Wednesday","Thursday","Friday","Saturday","Sunday")</f>
        <v>Sunday</v>
      </c>
      <c r="AFB33" s="457" t="s">
        <v>22</v>
      </c>
      <c r="AFC33" s="430" t="s">
        <v>22</v>
      </c>
      <c r="AFD33" s="455">
        <v>45619</v>
      </c>
      <c r="AFE33" s="456" t="str">
        <f>CHOOSE(WEEKDAY(AFD33,2),"Monday","Tuesday","Wednesday","Thursday","Friday","Saturday","Sunday")</f>
        <v>Saturday</v>
      </c>
      <c r="AFF33" s="457" t="s">
        <v>22</v>
      </c>
      <c r="AFG33" s="430" t="s">
        <v>22</v>
      </c>
      <c r="AFH33" s="422" t="s">
        <v>22</v>
      </c>
      <c r="AFI33" s="422" t="s">
        <v>22</v>
      </c>
      <c r="AFJ33" s="457" t="s">
        <v>22</v>
      </c>
      <c r="AFK33" s="430" t="s">
        <v>22</v>
      </c>
      <c r="AFL33" s="455">
        <v>45631</v>
      </c>
      <c r="AFM33" s="456" t="str">
        <f>CHOOSE(WEEKDAY(AFL33,2),"Monday","Tuesday","Wednesday","Thursday","Friday","Saturday","Sunday")</f>
        <v>Thursday</v>
      </c>
      <c r="AFN33" s="457" t="s">
        <v>22</v>
      </c>
      <c r="AFO33" s="430" t="s">
        <v>22</v>
      </c>
      <c r="AFP33" s="455">
        <v>45632</v>
      </c>
      <c r="AFQ33" s="456" t="str">
        <f>CHOOSE(WEEKDAY(AFP33,2),"Monday","Tuesday","Wednesday","Thursday","Friday","Saturday","Sunday")</f>
        <v>Friday</v>
      </c>
      <c r="AFR33" s="457" t="s">
        <v>22</v>
      </c>
      <c r="AFS33" s="430" t="s">
        <v>22</v>
      </c>
      <c r="AFT33" s="422" t="s">
        <v>22</v>
      </c>
      <c r="AFU33" s="422" t="s">
        <v>22</v>
      </c>
      <c r="AFV33" s="457" t="s">
        <v>22</v>
      </c>
      <c r="AFW33" s="430" t="s">
        <v>22</v>
      </c>
      <c r="AFX33" s="455">
        <v>45635</v>
      </c>
      <c r="AFY33" s="456" t="str">
        <f>CHOOSE(WEEKDAY(AFX33,2),"Monday","Tuesday","Wednesday","Thursday","Friday","Saturday","Sunday")</f>
        <v>Monday</v>
      </c>
      <c r="AFZ33" s="457" t="s">
        <v>22</v>
      </c>
      <c r="AGA33" s="430" t="s">
        <v>22</v>
      </c>
      <c r="AGB33" s="455">
        <v>45636</v>
      </c>
      <c r="AGC33" s="456" t="str">
        <f>CHOOSE(WEEKDAY(AGB33,2),"Monday","Tuesday","Wednesday","Thursday","Friday","Saturday","Sunday")</f>
        <v>Tuesday</v>
      </c>
      <c r="AGD33" s="422" t="s">
        <v>22</v>
      </c>
      <c r="AGE33" s="422" t="s">
        <v>22</v>
      </c>
      <c r="AGF33" s="457" t="s">
        <v>22</v>
      </c>
      <c r="AGG33" s="430" t="s">
        <v>22</v>
      </c>
      <c r="AGH33" s="455">
        <v>45639</v>
      </c>
      <c r="AGI33" s="456" t="str">
        <f>CHOOSE(WEEKDAY(AGH33,2),"Monday","Tuesday","Wednesday","Thursday","Friday","Saturday","Sunday")</f>
        <v>Friday</v>
      </c>
      <c r="AGJ33" s="422" t="s">
        <v>22</v>
      </c>
      <c r="AGK33" s="422" t="s">
        <v>22</v>
      </c>
      <c r="AGL33" s="455">
        <v>45640</v>
      </c>
      <c r="AGM33" s="456" t="str">
        <f>CHOOSE(WEEKDAY(AGL33,2),"Monday","Tuesday","Wednesday","Thursday","Friday","Saturday","Sunday")</f>
        <v>Saturday</v>
      </c>
      <c r="AGN33" s="457" t="s">
        <v>22</v>
      </c>
      <c r="AGO33" s="430" t="s">
        <v>22</v>
      </c>
      <c r="AGP33" s="455">
        <v>45642</v>
      </c>
      <c r="AGQ33" s="456" t="str">
        <f>CHOOSE(WEEKDAY(AGP33,2),"Monday","Tuesday","Wednesday","Thursday","Friday","Saturday","Sunday")</f>
        <v>Monday</v>
      </c>
      <c r="AGR33" s="457" t="s">
        <v>22</v>
      </c>
      <c r="AGS33" s="430" t="s">
        <v>22</v>
      </c>
      <c r="AGT33" s="457" t="s">
        <v>22</v>
      </c>
      <c r="AGU33" s="430" t="s">
        <v>22</v>
      </c>
      <c r="AGV33" s="422" t="s">
        <v>22</v>
      </c>
      <c r="AGW33" s="430" t="s">
        <v>22</v>
      </c>
      <c r="AGX33" s="455">
        <v>45645</v>
      </c>
      <c r="AGY33" s="456" t="str">
        <f>CHOOSE(WEEKDAY(AGX33,2),"Monday","Tuesday","Wednesday","Thursday","Friday","Saturday","Sunday")</f>
        <v>Thursday</v>
      </c>
      <c r="AGZ33" s="457" t="s">
        <v>22</v>
      </c>
      <c r="AHA33" s="430" t="s">
        <v>22</v>
      </c>
      <c r="AHB33" s="457" t="s">
        <v>22</v>
      </c>
      <c r="AHC33" s="430" t="s">
        <v>22</v>
      </c>
      <c r="AHD33" s="457" t="s">
        <v>22</v>
      </c>
      <c r="AHE33" s="430" t="s">
        <v>22</v>
      </c>
      <c r="AHF33" s="455">
        <v>45649</v>
      </c>
      <c r="AHG33" s="456" t="str">
        <f>CHOOSE(WEEKDAY(AHF33,2),"Monday","Tuesday","Wednesday","Thursday","Friday","Saturday","Sunday")</f>
        <v>Monday</v>
      </c>
      <c r="AHH33" s="457" t="s">
        <v>22</v>
      </c>
      <c r="AHI33" s="430" t="s">
        <v>22</v>
      </c>
      <c r="AHJ33" s="457" t="s">
        <v>22</v>
      </c>
      <c r="AHK33" s="430" t="s">
        <v>22</v>
      </c>
      <c r="AHL33" s="422" t="s">
        <v>22</v>
      </c>
      <c r="AHM33" s="430" t="s">
        <v>22</v>
      </c>
      <c r="AHN33" s="457" t="s">
        <v>22</v>
      </c>
      <c r="AHO33" s="430" t="s">
        <v>22</v>
      </c>
      <c r="AHP33" s="455">
        <v>45653</v>
      </c>
      <c r="AHQ33" s="456" t="str">
        <f>CHOOSE(WEEKDAY(AHP33,2),"Monday","Tuesday","Wednesday","Thursday","Friday","Saturday","Sunday")</f>
        <v>Friday</v>
      </c>
      <c r="AHR33" s="457" t="s">
        <v>22</v>
      </c>
      <c r="AHS33" s="422" t="s">
        <v>22</v>
      </c>
      <c r="AHT33" s="457" t="s">
        <v>22</v>
      </c>
      <c r="AHU33" s="422" t="s">
        <v>22</v>
      </c>
      <c r="AHV33" s="457" t="s">
        <v>22</v>
      </c>
      <c r="AHW33" s="430" t="s">
        <v>22</v>
      </c>
      <c r="AHX33" s="309">
        <v>45645</v>
      </c>
      <c r="AHY33" s="104" t="str">
        <f t="shared" ref="AHY33:AHY35" si="71">CHOOSE(WEEKDAY(AHX33,2),"Monday","Tuesday","Wednesday","Thursday","Friday","Saturday","Sunday")</f>
        <v>Thursday</v>
      </c>
      <c r="AHZ33" s="457" t="s">
        <v>22</v>
      </c>
      <c r="AIA33" s="430" t="s">
        <v>22</v>
      </c>
    </row>
    <row r="34" spans="1:911" ht="15" x14ac:dyDescent="0.2">
      <c r="A34" s="459"/>
      <c r="B34" s="417"/>
      <c r="C34" s="412"/>
      <c r="D34" s="417"/>
      <c r="E34" s="412"/>
      <c r="F34" s="417"/>
      <c r="G34" s="412"/>
      <c r="H34" s="417"/>
      <c r="I34" s="412"/>
      <c r="J34" s="417"/>
      <c r="K34" s="412"/>
      <c r="L34" s="417"/>
      <c r="M34" s="412"/>
      <c r="N34" s="417"/>
      <c r="O34" s="412"/>
      <c r="P34" s="417"/>
      <c r="Q34" s="412"/>
      <c r="R34" s="417"/>
      <c r="S34" s="412"/>
      <c r="T34" s="417"/>
      <c r="U34" s="412"/>
      <c r="V34" s="417"/>
      <c r="W34" s="412"/>
      <c r="X34" s="417"/>
      <c r="Y34" s="412"/>
      <c r="Z34" s="417"/>
      <c r="AA34" s="412"/>
      <c r="AB34" s="417"/>
      <c r="AC34" s="412"/>
      <c r="AD34" s="402"/>
      <c r="AE34" s="402"/>
      <c r="AF34" s="417"/>
      <c r="AG34" s="412"/>
      <c r="AH34" s="417"/>
      <c r="AI34" s="412"/>
      <c r="AJ34" s="402"/>
      <c r="AK34" s="402"/>
      <c r="AL34" s="464">
        <v>45317</v>
      </c>
      <c r="AM34" s="431" t="str">
        <f>CHOOSE(WEEKDAY(AL35,2),"Monday","Tuesday","Wednesday","Thursday","Friday","Saturday","Sunday")</f>
        <v>Saturday</v>
      </c>
      <c r="AN34" s="417"/>
      <c r="AO34" s="412"/>
      <c r="AP34" s="417"/>
      <c r="AQ34" s="412"/>
      <c r="AR34" s="417"/>
      <c r="AS34" s="412"/>
      <c r="AT34" s="417"/>
      <c r="AU34" s="412"/>
      <c r="AV34" s="402"/>
      <c r="AW34" s="402"/>
      <c r="AX34" s="417"/>
      <c r="AY34" s="412"/>
      <c r="AZ34" s="417"/>
      <c r="BA34" s="412"/>
      <c r="BB34" s="402"/>
      <c r="BC34" s="402"/>
      <c r="BD34" s="417"/>
      <c r="BE34" s="412"/>
      <c r="BF34" s="417"/>
      <c r="BG34" s="412"/>
      <c r="BH34" s="417"/>
      <c r="BI34" s="412"/>
      <c r="BJ34" s="417"/>
      <c r="BK34" s="412"/>
      <c r="BL34" s="402"/>
      <c r="BM34" s="402"/>
      <c r="BN34" s="417"/>
      <c r="BO34" s="412"/>
      <c r="BP34" s="417"/>
      <c r="BQ34" s="412"/>
      <c r="BR34" s="417"/>
      <c r="BS34" s="412"/>
      <c r="BT34" s="417"/>
      <c r="BU34" s="412"/>
      <c r="BV34" s="417"/>
      <c r="BW34" s="412"/>
      <c r="BX34" s="402"/>
      <c r="BY34" s="402"/>
      <c r="BZ34" s="417"/>
      <c r="CA34" s="412"/>
      <c r="CB34" s="417"/>
      <c r="CC34" s="412"/>
      <c r="CD34" s="417"/>
      <c r="CE34" s="412"/>
      <c r="CF34" s="417"/>
      <c r="CG34" s="412"/>
      <c r="CH34" s="417"/>
      <c r="CI34" s="412"/>
      <c r="CJ34" s="417"/>
      <c r="CK34" s="412"/>
      <c r="CL34" s="402"/>
      <c r="CM34" s="402"/>
      <c r="CN34" s="417"/>
      <c r="CO34" s="412"/>
      <c r="CP34" s="417"/>
      <c r="CQ34" s="412"/>
      <c r="CR34" s="417"/>
      <c r="CS34" s="412"/>
      <c r="CT34" s="402"/>
      <c r="CU34" s="402"/>
      <c r="CV34" s="417"/>
      <c r="CW34" s="412"/>
      <c r="CX34" s="417"/>
      <c r="CY34" s="412"/>
      <c r="CZ34" s="402"/>
      <c r="DA34" s="402"/>
      <c r="DB34" s="417"/>
      <c r="DC34" s="412"/>
      <c r="DD34" s="417"/>
      <c r="DE34" s="412"/>
      <c r="DF34" s="417"/>
      <c r="DG34" s="412"/>
      <c r="DH34" s="417"/>
      <c r="DI34" s="412"/>
      <c r="DJ34" s="417"/>
      <c r="DK34" s="412"/>
      <c r="DL34" s="417"/>
      <c r="DM34" s="412"/>
      <c r="DN34" s="402"/>
      <c r="DO34" s="402"/>
      <c r="DP34" s="417"/>
      <c r="DQ34" s="412"/>
      <c r="DR34" s="417"/>
      <c r="DS34" s="412"/>
      <c r="DT34" s="417"/>
      <c r="DU34" s="412"/>
      <c r="DV34" s="417"/>
      <c r="DW34" s="412"/>
      <c r="DX34" s="417"/>
      <c r="DY34" s="412"/>
      <c r="DZ34" s="402"/>
      <c r="EA34" s="402"/>
      <c r="EB34" s="417"/>
      <c r="EC34" s="412"/>
      <c r="ED34" s="402"/>
      <c r="EE34" s="402"/>
      <c r="EF34" s="417"/>
      <c r="EG34" s="412"/>
      <c r="EH34" s="417"/>
      <c r="EI34" s="412"/>
      <c r="EJ34" s="417"/>
      <c r="EK34" s="412"/>
      <c r="EL34" s="417"/>
      <c r="EM34" s="412"/>
      <c r="EN34" s="417"/>
      <c r="EO34" s="412"/>
      <c r="EP34" s="417"/>
      <c r="EQ34" s="412"/>
      <c r="ER34" s="417"/>
      <c r="ES34" s="412"/>
      <c r="ET34" s="402"/>
      <c r="EU34" s="402"/>
      <c r="EV34" s="417"/>
      <c r="EW34" s="412"/>
      <c r="EX34" s="417"/>
      <c r="EY34" s="412"/>
      <c r="EZ34" s="417"/>
      <c r="FA34" s="412"/>
      <c r="FB34" s="402"/>
      <c r="FC34" s="402"/>
      <c r="FD34" s="417"/>
      <c r="FE34" s="412"/>
      <c r="FF34" s="417"/>
      <c r="FG34" s="412"/>
      <c r="FH34" s="402"/>
      <c r="FI34" s="402"/>
      <c r="FJ34" s="417"/>
      <c r="FK34" s="412"/>
      <c r="FL34" s="417"/>
      <c r="FM34" s="412"/>
      <c r="FN34" s="417"/>
      <c r="FO34" s="412"/>
      <c r="FP34" s="402"/>
      <c r="FQ34" s="402"/>
      <c r="FR34" s="417"/>
      <c r="FS34" s="412"/>
      <c r="FT34" s="417"/>
      <c r="FU34" s="412"/>
      <c r="FV34" s="417"/>
      <c r="FW34" s="412"/>
      <c r="FX34" s="402"/>
      <c r="FY34" s="402"/>
      <c r="FZ34" s="417"/>
      <c r="GA34" s="412"/>
      <c r="GB34" s="417"/>
      <c r="GC34" s="412"/>
      <c r="GD34" s="402"/>
      <c r="GE34" s="402"/>
      <c r="GF34" s="417"/>
      <c r="GG34" s="412"/>
      <c r="GH34" s="417"/>
      <c r="GI34" s="412"/>
      <c r="GJ34" s="417"/>
      <c r="GK34" s="412"/>
      <c r="GL34" s="417"/>
      <c r="GM34" s="412"/>
      <c r="GN34" s="417"/>
      <c r="GO34" s="412"/>
      <c r="GP34" s="417"/>
      <c r="GQ34" s="412"/>
      <c r="GR34" s="417"/>
      <c r="GS34" s="412"/>
      <c r="GT34" s="417"/>
      <c r="GU34" s="412"/>
      <c r="GV34" s="402"/>
      <c r="GW34" s="402"/>
      <c r="GX34" s="417"/>
      <c r="GY34" s="412"/>
      <c r="GZ34" s="417"/>
      <c r="HA34" s="412"/>
      <c r="HB34" s="417"/>
      <c r="HC34" s="412"/>
      <c r="HD34" s="417"/>
      <c r="HE34" s="412"/>
      <c r="HF34" s="417"/>
      <c r="HG34" s="412"/>
      <c r="HH34" s="402"/>
      <c r="HI34" s="402"/>
      <c r="HJ34" s="417"/>
      <c r="HK34" s="412"/>
      <c r="HL34" s="417"/>
      <c r="HM34" s="412"/>
      <c r="HN34" s="417"/>
      <c r="HO34" s="412"/>
      <c r="HP34" s="417"/>
      <c r="HQ34" s="412"/>
      <c r="HR34" s="417"/>
      <c r="HS34" s="412"/>
      <c r="HT34" s="417"/>
      <c r="HU34" s="412"/>
      <c r="HV34" s="417"/>
      <c r="HW34" s="412"/>
      <c r="HX34" s="417"/>
      <c r="HY34" s="412"/>
      <c r="HZ34" s="417"/>
      <c r="IA34" s="412"/>
      <c r="IB34" s="417"/>
      <c r="IC34" s="412"/>
      <c r="ID34" s="402"/>
      <c r="IE34" s="402"/>
      <c r="IF34" s="417"/>
      <c r="IG34" s="412"/>
      <c r="IH34" s="417"/>
      <c r="II34" s="412"/>
      <c r="IJ34" s="417"/>
      <c r="IK34" s="412"/>
      <c r="IL34" s="417"/>
      <c r="IM34" s="412"/>
      <c r="IN34" s="402"/>
      <c r="IO34" s="412"/>
      <c r="IP34" s="402"/>
      <c r="IQ34" s="402"/>
      <c r="IR34" s="417"/>
      <c r="IS34" s="412"/>
      <c r="IT34" s="417"/>
      <c r="IU34" s="412"/>
      <c r="IV34" s="402"/>
      <c r="IW34" s="412"/>
      <c r="IX34" s="417"/>
      <c r="IY34" s="412"/>
      <c r="IZ34" s="402"/>
      <c r="JA34" s="412"/>
      <c r="JB34" s="402"/>
      <c r="JC34" s="412"/>
      <c r="JD34" s="417"/>
      <c r="JE34" s="412"/>
      <c r="JF34" s="402"/>
      <c r="JG34" s="402"/>
      <c r="JH34" s="417"/>
      <c r="JI34" s="412"/>
      <c r="JJ34" s="417"/>
      <c r="JK34" s="412"/>
      <c r="JL34" s="417"/>
      <c r="JM34" s="412"/>
      <c r="JN34" s="417"/>
      <c r="JO34" s="412"/>
      <c r="JP34" s="402"/>
      <c r="JQ34" s="402"/>
      <c r="JR34" s="417"/>
      <c r="JS34" s="412"/>
      <c r="JT34" s="402"/>
      <c r="JU34" s="412"/>
      <c r="JV34" s="417"/>
      <c r="JW34" s="412"/>
      <c r="JX34" s="417"/>
      <c r="JY34" s="412"/>
      <c r="JZ34" s="417"/>
      <c r="KA34" s="412"/>
      <c r="KB34" s="417"/>
      <c r="KC34" s="412"/>
      <c r="KD34" s="402"/>
      <c r="KE34" s="402"/>
      <c r="KF34" s="417"/>
      <c r="KG34" s="412"/>
      <c r="KH34" s="402"/>
      <c r="KI34" s="402"/>
      <c r="KJ34" s="417"/>
      <c r="KK34" s="412"/>
      <c r="KL34" s="417"/>
      <c r="KM34" s="412"/>
      <c r="KN34" s="417"/>
      <c r="KO34" s="412"/>
      <c r="KP34" s="417"/>
      <c r="KQ34" s="412"/>
      <c r="KR34" s="417"/>
      <c r="KS34" s="402"/>
      <c r="KT34" s="417"/>
      <c r="KU34" s="412"/>
      <c r="KV34" s="417"/>
      <c r="KW34" s="412"/>
      <c r="KX34" s="417"/>
      <c r="KY34" s="412"/>
      <c r="KZ34" s="417"/>
      <c r="LA34" s="412"/>
      <c r="LB34" s="417"/>
      <c r="LC34" s="412"/>
      <c r="LD34" s="402"/>
      <c r="LE34" s="402"/>
      <c r="LF34" s="417"/>
      <c r="LG34" s="412"/>
      <c r="LH34" s="417"/>
      <c r="LI34" s="412"/>
      <c r="LJ34" s="402"/>
      <c r="LK34" s="402"/>
      <c r="LL34" s="282">
        <v>45418</v>
      </c>
      <c r="LM34" s="7" t="str">
        <f t="shared" si="64"/>
        <v>Monday</v>
      </c>
      <c r="LN34" s="402"/>
      <c r="LO34" s="402"/>
      <c r="LP34" s="417"/>
      <c r="LQ34" s="412"/>
      <c r="LR34" s="417"/>
      <c r="LS34" s="412"/>
      <c r="LT34" s="417"/>
      <c r="LU34" s="412"/>
      <c r="LV34" s="402"/>
      <c r="LW34" s="402"/>
      <c r="LX34" s="417"/>
      <c r="LY34" s="412"/>
      <c r="LZ34" s="402"/>
      <c r="MA34" s="402"/>
      <c r="MB34" s="417"/>
      <c r="MC34" s="412"/>
      <c r="MD34" s="417"/>
      <c r="ME34" s="412"/>
      <c r="MF34" s="417"/>
      <c r="MG34" s="412"/>
      <c r="MH34" s="417"/>
      <c r="MI34" s="412"/>
      <c r="MJ34" s="417"/>
      <c r="MK34" s="412"/>
      <c r="ML34" s="402"/>
      <c r="MM34" s="402"/>
      <c r="MN34" s="417"/>
      <c r="MO34" s="412"/>
      <c r="MP34" s="417"/>
      <c r="MQ34" s="412"/>
      <c r="MR34" s="417"/>
      <c r="MS34" s="412"/>
      <c r="MT34" s="417"/>
      <c r="MU34" s="412"/>
      <c r="MV34" s="402"/>
      <c r="MW34" s="402"/>
      <c r="MX34" s="417"/>
      <c r="MY34" s="412"/>
      <c r="MZ34" s="417"/>
      <c r="NA34" s="412"/>
      <c r="NB34" s="417"/>
      <c r="NC34" s="412"/>
      <c r="ND34" s="402"/>
      <c r="NE34" s="402"/>
      <c r="NF34" s="417"/>
      <c r="NG34" s="412"/>
      <c r="NH34" s="417"/>
      <c r="NI34" s="412"/>
      <c r="NJ34" s="417"/>
      <c r="NK34" s="412"/>
      <c r="NL34" s="417"/>
      <c r="NM34" s="412"/>
      <c r="NN34" s="417"/>
      <c r="NO34" s="412"/>
      <c r="NP34" s="417"/>
      <c r="NQ34" s="412"/>
      <c r="NR34" s="402"/>
      <c r="NS34" s="412"/>
      <c r="NT34" s="417"/>
      <c r="NU34" s="412"/>
      <c r="NV34" s="417"/>
      <c r="NW34" s="412"/>
      <c r="NX34" s="417"/>
      <c r="NY34" s="412"/>
      <c r="NZ34" s="417"/>
      <c r="OA34" s="412"/>
      <c r="OB34" s="417"/>
      <c r="OC34" s="412"/>
      <c r="OD34" s="464">
        <v>45449</v>
      </c>
      <c r="OE34" s="431" t="str">
        <f>CHOOSE(WEEKDAY(OD35,2),"Monday","Tuesday","Wednesday","Thursday","Friday","Saturday","Sunday")</f>
        <v>Saturday</v>
      </c>
      <c r="OF34" s="417"/>
      <c r="OG34" s="412"/>
      <c r="OH34" s="402"/>
      <c r="OI34" s="412"/>
      <c r="OJ34" s="402"/>
      <c r="OK34" s="412"/>
      <c r="OL34" s="417"/>
      <c r="OM34" s="412"/>
      <c r="ON34" s="417"/>
      <c r="OO34" s="412"/>
      <c r="OP34" s="417"/>
      <c r="OQ34" s="412"/>
      <c r="OR34" s="402"/>
      <c r="OS34" s="402"/>
      <c r="OT34" s="417"/>
      <c r="OU34" s="412"/>
      <c r="OV34" s="417"/>
      <c r="OW34" s="412"/>
      <c r="OX34" s="417"/>
      <c r="OY34" s="412"/>
      <c r="OZ34" s="417"/>
      <c r="PA34" s="412"/>
      <c r="PB34" s="417"/>
      <c r="PC34" s="412"/>
      <c r="PD34" s="402"/>
      <c r="PE34" s="402"/>
      <c r="PF34" s="417"/>
      <c r="PG34" s="412"/>
      <c r="PH34" s="417"/>
      <c r="PI34" s="412"/>
      <c r="PJ34" s="402"/>
      <c r="PK34" s="402"/>
      <c r="PL34" s="417"/>
      <c r="PM34" s="412"/>
      <c r="PN34" s="417"/>
      <c r="PO34" s="412"/>
      <c r="PP34" s="402"/>
      <c r="PQ34" s="402"/>
      <c r="PR34" s="417"/>
      <c r="PS34" s="412"/>
      <c r="PT34" s="402"/>
      <c r="PU34" s="402"/>
      <c r="PV34" s="417"/>
      <c r="PW34" s="412"/>
      <c r="PX34" s="417"/>
      <c r="PY34" s="412"/>
      <c r="PZ34" s="417"/>
      <c r="QA34" s="412"/>
      <c r="QB34" s="417"/>
      <c r="QC34" s="412"/>
      <c r="QD34" s="417"/>
      <c r="QE34" s="412"/>
      <c r="QF34" s="402"/>
      <c r="QG34" s="402"/>
      <c r="QH34" s="417"/>
      <c r="QI34" s="412"/>
      <c r="QJ34" s="402"/>
      <c r="QK34" s="412"/>
      <c r="QL34" s="417"/>
      <c r="QM34" s="412"/>
      <c r="QN34" s="417"/>
      <c r="QO34" s="412"/>
      <c r="QP34" s="417"/>
      <c r="QQ34" s="412"/>
      <c r="QR34" s="417"/>
      <c r="QS34" s="412"/>
      <c r="QT34" s="402"/>
      <c r="QU34" s="412"/>
      <c r="QV34" s="417"/>
      <c r="QW34" s="402"/>
      <c r="QX34" s="417"/>
      <c r="QY34" s="412"/>
      <c r="QZ34" s="417"/>
      <c r="RA34" s="412"/>
      <c r="RB34" s="417"/>
      <c r="RC34" s="412"/>
      <c r="RD34" s="417"/>
      <c r="RE34" s="412"/>
      <c r="RF34" s="417"/>
      <c r="RG34" s="412"/>
      <c r="RH34" s="417"/>
      <c r="RI34" s="412"/>
      <c r="RJ34" s="417"/>
      <c r="RK34" s="412"/>
      <c r="RL34" s="417"/>
      <c r="RM34" s="412"/>
      <c r="RN34" s="417"/>
      <c r="RO34" s="412"/>
      <c r="RP34" s="417"/>
      <c r="RQ34" s="412"/>
      <c r="RR34" s="417"/>
      <c r="RS34" s="412"/>
      <c r="RT34" s="417"/>
      <c r="RU34" s="412"/>
      <c r="RV34" s="417"/>
      <c r="RW34" s="412"/>
      <c r="RX34" s="417"/>
      <c r="RY34" s="412"/>
      <c r="RZ34" s="417"/>
      <c r="SA34" s="412"/>
      <c r="SB34" s="417"/>
      <c r="SC34" s="412"/>
      <c r="SD34" s="417"/>
      <c r="SE34" s="412"/>
      <c r="SF34" s="417"/>
      <c r="SG34" s="412"/>
      <c r="SH34" s="417"/>
      <c r="SI34" s="412"/>
      <c r="SJ34" s="417"/>
      <c r="SK34" s="412"/>
      <c r="SL34" s="417"/>
      <c r="SM34" s="412"/>
      <c r="SN34" s="417"/>
      <c r="SO34" s="412"/>
      <c r="SP34" s="417"/>
      <c r="SQ34" s="412"/>
      <c r="SR34" s="417"/>
      <c r="SS34" s="412"/>
      <c r="ST34" s="402"/>
      <c r="SU34" s="402"/>
      <c r="SV34" s="417"/>
      <c r="SW34" s="412"/>
      <c r="SX34" s="417"/>
      <c r="SY34" s="412"/>
      <c r="SZ34" s="417"/>
      <c r="TA34" s="412"/>
      <c r="TB34" s="417"/>
      <c r="TC34" s="412"/>
      <c r="TD34" s="402"/>
      <c r="TE34" s="402"/>
      <c r="TF34" s="417"/>
      <c r="TG34" s="412"/>
      <c r="TH34" s="417"/>
      <c r="TI34" s="412"/>
      <c r="TJ34" s="417"/>
      <c r="TK34" s="412"/>
      <c r="TL34" s="417"/>
      <c r="TM34" s="412"/>
      <c r="TN34" s="417"/>
      <c r="TO34" s="412"/>
      <c r="TP34" s="417"/>
      <c r="TQ34" s="412"/>
      <c r="TR34" s="417"/>
      <c r="TS34" s="412"/>
      <c r="TT34" s="417"/>
      <c r="TU34" s="412"/>
      <c r="TV34" s="417"/>
      <c r="TW34" s="412"/>
      <c r="TX34" s="417"/>
      <c r="TY34" s="412"/>
      <c r="TZ34" s="417"/>
      <c r="UA34" s="412"/>
      <c r="UB34" s="417"/>
      <c r="UC34" s="412"/>
      <c r="UD34" s="417"/>
      <c r="UE34" s="412"/>
      <c r="UF34" s="402"/>
      <c r="UG34" s="402"/>
      <c r="UH34" s="417"/>
      <c r="UI34" s="412"/>
      <c r="UJ34" s="417"/>
      <c r="UK34" s="412"/>
      <c r="UL34" s="417"/>
      <c r="UM34" s="412"/>
      <c r="UN34" s="417"/>
      <c r="UO34" s="412"/>
      <c r="UP34" s="417"/>
      <c r="UQ34" s="412"/>
      <c r="UR34" s="417"/>
      <c r="US34" s="412"/>
      <c r="UT34" s="417"/>
      <c r="UU34" s="412"/>
      <c r="UV34" s="402"/>
      <c r="UW34" s="402"/>
      <c r="UX34" s="417"/>
      <c r="UY34" s="412"/>
      <c r="UZ34" s="417"/>
      <c r="VA34" s="412"/>
      <c r="VB34" s="417"/>
      <c r="VC34" s="412"/>
      <c r="VD34" s="417"/>
      <c r="VE34" s="412"/>
      <c r="VF34" s="417"/>
      <c r="VG34" s="412"/>
      <c r="VH34" s="417"/>
      <c r="VI34" s="412"/>
      <c r="VJ34" s="402"/>
      <c r="VK34" s="402"/>
      <c r="VL34" s="417"/>
      <c r="VM34" s="412"/>
      <c r="VN34" s="417"/>
      <c r="VO34" s="412"/>
      <c r="VP34" s="402"/>
      <c r="VQ34" s="402"/>
      <c r="VR34" s="417"/>
      <c r="VS34" s="412"/>
      <c r="VT34" s="417"/>
      <c r="VU34" s="412"/>
      <c r="VV34" s="417"/>
      <c r="VW34" s="412"/>
      <c r="VX34" s="464">
        <v>45528</v>
      </c>
      <c r="VY34" s="431" t="str">
        <f>CHOOSE(WEEKDAY(VX35,2),"Monday","Tuesday","Wednesday","Thursday","Friday","Saturday","Sunday")</f>
        <v>Saturday</v>
      </c>
      <c r="VZ34" s="417"/>
      <c r="WA34" s="412"/>
      <c r="WB34" s="417"/>
      <c r="WC34" s="412"/>
      <c r="WD34" s="417"/>
      <c r="WE34" s="412"/>
      <c r="WF34" s="402"/>
      <c r="WG34" s="402"/>
      <c r="WH34" s="417"/>
      <c r="WI34" s="412"/>
      <c r="WJ34" s="417"/>
      <c r="WK34" s="412"/>
      <c r="WL34" s="417"/>
      <c r="WM34" s="412"/>
      <c r="WN34" s="402"/>
      <c r="WO34" s="402"/>
      <c r="WP34" s="417"/>
      <c r="WQ34" s="412"/>
      <c r="WR34" s="417"/>
      <c r="WS34" s="412"/>
      <c r="WT34" s="402"/>
      <c r="WU34" s="402"/>
      <c r="WV34" s="417"/>
      <c r="WW34" s="412"/>
      <c r="WX34" s="417"/>
      <c r="WY34" s="412"/>
      <c r="WZ34" s="417"/>
      <c r="XA34" s="412"/>
      <c r="XB34" s="402"/>
      <c r="XC34" s="402"/>
      <c r="XD34" s="417"/>
      <c r="XE34" s="412"/>
      <c r="XF34" s="417"/>
      <c r="XG34" s="412"/>
      <c r="XH34" s="417"/>
      <c r="XI34" s="402"/>
      <c r="XJ34" s="417"/>
      <c r="XK34" s="402"/>
      <c r="XL34" s="417"/>
      <c r="XM34" s="402"/>
      <c r="XN34" s="417"/>
      <c r="XO34" s="412"/>
      <c r="XP34" s="417"/>
      <c r="XQ34" s="402"/>
      <c r="XR34" s="417"/>
      <c r="XS34" s="412"/>
      <c r="XT34" s="417"/>
      <c r="XU34" s="412"/>
      <c r="XV34" s="417"/>
      <c r="XW34" s="412"/>
      <c r="XX34" s="417"/>
      <c r="XY34" s="412"/>
      <c r="XZ34" s="417"/>
      <c r="YA34" s="412"/>
      <c r="YB34" s="417"/>
      <c r="YC34" s="412"/>
      <c r="YD34" s="417"/>
      <c r="YE34" s="412"/>
      <c r="YF34" s="417"/>
      <c r="YG34" s="412"/>
      <c r="YH34" s="417"/>
      <c r="YI34" s="412"/>
      <c r="YJ34" s="417"/>
      <c r="YK34" s="412"/>
      <c r="YL34" s="402"/>
      <c r="YM34" s="402"/>
      <c r="YN34" s="417"/>
      <c r="YO34" s="412"/>
      <c r="YP34" s="417"/>
      <c r="YQ34" s="412"/>
      <c r="YR34" s="417"/>
      <c r="YS34" s="412"/>
      <c r="YT34" s="417"/>
      <c r="YU34" s="412"/>
      <c r="YV34" s="417"/>
      <c r="YW34" s="412"/>
      <c r="YX34" s="402"/>
      <c r="YY34" s="402"/>
      <c r="YZ34" s="417"/>
      <c r="ZA34" s="412"/>
      <c r="ZB34" s="402"/>
      <c r="ZC34" s="402"/>
      <c r="ZD34" s="417"/>
      <c r="ZE34" s="412"/>
      <c r="ZF34" s="417"/>
      <c r="ZG34" s="412"/>
      <c r="ZH34" s="417"/>
      <c r="ZI34" s="412"/>
      <c r="ZJ34" s="402"/>
      <c r="ZK34" s="402"/>
      <c r="ZL34" s="417"/>
      <c r="ZM34" s="412"/>
      <c r="ZN34" s="417"/>
      <c r="ZO34" s="412"/>
      <c r="ZP34" s="417"/>
      <c r="ZQ34" s="412"/>
      <c r="ZR34" s="417"/>
      <c r="ZS34" s="412"/>
      <c r="ZT34" s="402"/>
      <c r="ZU34" s="402"/>
      <c r="ZV34" s="417"/>
      <c r="ZW34" s="412"/>
      <c r="ZX34" s="417"/>
      <c r="ZY34" s="412"/>
      <c r="ZZ34" s="417"/>
      <c r="AAA34" s="412"/>
      <c r="AAB34" s="417"/>
      <c r="AAC34" s="412"/>
      <c r="AAD34" s="402"/>
      <c r="AAE34" s="402"/>
      <c r="AAF34" s="417"/>
      <c r="AAG34" s="412"/>
      <c r="AAH34" s="417"/>
      <c r="AAI34" s="412"/>
      <c r="AAJ34" s="417"/>
      <c r="AAK34" s="412"/>
      <c r="AAL34" s="417"/>
      <c r="AAM34" s="412"/>
      <c r="AAN34" s="417"/>
      <c r="AAO34" s="412"/>
      <c r="AAP34" s="417"/>
      <c r="AAQ34" s="412"/>
      <c r="AAR34" s="417"/>
      <c r="AAS34" s="412"/>
      <c r="AAT34" s="417"/>
      <c r="AAU34" s="412"/>
      <c r="AAV34" s="402"/>
      <c r="AAW34" s="402"/>
      <c r="AAX34" s="417"/>
      <c r="AAY34" s="412"/>
      <c r="AAZ34" s="417"/>
      <c r="ABA34" s="412"/>
      <c r="ABB34" s="417"/>
      <c r="ABC34" s="412"/>
      <c r="ABD34" s="402"/>
      <c r="ABE34" s="402"/>
      <c r="ABF34" s="417"/>
      <c r="ABG34" s="412"/>
      <c r="ABH34" s="417"/>
      <c r="ABI34" s="412"/>
      <c r="ABJ34" s="417"/>
      <c r="ABK34" s="412"/>
      <c r="ABL34" s="417"/>
      <c r="ABM34" s="412"/>
      <c r="ABN34" s="402"/>
      <c r="ABO34" s="402"/>
      <c r="ABP34" s="417"/>
      <c r="ABQ34" s="412"/>
      <c r="ABR34" s="417"/>
      <c r="ABS34" s="412"/>
      <c r="ABT34" s="417"/>
      <c r="ABU34" s="412"/>
      <c r="ABV34" s="402"/>
      <c r="ABW34" s="402"/>
      <c r="ABX34" s="417"/>
      <c r="ABY34" s="412"/>
      <c r="ABZ34" s="402"/>
      <c r="ACA34" s="402"/>
      <c r="ACB34" s="417"/>
      <c r="ACC34" s="412"/>
      <c r="ACD34" s="417"/>
      <c r="ACE34" s="412"/>
      <c r="ACF34" s="417"/>
      <c r="ACG34" s="412"/>
      <c r="ACH34" s="417"/>
      <c r="ACI34" s="412"/>
      <c r="ACJ34" s="417"/>
      <c r="ACK34" s="412"/>
      <c r="ACL34" s="402"/>
      <c r="ACM34" s="402"/>
      <c r="ACN34" s="417"/>
      <c r="ACO34" s="412"/>
      <c r="ACP34" s="417"/>
      <c r="ACQ34" s="412"/>
      <c r="ACR34" s="417"/>
      <c r="ACS34" s="412"/>
      <c r="ACT34" s="282">
        <v>45594</v>
      </c>
      <c r="ACU34" s="7" t="str">
        <f t="shared" si="70"/>
        <v>Tuesday</v>
      </c>
      <c r="ACV34" s="417"/>
      <c r="ACW34" s="412"/>
      <c r="ACX34" s="417"/>
      <c r="ACY34" s="412"/>
      <c r="ACZ34" s="417"/>
      <c r="ADA34" s="412"/>
      <c r="ADB34" s="417"/>
      <c r="ADC34" s="412"/>
      <c r="ADD34" s="417"/>
      <c r="ADE34" s="412"/>
      <c r="ADF34" s="417"/>
      <c r="ADG34" s="412"/>
      <c r="ADH34" s="417"/>
      <c r="ADI34" s="412"/>
      <c r="ADJ34" s="417"/>
      <c r="ADK34" s="412"/>
      <c r="ADL34" s="417"/>
      <c r="ADM34" s="412"/>
      <c r="ADN34" s="417"/>
      <c r="ADO34" s="412"/>
      <c r="ADP34" s="417"/>
      <c r="ADQ34" s="412"/>
      <c r="ADR34" s="417"/>
      <c r="ADS34" s="412"/>
      <c r="ADT34" s="402"/>
      <c r="ADU34" s="402"/>
      <c r="ADV34" s="417"/>
      <c r="ADW34" s="412"/>
      <c r="ADX34" s="402"/>
      <c r="ADY34" s="412"/>
      <c r="ADZ34" s="417"/>
      <c r="AEA34" s="412"/>
      <c r="AEB34" s="417"/>
      <c r="AEC34" s="412"/>
      <c r="AED34" s="417"/>
      <c r="AEE34" s="412"/>
      <c r="AEF34" s="402"/>
      <c r="AEG34" s="402"/>
      <c r="AEH34" s="417"/>
      <c r="AEI34" s="412"/>
      <c r="AEJ34" s="402"/>
      <c r="AEK34" s="402"/>
      <c r="AEL34" s="417"/>
      <c r="AEM34" s="412"/>
      <c r="AEN34" s="402"/>
      <c r="AEO34" s="402"/>
      <c r="AEP34" s="417"/>
      <c r="AEQ34" s="412"/>
      <c r="AER34" s="417"/>
      <c r="AES34" s="412"/>
      <c r="AET34" s="402"/>
      <c r="AEU34" s="402"/>
      <c r="AEV34" s="417"/>
      <c r="AEW34" s="412"/>
      <c r="AEX34" s="417"/>
      <c r="AEY34" s="412"/>
      <c r="AEZ34" s="417"/>
      <c r="AFA34" s="412"/>
      <c r="AFB34" s="417"/>
      <c r="AFC34" s="412"/>
      <c r="AFD34" s="417"/>
      <c r="AFE34" s="412"/>
      <c r="AFF34" s="417"/>
      <c r="AFG34" s="412"/>
      <c r="AFH34" s="402"/>
      <c r="AFI34" s="402"/>
      <c r="AFJ34" s="417"/>
      <c r="AFK34" s="412"/>
      <c r="AFL34" s="417"/>
      <c r="AFM34" s="412"/>
      <c r="AFN34" s="417"/>
      <c r="AFO34" s="412"/>
      <c r="AFP34" s="417"/>
      <c r="AFQ34" s="412"/>
      <c r="AFR34" s="417"/>
      <c r="AFS34" s="412"/>
      <c r="AFT34" s="402"/>
      <c r="AFU34" s="402"/>
      <c r="AFV34" s="417"/>
      <c r="AFW34" s="412"/>
      <c r="AFX34" s="417"/>
      <c r="AFY34" s="412"/>
      <c r="AFZ34" s="417"/>
      <c r="AGA34" s="412"/>
      <c r="AGB34" s="417"/>
      <c r="AGC34" s="412"/>
      <c r="AGD34" s="402"/>
      <c r="AGE34" s="402"/>
      <c r="AGF34" s="417"/>
      <c r="AGG34" s="412"/>
      <c r="AGH34" s="417"/>
      <c r="AGI34" s="412"/>
      <c r="AGJ34" s="402"/>
      <c r="AGK34" s="402"/>
      <c r="AGL34" s="417"/>
      <c r="AGM34" s="412"/>
      <c r="AGN34" s="417"/>
      <c r="AGO34" s="412"/>
      <c r="AGP34" s="417"/>
      <c r="AGQ34" s="412"/>
      <c r="AGR34" s="417"/>
      <c r="AGS34" s="412"/>
      <c r="AGT34" s="417"/>
      <c r="AGU34" s="412"/>
      <c r="AGV34" s="402"/>
      <c r="AGW34" s="412"/>
      <c r="AGX34" s="417"/>
      <c r="AGY34" s="412"/>
      <c r="AGZ34" s="417"/>
      <c r="AHA34" s="412"/>
      <c r="AHB34" s="417"/>
      <c r="AHC34" s="412"/>
      <c r="AHD34" s="417"/>
      <c r="AHE34" s="412"/>
      <c r="AHF34" s="417"/>
      <c r="AHG34" s="412"/>
      <c r="AHH34" s="417"/>
      <c r="AHI34" s="412"/>
      <c r="AHJ34" s="417"/>
      <c r="AHK34" s="412"/>
      <c r="AHL34" s="402"/>
      <c r="AHM34" s="412"/>
      <c r="AHN34" s="417"/>
      <c r="AHO34" s="412"/>
      <c r="AHP34" s="417"/>
      <c r="AHQ34" s="412"/>
      <c r="AHR34" s="417"/>
      <c r="AHS34" s="402"/>
      <c r="AHT34" s="417"/>
      <c r="AHU34" s="402"/>
      <c r="AHV34" s="417"/>
      <c r="AHW34" s="412"/>
      <c r="AHX34" s="282">
        <v>45646</v>
      </c>
      <c r="AHY34" s="7" t="str">
        <f t="shared" si="71"/>
        <v>Friday</v>
      </c>
      <c r="AHZ34" s="417"/>
      <c r="AIA34" s="412"/>
    </row>
    <row r="35" spans="1:911" ht="15" x14ac:dyDescent="0.2">
      <c r="A35" s="452"/>
      <c r="B35" s="396"/>
      <c r="C35" s="398"/>
      <c r="D35" s="396"/>
      <c r="E35" s="398"/>
      <c r="F35" s="396"/>
      <c r="G35" s="398"/>
      <c r="H35" s="396"/>
      <c r="I35" s="398"/>
      <c r="J35" s="396"/>
      <c r="K35" s="398"/>
      <c r="L35" s="396"/>
      <c r="M35" s="398"/>
      <c r="N35" s="396"/>
      <c r="O35" s="398"/>
      <c r="P35" s="396"/>
      <c r="Q35" s="398"/>
      <c r="R35" s="396"/>
      <c r="S35" s="398"/>
      <c r="T35" s="396"/>
      <c r="U35" s="398"/>
      <c r="V35" s="396"/>
      <c r="W35" s="398"/>
      <c r="X35" s="396"/>
      <c r="Y35" s="398"/>
      <c r="Z35" s="396"/>
      <c r="AA35" s="398"/>
      <c r="AB35" s="396"/>
      <c r="AC35" s="398"/>
      <c r="AD35" s="397"/>
      <c r="AE35" s="397"/>
      <c r="AF35" s="396"/>
      <c r="AG35" s="398"/>
      <c r="AH35" s="396"/>
      <c r="AI35" s="398"/>
      <c r="AJ35" s="397"/>
      <c r="AK35" s="397"/>
      <c r="AL35" s="396"/>
      <c r="AM35" s="398"/>
      <c r="AN35" s="396"/>
      <c r="AO35" s="398"/>
      <c r="AP35" s="396"/>
      <c r="AQ35" s="398"/>
      <c r="AR35" s="396"/>
      <c r="AS35" s="398"/>
      <c r="AT35" s="396"/>
      <c r="AU35" s="398"/>
      <c r="AV35" s="397"/>
      <c r="AW35" s="397"/>
      <c r="AX35" s="396"/>
      <c r="AY35" s="398"/>
      <c r="AZ35" s="396"/>
      <c r="BA35" s="398"/>
      <c r="BB35" s="397"/>
      <c r="BC35" s="397"/>
      <c r="BD35" s="396"/>
      <c r="BE35" s="398"/>
      <c r="BF35" s="396"/>
      <c r="BG35" s="398"/>
      <c r="BH35" s="396"/>
      <c r="BI35" s="398"/>
      <c r="BJ35" s="396"/>
      <c r="BK35" s="398"/>
      <c r="BL35" s="397"/>
      <c r="BM35" s="397"/>
      <c r="BN35" s="396"/>
      <c r="BO35" s="398"/>
      <c r="BP35" s="396"/>
      <c r="BQ35" s="398"/>
      <c r="BR35" s="396"/>
      <c r="BS35" s="398"/>
      <c r="BT35" s="396"/>
      <c r="BU35" s="398"/>
      <c r="BV35" s="396"/>
      <c r="BW35" s="398"/>
      <c r="BX35" s="397"/>
      <c r="BY35" s="397"/>
      <c r="BZ35" s="396"/>
      <c r="CA35" s="398"/>
      <c r="CB35" s="396"/>
      <c r="CC35" s="398"/>
      <c r="CD35" s="396"/>
      <c r="CE35" s="398"/>
      <c r="CF35" s="396"/>
      <c r="CG35" s="398"/>
      <c r="CH35" s="396"/>
      <c r="CI35" s="398"/>
      <c r="CJ35" s="396"/>
      <c r="CK35" s="398"/>
      <c r="CL35" s="397"/>
      <c r="CM35" s="397"/>
      <c r="CN35" s="396"/>
      <c r="CO35" s="398"/>
      <c r="CP35" s="396"/>
      <c r="CQ35" s="398"/>
      <c r="CR35" s="396"/>
      <c r="CS35" s="398"/>
      <c r="CT35" s="397"/>
      <c r="CU35" s="397"/>
      <c r="CV35" s="396"/>
      <c r="CW35" s="398"/>
      <c r="CX35" s="396"/>
      <c r="CY35" s="398"/>
      <c r="CZ35" s="397"/>
      <c r="DA35" s="397"/>
      <c r="DB35" s="396"/>
      <c r="DC35" s="398"/>
      <c r="DD35" s="396"/>
      <c r="DE35" s="398"/>
      <c r="DF35" s="396"/>
      <c r="DG35" s="398"/>
      <c r="DH35" s="396"/>
      <c r="DI35" s="398"/>
      <c r="DJ35" s="396"/>
      <c r="DK35" s="398"/>
      <c r="DL35" s="396"/>
      <c r="DM35" s="398"/>
      <c r="DN35" s="397"/>
      <c r="DO35" s="397"/>
      <c r="DP35" s="396"/>
      <c r="DQ35" s="398"/>
      <c r="DR35" s="396"/>
      <c r="DS35" s="398"/>
      <c r="DT35" s="396"/>
      <c r="DU35" s="398"/>
      <c r="DV35" s="396"/>
      <c r="DW35" s="398"/>
      <c r="DX35" s="396"/>
      <c r="DY35" s="398"/>
      <c r="DZ35" s="397"/>
      <c r="EA35" s="397"/>
      <c r="EB35" s="396"/>
      <c r="EC35" s="398"/>
      <c r="ED35" s="397"/>
      <c r="EE35" s="397"/>
      <c r="EF35" s="396"/>
      <c r="EG35" s="398"/>
      <c r="EH35" s="396"/>
      <c r="EI35" s="398"/>
      <c r="EJ35" s="396"/>
      <c r="EK35" s="398"/>
      <c r="EL35" s="396"/>
      <c r="EM35" s="398"/>
      <c r="EN35" s="396"/>
      <c r="EO35" s="398"/>
      <c r="EP35" s="396"/>
      <c r="EQ35" s="398"/>
      <c r="ER35" s="396"/>
      <c r="ES35" s="398"/>
      <c r="ET35" s="397"/>
      <c r="EU35" s="397"/>
      <c r="EV35" s="396"/>
      <c r="EW35" s="398"/>
      <c r="EX35" s="396"/>
      <c r="EY35" s="398"/>
      <c r="EZ35" s="396"/>
      <c r="FA35" s="398"/>
      <c r="FB35" s="397"/>
      <c r="FC35" s="397"/>
      <c r="FD35" s="396"/>
      <c r="FE35" s="398"/>
      <c r="FF35" s="396"/>
      <c r="FG35" s="398"/>
      <c r="FH35" s="397"/>
      <c r="FI35" s="397"/>
      <c r="FJ35" s="396"/>
      <c r="FK35" s="398"/>
      <c r="FL35" s="396"/>
      <c r="FM35" s="398"/>
      <c r="FN35" s="396"/>
      <c r="FO35" s="398"/>
      <c r="FP35" s="397"/>
      <c r="FQ35" s="397"/>
      <c r="FR35" s="396"/>
      <c r="FS35" s="398"/>
      <c r="FT35" s="396"/>
      <c r="FU35" s="398"/>
      <c r="FV35" s="396"/>
      <c r="FW35" s="398"/>
      <c r="FX35" s="397"/>
      <c r="FY35" s="397"/>
      <c r="FZ35" s="396"/>
      <c r="GA35" s="398"/>
      <c r="GB35" s="396"/>
      <c r="GC35" s="398"/>
      <c r="GD35" s="397"/>
      <c r="GE35" s="397"/>
      <c r="GF35" s="396"/>
      <c r="GG35" s="398"/>
      <c r="GH35" s="396"/>
      <c r="GI35" s="398"/>
      <c r="GJ35" s="396"/>
      <c r="GK35" s="398"/>
      <c r="GL35" s="396"/>
      <c r="GM35" s="398"/>
      <c r="GN35" s="396"/>
      <c r="GO35" s="398"/>
      <c r="GP35" s="396"/>
      <c r="GQ35" s="398"/>
      <c r="GR35" s="396"/>
      <c r="GS35" s="398"/>
      <c r="GT35" s="396"/>
      <c r="GU35" s="398"/>
      <c r="GV35" s="397"/>
      <c r="GW35" s="397"/>
      <c r="GX35" s="396"/>
      <c r="GY35" s="398"/>
      <c r="GZ35" s="396"/>
      <c r="HA35" s="398"/>
      <c r="HB35" s="396"/>
      <c r="HC35" s="398"/>
      <c r="HD35" s="396"/>
      <c r="HE35" s="398"/>
      <c r="HF35" s="396"/>
      <c r="HG35" s="398"/>
      <c r="HH35" s="397"/>
      <c r="HI35" s="397"/>
      <c r="HJ35" s="396"/>
      <c r="HK35" s="398"/>
      <c r="HL35" s="396"/>
      <c r="HM35" s="398"/>
      <c r="HN35" s="396"/>
      <c r="HO35" s="398"/>
      <c r="HP35" s="396"/>
      <c r="HQ35" s="398"/>
      <c r="HR35" s="396"/>
      <c r="HS35" s="398"/>
      <c r="HT35" s="396"/>
      <c r="HU35" s="398"/>
      <c r="HV35" s="396"/>
      <c r="HW35" s="398"/>
      <c r="HX35" s="396"/>
      <c r="HY35" s="398"/>
      <c r="HZ35" s="396"/>
      <c r="IA35" s="398"/>
      <c r="IB35" s="396"/>
      <c r="IC35" s="398"/>
      <c r="ID35" s="397"/>
      <c r="IE35" s="397"/>
      <c r="IF35" s="396"/>
      <c r="IG35" s="398"/>
      <c r="IH35" s="396"/>
      <c r="II35" s="398"/>
      <c r="IJ35" s="396"/>
      <c r="IK35" s="398"/>
      <c r="IL35" s="396"/>
      <c r="IM35" s="398"/>
      <c r="IN35" s="397"/>
      <c r="IO35" s="398"/>
      <c r="IP35" s="397"/>
      <c r="IQ35" s="397"/>
      <c r="IR35" s="396"/>
      <c r="IS35" s="398"/>
      <c r="IT35" s="396"/>
      <c r="IU35" s="398"/>
      <c r="IV35" s="397"/>
      <c r="IW35" s="398"/>
      <c r="IX35" s="396"/>
      <c r="IY35" s="398"/>
      <c r="IZ35" s="397"/>
      <c r="JA35" s="398"/>
      <c r="JB35" s="397"/>
      <c r="JC35" s="398"/>
      <c r="JD35" s="396"/>
      <c r="JE35" s="398"/>
      <c r="JF35" s="397"/>
      <c r="JG35" s="397"/>
      <c r="JH35" s="396"/>
      <c r="JI35" s="398"/>
      <c r="JJ35" s="396"/>
      <c r="JK35" s="398"/>
      <c r="JL35" s="396"/>
      <c r="JM35" s="398"/>
      <c r="JN35" s="396"/>
      <c r="JO35" s="398"/>
      <c r="JP35" s="397"/>
      <c r="JQ35" s="397"/>
      <c r="JR35" s="396"/>
      <c r="JS35" s="398"/>
      <c r="JT35" s="397"/>
      <c r="JU35" s="398"/>
      <c r="JV35" s="396"/>
      <c r="JW35" s="398"/>
      <c r="JX35" s="396"/>
      <c r="JY35" s="398"/>
      <c r="JZ35" s="396"/>
      <c r="KA35" s="398"/>
      <c r="KB35" s="396"/>
      <c r="KC35" s="398"/>
      <c r="KD35" s="397"/>
      <c r="KE35" s="397"/>
      <c r="KF35" s="396"/>
      <c r="KG35" s="398"/>
      <c r="KH35" s="397"/>
      <c r="KI35" s="397"/>
      <c r="KJ35" s="396"/>
      <c r="KK35" s="398"/>
      <c r="KL35" s="396"/>
      <c r="KM35" s="398"/>
      <c r="KN35" s="396"/>
      <c r="KO35" s="398"/>
      <c r="KP35" s="396"/>
      <c r="KQ35" s="398"/>
      <c r="KR35" s="396"/>
      <c r="KS35" s="397"/>
      <c r="KT35" s="396"/>
      <c r="KU35" s="398"/>
      <c r="KV35" s="396"/>
      <c r="KW35" s="398"/>
      <c r="KX35" s="396"/>
      <c r="KY35" s="398"/>
      <c r="KZ35" s="396"/>
      <c r="LA35" s="398"/>
      <c r="LB35" s="396"/>
      <c r="LC35" s="398"/>
      <c r="LD35" s="397"/>
      <c r="LE35" s="397"/>
      <c r="LF35" s="396"/>
      <c r="LG35" s="398"/>
      <c r="LH35" s="396"/>
      <c r="LI35" s="398"/>
      <c r="LJ35" s="397"/>
      <c r="LK35" s="397"/>
      <c r="LL35" s="316">
        <v>45420</v>
      </c>
      <c r="LM35" s="116" t="str">
        <f t="shared" si="64"/>
        <v>Wednesday</v>
      </c>
      <c r="LN35" s="397"/>
      <c r="LO35" s="397"/>
      <c r="LP35" s="396"/>
      <c r="LQ35" s="398"/>
      <c r="LR35" s="396"/>
      <c r="LS35" s="398"/>
      <c r="LT35" s="396"/>
      <c r="LU35" s="398"/>
      <c r="LV35" s="397"/>
      <c r="LW35" s="397"/>
      <c r="LX35" s="396"/>
      <c r="LY35" s="398"/>
      <c r="LZ35" s="397"/>
      <c r="MA35" s="397"/>
      <c r="MB35" s="396"/>
      <c r="MC35" s="398"/>
      <c r="MD35" s="396"/>
      <c r="ME35" s="398"/>
      <c r="MF35" s="396"/>
      <c r="MG35" s="398"/>
      <c r="MH35" s="396"/>
      <c r="MI35" s="398"/>
      <c r="MJ35" s="396"/>
      <c r="MK35" s="398"/>
      <c r="ML35" s="397"/>
      <c r="MM35" s="397"/>
      <c r="MN35" s="396"/>
      <c r="MO35" s="398"/>
      <c r="MP35" s="396"/>
      <c r="MQ35" s="398"/>
      <c r="MR35" s="396"/>
      <c r="MS35" s="398"/>
      <c r="MT35" s="396"/>
      <c r="MU35" s="398"/>
      <c r="MV35" s="397"/>
      <c r="MW35" s="397"/>
      <c r="MX35" s="396"/>
      <c r="MY35" s="398"/>
      <c r="MZ35" s="396"/>
      <c r="NA35" s="398"/>
      <c r="NB35" s="396"/>
      <c r="NC35" s="398"/>
      <c r="ND35" s="397"/>
      <c r="NE35" s="397"/>
      <c r="NF35" s="396"/>
      <c r="NG35" s="398"/>
      <c r="NH35" s="396"/>
      <c r="NI35" s="398"/>
      <c r="NJ35" s="396"/>
      <c r="NK35" s="398"/>
      <c r="NL35" s="396"/>
      <c r="NM35" s="398"/>
      <c r="NN35" s="396"/>
      <c r="NO35" s="398"/>
      <c r="NP35" s="396"/>
      <c r="NQ35" s="398"/>
      <c r="NR35" s="397"/>
      <c r="NS35" s="398"/>
      <c r="NT35" s="396"/>
      <c r="NU35" s="398"/>
      <c r="NV35" s="396"/>
      <c r="NW35" s="398"/>
      <c r="NX35" s="396"/>
      <c r="NY35" s="398"/>
      <c r="NZ35" s="396"/>
      <c r="OA35" s="398"/>
      <c r="OB35" s="396"/>
      <c r="OC35" s="398"/>
      <c r="OD35" s="396"/>
      <c r="OE35" s="398"/>
      <c r="OF35" s="396"/>
      <c r="OG35" s="398"/>
      <c r="OH35" s="397"/>
      <c r="OI35" s="398"/>
      <c r="OJ35" s="397"/>
      <c r="OK35" s="398"/>
      <c r="OL35" s="396"/>
      <c r="OM35" s="398"/>
      <c r="ON35" s="396"/>
      <c r="OO35" s="398"/>
      <c r="OP35" s="396"/>
      <c r="OQ35" s="398"/>
      <c r="OR35" s="397"/>
      <c r="OS35" s="397"/>
      <c r="OT35" s="396"/>
      <c r="OU35" s="398"/>
      <c r="OV35" s="396"/>
      <c r="OW35" s="398"/>
      <c r="OX35" s="396"/>
      <c r="OY35" s="398"/>
      <c r="OZ35" s="396"/>
      <c r="PA35" s="398"/>
      <c r="PB35" s="396"/>
      <c r="PC35" s="398"/>
      <c r="PD35" s="397"/>
      <c r="PE35" s="397"/>
      <c r="PF35" s="396"/>
      <c r="PG35" s="398"/>
      <c r="PH35" s="396"/>
      <c r="PI35" s="398"/>
      <c r="PJ35" s="397"/>
      <c r="PK35" s="397"/>
      <c r="PL35" s="396"/>
      <c r="PM35" s="398"/>
      <c r="PN35" s="396"/>
      <c r="PO35" s="398"/>
      <c r="PP35" s="397"/>
      <c r="PQ35" s="397"/>
      <c r="PR35" s="396"/>
      <c r="PS35" s="398"/>
      <c r="PT35" s="397"/>
      <c r="PU35" s="397"/>
      <c r="PV35" s="396"/>
      <c r="PW35" s="398"/>
      <c r="PX35" s="396"/>
      <c r="PY35" s="398"/>
      <c r="PZ35" s="396"/>
      <c r="QA35" s="398"/>
      <c r="QB35" s="396"/>
      <c r="QC35" s="398"/>
      <c r="QD35" s="396"/>
      <c r="QE35" s="398"/>
      <c r="QF35" s="397"/>
      <c r="QG35" s="397"/>
      <c r="QH35" s="396"/>
      <c r="QI35" s="398"/>
      <c r="QJ35" s="397"/>
      <c r="QK35" s="398"/>
      <c r="QL35" s="396"/>
      <c r="QM35" s="398"/>
      <c r="QN35" s="396"/>
      <c r="QO35" s="398"/>
      <c r="QP35" s="396"/>
      <c r="QQ35" s="398"/>
      <c r="QR35" s="396"/>
      <c r="QS35" s="398"/>
      <c r="QT35" s="397"/>
      <c r="QU35" s="398"/>
      <c r="QV35" s="396"/>
      <c r="QW35" s="397"/>
      <c r="QX35" s="396"/>
      <c r="QY35" s="398"/>
      <c r="QZ35" s="396"/>
      <c r="RA35" s="398"/>
      <c r="RB35" s="396"/>
      <c r="RC35" s="398"/>
      <c r="RD35" s="396"/>
      <c r="RE35" s="398"/>
      <c r="RF35" s="396"/>
      <c r="RG35" s="398"/>
      <c r="RH35" s="396"/>
      <c r="RI35" s="398"/>
      <c r="RJ35" s="396"/>
      <c r="RK35" s="398"/>
      <c r="RL35" s="396"/>
      <c r="RM35" s="398"/>
      <c r="RN35" s="396"/>
      <c r="RO35" s="398"/>
      <c r="RP35" s="396"/>
      <c r="RQ35" s="398"/>
      <c r="RR35" s="396"/>
      <c r="RS35" s="398"/>
      <c r="RT35" s="396"/>
      <c r="RU35" s="398"/>
      <c r="RV35" s="396"/>
      <c r="RW35" s="398"/>
      <c r="RX35" s="396"/>
      <c r="RY35" s="398"/>
      <c r="RZ35" s="396"/>
      <c r="SA35" s="398"/>
      <c r="SB35" s="396"/>
      <c r="SC35" s="398"/>
      <c r="SD35" s="396"/>
      <c r="SE35" s="398"/>
      <c r="SF35" s="396"/>
      <c r="SG35" s="398"/>
      <c r="SH35" s="396"/>
      <c r="SI35" s="398"/>
      <c r="SJ35" s="396"/>
      <c r="SK35" s="398"/>
      <c r="SL35" s="396"/>
      <c r="SM35" s="398"/>
      <c r="SN35" s="396"/>
      <c r="SO35" s="398"/>
      <c r="SP35" s="396"/>
      <c r="SQ35" s="398"/>
      <c r="SR35" s="396"/>
      <c r="SS35" s="398"/>
      <c r="ST35" s="397"/>
      <c r="SU35" s="397"/>
      <c r="SV35" s="396"/>
      <c r="SW35" s="398"/>
      <c r="SX35" s="396"/>
      <c r="SY35" s="398"/>
      <c r="SZ35" s="396"/>
      <c r="TA35" s="398"/>
      <c r="TB35" s="396"/>
      <c r="TC35" s="398"/>
      <c r="TD35" s="397"/>
      <c r="TE35" s="397"/>
      <c r="TF35" s="396"/>
      <c r="TG35" s="398"/>
      <c r="TH35" s="396"/>
      <c r="TI35" s="398"/>
      <c r="TJ35" s="396"/>
      <c r="TK35" s="398"/>
      <c r="TL35" s="396"/>
      <c r="TM35" s="398"/>
      <c r="TN35" s="396"/>
      <c r="TO35" s="398"/>
      <c r="TP35" s="396"/>
      <c r="TQ35" s="398"/>
      <c r="TR35" s="396"/>
      <c r="TS35" s="398"/>
      <c r="TT35" s="396"/>
      <c r="TU35" s="398"/>
      <c r="TV35" s="396"/>
      <c r="TW35" s="398"/>
      <c r="TX35" s="396"/>
      <c r="TY35" s="398"/>
      <c r="TZ35" s="396"/>
      <c r="UA35" s="398"/>
      <c r="UB35" s="396"/>
      <c r="UC35" s="398"/>
      <c r="UD35" s="396"/>
      <c r="UE35" s="398"/>
      <c r="UF35" s="397"/>
      <c r="UG35" s="397"/>
      <c r="UH35" s="396"/>
      <c r="UI35" s="398"/>
      <c r="UJ35" s="396"/>
      <c r="UK35" s="398"/>
      <c r="UL35" s="396"/>
      <c r="UM35" s="398"/>
      <c r="UN35" s="396"/>
      <c r="UO35" s="398"/>
      <c r="UP35" s="396"/>
      <c r="UQ35" s="398"/>
      <c r="UR35" s="396"/>
      <c r="US35" s="398"/>
      <c r="UT35" s="396"/>
      <c r="UU35" s="398"/>
      <c r="UV35" s="397"/>
      <c r="UW35" s="397"/>
      <c r="UX35" s="396"/>
      <c r="UY35" s="398"/>
      <c r="UZ35" s="396"/>
      <c r="VA35" s="398"/>
      <c r="VB35" s="396"/>
      <c r="VC35" s="398"/>
      <c r="VD35" s="396"/>
      <c r="VE35" s="398"/>
      <c r="VF35" s="396"/>
      <c r="VG35" s="398"/>
      <c r="VH35" s="396"/>
      <c r="VI35" s="398"/>
      <c r="VJ35" s="397"/>
      <c r="VK35" s="397"/>
      <c r="VL35" s="396"/>
      <c r="VM35" s="398"/>
      <c r="VN35" s="396"/>
      <c r="VO35" s="398"/>
      <c r="VP35" s="397"/>
      <c r="VQ35" s="397"/>
      <c r="VR35" s="396"/>
      <c r="VS35" s="398"/>
      <c r="VT35" s="396"/>
      <c r="VU35" s="398"/>
      <c r="VV35" s="396"/>
      <c r="VW35" s="398"/>
      <c r="VX35" s="396"/>
      <c r="VY35" s="398"/>
      <c r="VZ35" s="396"/>
      <c r="WA35" s="398"/>
      <c r="WB35" s="396"/>
      <c r="WC35" s="398"/>
      <c r="WD35" s="396"/>
      <c r="WE35" s="398"/>
      <c r="WF35" s="397"/>
      <c r="WG35" s="397"/>
      <c r="WH35" s="396"/>
      <c r="WI35" s="398"/>
      <c r="WJ35" s="396"/>
      <c r="WK35" s="398"/>
      <c r="WL35" s="396"/>
      <c r="WM35" s="398"/>
      <c r="WN35" s="397"/>
      <c r="WO35" s="397"/>
      <c r="WP35" s="396"/>
      <c r="WQ35" s="398"/>
      <c r="WR35" s="396"/>
      <c r="WS35" s="398"/>
      <c r="WT35" s="397"/>
      <c r="WU35" s="397"/>
      <c r="WV35" s="396"/>
      <c r="WW35" s="398"/>
      <c r="WX35" s="396"/>
      <c r="WY35" s="398"/>
      <c r="WZ35" s="396"/>
      <c r="XA35" s="398"/>
      <c r="XB35" s="397"/>
      <c r="XC35" s="397"/>
      <c r="XD35" s="396"/>
      <c r="XE35" s="398"/>
      <c r="XF35" s="396"/>
      <c r="XG35" s="398"/>
      <c r="XH35" s="396"/>
      <c r="XI35" s="397"/>
      <c r="XJ35" s="396"/>
      <c r="XK35" s="397"/>
      <c r="XL35" s="396"/>
      <c r="XM35" s="397"/>
      <c r="XN35" s="396"/>
      <c r="XO35" s="398"/>
      <c r="XP35" s="396"/>
      <c r="XQ35" s="397"/>
      <c r="XR35" s="396"/>
      <c r="XS35" s="398"/>
      <c r="XT35" s="396"/>
      <c r="XU35" s="398"/>
      <c r="XV35" s="396"/>
      <c r="XW35" s="398"/>
      <c r="XX35" s="396"/>
      <c r="XY35" s="398"/>
      <c r="XZ35" s="396"/>
      <c r="YA35" s="398"/>
      <c r="YB35" s="396"/>
      <c r="YC35" s="398"/>
      <c r="YD35" s="396"/>
      <c r="YE35" s="398"/>
      <c r="YF35" s="396"/>
      <c r="YG35" s="398"/>
      <c r="YH35" s="396"/>
      <c r="YI35" s="398"/>
      <c r="YJ35" s="396"/>
      <c r="YK35" s="398"/>
      <c r="YL35" s="397"/>
      <c r="YM35" s="397"/>
      <c r="YN35" s="396"/>
      <c r="YO35" s="398"/>
      <c r="YP35" s="396"/>
      <c r="YQ35" s="398"/>
      <c r="YR35" s="396"/>
      <c r="YS35" s="398"/>
      <c r="YT35" s="396"/>
      <c r="YU35" s="398"/>
      <c r="YV35" s="396"/>
      <c r="YW35" s="398"/>
      <c r="YX35" s="397"/>
      <c r="YY35" s="397"/>
      <c r="YZ35" s="396"/>
      <c r="ZA35" s="398"/>
      <c r="ZB35" s="397"/>
      <c r="ZC35" s="397"/>
      <c r="ZD35" s="396"/>
      <c r="ZE35" s="398"/>
      <c r="ZF35" s="396"/>
      <c r="ZG35" s="398"/>
      <c r="ZH35" s="396"/>
      <c r="ZI35" s="398"/>
      <c r="ZJ35" s="397"/>
      <c r="ZK35" s="397"/>
      <c r="ZL35" s="396"/>
      <c r="ZM35" s="398"/>
      <c r="ZN35" s="396"/>
      <c r="ZO35" s="398"/>
      <c r="ZP35" s="396"/>
      <c r="ZQ35" s="398"/>
      <c r="ZR35" s="396"/>
      <c r="ZS35" s="398"/>
      <c r="ZT35" s="397"/>
      <c r="ZU35" s="397"/>
      <c r="ZV35" s="396"/>
      <c r="ZW35" s="398"/>
      <c r="ZX35" s="396"/>
      <c r="ZY35" s="398"/>
      <c r="ZZ35" s="396"/>
      <c r="AAA35" s="398"/>
      <c r="AAB35" s="396"/>
      <c r="AAC35" s="398"/>
      <c r="AAD35" s="397"/>
      <c r="AAE35" s="397"/>
      <c r="AAF35" s="396"/>
      <c r="AAG35" s="398"/>
      <c r="AAH35" s="396"/>
      <c r="AAI35" s="398"/>
      <c r="AAJ35" s="396"/>
      <c r="AAK35" s="398"/>
      <c r="AAL35" s="396"/>
      <c r="AAM35" s="398"/>
      <c r="AAN35" s="396"/>
      <c r="AAO35" s="398"/>
      <c r="AAP35" s="396"/>
      <c r="AAQ35" s="398"/>
      <c r="AAR35" s="396"/>
      <c r="AAS35" s="398"/>
      <c r="AAT35" s="396"/>
      <c r="AAU35" s="398"/>
      <c r="AAV35" s="397"/>
      <c r="AAW35" s="397"/>
      <c r="AAX35" s="396"/>
      <c r="AAY35" s="398"/>
      <c r="AAZ35" s="396"/>
      <c r="ABA35" s="398"/>
      <c r="ABB35" s="396"/>
      <c r="ABC35" s="398"/>
      <c r="ABD35" s="397"/>
      <c r="ABE35" s="397"/>
      <c r="ABF35" s="396"/>
      <c r="ABG35" s="398"/>
      <c r="ABH35" s="396"/>
      <c r="ABI35" s="398"/>
      <c r="ABJ35" s="396"/>
      <c r="ABK35" s="398"/>
      <c r="ABL35" s="396"/>
      <c r="ABM35" s="398"/>
      <c r="ABN35" s="397"/>
      <c r="ABO35" s="397"/>
      <c r="ABP35" s="396"/>
      <c r="ABQ35" s="398"/>
      <c r="ABR35" s="396"/>
      <c r="ABS35" s="398"/>
      <c r="ABT35" s="396"/>
      <c r="ABU35" s="398"/>
      <c r="ABV35" s="397"/>
      <c r="ABW35" s="397"/>
      <c r="ABX35" s="396"/>
      <c r="ABY35" s="398"/>
      <c r="ABZ35" s="397"/>
      <c r="ACA35" s="397"/>
      <c r="ACB35" s="396"/>
      <c r="ACC35" s="398"/>
      <c r="ACD35" s="396"/>
      <c r="ACE35" s="398"/>
      <c r="ACF35" s="396"/>
      <c r="ACG35" s="398"/>
      <c r="ACH35" s="396"/>
      <c r="ACI35" s="398"/>
      <c r="ACJ35" s="396"/>
      <c r="ACK35" s="398"/>
      <c r="ACL35" s="397"/>
      <c r="ACM35" s="397"/>
      <c r="ACN35" s="396"/>
      <c r="ACO35" s="398"/>
      <c r="ACP35" s="396"/>
      <c r="ACQ35" s="398"/>
      <c r="ACR35" s="396"/>
      <c r="ACS35" s="398"/>
      <c r="ACT35" s="316">
        <v>45597</v>
      </c>
      <c r="ACU35" s="116" t="str">
        <f t="shared" si="70"/>
        <v>Friday</v>
      </c>
      <c r="ACV35" s="396"/>
      <c r="ACW35" s="398"/>
      <c r="ACX35" s="396"/>
      <c r="ACY35" s="398"/>
      <c r="ACZ35" s="396"/>
      <c r="ADA35" s="398"/>
      <c r="ADB35" s="396"/>
      <c r="ADC35" s="398"/>
      <c r="ADD35" s="396"/>
      <c r="ADE35" s="398"/>
      <c r="ADF35" s="396"/>
      <c r="ADG35" s="398"/>
      <c r="ADH35" s="396"/>
      <c r="ADI35" s="398"/>
      <c r="ADJ35" s="396"/>
      <c r="ADK35" s="398"/>
      <c r="ADL35" s="396"/>
      <c r="ADM35" s="398"/>
      <c r="ADN35" s="396"/>
      <c r="ADO35" s="398"/>
      <c r="ADP35" s="396"/>
      <c r="ADQ35" s="398"/>
      <c r="ADR35" s="396"/>
      <c r="ADS35" s="398"/>
      <c r="ADT35" s="397"/>
      <c r="ADU35" s="397"/>
      <c r="ADV35" s="396"/>
      <c r="ADW35" s="398"/>
      <c r="ADX35" s="397"/>
      <c r="ADY35" s="398"/>
      <c r="ADZ35" s="396"/>
      <c r="AEA35" s="398"/>
      <c r="AEB35" s="396"/>
      <c r="AEC35" s="398"/>
      <c r="AED35" s="396"/>
      <c r="AEE35" s="398"/>
      <c r="AEF35" s="397"/>
      <c r="AEG35" s="397"/>
      <c r="AEH35" s="396"/>
      <c r="AEI35" s="398"/>
      <c r="AEJ35" s="397"/>
      <c r="AEK35" s="397"/>
      <c r="AEL35" s="396"/>
      <c r="AEM35" s="398"/>
      <c r="AEN35" s="397"/>
      <c r="AEO35" s="397"/>
      <c r="AEP35" s="396"/>
      <c r="AEQ35" s="398"/>
      <c r="AER35" s="396"/>
      <c r="AES35" s="398"/>
      <c r="AET35" s="397"/>
      <c r="AEU35" s="397"/>
      <c r="AEV35" s="396"/>
      <c r="AEW35" s="398"/>
      <c r="AEX35" s="396"/>
      <c r="AEY35" s="398"/>
      <c r="AEZ35" s="396"/>
      <c r="AFA35" s="398"/>
      <c r="AFB35" s="396"/>
      <c r="AFC35" s="398"/>
      <c r="AFD35" s="396"/>
      <c r="AFE35" s="398"/>
      <c r="AFF35" s="396"/>
      <c r="AFG35" s="398"/>
      <c r="AFH35" s="397"/>
      <c r="AFI35" s="397"/>
      <c r="AFJ35" s="396"/>
      <c r="AFK35" s="398"/>
      <c r="AFL35" s="396"/>
      <c r="AFM35" s="398"/>
      <c r="AFN35" s="396"/>
      <c r="AFO35" s="398"/>
      <c r="AFP35" s="396"/>
      <c r="AFQ35" s="398"/>
      <c r="AFR35" s="396"/>
      <c r="AFS35" s="398"/>
      <c r="AFT35" s="397"/>
      <c r="AFU35" s="397"/>
      <c r="AFV35" s="396"/>
      <c r="AFW35" s="398"/>
      <c r="AFX35" s="396"/>
      <c r="AFY35" s="398"/>
      <c r="AFZ35" s="396"/>
      <c r="AGA35" s="398"/>
      <c r="AGB35" s="396"/>
      <c r="AGC35" s="398"/>
      <c r="AGD35" s="397"/>
      <c r="AGE35" s="397"/>
      <c r="AGF35" s="396"/>
      <c r="AGG35" s="398"/>
      <c r="AGH35" s="396"/>
      <c r="AGI35" s="398"/>
      <c r="AGJ35" s="397"/>
      <c r="AGK35" s="397"/>
      <c r="AGL35" s="396"/>
      <c r="AGM35" s="398"/>
      <c r="AGN35" s="396"/>
      <c r="AGO35" s="398"/>
      <c r="AGP35" s="396"/>
      <c r="AGQ35" s="398"/>
      <c r="AGR35" s="396"/>
      <c r="AGS35" s="398"/>
      <c r="AGT35" s="396"/>
      <c r="AGU35" s="398"/>
      <c r="AGV35" s="397"/>
      <c r="AGW35" s="398"/>
      <c r="AGX35" s="396"/>
      <c r="AGY35" s="398"/>
      <c r="AGZ35" s="396"/>
      <c r="AHA35" s="398"/>
      <c r="AHB35" s="396"/>
      <c r="AHC35" s="398"/>
      <c r="AHD35" s="396"/>
      <c r="AHE35" s="398"/>
      <c r="AHF35" s="396"/>
      <c r="AHG35" s="398"/>
      <c r="AHH35" s="396"/>
      <c r="AHI35" s="398"/>
      <c r="AHJ35" s="396"/>
      <c r="AHK35" s="398"/>
      <c r="AHL35" s="397"/>
      <c r="AHM35" s="398"/>
      <c r="AHN35" s="396"/>
      <c r="AHO35" s="398"/>
      <c r="AHP35" s="396"/>
      <c r="AHQ35" s="398"/>
      <c r="AHR35" s="396"/>
      <c r="AHS35" s="397"/>
      <c r="AHT35" s="396"/>
      <c r="AHU35" s="397"/>
      <c r="AHV35" s="396"/>
      <c r="AHW35" s="398"/>
      <c r="AHX35" s="316">
        <v>45652</v>
      </c>
      <c r="AHY35" s="116" t="str">
        <f t="shared" si="71"/>
        <v>Thursday</v>
      </c>
      <c r="AHZ35" s="396"/>
      <c r="AIA35" s="398"/>
    </row>
    <row r="36" spans="1:911" ht="12.75" x14ac:dyDescent="0.2">
      <c r="A36" s="456">
        <v>2025</v>
      </c>
      <c r="B36" s="461">
        <v>45658</v>
      </c>
      <c r="C36" s="462" t="str">
        <f>CHOOSE(WEEKDAY(B36,2),"Monday","Tuesday","Wednesday","Thursday","Friday","Saturday","Sunday")</f>
        <v>Wednesday</v>
      </c>
      <c r="D36" s="463" t="s">
        <v>22</v>
      </c>
      <c r="E36" s="462" t="s">
        <v>22</v>
      </c>
      <c r="F36" s="463" t="s">
        <v>22</v>
      </c>
      <c r="G36" s="462" t="s">
        <v>22</v>
      </c>
      <c r="H36" s="461">
        <v>45661</v>
      </c>
      <c r="I36" s="462" t="str">
        <f>CHOOSE(WEEKDAY(H36,2),"Monday","Tuesday","Wednesday","Thursday","Friday","Saturday","Sunday")</f>
        <v>Saturday</v>
      </c>
      <c r="J36" s="461">
        <v>45665</v>
      </c>
      <c r="K36" s="462" t="str">
        <f>CHOOSE(WEEKDAY(J36,2),"Monday","Tuesday","Wednesday","Thursday","Friday","Saturday","Sunday")</f>
        <v>Wednesday</v>
      </c>
      <c r="L36" s="461">
        <v>45666</v>
      </c>
      <c r="M36" s="462" t="str">
        <f>CHOOSE(WEEKDAY(L36,2),"Monday","Tuesday","Wednesday","Thursday","Friday","Saturday","Sunday")</f>
        <v>Thursday</v>
      </c>
      <c r="N36" s="463" t="s">
        <v>22</v>
      </c>
      <c r="O36" s="462" t="s">
        <v>22</v>
      </c>
      <c r="P36" s="463" t="s">
        <v>22</v>
      </c>
      <c r="Q36" s="462" t="s">
        <v>22</v>
      </c>
      <c r="R36" s="463" t="s">
        <v>22</v>
      </c>
      <c r="S36" s="462" t="s">
        <v>22</v>
      </c>
      <c r="T36" s="461">
        <v>45669</v>
      </c>
      <c r="U36" s="462" t="str">
        <f>CHOOSE(WEEKDAY(T36,2),"Monday","Tuesday","Wednesday","Thursday","Friday","Saturday","Sunday")</f>
        <v>Sunday</v>
      </c>
      <c r="V36" s="463" t="s">
        <v>22</v>
      </c>
      <c r="W36" s="462" t="s">
        <v>22</v>
      </c>
      <c r="X36" s="461">
        <v>45671</v>
      </c>
      <c r="Y36" s="462" t="str">
        <f>CHOOSE(WEEKDAY(X36,2),"Monday","Tuesday","Wednesday","Thursday","Friday","Saturday","Sunday")</f>
        <v>Tuesday</v>
      </c>
      <c r="Z36" s="463" t="s">
        <v>22</v>
      </c>
      <c r="AA36" s="462" t="s">
        <v>22</v>
      </c>
      <c r="AB36" s="463" t="s">
        <v>22</v>
      </c>
      <c r="AC36" s="462" t="s">
        <v>22</v>
      </c>
      <c r="AD36" s="463" t="s">
        <v>22</v>
      </c>
      <c r="AE36" s="462" t="s">
        <v>22</v>
      </c>
      <c r="AF36" s="461">
        <v>45677</v>
      </c>
      <c r="AG36" s="462" t="str">
        <f>CHOOSE(WEEKDAY(AF36,2),"Monday","Tuesday","Wednesday","Thursday","Friday","Saturday","Sunday")</f>
        <v>Monday</v>
      </c>
      <c r="AH36" s="463" t="s">
        <v>22</v>
      </c>
      <c r="AI36" s="462" t="s">
        <v>22</v>
      </c>
      <c r="AJ36" s="463" t="s">
        <v>22</v>
      </c>
      <c r="AK36" s="462" t="s">
        <v>22</v>
      </c>
      <c r="AL36" s="461">
        <v>45673</v>
      </c>
      <c r="AM36" s="462" t="str">
        <f>CHOOSE(WEEKDAY(AL36,2),"Monday","Tuesday","Wednesday","Thursday","Friday","Saturday","Sunday")</f>
        <v>Thursday</v>
      </c>
      <c r="AN36" s="463" t="s">
        <v>22</v>
      </c>
      <c r="AO36" s="462" t="s">
        <v>22</v>
      </c>
      <c r="AP36" s="461">
        <v>45681</v>
      </c>
      <c r="AQ36" s="462" t="str">
        <f>CHOOSE(WEEKDAY(AP36,2),"Monday","Tuesday","Wednesday","Thursday","Friday","Saturday","Sunday")</f>
        <v>Friday</v>
      </c>
      <c r="AR36" s="461">
        <v>45681</v>
      </c>
      <c r="AS36" s="462" t="str">
        <f>CHOOSE(WEEKDAY(AR36,2),"Monday","Tuesday","Wednesday","Thursday","Friday","Saturday","Sunday")</f>
        <v>Friday</v>
      </c>
      <c r="AT36" s="461">
        <v>45683</v>
      </c>
      <c r="AU36" s="462" t="str">
        <f>CHOOSE(WEEKDAY(AT36,2),"Monday","Tuesday","Wednesday","Thursday","Friday","Saturday","Sunday")</f>
        <v>Sunday</v>
      </c>
      <c r="AV36" s="463" t="s">
        <v>22</v>
      </c>
      <c r="AW36" s="462" t="s">
        <v>22</v>
      </c>
      <c r="AX36" s="461">
        <v>45685</v>
      </c>
      <c r="AY36" s="462" t="str">
        <f>CHOOSE(WEEKDAY(AX36,2),"Monday","Tuesday","Wednesday","Thursday","Friday","Saturday","Sunday")</f>
        <v>Tuesday</v>
      </c>
      <c r="AZ36" s="463" t="s">
        <v>22</v>
      </c>
      <c r="BA36" s="462" t="s">
        <v>22</v>
      </c>
      <c r="BB36" s="463" t="s">
        <v>22</v>
      </c>
      <c r="BC36" s="462" t="s">
        <v>22</v>
      </c>
      <c r="BD36" s="463" t="s">
        <v>22</v>
      </c>
      <c r="BE36" s="462" t="s">
        <v>22</v>
      </c>
      <c r="BF36" s="463" t="s">
        <v>22</v>
      </c>
      <c r="BG36" s="462" t="s">
        <v>22</v>
      </c>
      <c r="BH36" s="463" t="s">
        <v>22</v>
      </c>
      <c r="BI36" s="462" t="s">
        <v>22</v>
      </c>
      <c r="BJ36" s="461">
        <v>45689</v>
      </c>
      <c r="BK36" s="462" t="str">
        <f>CHOOSE(WEEKDAY(BJ36,2),"Monday","Tuesday","Wednesday","Thursday","Friday","Saturday","Sunday")</f>
        <v>Saturday</v>
      </c>
      <c r="BL36" s="463" t="s">
        <v>22</v>
      </c>
      <c r="BM36" s="462" t="s">
        <v>22</v>
      </c>
      <c r="BN36" s="463" t="s">
        <v>22</v>
      </c>
      <c r="BO36" s="462" t="s">
        <v>22</v>
      </c>
      <c r="BP36" s="461">
        <v>45692</v>
      </c>
      <c r="BQ36" s="462" t="str">
        <f>CHOOSE(WEEKDAY(BP36,2),"Monday","Tuesday","Wednesday","Thursday","Friday","Saturday","Sunday")</f>
        <v>Tuesday</v>
      </c>
      <c r="BR36" s="463" t="s">
        <v>22</v>
      </c>
      <c r="BS36" s="462" t="s">
        <v>22</v>
      </c>
      <c r="BT36" s="461">
        <v>45686</v>
      </c>
      <c r="BU36" s="462" t="str">
        <f>CHOOSE(WEEKDAY(BT36,2),"Monday","Tuesday","Wednesday","Thursday","Friday","Saturday","Sunday")</f>
        <v>Wednesday</v>
      </c>
      <c r="BV36" s="463" t="s">
        <v>22</v>
      </c>
      <c r="BW36" s="462" t="s">
        <v>22</v>
      </c>
      <c r="BX36" s="463" t="s">
        <v>22</v>
      </c>
      <c r="BY36" s="462" t="s">
        <v>22</v>
      </c>
      <c r="BZ36" s="463" t="s">
        <v>22</v>
      </c>
      <c r="CA36" s="462" t="s">
        <v>22</v>
      </c>
      <c r="CB36" s="461">
        <v>45696</v>
      </c>
      <c r="CC36" s="462" t="str">
        <f>CHOOSE(WEEKDAY(CB36,2),"Monday","Tuesday","Wednesday","Thursday","Friday","Saturday","Sunday")</f>
        <v>Saturday</v>
      </c>
      <c r="CD36" s="463" t="s">
        <v>22</v>
      </c>
      <c r="CE36" s="462" t="s">
        <v>22</v>
      </c>
      <c r="CF36" s="463" t="s">
        <v>22</v>
      </c>
      <c r="CG36" s="462" t="s">
        <v>22</v>
      </c>
      <c r="CH36" s="461">
        <v>45699</v>
      </c>
      <c r="CI36" s="462" t="str">
        <f>CHOOSE(WEEKDAY(CH36,2),"Monday","Tuesday","Wednesday","Thursday","Friday","Saturday","Sunday")</f>
        <v>Tuesday</v>
      </c>
      <c r="CJ36" s="461">
        <v>45699</v>
      </c>
      <c r="CK36" s="462" t="str">
        <f>CHOOSE(WEEKDAY(CJ36,2),"Monday","Tuesday","Wednesday","Thursday","Friday","Saturday","Sunday")</f>
        <v>Tuesday</v>
      </c>
      <c r="CL36" s="463" t="s">
        <v>22</v>
      </c>
      <c r="CM36" s="462" t="s">
        <v>22</v>
      </c>
      <c r="CN36" s="461">
        <v>45702</v>
      </c>
      <c r="CO36" s="462" t="str">
        <f>CHOOSE(WEEKDAY(CN36,2),"Monday","Tuesday","Wednesday","Thursday","Friday","Saturday","Sunday")</f>
        <v>Friday</v>
      </c>
      <c r="CP36" s="463" t="s">
        <v>22</v>
      </c>
      <c r="CQ36" s="462" t="s">
        <v>22</v>
      </c>
      <c r="CR36" s="461">
        <v>45703</v>
      </c>
      <c r="CS36" s="462" t="str">
        <f>CHOOSE(WEEKDAY(CR36,2),"Monday","Tuesday","Wednesday","Thursday","Friday","Saturday","Sunday")</f>
        <v>Saturday</v>
      </c>
      <c r="CT36" s="463" t="s">
        <v>22</v>
      </c>
      <c r="CU36" s="462" t="s">
        <v>22</v>
      </c>
      <c r="CV36" s="461">
        <v>45702</v>
      </c>
      <c r="CW36" s="462" t="str">
        <f>CHOOSE(WEEKDAY(CV36,2),"Monday","Tuesday","Wednesday","Thursday","Friday","Saturday","Sunday")</f>
        <v>Friday</v>
      </c>
      <c r="CX36" s="463" t="s">
        <v>22</v>
      </c>
      <c r="CY36" s="462" t="s">
        <v>22</v>
      </c>
      <c r="CZ36" s="463" t="s">
        <v>22</v>
      </c>
      <c r="DA36" s="462" t="s">
        <v>22</v>
      </c>
      <c r="DB36" s="463" t="s">
        <v>22</v>
      </c>
      <c r="DC36" s="462" t="s">
        <v>22</v>
      </c>
      <c r="DD36" s="465">
        <v>45709</v>
      </c>
      <c r="DE36" s="462" t="str">
        <f>CHOOSE(WEEKDAY(DD36,2),"Monday","Tuesday","Wednesday","Thursday","Friday","Saturday","Sunday")</f>
        <v>Friday</v>
      </c>
      <c r="DF36" s="463" t="s">
        <v>22</v>
      </c>
      <c r="DG36" s="462" t="s">
        <v>22</v>
      </c>
      <c r="DH36" s="461">
        <v>45707</v>
      </c>
      <c r="DI36" s="462" t="str">
        <f>CHOOSE(WEEKDAY(DH36,2),"Monday","Tuesday","Wednesday","Thursday","Friday","Saturday","Sunday")</f>
        <v>Wednesday</v>
      </c>
      <c r="DJ36" s="463" t="s">
        <v>22</v>
      </c>
      <c r="DK36" s="462" t="s">
        <v>22</v>
      </c>
      <c r="DL36" s="463" t="s">
        <v>22</v>
      </c>
      <c r="DM36" s="462" t="s">
        <v>22</v>
      </c>
      <c r="DN36" s="463" t="s">
        <v>22</v>
      </c>
      <c r="DO36" s="462" t="s">
        <v>22</v>
      </c>
      <c r="DP36" s="463" t="s">
        <v>22</v>
      </c>
      <c r="DQ36" s="462" t="s">
        <v>22</v>
      </c>
      <c r="DR36" s="465">
        <v>45709</v>
      </c>
      <c r="DS36" s="462" t="str">
        <f>CHOOSE(WEEKDAY(DR36,2),"Monday","Tuesday","Wednesday","Thursday","Friday","Saturday","Sunday")</f>
        <v>Friday</v>
      </c>
      <c r="DT36" s="465">
        <v>45709</v>
      </c>
      <c r="DU36" s="462" t="str">
        <f>CHOOSE(WEEKDAY(DT36,2),"Monday","Tuesday","Wednesday","Thursday","Friday","Saturday","Sunday")</f>
        <v>Friday</v>
      </c>
      <c r="DV36" s="461">
        <v>45710</v>
      </c>
      <c r="DW36" s="462" t="str">
        <f>CHOOSE(WEEKDAY(DV36,2),"Monday","Tuesday","Wednesday","Thursday","Friday","Saturday","Sunday")</f>
        <v>Saturday</v>
      </c>
      <c r="DX36" s="463"/>
      <c r="DY36" s="462"/>
      <c r="DZ36" s="463"/>
      <c r="EA36" s="462"/>
      <c r="EB36" s="463"/>
      <c r="EC36" s="462"/>
      <c r="ED36" s="463"/>
      <c r="EE36" s="462"/>
      <c r="EF36" s="461">
        <v>45713</v>
      </c>
      <c r="EG36" s="462" t="str">
        <f>CHOOSE(WEEKDAY(EF36,2),"Monday","Tuesday","Wednesday","Thursday","Friday","Saturday","Sunday")</f>
        <v>Tuesday</v>
      </c>
      <c r="EH36" s="463"/>
      <c r="EI36" s="462"/>
      <c r="EJ36" s="463"/>
      <c r="EK36" s="462"/>
      <c r="EL36" s="463"/>
      <c r="EM36" s="462"/>
      <c r="EN36" s="463"/>
      <c r="EO36" s="462"/>
      <c r="EP36" s="463"/>
      <c r="EQ36" s="462"/>
      <c r="ER36" s="463"/>
      <c r="ES36" s="462"/>
      <c r="ET36" s="463"/>
      <c r="EU36" s="462"/>
      <c r="EV36" s="463"/>
      <c r="EW36" s="462"/>
      <c r="EX36" s="463"/>
      <c r="EY36" s="462"/>
      <c r="EZ36" s="463"/>
      <c r="FA36" s="462"/>
      <c r="FB36" s="463"/>
      <c r="FC36" s="462"/>
      <c r="FD36" s="463"/>
      <c r="FE36" s="462"/>
      <c r="FF36" s="463"/>
      <c r="FG36" s="462"/>
      <c r="FH36" s="463"/>
      <c r="FI36" s="462"/>
      <c r="FJ36" s="463"/>
      <c r="FK36" s="462"/>
      <c r="FL36" s="463"/>
      <c r="FM36" s="462"/>
      <c r="FN36" s="463"/>
      <c r="FO36" s="462"/>
      <c r="FP36" s="463"/>
      <c r="FQ36" s="462"/>
      <c r="FR36" s="463"/>
      <c r="FS36" s="462"/>
      <c r="FT36" s="463"/>
      <c r="FU36" s="462"/>
      <c r="FV36" s="463"/>
      <c r="FW36" s="462"/>
      <c r="FX36" s="463"/>
      <c r="FY36" s="462"/>
      <c r="FZ36" s="463"/>
      <c r="GA36" s="462"/>
      <c r="GB36" s="463"/>
      <c r="GC36" s="462"/>
      <c r="GD36" s="463"/>
      <c r="GE36" s="462"/>
      <c r="GF36" s="463"/>
      <c r="GG36" s="462"/>
      <c r="GH36" s="463"/>
      <c r="GI36" s="462"/>
      <c r="GJ36" s="463"/>
      <c r="GK36" s="462"/>
      <c r="GL36" s="463"/>
      <c r="GM36" s="462"/>
      <c r="GN36" s="463"/>
      <c r="GO36" s="462"/>
      <c r="GP36" s="463"/>
      <c r="GQ36" s="462"/>
      <c r="GR36" s="463"/>
      <c r="GS36" s="462"/>
      <c r="GT36" s="463"/>
      <c r="GU36" s="462"/>
      <c r="GV36" s="463"/>
      <c r="GW36" s="462"/>
      <c r="GX36" s="463"/>
      <c r="GY36" s="462"/>
      <c r="GZ36" s="463"/>
      <c r="HA36" s="462"/>
      <c r="HB36" s="463"/>
      <c r="HC36" s="462"/>
      <c r="HD36" s="463"/>
      <c r="HE36" s="462"/>
      <c r="HF36" s="463"/>
      <c r="HG36" s="462"/>
      <c r="HH36" s="463"/>
      <c r="HI36" s="462"/>
      <c r="HJ36" s="463"/>
      <c r="HK36" s="462"/>
      <c r="HL36" s="463"/>
      <c r="HM36" s="462"/>
      <c r="HN36" s="463"/>
      <c r="HO36" s="462"/>
      <c r="HP36" s="463"/>
      <c r="HQ36" s="462"/>
      <c r="HR36" s="463"/>
      <c r="HS36" s="462"/>
      <c r="HT36" s="463"/>
      <c r="HU36" s="462"/>
      <c r="HV36" s="463"/>
      <c r="HW36" s="462"/>
      <c r="HX36" s="463"/>
      <c r="HY36" s="462"/>
      <c r="HZ36" s="463"/>
      <c r="IA36" s="462"/>
      <c r="IB36" s="463"/>
      <c r="IC36" s="462"/>
      <c r="ID36" s="463"/>
      <c r="IE36" s="462"/>
      <c r="IF36" s="463"/>
      <c r="IG36" s="462"/>
      <c r="IH36" s="463"/>
      <c r="II36" s="462"/>
      <c r="IJ36" s="463"/>
      <c r="IK36" s="462"/>
      <c r="IL36" s="463"/>
      <c r="IM36" s="462"/>
      <c r="IN36" s="463"/>
      <c r="IO36" s="462"/>
      <c r="IP36" s="463"/>
      <c r="IQ36" s="462"/>
      <c r="IR36" s="463"/>
      <c r="IS36" s="462"/>
      <c r="IT36" s="463"/>
      <c r="IU36" s="462"/>
      <c r="IV36" s="463"/>
      <c r="IW36" s="462"/>
      <c r="IX36" s="463"/>
      <c r="IY36" s="462"/>
      <c r="IZ36" s="463"/>
      <c r="JA36" s="462"/>
      <c r="JB36" s="463"/>
      <c r="JC36" s="462"/>
      <c r="JD36" s="463"/>
      <c r="JE36" s="462"/>
      <c r="JF36" s="463"/>
      <c r="JG36" s="462"/>
      <c r="JH36" s="463"/>
      <c r="JI36" s="462"/>
      <c r="JJ36" s="463"/>
      <c r="JK36" s="462"/>
      <c r="JL36" s="463"/>
      <c r="JM36" s="462"/>
      <c r="JN36" s="463"/>
      <c r="JO36" s="462"/>
      <c r="JP36" s="463"/>
      <c r="JQ36" s="462"/>
      <c r="JR36" s="463"/>
      <c r="JS36" s="462"/>
      <c r="JT36" s="463"/>
      <c r="JU36" s="462"/>
      <c r="JV36" s="463"/>
      <c r="JW36" s="462"/>
      <c r="JX36" s="463"/>
      <c r="JY36" s="462"/>
      <c r="JZ36" s="463"/>
      <c r="KA36" s="462"/>
      <c r="KB36" s="463"/>
      <c r="KC36" s="462"/>
      <c r="KD36" s="463"/>
      <c r="KE36" s="462"/>
      <c r="KF36" s="463"/>
      <c r="KG36" s="462"/>
      <c r="KH36" s="463"/>
      <c r="KI36" s="462"/>
      <c r="KJ36" s="463"/>
      <c r="KK36" s="462"/>
      <c r="KL36" s="463"/>
      <c r="KM36" s="462"/>
      <c r="KN36" s="463"/>
      <c r="KO36" s="462"/>
      <c r="KP36" s="463"/>
      <c r="KQ36" s="462"/>
      <c r="KR36" s="463"/>
      <c r="KS36" s="462"/>
      <c r="KT36" s="463"/>
      <c r="KU36" s="462"/>
      <c r="KV36" s="463"/>
      <c r="KW36" s="462"/>
      <c r="KX36" s="463"/>
      <c r="KY36" s="462"/>
      <c r="KZ36" s="463"/>
      <c r="LA36" s="462"/>
      <c r="LB36" s="463"/>
      <c r="LC36" s="462"/>
      <c r="LD36" s="463"/>
      <c r="LE36" s="462"/>
      <c r="LF36" s="463"/>
      <c r="LG36" s="462"/>
      <c r="LH36" s="463"/>
      <c r="LI36" s="462"/>
      <c r="LJ36" s="463"/>
      <c r="LK36" s="462"/>
      <c r="LL36" s="463"/>
      <c r="LM36" s="462"/>
      <c r="LN36" s="463"/>
      <c r="LO36" s="462"/>
      <c r="LP36" s="463"/>
      <c r="LQ36" s="462"/>
      <c r="LR36" s="463"/>
      <c r="LS36" s="462"/>
      <c r="LT36" s="463"/>
      <c r="LU36" s="462"/>
      <c r="LV36" s="463"/>
      <c r="LW36" s="462"/>
      <c r="LX36" s="463"/>
      <c r="LY36" s="462"/>
      <c r="LZ36" s="463"/>
      <c r="MA36" s="462"/>
      <c r="MB36" s="463"/>
      <c r="MC36" s="462"/>
      <c r="MD36" s="463"/>
      <c r="ME36" s="462"/>
      <c r="MF36" s="463"/>
      <c r="MG36" s="462"/>
      <c r="MH36" s="463"/>
      <c r="MI36" s="462"/>
      <c r="MJ36" s="463"/>
      <c r="MK36" s="462"/>
      <c r="ML36" s="463"/>
      <c r="MM36" s="462"/>
      <c r="MN36" s="463"/>
      <c r="MO36" s="462"/>
      <c r="MP36" s="463"/>
      <c r="MQ36" s="462"/>
      <c r="MR36" s="463"/>
      <c r="MS36" s="462"/>
      <c r="MT36" s="463"/>
      <c r="MU36" s="462"/>
      <c r="MV36" s="463"/>
      <c r="MW36" s="462"/>
      <c r="MX36" s="463"/>
      <c r="MY36" s="462"/>
      <c r="MZ36" s="463"/>
      <c r="NA36" s="462"/>
      <c r="NB36" s="463"/>
      <c r="NC36" s="462"/>
      <c r="ND36" s="463"/>
      <c r="NE36" s="462"/>
      <c r="NF36" s="463"/>
      <c r="NG36" s="462"/>
      <c r="NH36" s="463"/>
      <c r="NI36" s="462"/>
      <c r="NJ36" s="463"/>
      <c r="NK36" s="462"/>
      <c r="NL36" s="463"/>
      <c r="NM36" s="462"/>
      <c r="NN36" s="463"/>
      <c r="NO36" s="462"/>
      <c r="NP36" s="463"/>
      <c r="NQ36" s="462"/>
      <c r="NR36" s="463"/>
      <c r="NS36" s="462"/>
      <c r="NT36" s="463"/>
      <c r="NU36" s="462"/>
      <c r="NV36" s="463"/>
      <c r="NW36" s="462"/>
      <c r="NX36" s="463"/>
      <c r="NY36" s="462"/>
      <c r="NZ36" s="463"/>
      <c r="OA36" s="462"/>
      <c r="OB36" s="463"/>
      <c r="OC36" s="462"/>
      <c r="OD36" s="463"/>
      <c r="OE36" s="462"/>
      <c r="OF36" s="463"/>
      <c r="OG36" s="462"/>
      <c r="OH36" s="463"/>
      <c r="OI36" s="462"/>
      <c r="OJ36" s="463"/>
      <c r="OK36" s="462"/>
      <c r="OL36" s="463"/>
      <c r="OM36" s="462"/>
      <c r="ON36" s="463"/>
      <c r="OO36" s="462"/>
      <c r="OP36" s="463"/>
      <c r="OQ36" s="462"/>
      <c r="OR36" s="463"/>
      <c r="OS36" s="462"/>
      <c r="OT36" s="463"/>
      <c r="OU36" s="462"/>
      <c r="OV36" s="463"/>
      <c r="OW36" s="462"/>
      <c r="OX36" s="463"/>
      <c r="OY36" s="462"/>
      <c r="OZ36" s="463"/>
      <c r="PA36" s="462"/>
      <c r="PB36" s="463"/>
      <c r="PC36" s="462"/>
      <c r="PD36" s="463"/>
      <c r="PE36" s="462"/>
      <c r="PF36" s="463"/>
      <c r="PG36" s="462"/>
      <c r="PH36" s="463"/>
      <c r="PI36" s="462"/>
      <c r="PJ36" s="463"/>
      <c r="PK36" s="462"/>
      <c r="PL36" s="463"/>
      <c r="PM36" s="462"/>
      <c r="PN36" s="463"/>
      <c r="PO36" s="462"/>
      <c r="PP36" s="463"/>
      <c r="PQ36" s="462"/>
      <c r="PR36" s="463"/>
      <c r="PS36" s="462"/>
      <c r="PT36" s="463"/>
      <c r="PU36" s="462"/>
      <c r="PV36" s="463"/>
      <c r="PW36" s="462"/>
      <c r="PX36" s="463"/>
      <c r="PY36" s="462"/>
      <c r="PZ36" s="463"/>
      <c r="QA36" s="462"/>
      <c r="QB36" s="463"/>
      <c r="QC36" s="462"/>
      <c r="QD36" s="463"/>
      <c r="QE36" s="462"/>
      <c r="QF36" s="463"/>
      <c r="QG36" s="462"/>
      <c r="QH36" s="463"/>
      <c r="QI36" s="462"/>
      <c r="QJ36" s="463"/>
      <c r="QK36" s="462"/>
      <c r="QL36" s="463"/>
      <c r="QM36" s="462"/>
      <c r="QN36" s="463"/>
      <c r="QO36" s="462"/>
      <c r="QP36" s="463"/>
      <c r="QQ36" s="462"/>
      <c r="QR36" s="463"/>
      <c r="QS36" s="462"/>
      <c r="QT36" s="463"/>
      <c r="QU36" s="462"/>
      <c r="QV36" s="463"/>
      <c r="QW36" s="462"/>
      <c r="QX36" s="463"/>
      <c r="QY36" s="462"/>
      <c r="QZ36" s="463"/>
      <c r="RA36" s="462"/>
      <c r="RB36" s="463"/>
      <c r="RC36" s="462"/>
      <c r="RD36" s="463"/>
      <c r="RE36" s="462"/>
      <c r="RF36" s="463"/>
      <c r="RG36" s="462"/>
      <c r="RH36" s="463"/>
      <c r="RI36" s="462"/>
      <c r="RJ36" s="463"/>
      <c r="RK36" s="462"/>
      <c r="RL36" s="463"/>
      <c r="RM36" s="462"/>
      <c r="RN36" s="463"/>
      <c r="RO36" s="462"/>
      <c r="RP36" s="463"/>
      <c r="RQ36" s="462"/>
      <c r="RR36" s="463"/>
      <c r="RS36" s="462"/>
      <c r="RT36" s="463"/>
      <c r="RU36" s="462"/>
      <c r="RV36" s="463"/>
      <c r="RW36" s="462"/>
      <c r="RX36" s="463"/>
      <c r="RY36" s="462"/>
      <c r="RZ36" s="463"/>
      <c r="SA36" s="462"/>
      <c r="SB36" s="463"/>
      <c r="SC36" s="462"/>
      <c r="SD36" s="463"/>
      <c r="SE36" s="462"/>
      <c r="SF36" s="463"/>
      <c r="SG36" s="462"/>
      <c r="SH36" s="463"/>
      <c r="SI36" s="462"/>
      <c r="SJ36" s="463"/>
      <c r="SK36" s="462"/>
      <c r="SL36" s="463"/>
      <c r="SM36" s="462"/>
      <c r="SN36" s="463"/>
      <c r="SO36" s="462"/>
      <c r="SP36" s="463"/>
      <c r="SQ36" s="462"/>
      <c r="SR36" s="463"/>
      <c r="SS36" s="462"/>
      <c r="ST36" s="463"/>
      <c r="SU36" s="462"/>
      <c r="SV36" s="463"/>
      <c r="SW36" s="462"/>
      <c r="SX36" s="463"/>
      <c r="SY36" s="462"/>
      <c r="SZ36" s="463"/>
      <c r="TA36" s="462"/>
      <c r="TB36" s="463"/>
      <c r="TC36" s="462"/>
      <c r="TD36" s="463"/>
      <c r="TE36" s="462"/>
      <c r="TF36" s="463"/>
      <c r="TG36" s="462"/>
      <c r="TH36" s="463"/>
      <c r="TI36" s="462"/>
      <c r="TJ36" s="463"/>
      <c r="TK36" s="462"/>
      <c r="TL36" s="463"/>
      <c r="TM36" s="462"/>
      <c r="TN36" s="463"/>
      <c r="TO36" s="462"/>
      <c r="TP36" s="463"/>
      <c r="TQ36" s="462"/>
      <c r="TR36" s="463"/>
      <c r="TS36" s="462"/>
      <c r="TT36" s="463"/>
      <c r="TU36" s="462"/>
      <c r="TV36" s="463"/>
      <c r="TW36" s="462"/>
      <c r="TX36" s="463"/>
      <c r="TY36" s="462"/>
      <c r="TZ36" s="463"/>
      <c r="UA36" s="462"/>
      <c r="UB36" s="463"/>
      <c r="UC36" s="462"/>
      <c r="UD36" s="463"/>
      <c r="UE36" s="462"/>
      <c r="UF36" s="463"/>
      <c r="UG36" s="462"/>
      <c r="UH36" s="463"/>
      <c r="UI36" s="462"/>
      <c r="UJ36" s="463"/>
      <c r="UK36" s="462"/>
      <c r="UL36" s="463"/>
      <c r="UM36" s="462"/>
      <c r="UN36" s="463"/>
      <c r="UO36" s="462"/>
      <c r="UP36" s="463"/>
      <c r="UQ36" s="462"/>
      <c r="UR36" s="463"/>
      <c r="US36" s="462"/>
      <c r="UT36" s="463"/>
      <c r="UU36" s="462"/>
      <c r="UV36" s="463"/>
      <c r="UW36" s="462"/>
      <c r="UX36" s="463"/>
      <c r="UY36" s="462"/>
      <c r="UZ36" s="463"/>
      <c r="VA36" s="462"/>
      <c r="VB36" s="463"/>
      <c r="VC36" s="462"/>
      <c r="VD36" s="463"/>
      <c r="VE36" s="462"/>
      <c r="VF36" s="463"/>
      <c r="VG36" s="462"/>
      <c r="VH36" s="463"/>
      <c r="VI36" s="462"/>
      <c r="VJ36" s="463"/>
      <c r="VK36" s="462"/>
      <c r="VL36" s="463"/>
      <c r="VM36" s="462"/>
      <c r="VN36" s="463"/>
      <c r="VO36" s="462"/>
      <c r="VP36" s="463"/>
      <c r="VQ36" s="462"/>
      <c r="VR36" s="463"/>
      <c r="VS36" s="462"/>
      <c r="VT36" s="463"/>
      <c r="VU36" s="462"/>
      <c r="VV36" s="463"/>
      <c r="VW36" s="462"/>
      <c r="VX36" s="463"/>
      <c r="VY36" s="462"/>
      <c r="VZ36" s="463"/>
      <c r="WA36" s="462"/>
      <c r="WB36" s="463"/>
      <c r="WC36" s="462"/>
      <c r="WD36" s="463"/>
      <c r="WE36" s="462"/>
      <c r="WF36" s="463"/>
      <c r="WG36" s="462"/>
      <c r="WH36" s="463"/>
      <c r="WI36" s="462"/>
      <c r="WJ36" s="463"/>
      <c r="WK36" s="462"/>
      <c r="WL36" s="463"/>
      <c r="WM36" s="462"/>
      <c r="WN36" s="463"/>
      <c r="WO36" s="462"/>
      <c r="WP36" s="463"/>
      <c r="WQ36" s="462"/>
      <c r="WR36" s="463"/>
      <c r="WS36" s="462"/>
      <c r="WT36" s="463"/>
      <c r="WU36" s="462"/>
      <c r="WV36" s="463"/>
      <c r="WW36" s="462"/>
      <c r="WX36" s="463"/>
      <c r="WY36" s="462"/>
      <c r="WZ36" s="463"/>
      <c r="XA36" s="462"/>
      <c r="XB36" s="463"/>
      <c r="XC36" s="462"/>
      <c r="XD36" s="463"/>
      <c r="XE36" s="462"/>
      <c r="XF36" s="463"/>
      <c r="XG36" s="462"/>
      <c r="XH36" s="463"/>
      <c r="XI36" s="462"/>
      <c r="XJ36" s="463"/>
      <c r="XK36" s="462"/>
      <c r="XL36" s="463"/>
      <c r="XM36" s="462"/>
      <c r="XN36" s="463"/>
      <c r="XO36" s="462"/>
      <c r="XP36" s="463"/>
      <c r="XQ36" s="462"/>
      <c r="XR36" s="463"/>
      <c r="XS36" s="462"/>
      <c r="XT36" s="463"/>
      <c r="XU36" s="462"/>
      <c r="XV36" s="463"/>
      <c r="XW36" s="462"/>
      <c r="XX36" s="463"/>
      <c r="XY36" s="462"/>
      <c r="XZ36" s="463"/>
      <c r="YA36" s="462"/>
      <c r="YB36" s="463"/>
      <c r="YC36" s="462"/>
      <c r="YD36" s="463"/>
      <c r="YE36" s="462"/>
      <c r="YF36" s="463"/>
      <c r="YG36" s="462"/>
      <c r="YH36" s="463"/>
      <c r="YI36" s="462"/>
      <c r="YJ36" s="463"/>
      <c r="YK36" s="462"/>
      <c r="YL36" s="463"/>
      <c r="YM36" s="462"/>
      <c r="YN36" s="463"/>
      <c r="YO36" s="462"/>
      <c r="YP36" s="463"/>
      <c r="YQ36" s="462"/>
      <c r="YR36" s="463"/>
      <c r="YS36" s="462"/>
      <c r="YT36" s="463"/>
      <c r="YU36" s="462"/>
      <c r="YV36" s="463"/>
      <c r="YW36" s="462"/>
      <c r="YX36" s="463"/>
      <c r="YY36" s="462"/>
      <c r="YZ36" s="463"/>
      <c r="ZA36" s="462"/>
      <c r="ZB36" s="463"/>
      <c r="ZC36" s="462"/>
      <c r="ZD36" s="463"/>
      <c r="ZE36" s="462"/>
      <c r="ZF36" s="463"/>
      <c r="ZG36" s="462"/>
      <c r="ZH36" s="463"/>
      <c r="ZI36" s="462"/>
      <c r="ZJ36" s="463"/>
      <c r="ZK36" s="462"/>
      <c r="ZL36" s="463"/>
      <c r="ZM36" s="462"/>
      <c r="ZN36" s="463"/>
      <c r="ZO36" s="462"/>
      <c r="ZP36" s="463"/>
      <c r="ZQ36" s="462"/>
      <c r="ZR36" s="463"/>
      <c r="ZS36" s="462"/>
      <c r="ZT36" s="463"/>
      <c r="ZU36" s="462"/>
      <c r="ZV36" s="463"/>
      <c r="ZW36" s="462"/>
      <c r="ZX36" s="463"/>
      <c r="ZY36" s="462"/>
      <c r="ZZ36" s="463"/>
      <c r="AAA36" s="462"/>
      <c r="AAB36" s="463"/>
      <c r="AAC36" s="462"/>
      <c r="AAD36" s="463"/>
      <c r="AAE36" s="462"/>
      <c r="AAF36" s="463"/>
      <c r="AAG36" s="462"/>
      <c r="AAH36" s="463"/>
      <c r="AAI36" s="462"/>
      <c r="AAJ36" s="463"/>
      <c r="AAK36" s="462"/>
      <c r="AAL36" s="463"/>
      <c r="AAM36" s="462"/>
      <c r="AAN36" s="463"/>
      <c r="AAO36" s="462"/>
      <c r="AAP36" s="463"/>
      <c r="AAQ36" s="462"/>
      <c r="AAR36" s="463"/>
      <c r="AAS36" s="462"/>
      <c r="AAT36" s="463"/>
      <c r="AAU36" s="462"/>
      <c r="AAV36" s="463"/>
      <c r="AAW36" s="462"/>
      <c r="AAX36" s="463"/>
      <c r="AAY36" s="462"/>
      <c r="AAZ36" s="463"/>
      <c r="ABA36" s="462"/>
      <c r="ABB36" s="463"/>
      <c r="ABC36" s="462"/>
      <c r="ABD36" s="463"/>
      <c r="ABE36" s="462"/>
      <c r="ABF36" s="463"/>
      <c r="ABG36" s="462"/>
      <c r="ABH36" s="463"/>
      <c r="ABI36" s="462"/>
      <c r="ABJ36" s="463"/>
      <c r="ABK36" s="462"/>
      <c r="ABL36" s="463"/>
      <c r="ABM36" s="462"/>
      <c r="ABN36" s="463"/>
      <c r="ABO36" s="462"/>
      <c r="ABP36" s="463"/>
      <c r="ABQ36" s="462"/>
      <c r="ABR36" s="463"/>
      <c r="ABS36" s="462"/>
      <c r="ABT36" s="463"/>
      <c r="ABU36" s="462"/>
      <c r="ABV36" s="463"/>
      <c r="ABW36" s="462"/>
      <c r="ABX36" s="463"/>
      <c r="ABY36" s="462"/>
      <c r="ABZ36" s="463"/>
      <c r="ACA36" s="462"/>
      <c r="ACB36" s="463"/>
      <c r="ACC36" s="462"/>
      <c r="ACD36" s="463"/>
      <c r="ACE36" s="462"/>
      <c r="ACF36" s="463"/>
      <c r="ACG36" s="462"/>
      <c r="ACH36" s="463"/>
      <c r="ACI36" s="462"/>
      <c r="ACJ36" s="463"/>
      <c r="ACK36" s="462"/>
      <c r="ACL36" s="463"/>
      <c r="ACM36" s="462"/>
      <c r="ACN36" s="463"/>
      <c r="ACO36" s="462"/>
      <c r="ACP36" s="463"/>
      <c r="ACQ36" s="462"/>
      <c r="ACR36" s="463"/>
      <c r="ACS36" s="462"/>
      <c r="ACT36" s="463"/>
      <c r="ACU36" s="462"/>
      <c r="ACV36" s="463"/>
      <c r="ACW36" s="462"/>
      <c r="ACX36" s="463"/>
      <c r="ACY36" s="462"/>
      <c r="ACZ36" s="463"/>
      <c r="ADA36" s="462"/>
      <c r="ADB36" s="463"/>
      <c r="ADC36" s="462"/>
      <c r="ADD36" s="463"/>
      <c r="ADE36" s="462"/>
      <c r="ADF36" s="463"/>
      <c r="ADG36" s="462"/>
      <c r="ADH36" s="463"/>
      <c r="ADI36" s="462"/>
      <c r="ADJ36" s="463"/>
      <c r="ADK36" s="462"/>
      <c r="ADL36" s="463"/>
      <c r="ADM36" s="462"/>
      <c r="ADN36" s="463"/>
      <c r="ADO36" s="462"/>
      <c r="ADP36" s="463"/>
      <c r="ADQ36" s="462"/>
      <c r="ADR36" s="463"/>
      <c r="ADS36" s="462"/>
      <c r="ADT36" s="463"/>
      <c r="ADU36" s="462"/>
      <c r="ADV36" s="463"/>
      <c r="ADW36" s="462"/>
      <c r="ADX36" s="463"/>
      <c r="ADY36" s="462"/>
      <c r="ADZ36" s="463"/>
      <c r="AEA36" s="462"/>
      <c r="AEB36" s="463"/>
      <c r="AEC36" s="462"/>
      <c r="AED36" s="463"/>
      <c r="AEE36" s="462"/>
      <c r="AEF36" s="463"/>
      <c r="AEG36" s="462"/>
      <c r="AEH36" s="463"/>
      <c r="AEI36" s="462"/>
      <c r="AEJ36" s="463"/>
      <c r="AEK36" s="462"/>
      <c r="AEL36" s="463"/>
      <c r="AEM36" s="462"/>
      <c r="AEN36" s="463"/>
      <c r="AEO36" s="462"/>
      <c r="AEP36" s="463"/>
      <c r="AEQ36" s="462"/>
      <c r="AER36" s="463"/>
      <c r="AES36" s="462"/>
      <c r="AET36" s="463"/>
      <c r="AEU36" s="462"/>
      <c r="AEV36" s="463"/>
      <c r="AEW36" s="462"/>
      <c r="AEX36" s="463"/>
      <c r="AEY36" s="462"/>
      <c r="AEZ36" s="463"/>
      <c r="AFA36" s="462"/>
      <c r="AFB36" s="463"/>
      <c r="AFC36" s="462"/>
      <c r="AFD36" s="463"/>
      <c r="AFE36" s="462"/>
      <c r="AFF36" s="463"/>
      <c r="AFG36" s="462"/>
      <c r="AFH36" s="463"/>
      <c r="AFI36" s="462"/>
      <c r="AFJ36" s="463"/>
      <c r="AFK36" s="462"/>
      <c r="AFL36" s="463"/>
      <c r="AFM36" s="462"/>
      <c r="AFN36" s="463"/>
      <c r="AFO36" s="462"/>
      <c r="AFP36" s="463"/>
      <c r="AFQ36" s="462"/>
      <c r="AFR36" s="463"/>
      <c r="AFS36" s="462"/>
      <c r="AFT36" s="463"/>
      <c r="AFU36" s="462"/>
      <c r="AFV36" s="463"/>
      <c r="AFW36" s="462"/>
      <c r="AFX36" s="463"/>
      <c r="AFY36" s="462"/>
      <c r="AFZ36" s="463"/>
      <c r="AGA36" s="462"/>
      <c r="AGB36" s="463"/>
      <c r="AGC36" s="462"/>
      <c r="AGD36" s="463"/>
      <c r="AGE36" s="462"/>
      <c r="AGF36" s="463"/>
      <c r="AGG36" s="462"/>
      <c r="AGH36" s="463"/>
      <c r="AGI36" s="462"/>
      <c r="AGJ36" s="463"/>
      <c r="AGK36" s="462"/>
      <c r="AGL36" s="463"/>
      <c r="AGM36" s="462"/>
      <c r="AGN36" s="463"/>
      <c r="AGO36" s="462"/>
      <c r="AGP36" s="463"/>
      <c r="AGQ36" s="462"/>
      <c r="AGR36" s="463"/>
      <c r="AGS36" s="462"/>
      <c r="AGT36" s="463"/>
      <c r="AGU36" s="462"/>
      <c r="AGV36" s="463"/>
      <c r="AGW36" s="462"/>
      <c r="AGX36" s="463"/>
      <c r="AGY36" s="462"/>
      <c r="AGZ36" s="463"/>
      <c r="AHA36" s="462"/>
      <c r="AHB36" s="463"/>
      <c r="AHC36" s="462"/>
      <c r="AHD36" s="463"/>
      <c r="AHE36" s="462"/>
      <c r="AHF36" s="463"/>
      <c r="AHG36" s="462"/>
      <c r="AHH36" s="463"/>
      <c r="AHI36" s="462"/>
      <c r="AHJ36" s="463"/>
      <c r="AHK36" s="462"/>
      <c r="AHL36" s="463"/>
      <c r="AHM36" s="462"/>
      <c r="AHN36" s="463"/>
      <c r="AHO36" s="462"/>
      <c r="AHP36" s="463"/>
      <c r="AHQ36" s="462"/>
      <c r="AHR36" s="463"/>
      <c r="AHS36" s="462"/>
      <c r="AHT36" s="463"/>
      <c r="AHU36" s="462"/>
      <c r="AHV36" s="463"/>
      <c r="AHW36" s="462"/>
      <c r="AHX36" s="463"/>
      <c r="AHY36" s="462"/>
      <c r="AHZ36" s="463"/>
      <c r="AIA36" s="462"/>
    </row>
    <row r="37" spans="1:911" ht="12.75" x14ac:dyDescent="0.2">
      <c r="A37" s="412"/>
      <c r="B37" s="417"/>
      <c r="C37" s="412"/>
      <c r="D37" s="417"/>
      <c r="E37" s="412"/>
      <c r="F37" s="417"/>
      <c r="G37" s="412"/>
      <c r="H37" s="417"/>
      <c r="I37" s="412"/>
      <c r="J37" s="417"/>
      <c r="K37" s="412"/>
      <c r="L37" s="417"/>
      <c r="M37" s="412"/>
      <c r="N37" s="417"/>
      <c r="O37" s="412"/>
      <c r="P37" s="417"/>
      <c r="Q37" s="412"/>
      <c r="R37" s="417"/>
      <c r="S37" s="412"/>
      <c r="T37" s="417"/>
      <c r="U37" s="412"/>
      <c r="V37" s="417"/>
      <c r="W37" s="412"/>
      <c r="X37" s="417"/>
      <c r="Y37" s="412"/>
      <c r="Z37" s="417"/>
      <c r="AA37" s="412"/>
      <c r="AB37" s="417"/>
      <c r="AC37" s="412"/>
      <c r="AD37" s="417"/>
      <c r="AE37" s="412"/>
      <c r="AF37" s="417"/>
      <c r="AG37" s="412"/>
      <c r="AH37" s="417"/>
      <c r="AI37" s="412"/>
      <c r="AJ37" s="417"/>
      <c r="AK37" s="412"/>
      <c r="AL37" s="417"/>
      <c r="AM37" s="412"/>
      <c r="AN37" s="417"/>
      <c r="AO37" s="412"/>
      <c r="AP37" s="417"/>
      <c r="AQ37" s="412"/>
      <c r="AR37" s="417"/>
      <c r="AS37" s="412"/>
      <c r="AT37" s="417"/>
      <c r="AU37" s="412"/>
      <c r="AV37" s="417"/>
      <c r="AW37" s="412"/>
      <c r="AX37" s="417"/>
      <c r="AY37" s="412"/>
      <c r="AZ37" s="417"/>
      <c r="BA37" s="412"/>
      <c r="BB37" s="417"/>
      <c r="BC37" s="412"/>
      <c r="BD37" s="417"/>
      <c r="BE37" s="412"/>
      <c r="BF37" s="417"/>
      <c r="BG37" s="412"/>
      <c r="BH37" s="417"/>
      <c r="BI37" s="412"/>
      <c r="BJ37" s="417"/>
      <c r="BK37" s="412"/>
      <c r="BL37" s="417"/>
      <c r="BM37" s="412"/>
      <c r="BN37" s="417"/>
      <c r="BO37" s="412"/>
      <c r="BP37" s="417"/>
      <c r="BQ37" s="412"/>
      <c r="BR37" s="417"/>
      <c r="BS37" s="412"/>
      <c r="BT37" s="417"/>
      <c r="BU37" s="412"/>
      <c r="BV37" s="417"/>
      <c r="BW37" s="412"/>
      <c r="BX37" s="417"/>
      <c r="BY37" s="412"/>
      <c r="BZ37" s="417"/>
      <c r="CA37" s="412"/>
      <c r="CB37" s="417"/>
      <c r="CC37" s="412"/>
      <c r="CD37" s="417"/>
      <c r="CE37" s="412"/>
      <c r="CF37" s="417"/>
      <c r="CG37" s="412"/>
      <c r="CH37" s="417"/>
      <c r="CI37" s="412"/>
      <c r="CJ37" s="417"/>
      <c r="CK37" s="412"/>
      <c r="CL37" s="417"/>
      <c r="CM37" s="412"/>
      <c r="CN37" s="417"/>
      <c r="CO37" s="412"/>
      <c r="CP37" s="417"/>
      <c r="CQ37" s="412"/>
      <c r="CR37" s="417"/>
      <c r="CS37" s="412"/>
      <c r="CT37" s="417"/>
      <c r="CU37" s="412"/>
      <c r="CV37" s="417"/>
      <c r="CW37" s="412"/>
      <c r="CX37" s="417"/>
      <c r="CY37" s="412"/>
      <c r="CZ37" s="417"/>
      <c r="DA37" s="412"/>
      <c r="DB37" s="417"/>
      <c r="DC37" s="412"/>
      <c r="DD37" s="417"/>
      <c r="DE37" s="412"/>
      <c r="DF37" s="417"/>
      <c r="DG37" s="412"/>
      <c r="DH37" s="417"/>
      <c r="DI37" s="412"/>
      <c r="DJ37" s="417"/>
      <c r="DK37" s="412"/>
      <c r="DL37" s="417"/>
      <c r="DM37" s="412"/>
      <c r="DN37" s="417"/>
      <c r="DO37" s="412"/>
      <c r="DP37" s="417"/>
      <c r="DQ37" s="412"/>
      <c r="DR37" s="417"/>
      <c r="DS37" s="412"/>
      <c r="DT37" s="417"/>
      <c r="DU37" s="412"/>
      <c r="DV37" s="417"/>
      <c r="DW37" s="412"/>
      <c r="DX37" s="417"/>
      <c r="DY37" s="412"/>
      <c r="DZ37" s="417"/>
      <c r="EA37" s="412"/>
      <c r="EB37" s="417"/>
      <c r="EC37" s="412"/>
      <c r="ED37" s="417"/>
      <c r="EE37" s="412"/>
      <c r="EF37" s="417"/>
      <c r="EG37" s="412"/>
      <c r="EH37" s="417"/>
      <c r="EI37" s="412"/>
      <c r="EJ37" s="417"/>
      <c r="EK37" s="412"/>
      <c r="EL37" s="417"/>
      <c r="EM37" s="412"/>
      <c r="EN37" s="417"/>
      <c r="EO37" s="412"/>
      <c r="EP37" s="417"/>
      <c r="EQ37" s="412"/>
      <c r="ER37" s="417"/>
      <c r="ES37" s="412"/>
      <c r="ET37" s="417"/>
      <c r="EU37" s="412"/>
      <c r="EV37" s="417"/>
      <c r="EW37" s="412"/>
      <c r="EX37" s="417"/>
      <c r="EY37" s="412"/>
      <c r="EZ37" s="417"/>
      <c r="FA37" s="412"/>
      <c r="FB37" s="417"/>
      <c r="FC37" s="412"/>
      <c r="FD37" s="417"/>
      <c r="FE37" s="412"/>
      <c r="FF37" s="417"/>
      <c r="FG37" s="412"/>
      <c r="FH37" s="417"/>
      <c r="FI37" s="412"/>
      <c r="FJ37" s="417"/>
      <c r="FK37" s="412"/>
      <c r="FL37" s="417"/>
      <c r="FM37" s="412"/>
      <c r="FN37" s="417"/>
      <c r="FO37" s="412"/>
      <c r="FP37" s="417"/>
      <c r="FQ37" s="412"/>
      <c r="FR37" s="417"/>
      <c r="FS37" s="412"/>
      <c r="FT37" s="417"/>
      <c r="FU37" s="412"/>
      <c r="FV37" s="417"/>
      <c r="FW37" s="412"/>
      <c r="FX37" s="417"/>
      <c r="FY37" s="412"/>
      <c r="FZ37" s="417"/>
      <c r="GA37" s="412"/>
      <c r="GB37" s="417"/>
      <c r="GC37" s="412"/>
      <c r="GD37" s="417"/>
      <c r="GE37" s="412"/>
      <c r="GF37" s="417"/>
      <c r="GG37" s="412"/>
      <c r="GH37" s="417"/>
      <c r="GI37" s="412"/>
      <c r="GJ37" s="417"/>
      <c r="GK37" s="412"/>
      <c r="GL37" s="417"/>
      <c r="GM37" s="412"/>
      <c r="GN37" s="417"/>
      <c r="GO37" s="412"/>
      <c r="GP37" s="417"/>
      <c r="GQ37" s="412"/>
      <c r="GR37" s="417"/>
      <c r="GS37" s="412"/>
      <c r="GT37" s="417"/>
      <c r="GU37" s="412"/>
      <c r="GV37" s="417"/>
      <c r="GW37" s="412"/>
      <c r="GX37" s="417"/>
      <c r="GY37" s="412"/>
      <c r="GZ37" s="417"/>
      <c r="HA37" s="412"/>
      <c r="HB37" s="417"/>
      <c r="HC37" s="412"/>
      <c r="HD37" s="417"/>
      <c r="HE37" s="412"/>
      <c r="HF37" s="417"/>
      <c r="HG37" s="412"/>
      <c r="HH37" s="417"/>
      <c r="HI37" s="412"/>
      <c r="HJ37" s="417"/>
      <c r="HK37" s="412"/>
      <c r="HL37" s="417"/>
      <c r="HM37" s="412"/>
      <c r="HN37" s="417"/>
      <c r="HO37" s="412"/>
      <c r="HP37" s="417"/>
      <c r="HQ37" s="412"/>
      <c r="HR37" s="417"/>
      <c r="HS37" s="412"/>
      <c r="HT37" s="417"/>
      <c r="HU37" s="412"/>
      <c r="HV37" s="417"/>
      <c r="HW37" s="412"/>
      <c r="HX37" s="417"/>
      <c r="HY37" s="412"/>
      <c r="HZ37" s="417"/>
      <c r="IA37" s="412"/>
      <c r="IB37" s="417"/>
      <c r="IC37" s="412"/>
      <c r="ID37" s="417"/>
      <c r="IE37" s="412"/>
      <c r="IF37" s="417"/>
      <c r="IG37" s="412"/>
      <c r="IH37" s="417"/>
      <c r="II37" s="412"/>
      <c r="IJ37" s="417"/>
      <c r="IK37" s="412"/>
      <c r="IL37" s="417"/>
      <c r="IM37" s="412"/>
      <c r="IN37" s="417"/>
      <c r="IO37" s="412"/>
      <c r="IP37" s="417"/>
      <c r="IQ37" s="412"/>
      <c r="IR37" s="417"/>
      <c r="IS37" s="412"/>
      <c r="IT37" s="417"/>
      <c r="IU37" s="412"/>
      <c r="IV37" s="417"/>
      <c r="IW37" s="412"/>
      <c r="IX37" s="417"/>
      <c r="IY37" s="412"/>
      <c r="IZ37" s="417"/>
      <c r="JA37" s="412"/>
      <c r="JB37" s="417"/>
      <c r="JC37" s="412"/>
      <c r="JD37" s="417"/>
      <c r="JE37" s="412"/>
      <c r="JF37" s="417"/>
      <c r="JG37" s="412"/>
      <c r="JH37" s="417"/>
      <c r="JI37" s="412"/>
      <c r="JJ37" s="417"/>
      <c r="JK37" s="412"/>
      <c r="JL37" s="417"/>
      <c r="JM37" s="412"/>
      <c r="JN37" s="417"/>
      <c r="JO37" s="412"/>
      <c r="JP37" s="417"/>
      <c r="JQ37" s="412"/>
      <c r="JR37" s="417"/>
      <c r="JS37" s="412"/>
      <c r="JT37" s="417"/>
      <c r="JU37" s="412"/>
      <c r="JV37" s="417"/>
      <c r="JW37" s="412"/>
      <c r="JX37" s="417"/>
      <c r="JY37" s="412"/>
      <c r="JZ37" s="417"/>
      <c r="KA37" s="412"/>
      <c r="KB37" s="417"/>
      <c r="KC37" s="412"/>
      <c r="KD37" s="417"/>
      <c r="KE37" s="412"/>
      <c r="KF37" s="417"/>
      <c r="KG37" s="412"/>
      <c r="KH37" s="417"/>
      <c r="KI37" s="412"/>
      <c r="KJ37" s="417"/>
      <c r="KK37" s="412"/>
      <c r="KL37" s="417"/>
      <c r="KM37" s="412"/>
      <c r="KN37" s="417"/>
      <c r="KO37" s="412"/>
      <c r="KP37" s="417"/>
      <c r="KQ37" s="412"/>
      <c r="KR37" s="417"/>
      <c r="KS37" s="412"/>
      <c r="KT37" s="417"/>
      <c r="KU37" s="412"/>
      <c r="KV37" s="417"/>
      <c r="KW37" s="412"/>
      <c r="KX37" s="417"/>
      <c r="KY37" s="412"/>
      <c r="KZ37" s="417"/>
      <c r="LA37" s="412"/>
      <c r="LB37" s="417"/>
      <c r="LC37" s="412"/>
      <c r="LD37" s="417"/>
      <c r="LE37" s="412"/>
      <c r="LF37" s="417"/>
      <c r="LG37" s="412"/>
      <c r="LH37" s="417"/>
      <c r="LI37" s="412"/>
      <c r="LJ37" s="417"/>
      <c r="LK37" s="412"/>
      <c r="LL37" s="417"/>
      <c r="LM37" s="412"/>
      <c r="LN37" s="417"/>
      <c r="LO37" s="412"/>
      <c r="LP37" s="417"/>
      <c r="LQ37" s="412"/>
      <c r="LR37" s="417"/>
      <c r="LS37" s="412"/>
      <c r="LT37" s="417"/>
      <c r="LU37" s="412"/>
      <c r="LV37" s="417"/>
      <c r="LW37" s="412"/>
      <c r="LX37" s="417"/>
      <c r="LY37" s="412"/>
      <c r="LZ37" s="417"/>
      <c r="MA37" s="412"/>
      <c r="MB37" s="417"/>
      <c r="MC37" s="412"/>
      <c r="MD37" s="417"/>
      <c r="ME37" s="412"/>
      <c r="MF37" s="417"/>
      <c r="MG37" s="412"/>
      <c r="MH37" s="417"/>
      <c r="MI37" s="412"/>
      <c r="MJ37" s="417"/>
      <c r="MK37" s="412"/>
      <c r="ML37" s="417"/>
      <c r="MM37" s="412"/>
      <c r="MN37" s="417"/>
      <c r="MO37" s="412"/>
      <c r="MP37" s="417"/>
      <c r="MQ37" s="412"/>
      <c r="MR37" s="417"/>
      <c r="MS37" s="412"/>
      <c r="MT37" s="417"/>
      <c r="MU37" s="412"/>
      <c r="MV37" s="417"/>
      <c r="MW37" s="412"/>
      <c r="MX37" s="417"/>
      <c r="MY37" s="412"/>
      <c r="MZ37" s="417"/>
      <c r="NA37" s="412"/>
      <c r="NB37" s="417"/>
      <c r="NC37" s="412"/>
      <c r="ND37" s="417"/>
      <c r="NE37" s="412"/>
      <c r="NF37" s="417"/>
      <c r="NG37" s="412"/>
      <c r="NH37" s="417"/>
      <c r="NI37" s="412"/>
      <c r="NJ37" s="417"/>
      <c r="NK37" s="412"/>
      <c r="NL37" s="417"/>
      <c r="NM37" s="412"/>
      <c r="NN37" s="417"/>
      <c r="NO37" s="412"/>
      <c r="NP37" s="417"/>
      <c r="NQ37" s="412"/>
      <c r="NR37" s="417"/>
      <c r="NS37" s="412"/>
      <c r="NT37" s="417"/>
      <c r="NU37" s="412"/>
      <c r="NV37" s="417"/>
      <c r="NW37" s="412"/>
      <c r="NX37" s="417"/>
      <c r="NY37" s="412"/>
      <c r="NZ37" s="417"/>
      <c r="OA37" s="412"/>
      <c r="OB37" s="417"/>
      <c r="OC37" s="412"/>
      <c r="OD37" s="417"/>
      <c r="OE37" s="412"/>
      <c r="OF37" s="417"/>
      <c r="OG37" s="412"/>
      <c r="OH37" s="417"/>
      <c r="OI37" s="412"/>
      <c r="OJ37" s="417"/>
      <c r="OK37" s="412"/>
      <c r="OL37" s="417"/>
      <c r="OM37" s="412"/>
      <c r="ON37" s="417"/>
      <c r="OO37" s="412"/>
      <c r="OP37" s="417"/>
      <c r="OQ37" s="412"/>
      <c r="OR37" s="417"/>
      <c r="OS37" s="412"/>
      <c r="OT37" s="417"/>
      <c r="OU37" s="412"/>
      <c r="OV37" s="417"/>
      <c r="OW37" s="412"/>
      <c r="OX37" s="417"/>
      <c r="OY37" s="412"/>
      <c r="OZ37" s="417"/>
      <c r="PA37" s="412"/>
      <c r="PB37" s="417"/>
      <c r="PC37" s="412"/>
      <c r="PD37" s="417"/>
      <c r="PE37" s="412"/>
      <c r="PF37" s="417"/>
      <c r="PG37" s="412"/>
      <c r="PH37" s="417"/>
      <c r="PI37" s="412"/>
      <c r="PJ37" s="417"/>
      <c r="PK37" s="412"/>
      <c r="PL37" s="417"/>
      <c r="PM37" s="412"/>
      <c r="PN37" s="417"/>
      <c r="PO37" s="412"/>
      <c r="PP37" s="417"/>
      <c r="PQ37" s="412"/>
      <c r="PR37" s="417"/>
      <c r="PS37" s="412"/>
      <c r="PT37" s="417"/>
      <c r="PU37" s="412"/>
      <c r="PV37" s="417"/>
      <c r="PW37" s="412"/>
      <c r="PX37" s="417"/>
      <c r="PY37" s="412"/>
      <c r="PZ37" s="417"/>
      <c r="QA37" s="412"/>
      <c r="QB37" s="417"/>
      <c r="QC37" s="412"/>
      <c r="QD37" s="417"/>
      <c r="QE37" s="412"/>
      <c r="QF37" s="417"/>
      <c r="QG37" s="412"/>
      <c r="QH37" s="417"/>
      <c r="QI37" s="412"/>
      <c r="QJ37" s="417"/>
      <c r="QK37" s="412"/>
      <c r="QL37" s="417"/>
      <c r="QM37" s="412"/>
      <c r="QN37" s="417"/>
      <c r="QO37" s="412"/>
      <c r="QP37" s="417"/>
      <c r="QQ37" s="412"/>
      <c r="QR37" s="417"/>
      <c r="QS37" s="412"/>
      <c r="QT37" s="417"/>
      <c r="QU37" s="412"/>
      <c r="QV37" s="417"/>
      <c r="QW37" s="412"/>
      <c r="QX37" s="417"/>
      <c r="QY37" s="412"/>
      <c r="QZ37" s="417"/>
      <c r="RA37" s="412"/>
      <c r="RB37" s="417"/>
      <c r="RC37" s="412"/>
      <c r="RD37" s="417"/>
      <c r="RE37" s="412"/>
      <c r="RF37" s="417"/>
      <c r="RG37" s="412"/>
      <c r="RH37" s="417"/>
      <c r="RI37" s="412"/>
      <c r="RJ37" s="417"/>
      <c r="RK37" s="412"/>
      <c r="RL37" s="417"/>
      <c r="RM37" s="412"/>
      <c r="RN37" s="417"/>
      <c r="RO37" s="412"/>
      <c r="RP37" s="417"/>
      <c r="RQ37" s="412"/>
      <c r="RR37" s="417"/>
      <c r="RS37" s="412"/>
      <c r="RT37" s="417"/>
      <c r="RU37" s="412"/>
      <c r="RV37" s="417"/>
      <c r="RW37" s="412"/>
      <c r="RX37" s="417"/>
      <c r="RY37" s="412"/>
      <c r="RZ37" s="417"/>
      <c r="SA37" s="412"/>
      <c r="SB37" s="417"/>
      <c r="SC37" s="412"/>
      <c r="SD37" s="417"/>
      <c r="SE37" s="412"/>
      <c r="SF37" s="417"/>
      <c r="SG37" s="412"/>
      <c r="SH37" s="417"/>
      <c r="SI37" s="412"/>
      <c r="SJ37" s="417"/>
      <c r="SK37" s="412"/>
      <c r="SL37" s="417"/>
      <c r="SM37" s="412"/>
      <c r="SN37" s="417"/>
      <c r="SO37" s="412"/>
      <c r="SP37" s="417"/>
      <c r="SQ37" s="412"/>
      <c r="SR37" s="417"/>
      <c r="SS37" s="412"/>
      <c r="ST37" s="417"/>
      <c r="SU37" s="412"/>
      <c r="SV37" s="417"/>
      <c r="SW37" s="412"/>
      <c r="SX37" s="417"/>
      <c r="SY37" s="412"/>
      <c r="SZ37" s="417"/>
      <c r="TA37" s="412"/>
      <c r="TB37" s="417"/>
      <c r="TC37" s="412"/>
      <c r="TD37" s="417"/>
      <c r="TE37" s="412"/>
      <c r="TF37" s="417"/>
      <c r="TG37" s="412"/>
      <c r="TH37" s="417"/>
      <c r="TI37" s="412"/>
      <c r="TJ37" s="417"/>
      <c r="TK37" s="412"/>
      <c r="TL37" s="417"/>
      <c r="TM37" s="412"/>
      <c r="TN37" s="417"/>
      <c r="TO37" s="412"/>
      <c r="TP37" s="417"/>
      <c r="TQ37" s="412"/>
      <c r="TR37" s="417"/>
      <c r="TS37" s="412"/>
      <c r="TT37" s="417"/>
      <c r="TU37" s="412"/>
      <c r="TV37" s="417"/>
      <c r="TW37" s="412"/>
      <c r="TX37" s="417"/>
      <c r="TY37" s="412"/>
      <c r="TZ37" s="417"/>
      <c r="UA37" s="412"/>
      <c r="UB37" s="417"/>
      <c r="UC37" s="412"/>
      <c r="UD37" s="417"/>
      <c r="UE37" s="412"/>
      <c r="UF37" s="417"/>
      <c r="UG37" s="412"/>
      <c r="UH37" s="417"/>
      <c r="UI37" s="412"/>
      <c r="UJ37" s="417"/>
      <c r="UK37" s="412"/>
      <c r="UL37" s="417"/>
      <c r="UM37" s="412"/>
      <c r="UN37" s="417"/>
      <c r="UO37" s="412"/>
      <c r="UP37" s="417"/>
      <c r="UQ37" s="412"/>
      <c r="UR37" s="417"/>
      <c r="US37" s="412"/>
      <c r="UT37" s="417"/>
      <c r="UU37" s="412"/>
      <c r="UV37" s="417"/>
      <c r="UW37" s="412"/>
      <c r="UX37" s="417"/>
      <c r="UY37" s="412"/>
      <c r="UZ37" s="417"/>
      <c r="VA37" s="412"/>
      <c r="VB37" s="417"/>
      <c r="VC37" s="412"/>
      <c r="VD37" s="417"/>
      <c r="VE37" s="412"/>
      <c r="VF37" s="417"/>
      <c r="VG37" s="412"/>
      <c r="VH37" s="417"/>
      <c r="VI37" s="412"/>
      <c r="VJ37" s="417"/>
      <c r="VK37" s="412"/>
      <c r="VL37" s="417"/>
      <c r="VM37" s="412"/>
      <c r="VN37" s="417"/>
      <c r="VO37" s="412"/>
      <c r="VP37" s="417"/>
      <c r="VQ37" s="412"/>
      <c r="VR37" s="417"/>
      <c r="VS37" s="412"/>
      <c r="VT37" s="417"/>
      <c r="VU37" s="412"/>
      <c r="VV37" s="417"/>
      <c r="VW37" s="412"/>
      <c r="VX37" s="417"/>
      <c r="VY37" s="412"/>
      <c r="VZ37" s="417"/>
      <c r="WA37" s="412"/>
      <c r="WB37" s="417"/>
      <c r="WC37" s="412"/>
      <c r="WD37" s="417"/>
      <c r="WE37" s="412"/>
      <c r="WF37" s="417"/>
      <c r="WG37" s="412"/>
      <c r="WH37" s="417"/>
      <c r="WI37" s="412"/>
      <c r="WJ37" s="417"/>
      <c r="WK37" s="412"/>
      <c r="WL37" s="417"/>
      <c r="WM37" s="412"/>
      <c r="WN37" s="417"/>
      <c r="WO37" s="412"/>
      <c r="WP37" s="417"/>
      <c r="WQ37" s="412"/>
      <c r="WR37" s="417"/>
      <c r="WS37" s="412"/>
      <c r="WT37" s="417"/>
      <c r="WU37" s="412"/>
      <c r="WV37" s="417"/>
      <c r="WW37" s="412"/>
      <c r="WX37" s="417"/>
      <c r="WY37" s="412"/>
      <c r="WZ37" s="417"/>
      <c r="XA37" s="412"/>
      <c r="XB37" s="417"/>
      <c r="XC37" s="412"/>
      <c r="XD37" s="417"/>
      <c r="XE37" s="412"/>
      <c r="XF37" s="417"/>
      <c r="XG37" s="412"/>
      <c r="XH37" s="417"/>
      <c r="XI37" s="412"/>
      <c r="XJ37" s="417"/>
      <c r="XK37" s="412"/>
      <c r="XL37" s="417"/>
      <c r="XM37" s="412"/>
      <c r="XN37" s="417"/>
      <c r="XO37" s="412"/>
      <c r="XP37" s="417"/>
      <c r="XQ37" s="412"/>
      <c r="XR37" s="417"/>
      <c r="XS37" s="412"/>
      <c r="XT37" s="417"/>
      <c r="XU37" s="412"/>
      <c r="XV37" s="417"/>
      <c r="XW37" s="412"/>
      <c r="XX37" s="417"/>
      <c r="XY37" s="412"/>
      <c r="XZ37" s="417"/>
      <c r="YA37" s="412"/>
      <c r="YB37" s="417"/>
      <c r="YC37" s="412"/>
      <c r="YD37" s="417"/>
      <c r="YE37" s="412"/>
      <c r="YF37" s="417"/>
      <c r="YG37" s="412"/>
      <c r="YH37" s="417"/>
      <c r="YI37" s="412"/>
      <c r="YJ37" s="417"/>
      <c r="YK37" s="412"/>
      <c r="YL37" s="417"/>
      <c r="YM37" s="412"/>
      <c r="YN37" s="417"/>
      <c r="YO37" s="412"/>
      <c r="YP37" s="417"/>
      <c r="YQ37" s="412"/>
      <c r="YR37" s="417"/>
      <c r="YS37" s="412"/>
      <c r="YT37" s="417"/>
      <c r="YU37" s="412"/>
      <c r="YV37" s="417"/>
      <c r="YW37" s="412"/>
      <c r="YX37" s="417"/>
      <c r="YY37" s="412"/>
      <c r="YZ37" s="417"/>
      <c r="ZA37" s="412"/>
      <c r="ZB37" s="417"/>
      <c r="ZC37" s="412"/>
      <c r="ZD37" s="417"/>
      <c r="ZE37" s="412"/>
      <c r="ZF37" s="417"/>
      <c r="ZG37" s="412"/>
      <c r="ZH37" s="417"/>
      <c r="ZI37" s="412"/>
      <c r="ZJ37" s="417"/>
      <c r="ZK37" s="412"/>
      <c r="ZL37" s="417"/>
      <c r="ZM37" s="412"/>
      <c r="ZN37" s="417"/>
      <c r="ZO37" s="412"/>
      <c r="ZP37" s="417"/>
      <c r="ZQ37" s="412"/>
      <c r="ZR37" s="417"/>
      <c r="ZS37" s="412"/>
      <c r="ZT37" s="417"/>
      <c r="ZU37" s="412"/>
      <c r="ZV37" s="417"/>
      <c r="ZW37" s="412"/>
      <c r="ZX37" s="417"/>
      <c r="ZY37" s="412"/>
      <c r="ZZ37" s="417"/>
      <c r="AAA37" s="412"/>
      <c r="AAB37" s="417"/>
      <c r="AAC37" s="412"/>
      <c r="AAD37" s="417"/>
      <c r="AAE37" s="412"/>
      <c r="AAF37" s="417"/>
      <c r="AAG37" s="412"/>
      <c r="AAH37" s="417"/>
      <c r="AAI37" s="412"/>
      <c r="AAJ37" s="417"/>
      <c r="AAK37" s="412"/>
      <c r="AAL37" s="417"/>
      <c r="AAM37" s="412"/>
      <c r="AAN37" s="417"/>
      <c r="AAO37" s="412"/>
      <c r="AAP37" s="417"/>
      <c r="AAQ37" s="412"/>
      <c r="AAR37" s="417"/>
      <c r="AAS37" s="412"/>
      <c r="AAT37" s="417"/>
      <c r="AAU37" s="412"/>
      <c r="AAV37" s="417"/>
      <c r="AAW37" s="412"/>
      <c r="AAX37" s="417"/>
      <c r="AAY37" s="412"/>
      <c r="AAZ37" s="417"/>
      <c r="ABA37" s="412"/>
      <c r="ABB37" s="417"/>
      <c r="ABC37" s="412"/>
      <c r="ABD37" s="417"/>
      <c r="ABE37" s="412"/>
      <c r="ABF37" s="417"/>
      <c r="ABG37" s="412"/>
      <c r="ABH37" s="417"/>
      <c r="ABI37" s="412"/>
      <c r="ABJ37" s="417"/>
      <c r="ABK37" s="412"/>
      <c r="ABL37" s="417"/>
      <c r="ABM37" s="412"/>
      <c r="ABN37" s="417"/>
      <c r="ABO37" s="412"/>
      <c r="ABP37" s="417"/>
      <c r="ABQ37" s="412"/>
      <c r="ABR37" s="417"/>
      <c r="ABS37" s="412"/>
      <c r="ABT37" s="417"/>
      <c r="ABU37" s="412"/>
      <c r="ABV37" s="417"/>
      <c r="ABW37" s="412"/>
      <c r="ABX37" s="417"/>
      <c r="ABY37" s="412"/>
      <c r="ABZ37" s="417"/>
      <c r="ACA37" s="412"/>
      <c r="ACB37" s="417"/>
      <c r="ACC37" s="412"/>
      <c r="ACD37" s="417"/>
      <c r="ACE37" s="412"/>
      <c r="ACF37" s="417"/>
      <c r="ACG37" s="412"/>
      <c r="ACH37" s="417"/>
      <c r="ACI37" s="412"/>
      <c r="ACJ37" s="417"/>
      <c r="ACK37" s="412"/>
      <c r="ACL37" s="417"/>
      <c r="ACM37" s="412"/>
      <c r="ACN37" s="417"/>
      <c r="ACO37" s="412"/>
      <c r="ACP37" s="417"/>
      <c r="ACQ37" s="412"/>
      <c r="ACR37" s="417"/>
      <c r="ACS37" s="412"/>
      <c r="ACT37" s="417"/>
      <c r="ACU37" s="412"/>
      <c r="ACV37" s="417"/>
      <c r="ACW37" s="412"/>
      <c r="ACX37" s="417"/>
      <c r="ACY37" s="412"/>
      <c r="ACZ37" s="417"/>
      <c r="ADA37" s="412"/>
      <c r="ADB37" s="417"/>
      <c r="ADC37" s="412"/>
      <c r="ADD37" s="417"/>
      <c r="ADE37" s="412"/>
      <c r="ADF37" s="417"/>
      <c r="ADG37" s="412"/>
      <c r="ADH37" s="417"/>
      <c r="ADI37" s="412"/>
      <c r="ADJ37" s="417"/>
      <c r="ADK37" s="412"/>
      <c r="ADL37" s="417"/>
      <c r="ADM37" s="412"/>
      <c r="ADN37" s="417"/>
      <c r="ADO37" s="412"/>
      <c r="ADP37" s="417"/>
      <c r="ADQ37" s="412"/>
      <c r="ADR37" s="417"/>
      <c r="ADS37" s="412"/>
      <c r="ADT37" s="417"/>
      <c r="ADU37" s="412"/>
      <c r="ADV37" s="417"/>
      <c r="ADW37" s="412"/>
      <c r="ADX37" s="417"/>
      <c r="ADY37" s="412"/>
      <c r="ADZ37" s="417"/>
      <c r="AEA37" s="412"/>
      <c r="AEB37" s="417"/>
      <c r="AEC37" s="412"/>
      <c r="AED37" s="417"/>
      <c r="AEE37" s="412"/>
      <c r="AEF37" s="417"/>
      <c r="AEG37" s="412"/>
      <c r="AEH37" s="417"/>
      <c r="AEI37" s="412"/>
      <c r="AEJ37" s="417"/>
      <c r="AEK37" s="412"/>
      <c r="AEL37" s="417"/>
      <c r="AEM37" s="412"/>
      <c r="AEN37" s="417"/>
      <c r="AEO37" s="412"/>
      <c r="AEP37" s="417"/>
      <c r="AEQ37" s="412"/>
      <c r="AER37" s="417"/>
      <c r="AES37" s="412"/>
      <c r="AET37" s="417"/>
      <c r="AEU37" s="412"/>
      <c r="AEV37" s="417"/>
      <c r="AEW37" s="412"/>
      <c r="AEX37" s="417"/>
      <c r="AEY37" s="412"/>
      <c r="AEZ37" s="417"/>
      <c r="AFA37" s="412"/>
      <c r="AFB37" s="417"/>
      <c r="AFC37" s="412"/>
      <c r="AFD37" s="417"/>
      <c r="AFE37" s="412"/>
      <c r="AFF37" s="417"/>
      <c r="AFG37" s="412"/>
      <c r="AFH37" s="417"/>
      <c r="AFI37" s="412"/>
      <c r="AFJ37" s="417"/>
      <c r="AFK37" s="412"/>
      <c r="AFL37" s="417"/>
      <c r="AFM37" s="412"/>
      <c r="AFN37" s="417"/>
      <c r="AFO37" s="412"/>
      <c r="AFP37" s="417"/>
      <c r="AFQ37" s="412"/>
      <c r="AFR37" s="417"/>
      <c r="AFS37" s="412"/>
      <c r="AFT37" s="417"/>
      <c r="AFU37" s="412"/>
      <c r="AFV37" s="417"/>
      <c r="AFW37" s="412"/>
      <c r="AFX37" s="417"/>
      <c r="AFY37" s="412"/>
      <c r="AFZ37" s="417"/>
      <c r="AGA37" s="412"/>
      <c r="AGB37" s="417"/>
      <c r="AGC37" s="412"/>
      <c r="AGD37" s="417"/>
      <c r="AGE37" s="412"/>
      <c r="AGF37" s="417"/>
      <c r="AGG37" s="412"/>
      <c r="AGH37" s="417"/>
      <c r="AGI37" s="412"/>
      <c r="AGJ37" s="417"/>
      <c r="AGK37" s="412"/>
      <c r="AGL37" s="417"/>
      <c r="AGM37" s="412"/>
      <c r="AGN37" s="417"/>
      <c r="AGO37" s="412"/>
      <c r="AGP37" s="417"/>
      <c r="AGQ37" s="412"/>
      <c r="AGR37" s="417"/>
      <c r="AGS37" s="412"/>
      <c r="AGT37" s="417"/>
      <c r="AGU37" s="412"/>
      <c r="AGV37" s="417"/>
      <c r="AGW37" s="412"/>
      <c r="AGX37" s="417"/>
      <c r="AGY37" s="412"/>
      <c r="AGZ37" s="417"/>
      <c r="AHA37" s="412"/>
      <c r="AHB37" s="417"/>
      <c r="AHC37" s="412"/>
      <c r="AHD37" s="417"/>
      <c r="AHE37" s="412"/>
      <c r="AHF37" s="417"/>
      <c r="AHG37" s="412"/>
      <c r="AHH37" s="417"/>
      <c r="AHI37" s="412"/>
      <c r="AHJ37" s="417"/>
      <c r="AHK37" s="412"/>
      <c r="AHL37" s="417"/>
      <c r="AHM37" s="412"/>
      <c r="AHN37" s="417"/>
      <c r="AHO37" s="412"/>
      <c r="AHP37" s="417"/>
      <c r="AHQ37" s="412"/>
      <c r="AHR37" s="417"/>
      <c r="AHS37" s="412"/>
      <c r="AHT37" s="417"/>
      <c r="AHU37" s="412"/>
      <c r="AHV37" s="417"/>
      <c r="AHW37" s="412"/>
      <c r="AHX37" s="417"/>
      <c r="AHY37" s="412"/>
      <c r="AHZ37" s="417"/>
      <c r="AIA37" s="412"/>
    </row>
    <row r="38" spans="1:911" ht="12.75" x14ac:dyDescent="0.2">
      <c r="A38" s="398"/>
      <c r="B38" s="396"/>
      <c r="C38" s="398"/>
      <c r="D38" s="396"/>
      <c r="E38" s="398"/>
      <c r="F38" s="396"/>
      <c r="G38" s="398"/>
      <c r="H38" s="396"/>
      <c r="I38" s="398"/>
      <c r="J38" s="396"/>
      <c r="K38" s="398"/>
      <c r="L38" s="396"/>
      <c r="M38" s="398"/>
      <c r="N38" s="396"/>
      <c r="O38" s="398"/>
      <c r="P38" s="396"/>
      <c r="Q38" s="398"/>
      <c r="R38" s="396"/>
      <c r="S38" s="398"/>
      <c r="T38" s="396"/>
      <c r="U38" s="398"/>
      <c r="V38" s="396"/>
      <c r="W38" s="398"/>
      <c r="X38" s="396"/>
      <c r="Y38" s="398"/>
      <c r="Z38" s="396"/>
      <c r="AA38" s="398"/>
      <c r="AB38" s="396"/>
      <c r="AC38" s="398"/>
      <c r="AD38" s="396"/>
      <c r="AE38" s="398"/>
      <c r="AF38" s="396"/>
      <c r="AG38" s="398"/>
      <c r="AH38" s="396"/>
      <c r="AI38" s="398"/>
      <c r="AJ38" s="396"/>
      <c r="AK38" s="398"/>
      <c r="AL38" s="396"/>
      <c r="AM38" s="398"/>
      <c r="AN38" s="396"/>
      <c r="AO38" s="398"/>
      <c r="AP38" s="396"/>
      <c r="AQ38" s="398"/>
      <c r="AR38" s="396"/>
      <c r="AS38" s="398"/>
      <c r="AT38" s="396"/>
      <c r="AU38" s="398"/>
      <c r="AV38" s="396"/>
      <c r="AW38" s="398"/>
      <c r="AX38" s="396"/>
      <c r="AY38" s="398"/>
      <c r="AZ38" s="396"/>
      <c r="BA38" s="398"/>
      <c r="BB38" s="396"/>
      <c r="BC38" s="398"/>
      <c r="BD38" s="396"/>
      <c r="BE38" s="398"/>
      <c r="BF38" s="396"/>
      <c r="BG38" s="398"/>
      <c r="BH38" s="396"/>
      <c r="BI38" s="398"/>
      <c r="BJ38" s="396"/>
      <c r="BK38" s="398"/>
      <c r="BL38" s="396"/>
      <c r="BM38" s="398"/>
      <c r="BN38" s="396"/>
      <c r="BO38" s="398"/>
      <c r="BP38" s="396"/>
      <c r="BQ38" s="398"/>
      <c r="BR38" s="396"/>
      <c r="BS38" s="398"/>
      <c r="BT38" s="396"/>
      <c r="BU38" s="398"/>
      <c r="BV38" s="396"/>
      <c r="BW38" s="398"/>
      <c r="BX38" s="396"/>
      <c r="BY38" s="398"/>
      <c r="BZ38" s="396"/>
      <c r="CA38" s="398"/>
      <c r="CB38" s="396"/>
      <c r="CC38" s="398"/>
      <c r="CD38" s="396"/>
      <c r="CE38" s="398"/>
      <c r="CF38" s="396"/>
      <c r="CG38" s="398"/>
      <c r="CH38" s="396"/>
      <c r="CI38" s="398"/>
      <c r="CJ38" s="396"/>
      <c r="CK38" s="398"/>
      <c r="CL38" s="396"/>
      <c r="CM38" s="398"/>
      <c r="CN38" s="396"/>
      <c r="CO38" s="398"/>
      <c r="CP38" s="396"/>
      <c r="CQ38" s="398"/>
      <c r="CR38" s="396"/>
      <c r="CS38" s="398"/>
      <c r="CT38" s="396"/>
      <c r="CU38" s="398"/>
      <c r="CV38" s="396"/>
      <c r="CW38" s="398"/>
      <c r="CX38" s="396"/>
      <c r="CY38" s="398"/>
      <c r="CZ38" s="396"/>
      <c r="DA38" s="398"/>
      <c r="DB38" s="396"/>
      <c r="DC38" s="398"/>
      <c r="DD38" s="396"/>
      <c r="DE38" s="398"/>
      <c r="DF38" s="396"/>
      <c r="DG38" s="398"/>
      <c r="DH38" s="396"/>
      <c r="DI38" s="398"/>
      <c r="DJ38" s="396"/>
      <c r="DK38" s="398"/>
      <c r="DL38" s="396"/>
      <c r="DM38" s="398"/>
      <c r="DN38" s="396"/>
      <c r="DO38" s="398"/>
      <c r="DP38" s="396"/>
      <c r="DQ38" s="398"/>
      <c r="DR38" s="396"/>
      <c r="DS38" s="398"/>
      <c r="DT38" s="396"/>
      <c r="DU38" s="398"/>
      <c r="DV38" s="396"/>
      <c r="DW38" s="398"/>
      <c r="DX38" s="396"/>
      <c r="DY38" s="398"/>
      <c r="DZ38" s="396"/>
      <c r="EA38" s="398"/>
      <c r="EB38" s="396"/>
      <c r="EC38" s="398"/>
      <c r="ED38" s="396"/>
      <c r="EE38" s="398"/>
      <c r="EF38" s="396"/>
      <c r="EG38" s="398"/>
      <c r="EH38" s="396"/>
      <c r="EI38" s="398"/>
      <c r="EJ38" s="396"/>
      <c r="EK38" s="398"/>
      <c r="EL38" s="396"/>
      <c r="EM38" s="398"/>
      <c r="EN38" s="396"/>
      <c r="EO38" s="398"/>
      <c r="EP38" s="396"/>
      <c r="EQ38" s="398"/>
      <c r="ER38" s="396"/>
      <c r="ES38" s="398"/>
      <c r="ET38" s="396"/>
      <c r="EU38" s="398"/>
      <c r="EV38" s="396"/>
      <c r="EW38" s="398"/>
      <c r="EX38" s="396"/>
      <c r="EY38" s="398"/>
      <c r="EZ38" s="396"/>
      <c r="FA38" s="398"/>
      <c r="FB38" s="396"/>
      <c r="FC38" s="398"/>
      <c r="FD38" s="396"/>
      <c r="FE38" s="398"/>
      <c r="FF38" s="396"/>
      <c r="FG38" s="398"/>
      <c r="FH38" s="396"/>
      <c r="FI38" s="398"/>
      <c r="FJ38" s="396"/>
      <c r="FK38" s="398"/>
      <c r="FL38" s="396"/>
      <c r="FM38" s="398"/>
      <c r="FN38" s="396"/>
      <c r="FO38" s="398"/>
      <c r="FP38" s="396"/>
      <c r="FQ38" s="398"/>
      <c r="FR38" s="396"/>
      <c r="FS38" s="398"/>
      <c r="FT38" s="396"/>
      <c r="FU38" s="398"/>
      <c r="FV38" s="396"/>
      <c r="FW38" s="398"/>
      <c r="FX38" s="396"/>
      <c r="FY38" s="398"/>
      <c r="FZ38" s="396"/>
      <c r="GA38" s="398"/>
      <c r="GB38" s="396"/>
      <c r="GC38" s="398"/>
      <c r="GD38" s="396"/>
      <c r="GE38" s="398"/>
      <c r="GF38" s="396"/>
      <c r="GG38" s="398"/>
      <c r="GH38" s="396"/>
      <c r="GI38" s="398"/>
      <c r="GJ38" s="396"/>
      <c r="GK38" s="398"/>
      <c r="GL38" s="396"/>
      <c r="GM38" s="398"/>
      <c r="GN38" s="396"/>
      <c r="GO38" s="398"/>
      <c r="GP38" s="396"/>
      <c r="GQ38" s="398"/>
      <c r="GR38" s="396"/>
      <c r="GS38" s="398"/>
      <c r="GT38" s="396"/>
      <c r="GU38" s="398"/>
      <c r="GV38" s="396"/>
      <c r="GW38" s="398"/>
      <c r="GX38" s="396"/>
      <c r="GY38" s="398"/>
      <c r="GZ38" s="396"/>
      <c r="HA38" s="398"/>
      <c r="HB38" s="396"/>
      <c r="HC38" s="398"/>
      <c r="HD38" s="396"/>
      <c r="HE38" s="398"/>
      <c r="HF38" s="396"/>
      <c r="HG38" s="398"/>
      <c r="HH38" s="396"/>
      <c r="HI38" s="398"/>
      <c r="HJ38" s="396"/>
      <c r="HK38" s="398"/>
      <c r="HL38" s="396"/>
      <c r="HM38" s="398"/>
      <c r="HN38" s="396"/>
      <c r="HO38" s="398"/>
      <c r="HP38" s="396"/>
      <c r="HQ38" s="398"/>
      <c r="HR38" s="396"/>
      <c r="HS38" s="398"/>
      <c r="HT38" s="396"/>
      <c r="HU38" s="398"/>
      <c r="HV38" s="396"/>
      <c r="HW38" s="398"/>
      <c r="HX38" s="396"/>
      <c r="HY38" s="398"/>
      <c r="HZ38" s="396"/>
      <c r="IA38" s="398"/>
      <c r="IB38" s="396"/>
      <c r="IC38" s="398"/>
      <c r="ID38" s="396"/>
      <c r="IE38" s="398"/>
      <c r="IF38" s="396"/>
      <c r="IG38" s="398"/>
      <c r="IH38" s="396"/>
      <c r="II38" s="398"/>
      <c r="IJ38" s="396"/>
      <c r="IK38" s="398"/>
      <c r="IL38" s="396"/>
      <c r="IM38" s="398"/>
      <c r="IN38" s="396"/>
      <c r="IO38" s="398"/>
      <c r="IP38" s="396"/>
      <c r="IQ38" s="398"/>
      <c r="IR38" s="396"/>
      <c r="IS38" s="398"/>
      <c r="IT38" s="396"/>
      <c r="IU38" s="398"/>
      <c r="IV38" s="396"/>
      <c r="IW38" s="398"/>
      <c r="IX38" s="396"/>
      <c r="IY38" s="398"/>
      <c r="IZ38" s="396"/>
      <c r="JA38" s="398"/>
      <c r="JB38" s="396"/>
      <c r="JC38" s="398"/>
      <c r="JD38" s="396"/>
      <c r="JE38" s="398"/>
      <c r="JF38" s="396"/>
      <c r="JG38" s="398"/>
      <c r="JH38" s="396"/>
      <c r="JI38" s="398"/>
      <c r="JJ38" s="396"/>
      <c r="JK38" s="398"/>
      <c r="JL38" s="396"/>
      <c r="JM38" s="398"/>
      <c r="JN38" s="396"/>
      <c r="JO38" s="398"/>
      <c r="JP38" s="396"/>
      <c r="JQ38" s="398"/>
      <c r="JR38" s="396"/>
      <c r="JS38" s="398"/>
      <c r="JT38" s="396"/>
      <c r="JU38" s="398"/>
      <c r="JV38" s="396"/>
      <c r="JW38" s="398"/>
      <c r="JX38" s="396"/>
      <c r="JY38" s="398"/>
      <c r="JZ38" s="396"/>
      <c r="KA38" s="398"/>
      <c r="KB38" s="396"/>
      <c r="KC38" s="398"/>
      <c r="KD38" s="396"/>
      <c r="KE38" s="398"/>
      <c r="KF38" s="396"/>
      <c r="KG38" s="398"/>
      <c r="KH38" s="396"/>
      <c r="KI38" s="398"/>
      <c r="KJ38" s="396"/>
      <c r="KK38" s="398"/>
      <c r="KL38" s="396"/>
      <c r="KM38" s="398"/>
      <c r="KN38" s="396"/>
      <c r="KO38" s="398"/>
      <c r="KP38" s="396"/>
      <c r="KQ38" s="398"/>
      <c r="KR38" s="396"/>
      <c r="KS38" s="398"/>
      <c r="KT38" s="396"/>
      <c r="KU38" s="398"/>
      <c r="KV38" s="396"/>
      <c r="KW38" s="398"/>
      <c r="KX38" s="396"/>
      <c r="KY38" s="398"/>
      <c r="KZ38" s="396"/>
      <c r="LA38" s="398"/>
      <c r="LB38" s="396"/>
      <c r="LC38" s="398"/>
      <c r="LD38" s="396"/>
      <c r="LE38" s="398"/>
      <c r="LF38" s="396"/>
      <c r="LG38" s="398"/>
      <c r="LH38" s="396"/>
      <c r="LI38" s="398"/>
      <c r="LJ38" s="396"/>
      <c r="LK38" s="398"/>
      <c r="LL38" s="396"/>
      <c r="LM38" s="398"/>
      <c r="LN38" s="396"/>
      <c r="LO38" s="398"/>
      <c r="LP38" s="396"/>
      <c r="LQ38" s="398"/>
      <c r="LR38" s="396"/>
      <c r="LS38" s="398"/>
      <c r="LT38" s="396"/>
      <c r="LU38" s="398"/>
      <c r="LV38" s="396"/>
      <c r="LW38" s="398"/>
      <c r="LX38" s="396"/>
      <c r="LY38" s="398"/>
      <c r="LZ38" s="396"/>
      <c r="MA38" s="398"/>
      <c r="MB38" s="396"/>
      <c r="MC38" s="398"/>
      <c r="MD38" s="396"/>
      <c r="ME38" s="398"/>
      <c r="MF38" s="396"/>
      <c r="MG38" s="398"/>
      <c r="MH38" s="396"/>
      <c r="MI38" s="398"/>
      <c r="MJ38" s="396"/>
      <c r="MK38" s="398"/>
      <c r="ML38" s="396"/>
      <c r="MM38" s="398"/>
      <c r="MN38" s="396"/>
      <c r="MO38" s="398"/>
      <c r="MP38" s="396"/>
      <c r="MQ38" s="398"/>
      <c r="MR38" s="396"/>
      <c r="MS38" s="398"/>
      <c r="MT38" s="396"/>
      <c r="MU38" s="398"/>
      <c r="MV38" s="396"/>
      <c r="MW38" s="398"/>
      <c r="MX38" s="396"/>
      <c r="MY38" s="398"/>
      <c r="MZ38" s="396"/>
      <c r="NA38" s="398"/>
      <c r="NB38" s="396"/>
      <c r="NC38" s="398"/>
      <c r="ND38" s="396"/>
      <c r="NE38" s="398"/>
      <c r="NF38" s="396"/>
      <c r="NG38" s="398"/>
      <c r="NH38" s="396"/>
      <c r="NI38" s="398"/>
      <c r="NJ38" s="396"/>
      <c r="NK38" s="398"/>
      <c r="NL38" s="396"/>
      <c r="NM38" s="398"/>
      <c r="NN38" s="396"/>
      <c r="NO38" s="398"/>
      <c r="NP38" s="396"/>
      <c r="NQ38" s="398"/>
      <c r="NR38" s="396"/>
      <c r="NS38" s="398"/>
      <c r="NT38" s="396"/>
      <c r="NU38" s="398"/>
      <c r="NV38" s="396"/>
      <c r="NW38" s="398"/>
      <c r="NX38" s="396"/>
      <c r="NY38" s="398"/>
      <c r="NZ38" s="396"/>
      <c r="OA38" s="398"/>
      <c r="OB38" s="396"/>
      <c r="OC38" s="398"/>
      <c r="OD38" s="396"/>
      <c r="OE38" s="398"/>
      <c r="OF38" s="396"/>
      <c r="OG38" s="398"/>
      <c r="OH38" s="396"/>
      <c r="OI38" s="398"/>
      <c r="OJ38" s="396"/>
      <c r="OK38" s="398"/>
      <c r="OL38" s="396"/>
      <c r="OM38" s="398"/>
      <c r="ON38" s="396"/>
      <c r="OO38" s="398"/>
      <c r="OP38" s="396"/>
      <c r="OQ38" s="398"/>
      <c r="OR38" s="396"/>
      <c r="OS38" s="398"/>
      <c r="OT38" s="396"/>
      <c r="OU38" s="398"/>
      <c r="OV38" s="396"/>
      <c r="OW38" s="398"/>
      <c r="OX38" s="396"/>
      <c r="OY38" s="398"/>
      <c r="OZ38" s="396"/>
      <c r="PA38" s="398"/>
      <c r="PB38" s="396"/>
      <c r="PC38" s="398"/>
      <c r="PD38" s="396"/>
      <c r="PE38" s="398"/>
      <c r="PF38" s="396"/>
      <c r="PG38" s="398"/>
      <c r="PH38" s="396"/>
      <c r="PI38" s="398"/>
      <c r="PJ38" s="396"/>
      <c r="PK38" s="398"/>
      <c r="PL38" s="396"/>
      <c r="PM38" s="398"/>
      <c r="PN38" s="396"/>
      <c r="PO38" s="398"/>
      <c r="PP38" s="396"/>
      <c r="PQ38" s="398"/>
      <c r="PR38" s="396"/>
      <c r="PS38" s="398"/>
      <c r="PT38" s="396"/>
      <c r="PU38" s="398"/>
      <c r="PV38" s="396"/>
      <c r="PW38" s="398"/>
      <c r="PX38" s="396"/>
      <c r="PY38" s="398"/>
      <c r="PZ38" s="396"/>
      <c r="QA38" s="398"/>
      <c r="QB38" s="396"/>
      <c r="QC38" s="398"/>
      <c r="QD38" s="396"/>
      <c r="QE38" s="398"/>
      <c r="QF38" s="396"/>
      <c r="QG38" s="398"/>
      <c r="QH38" s="396"/>
      <c r="QI38" s="398"/>
      <c r="QJ38" s="396"/>
      <c r="QK38" s="398"/>
      <c r="QL38" s="396"/>
      <c r="QM38" s="398"/>
      <c r="QN38" s="396"/>
      <c r="QO38" s="398"/>
      <c r="QP38" s="396"/>
      <c r="QQ38" s="398"/>
      <c r="QR38" s="396"/>
      <c r="QS38" s="398"/>
      <c r="QT38" s="396"/>
      <c r="QU38" s="398"/>
      <c r="QV38" s="396"/>
      <c r="QW38" s="398"/>
      <c r="QX38" s="396"/>
      <c r="QY38" s="398"/>
      <c r="QZ38" s="396"/>
      <c r="RA38" s="398"/>
      <c r="RB38" s="396"/>
      <c r="RC38" s="398"/>
      <c r="RD38" s="396"/>
      <c r="RE38" s="398"/>
      <c r="RF38" s="396"/>
      <c r="RG38" s="398"/>
      <c r="RH38" s="396"/>
      <c r="RI38" s="398"/>
      <c r="RJ38" s="396"/>
      <c r="RK38" s="398"/>
      <c r="RL38" s="396"/>
      <c r="RM38" s="398"/>
      <c r="RN38" s="396"/>
      <c r="RO38" s="398"/>
      <c r="RP38" s="396"/>
      <c r="RQ38" s="398"/>
      <c r="RR38" s="396"/>
      <c r="RS38" s="398"/>
      <c r="RT38" s="396"/>
      <c r="RU38" s="398"/>
      <c r="RV38" s="396"/>
      <c r="RW38" s="398"/>
      <c r="RX38" s="396"/>
      <c r="RY38" s="398"/>
      <c r="RZ38" s="396"/>
      <c r="SA38" s="398"/>
      <c r="SB38" s="396"/>
      <c r="SC38" s="398"/>
      <c r="SD38" s="396"/>
      <c r="SE38" s="398"/>
      <c r="SF38" s="396"/>
      <c r="SG38" s="398"/>
      <c r="SH38" s="396"/>
      <c r="SI38" s="398"/>
      <c r="SJ38" s="396"/>
      <c r="SK38" s="398"/>
      <c r="SL38" s="396"/>
      <c r="SM38" s="398"/>
      <c r="SN38" s="396"/>
      <c r="SO38" s="398"/>
      <c r="SP38" s="396"/>
      <c r="SQ38" s="398"/>
      <c r="SR38" s="396"/>
      <c r="SS38" s="398"/>
      <c r="ST38" s="396"/>
      <c r="SU38" s="398"/>
      <c r="SV38" s="396"/>
      <c r="SW38" s="398"/>
      <c r="SX38" s="396"/>
      <c r="SY38" s="398"/>
      <c r="SZ38" s="396"/>
      <c r="TA38" s="398"/>
      <c r="TB38" s="396"/>
      <c r="TC38" s="398"/>
      <c r="TD38" s="396"/>
      <c r="TE38" s="398"/>
      <c r="TF38" s="396"/>
      <c r="TG38" s="398"/>
      <c r="TH38" s="396"/>
      <c r="TI38" s="398"/>
      <c r="TJ38" s="396"/>
      <c r="TK38" s="398"/>
      <c r="TL38" s="396"/>
      <c r="TM38" s="398"/>
      <c r="TN38" s="396"/>
      <c r="TO38" s="398"/>
      <c r="TP38" s="396"/>
      <c r="TQ38" s="398"/>
      <c r="TR38" s="396"/>
      <c r="TS38" s="398"/>
      <c r="TT38" s="396"/>
      <c r="TU38" s="398"/>
      <c r="TV38" s="396"/>
      <c r="TW38" s="398"/>
      <c r="TX38" s="396"/>
      <c r="TY38" s="398"/>
      <c r="TZ38" s="396"/>
      <c r="UA38" s="398"/>
      <c r="UB38" s="396"/>
      <c r="UC38" s="398"/>
      <c r="UD38" s="396"/>
      <c r="UE38" s="398"/>
      <c r="UF38" s="396"/>
      <c r="UG38" s="398"/>
      <c r="UH38" s="396"/>
      <c r="UI38" s="398"/>
      <c r="UJ38" s="396"/>
      <c r="UK38" s="398"/>
      <c r="UL38" s="396"/>
      <c r="UM38" s="398"/>
      <c r="UN38" s="396"/>
      <c r="UO38" s="398"/>
      <c r="UP38" s="396"/>
      <c r="UQ38" s="398"/>
      <c r="UR38" s="396"/>
      <c r="US38" s="398"/>
      <c r="UT38" s="396"/>
      <c r="UU38" s="398"/>
      <c r="UV38" s="396"/>
      <c r="UW38" s="398"/>
      <c r="UX38" s="396"/>
      <c r="UY38" s="398"/>
      <c r="UZ38" s="396"/>
      <c r="VA38" s="398"/>
      <c r="VB38" s="396"/>
      <c r="VC38" s="398"/>
      <c r="VD38" s="396"/>
      <c r="VE38" s="398"/>
      <c r="VF38" s="396"/>
      <c r="VG38" s="398"/>
      <c r="VH38" s="396"/>
      <c r="VI38" s="398"/>
      <c r="VJ38" s="396"/>
      <c r="VK38" s="398"/>
      <c r="VL38" s="396"/>
      <c r="VM38" s="398"/>
      <c r="VN38" s="396"/>
      <c r="VO38" s="398"/>
      <c r="VP38" s="396"/>
      <c r="VQ38" s="398"/>
      <c r="VR38" s="396"/>
      <c r="VS38" s="398"/>
      <c r="VT38" s="396"/>
      <c r="VU38" s="398"/>
      <c r="VV38" s="396"/>
      <c r="VW38" s="398"/>
      <c r="VX38" s="396"/>
      <c r="VY38" s="398"/>
      <c r="VZ38" s="396"/>
      <c r="WA38" s="398"/>
      <c r="WB38" s="396"/>
      <c r="WC38" s="398"/>
      <c r="WD38" s="396"/>
      <c r="WE38" s="398"/>
      <c r="WF38" s="396"/>
      <c r="WG38" s="398"/>
      <c r="WH38" s="396"/>
      <c r="WI38" s="398"/>
      <c r="WJ38" s="396"/>
      <c r="WK38" s="398"/>
      <c r="WL38" s="396"/>
      <c r="WM38" s="398"/>
      <c r="WN38" s="396"/>
      <c r="WO38" s="398"/>
      <c r="WP38" s="396"/>
      <c r="WQ38" s="398"/>
      <c r="WR38" s="396"/>
      <c r="WS38" s="398"/>
      <c r="WT38" s="396"/>
      <c r="WU38" s="398"/>
      <c r="WV38" s="396"/>
      <c r="WW38" s="398"/>
      <c r="WX38" s="396"/>
      <c r="WY38" s="398"/>
      <c r="WZ38" s="396"/>
      <c r="XA38" s="398"/>
      <c r="XB38" s="396"/>
      <c r="XC38" s="398"/>
      <c r="XD38" s="396"/>
      <c r="XE38" s="398"/>
      <c r="XF38" s="396"/>
      <c r="XG38" s="398"/>
      <c r="XH38" s="396"/>
      <c r="XI38" s="398"/>
      <c r="XJ38" s="396"/>
      <c r="XK38" s="398"/>
      <c r="XL38" s="396"/>
      <c r="XM38" s="398"/>
      <c r="XN38" s="396"/>
      <c r="XO38" s="398"/>
      <c r="XP38" s="396"/>
      <c r="XQ38" s="398"/>
      <c r="XR38" s="396"/>
      <c r="XS38" s="398"/>
      <c r="XT38" s="396"/>
      <c r="XU38" s="398"/>
      <c r="XV38" s="396"/>
      <c r="XW38" s="398"/>
      <c r="XX38" s="396"/>
      <c r="XY38" s="398"/>
      <c r="XZ38" s="396"/>
      <c r="YA38" s="398"/>
      <c r="YB38" s="396"/>
      <c r="YC38" s="398"/>
      <c r="YD38" s="396"/>
      <c r="YE38" s="398"/>
      <c r="YF38" s="396"/>
      <c r="YG38" s="398"/>
      <c r="YH38" s="396"/>
      <c r="YI38" s="398"/>
      <c r="YJ38" s="396"/>
      <c r="YK38" s="398"/>
      <c r="YL38" s="396"/>
      <c r="YM38" s="398"/>
      <c r="YN38" s="396"/>
      <c r="YO38" s="398"/>
      <c r="YP38" s="396"/>
      <c r="YQ38" s="398"/>
      <c r="YR38" s="396"/>
      <c r="YS38" s="398"/>
      <c r="YT38" s="396"/>
      <c r="YU38" s="398"/>
      <c r="YV38" s="396"/>
      <c r="YW38" s="398"/>
      <c r="YX38" s="396"/>
      <c r="YY38" s="398"/>
      <c r="YZ38" s="396"/>
      <c r="ZA38" s="398"/>
      <c r="ZB38" s="396"/>
      <c r="ZC38" s="398"/>
      <c r="ZD38" s="396"/>
      <c r="ZE38" s="398"/>
      <c r="ZF38" s="396"/>
      <c r="ZG38" s="398"/>
      <c r="ZH38" s="396"/>
      <c r="ZI38" s="398"/>
      <c r="ZJ38" s="396"/>
      <c r="ZK38" s="398"/>
      <c r="ZL38" s="396"/>
      <c r="ZM38" s="398"/>
      <c r="ZN38" s="396"/>
      <c r="ZO38" s="398"/>
      <c r="ZP38" s="396"/>
      <c r="ZQ38" s="398"/>
      <c r="ZR38" s="396"/>
      <c r="ZS38" s="398"/>
      <c r="ZT38" s="396"/>
      <c r="ZU38" s="398"/>
      <c r="ZV38" s="396"/>
      <c r="ZW38" s="398"/>
      <c r="ZX38" s="396"/>
      <c r="ZY38" s="398"/>
      <c r="ZZ38" s="396"/>
      <c r="AAA38" s="398"/>
      <c r="AAB38" s="396"/>
      <c r="AAC38" s="398"/>
      <c r="AAD38" s="396"/>
      <c r="AAE38" s="398"/>
      <c r="AAF38" s="396"/>
      <c r="AAG38" s="398"/>
      <c r="AAH38" s="396"/>
      <c r="AAI38" s="398"/>
      <c r="AAJ38" s="396"/>
      <c r="AAK38" s="398"/>
      <c r="AAL38" s="396"/>
      <c r="AAM38" s="398"/>
      <c r="AAN38" s="396"/>
      <c r="AAO38" s="398"/>
      <c r="AAP38" s="396"/>
      <c r="AAQ38" s="398"/>
      <c r="AAR38" s="396"/>
      <c r="AAS38" s="398"/>
      <c r="AAT38" s="396"/>
      <c r="AAU38" s="398"/>
      <c r="AAV38" s="396"/>
      <c r="AAW38" s="398"/>
      <c r="AAX38" s="396"/>
      <c r="AAY38" s="398"/>
      <c r="AAZ38" s="396"/>
      <c r="ABA38" s="398"/>
      <c r="ABB38" s="396"/>
      <c r="ABC38" s="398"/>
      <c r="ABD38" s="396"/>
      <c r="ABE38" s="398"/>
      <c r="ABF38" s="396"/>
      <c r="ABG38" s="398"/>
      <c r="ABH38" s="396"/>
      <c r="ABI38" s="398"/>
      <c r="ABJ38" s="396"/>
      <c r="ABK38" s="398"/>
      <c r="ABL38" s="396"/>
      <c r="ABM38" s="398"/>
      <c r="ABN38" s="396"/>
      <c r="ABO38" s="398"/>
      <c r="ABP38" s="396"/>
      <c r="ABQ38" s="398"/>
      <c r="ABR38" s="396"/>
      <c r="ABS38" s="398"/>
      <c r="ABT38" s="396"/>
      <c r="ABU38" s="398"/>
      <c r="ABV38" s="396"/>
      <c r="ABW38" s="398"/>
      <c r="ABX38" s="396"/>
      <c r="ABY38" s="398"/>
      <c r="ABZ38" s="396"/>
      <c r="ACA38" s="398"/>
      <c r="ACB38" s="396"/>
      <c r="ACC38" s="398"/>
      <c r="ACD38" s="396"/>
      <c r="ACE38" s="398"/>
      <c r="ACF38" s="396"/>
      <c r="ACG38" s="398"/>
      <c r="ACH38" s="396"/>
      <c r="ACI38" s="398"/>
      <c r="ACJ38" s="396"/>
      <c r="ACK38" s="398"/>
      <c r="ACL38" s="396"/>
      <c r="ACM38" s="398"/>
      <c r="ACN38" s="396"/>
      <c r="ACO38" s="398"/>
      <c r="ACP38" s="396"/>
      <c r="ACQ38" s="398"/>
      <c r="ACR38" s="396"/>
      <c r="ACS38" s="398"/>
      <c r="ACT38" s="396"/>
      <c r="ACU38" s="398"/>
      <c r="ACV38" s="396"/>
      <c r="ACW38" s="398"/>
      <c r="ACX38" s="396"/>
      <c r="ACY38" s="398"/>
      <c r="ACZ38" s="396"/>
      <c r="ADA38" s="398"/>
      <c r="ADB38" s="396"/>
      <c r="ADC38" s="398"/>
      <c r="ADD38" s="396"/>
      <c r="ADE38" s="398"/>
      <c r="ADF38" s="396"/>
      <c r="ADG38" s="398"/>
      <c r="ADH38" s="396"/>
      <c r="ADI38" s="398"/>
      <c r="ADJ38" s="396"/>
      <c r="ADK38" s="398"/>
      <c r="ADL38" s="396"/>
      <c r="ADM38" s="398"/>
      <c r="ADN38" s="396"/>
      <c r="ADO38" s="398"/>
      <c r="ADP38" s="396"/>
      <c r="ADQ38" s="398"/>
      <c r="ADR38" s="396"/>
      <c r="ADS38" s="398"/>
      <c r="ADT38" s="396"/>
      <c r="ADU38" s="398"/>
      <c r="ADV38" s="396"/>
      <c r="ADW38" s="398"/>
      <c r="ADX38" s="396"/>
      <c r="ADY38" s="398"/>
      <c r="ADZ38" s="396"/>
      <c r="AEA38" s="398"/>
      <c r="AEB38" s="396"/>
      <c r="AEC38" s="398"/>
      <c r="AED38" s="396"/>
      <c r="AEE38" s="398"/>
      <c r="AEF38" s="396"/>
      <c r="AEG38" s="398"/>
      <c r="AEH38" s="396"/>
      <c r="AEI38" s="398"/>
      <c r="AEJ38" s="396"/>
      <c r="AEK38" s="398"/>
      <c r="AEL38" s="396"/>
      <c r="AEM38" s="398"/>
      <c r="AEN38" s="396"/>
      <c r="AEO38" s="398"/>
      <c r="AEP38" s="396"/>
      <c r="AEQ38" s="398"/>
      <c r="AER38" s="396"/>
      <c r="AES38" s="398"/>
      <c r="AET38" s="396"/>
      <c r="AEU38" s="398"/>
      <c r="AEV38" s="396"/>
      <c r="AEW38" s="398"/>
      <c r="AEX38" s="396"/>
      <c r="AEY38" s="398"/>
      <c r="AEZ38" s="396"/>
      <c r="AFA38" s="398"/>
      <c r="AFB38" s="396"/>
      <c r="AFC38" s="398"/>
      <c r="AFD38" s="396"/>
      <c r="AFE38" s="398"/>
      <c r="AFF38" s="396"/>
      <c r="AFG38" s="398"/>
      <c r="AFH38" s="396"/>
      <c r="AFI38" s="398"/>
      <c r="AFJ38" s="396"/>
      <c r="AFK38" s="398"/>
      <c r="AFL38" s="396"/>
      <c r="AFM38" s="398"/>
      <c r="AFN38" s="396"/>
      <c r="AFO38" s="398"/>
      <c r="AFP38" s="396"/>
      <c r="AFQ38" s="398"/>
      <c r="AFR38" s="396"/>
      <c r="AFS38" s="398"/>
      <c r="AFT38" s="396"/>
      <c r="AFU38" s="398"/>
      <c r="AFV38" s="396"/>
      <c r="AFW38" s="398"/>
      <c r="AFX38" s="396"/>
      <c r="AFY38" s="398"/>
      <c r="AFZ38" s="396"/>
      <c r="AGA38" s="398"/>
      <c r="AGB38" s="396"/>
      <c r="AGC38" s="398"/>
      <c r="AGD38" s="396"/>
      <c r="AGE38" s="398"/>
      <c r="AGF38" s="396"/>
      <c r="AGG38" s="398"/>
      <c r="AGH38" s="396"/>
      <c r="AGI38" s="398"/>
      <c r="AGJ38" s="396"/>
      <c r="AGK38" s="398"/>
      <c r="AGL38" s="396"/>
      <c r="AGM38" s="398"/>
      <c r="AGN38" s="396"/>
      <c r="AGO38" s="398"/>
      <c r="AGP38" s="396"/>
      <c r="AGQ38" s="398"/>
      <c r="AGR38" s="396"/>
      <c r="AGS38" s="398"/>
      <c r="AGT38" s="396"/>
      <c r="AGU38" s="398"/>
      <c r="AGV38" s="396"/>
      <c r="AGW38" s="398"/>
      <c r="AGX38" s="396"/>
      <c r="AGY38" s="398"/>
      <c r="AGZ38" s="396"/>
      <c r="AHA38" s="398"/>
      <c r="AHB38" s="396"/>
      <c r="AHC38" s="398"/>
      <c r="AHD38" s="396"/>
      <c r="AHE38" s="398"/>
      <c r="AHF38" s="396"/>
      <c r="AHG38" s="398"/>
      <c r="AHH38" s="396"/>
      <c r="AHI38" s="398"/>
      <c r="AHJ38" s="396"/>
      <c r="AHK38" s="398"/>
      <c r="AHL38" s="396"/>
      <c r="AHM38" s="398"/>
      <c r="AHN38" s="396"/>
      <c r="AHO38" s="398"/>
      <c r="AHP38" s="396"/>
      <c r="AHQ38" s="398"/>
      <c r="AHR38" s="396"/>
      <c r="AHS38" s="398"/>
      <c r="AHT38" s="396"/>
      <c r="AHU38" s="398"/>
      <c r="AHV38" s="396"/>
      <c r="AHW38" s="398"/>
      <c r="AHX38" s="396"/>
      <c r="AHY38" s="398"/>
      <c r="AHZ38" s="396"/>
      <c r="AIA38" s="398"/>
    </row>
  </sheetData>
  <mergeCells count="11340">
    <mergeCell ref="AO27:AO29"/>
    <mergeCell ref="AP27:AP29"/>
    <mergeCell ref="AQ27:AQ29"/>
    <mergeCell ref="AR27:AR29"/>
    <mergeCell ref="AS27:AS29"/>
    <mergeCell ref="AT27:AT29"/>
    <mergeCell ref="AU27:AU29"/>
    <mergeCell ref="AV27:AV29"/>
    <mergeCell ref="AW27:AW29"/>
    <mergeCell ref="A27:A29"/>
    <mergeCell ref="B27:B29"/>
    <mergeCell ref="C27:C29"/>
    <mergeCell ref="D27:D29"/>
    <mergeCell ref="E27:E29"/>
    <mergeCell ref="F27:F29"/>
    <mergeCell ref="G27:G29"/>
    <mergeCell ref="LC27:LC29"/>
    <mergeCell ref="LD27:LD29"/>
    <mergeCell ref="LE27:LE29"/>
    <mergeCell ref="LF27:LF29"/>
    <mergeCell ref="LG27:LG29"/>
    <mergeCell ref="LH27:LH29"/>
    <mergeCell ref="LI27:LI29"/>
    <mergeCell ref="LJ27:LJ29"/>
    <mergeCell ref="LK27:LK29"/>
    <mergeCell ref="LN27:LN29"/>
    <mergeCell ref="LO27:LO29"/>
    <mergeCell ref="LP27:LP29"/>
    <mergeCell ref="LQ27:LQ29"/>
    <mergeCell ref="LR27:LR29"/>
    <mergeCell ref="LS27:LS29"/>
    <mergeCell ref="LT27:LT29"/>
    <mergeCell ref="LU27:LU29"/>
    <mergeCell ref="LV27:LV29"/>
    <mergeCell ref="LW27:LW29"/>
    <mergeCell ref="LX27:LX29"/>
    <mergeCell ref="LY27:LY29"/>
    <mergeCell ref="LZ27:LZ29"/>
    <mergeCell ref="MA27:MA29"/>
    <mergeCell ref="MB27:MB29"/>
    <mergeCell ref="MC27:MC29"/>
    <mergeCell ref="MD27:MD29"/>
    <mergeCell ref="ME27:ME29"/>
    <mergeCell ref="MF27:MF29"/>
    <mergeCell ref="MG27:MG29"/>
    <mergeCell ref="MH27:MH29"/>
    <mergeCell ref="MI27:MI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N27:AN29"/>
    <mergeCell ref="JV27:JV29"/>
    <mergeCell ref="JW27:JW29"/>
    <mergeCell ref="JX27:JX29"/>
    <mergeCell ref="JY27:JY29"/>
    <mergeCell ref="JZ27:JZ29"/>
    <mergeCell ref="KA27:KA29"/>
    <mergeCell ref="KB27:KB29"/>
    <mergeCell ref="KC27:KC29"/>
    <mergeCell ref="KD27:KD29"/>
    <mergeCell ref="KE27:KE29"/>
    <mergeCell ref="KF27:KF29"/>
    <mergeCell ref="KG27:KG29"/>
    <mergeCell ref="KH27:KH29"/>
    <mergeCell ref="KI27:KI29"/>
    <mergeCell ref="KJ27:KJ29"/>
    <mergeCell ref="KK27:KK29"/>
    <mergeCell ref="KL27:KL29"/>
    <mergeCell ref="KM27:KM29"/>
    <mergeCell ref="KN27:KN29"/>
    <mergeCell ref="KO27:KO29"/>
    <mergeCell ref="KP27:KP29"/>
    <mergeCell ref="KQ27:KQ29"/>
    <mergeCell ref="KR27:KR29"/>
    <mergeCell ref="KS27:KS29"/>
    <mergeCell ref="KT27:KT29"/>
    <mergeCell ref="KU27:KU29"/>
    <mergeCell ref="KV27:KV29"/>
    <mergeCell ref="KW27:KW29"/>
    <mergeCell ref="KX27:KX29"/>
    <mergeCell ref="KY27:KY29"/>
    <mergeCell ref="KZ27:KZ29"/>
    <mergeCell ref="LA27:LA29"/>
    <mergeCell ref="LB27:LB29"/>
    <mergeCell ref="IO27:IO29"/>
    <mergeCell ref="IP27:IP29"/>
    <mergeCell ref="IQ27:IQ29"/>
    <mergeCell ref="IR27:IR29"/>
    <mergeCell ref="IS27:IS29"/>
    <mergeCell ref="IT27:IT29"/>
    <mergeCell ref="IU27:IU29"/>
    <mergeCell ref="IV27:IV29"/>
    <mergeCell ref="IW27:IW29"/>
    <mergeCell ref="IX27:IX29"/>
    <mergeCell ref="IY27:IY29"/>
    <mergeCell ref="IZ27:IZ29"/>
    <mergeCell ref="JA27:JA29"/>
    <mergeCell ref="JB27:JB29"/>
    <mergeCell ref="JC27:JC29"/>
    <mergeCell ref="JD27:JD29"/>
    <mergeCell ref="JE27:JE29"/>
    <mergeCell ref="JF27:JF29"/>
    <mergeCell ref="JG27:JG29"/>
    <mergeCell ref="JH27:JH29"/>
    <mergeCell ref="JI27:JI29"/>
    <mergeCell ref="JJ27:JJ29"/>
    <mergeCell ref="JK27:JK29"/>
    <mergeCell ref="JL27:JL29"/>
    <mergeCell ref="JM27:JM29"/>
    <mergeCell ref="JN27:JN29"/>
    <mergeCell ref="JO27:JO29"/>
    <mergeCell ref="JP27:JP29"/>
    <mergeCell ref="JQ27:JQ29"/>
    <mergeCell ref="JR27:JR29"/>
    <mergeCell ref="JS27:JS29"/>
    <mergeCell ref="JT27:JT29"/>
    <mergeCell ref="JU27:JU29"/>
    <mergeCell ref="HH27:HH29"/>
    <mergeCell ref="HI27:HI29"/>
    <mergeCell ref="HJ27:HJ29"/>
    <mergeCell ref="HK27:HK29"/>
    <mergeCell ref="HL27:HL29"/>
    <mergeCell ref="HM27:HM29"/>
    <mergeCell ref="HN27:HN29"/>
    <mergeCell ref="HO27:HO29"/>
    <mergeCell ref="HP27:HP29"/>
    <mergeCell ref="HQ27:HQ29"/>
    <mergeCell ref="HR27:HR29"/>
    <mergeCell ref="HS27:HS29"/>
    <mergeCell ref="HT27:HT29"/>
    <mergeCell ref="HU27:HU29"/>
    <mergeCell ref="HV27:HV29"/>
    <mergeCell ref="HW27:HW29"/>
    <mergeCell ref="HX27:HX29"/>
    <mergeCell ref="HY27:HY29"/>
    <mergeCell ref="HZ27:HZ29"/>
    <mergeCell ref="IA27:IA29"/>
    <mergeCell ref="IB27:IB29"/>
    <mergeCell ref="IC27:IC29"/>
    <mergeCell ref="ID27:ID29"/>
    <mergeCell ref="IE27:IE29"/>
    <mergeCell ref="IF27:IF29"/>
    <mergeCell ref="IG27:IG29"/>
    <mergeCell ref="IH27:IH29"/>
    <mergeCell ref="II27:II29"/>
    <mergeCell ref="IJ27:IJ29"/>
    <mergeCell ref="IK27:IK29"/>
    <mergeCell ref="IL27:IL29"/>
    <mergeCell ref="IM27:IM29"/>
    <mergeCell ref="IN27:IN29"/>
    <mergeCell ref="GA27:GA29"/>
    <mergeCell ref="GB27:GB29"/>
    <mergeCell ref="GC27:GC29"/>
    <mergeCell ref="GD27:GD29"/>
    <mergeCell ref="GE27:GE29"/>
    <mergeCell ref="GF27:GF29"/>
    <mergeCell ref="GG27:GG29"/>
    <mergeCell ref="GH27:GH29"/>
    <mergeCell ref="GI27:GI29"/>
    <mergeCell ref="GJ27:GJ29"/>
    <mergeCell ref="GK27:GK29"/>
    <mergeCell ref="GL27:GL29"/>
    <mergeCell ref="GM27:GM29"/>
    <mergeCell ref="GN27:GN29"/>
    <mergeCell ref="GO27:GO29"/>
    <mergeCell ref="GP27:GP29"/>
    <mergeCell ref="GQ27:GQ29"/>
    <mergeCell ref="GR27:GR29"/>
    <mergeCell ref="GS27:GS29"/>
    <mergeCell ref="GT27:GT29"/>
    <mergeCell ref="GU27:GU29"/>
    <mergeCell ref="GV27:GV29"/>
    <mergeCell ref="GW27:GW29"/>
    <mergeCell ref="GX27:GX29"/>
    <mergeCell ref="GY27:GY29"/>
    <mergeCell ref="GZ27:GZ29"/>
    <mergeCell ref="HA27:HA29"/>
    <mergeCell ref="HB27:HB29"/>
    <mergeCell ref="HC27:HC29"/>
    <mergeCell ref="HD27:HD29"/>
    <mergeCell ref="HE27:HE29"/>
    <mergeCell ref="HF27:HF29"/>
    <mergeCell ref="HG27:HG29"/>
    <mergeCell ref="ET27:ET29"/>
    <mergeCell ref="EU27:EU29"/>
    <mergeCell ref="EV27:EV29"/>
    <mergeCell ref="EW27:EW29"/>
    <mergeCell ref="EX27:EX29"/>
    <mergeCell ref="EY27:EY29"/>
    <mergeCell ref="EZ27:EZ29"/>
    <mergeCell ref="FA27:FA29"/>
    <mergeCell ref="FB27:FB29"/>
    <mergeCell ref="FC27:FC29"/>
    <mergeCell ref="FD27:FD29"/>
    <mergeCell ref="FE27:FE29"/>
    <mergeCell ref="FF27:FF29"/>
    <mergeCell ref="FG27:FG29"/>
    <mergeCell ref="FH27:FH29"/>
    <mergeCell ref="FI27:FI29"/>
    <mergeCell ref="FJ27:FJ29"/>
    <mergeCell ref="FK27:FK29"/>
    <mergeCell ref="FL27:FL29"/>
    <mergeCell ref="FM27:FM29"/>
    <mergeCell ref="FN27:FN29"/>
    <mergeCell ref="FO27:FO29"/>
    <mergeCell ref="FP27:FP29"/>
    <mergeCell ref="FQ27:FQ29"/>
    <mergeCell ref="FR27:FR29"/>
    <mergeCell ref="FS27:FS29"/>
    <mergeCell ref="FT27:FT29"/>
    <mergeCell ref="FU27:FU29"/>
    <mergeCell ref="FV27:FV29"/>
    <mergeCell ref="FW27:FW29"/>
    <mergeCell ref="FX27:FX29"/>
    <mergeCell ref="FY27:FY29"/>
    <mergeCell ref="FZ27:FZ29"/>
    <mergeCell ref="DI27:DI29"/>
    <mergeCell ref="DJ27:DJ29"/>
    <mergeCell ref="DK27:DK29"/>
    <mergeCell ref="DL27:DL29"/>
    <mergeCell ref="DM27:DM29"/>
    <mergeCell ref="DN27:DN29"/>
    <mergeCell ref="DO27:DO29"/>
    <mergeCell ref="DY27:DY29"/>
    <mergeCell ref="DZ27:DZ29"/>
    <mergeCell ref="EA27:EA29"/>
    <mergeCell ref="EB27:EB29"/>
    <mergeCell ref="EC27:EC29"/>
    <mergeCell ref="ED27:ED29"/>
    <mergeCell ref="EE27:EE29"/>
    <mergeCell ref="EF27:EF29"/>
    <mergeCell ref="EG27:EG29"/>
    <mergeCell ref="EH27:EH29"/>
    <mergeCell ref="EI27:EI29"/>
    <mergeCell ref="EJ27:EJ29"/>
    <mergeCell ref="EK27:EK29"/>
    <mergeCell ref="EL27:EL29"/>
    <mergeCell ref="EM27:EM29"/>
    <mergeCell ref="EN27:EN29"/>
    <mergeCell ref="EO27:EO29"/>
    <mergeCell ref="EP27:EP29"/>
    <mergeCell ref="EQ27:EQ29"/>
    <mergeCell ref="ER27:ER29"/>
    <mergeCell ref="ES27:ES29"/>
    <mergeCell ref="DR27:DR29"/>
    <mergeCell ref="DS27:DS29"/>
    <mergeCell ref="DP27:DP29"/>
    <mergeCell ref="DQ27:DQ29"/>
    <mergeCell ref="DT27:DT29"/>
    <mergeCell ref="DU27:DU29"/>
    <mergeCell ref="DV27:DV29"/>
    <mergeCell ref="DW27:DW29"/>
    <mergeCell ref="DX27:DX29"/>
    <mergeCell ref="AGY27:AGY29"/>
    <mergeCell ref="AX27:AX29"/>
    <mergeCell ref="AY27:AY29"/>
    <mergeCell ref="AZ27:AZ29"/>
    <mergeCell ref="BA27:BA29"/>
    <mergeCell ref="BB27:BB29"/>
    <mergeCell ref="BC27:BC29"/>
    <mergeCell ref="BD27:BD29"/>
    <mergeCell ref="BE27:BE29"/>
    <mergeCell ref="BF27:BF29"/>
    <mergeCell ref="BG27:BG29"/>
    <mergeCell ref="BH27:BH29"/>
    <mergeCell ref="BI27:BI29"/>
    <mergeCell ref="BJ27:BJ29"/>
    <mergeCell ref="BK27:BK29"/>
    <mergeCell ref="BL27:BL29"/>
    <mergeCell ref="BM27:BM29"/>
    <mergeCell ref="BN27:BN29"/>
    <mergeCell ref="BO27:BO29"/>
    <mergeCell ref="BP27:BP29"/>
    <mergeCell ref="BQ27:BQ29"/>
    <mergeCell ref="BR27:BR29"/>
    <mergeCell ref="BS27:BS29"/>
    <mergeCell ref="BT27:BT29"/>
    <mergeCell ref="BU27:BU29"/>
    <mergeCell ref="BV27:BV29"/>
    <mergeCell ref="BW27:BW29"/>
    <mergeCell ref="BX27:BX29"/>
    <mergeCell ref="BY27:BY29"/>
    <mergeCell ref="BZ27:BZ29"/>
    <mergeCell ref="CA27:CA29"/>
    <mergeCell ref="CB27:CB29"/>
    <mergeCell ref="CC27:CC29"/>
    <mergeCell ref="CD27:CD29"/>
    <mergeCell ref="CE27:CE29"/>
    <mergeCell ref="CF27:CF29"/>
    <mergeCell ref="CG27:CG29"/>
    <mergeCell ref="CH27:CH29"/>
    <mergeCell ref="CI27:CI29"/>
    <mergeCell ref="CJ27:CJ29"/>
    <mergeCell ref="CK27:CK29"/>
    <mergeCell ref="CL27:CL29"/>
    <mergeCell ref="CM27:CM29"/>
    <mergeCell ref="CN27:CN29"/>
    <mergeCell ref="CO27:CO29"/>
    <mergeCell ref="CP27:CP29"/>
    <mergeCell ref="CQ27:CQ29"/>
    <mergeCell ref="CR27:CR29"/>
    <mergeCell ref="CS27:CS29"/>
    <mergeCell ref="CT27:CT29"/>
    <mergeCell ref="CU27:CU29"/>
    <mergeCell ref="CV27:CV29"/>
    <mergeCell ref="CW27:CW29"/>
    <mergeCell ref="CX27:CX29"/>
    <mergeCell ref="CY27:CY29"/>
    <mergeCell ref="CZ27:CZ29"/>
    <mergeCell ref="DA27:DA29"/>
    <mergeCell ref="DB27:DB29"/>
    <mergeCell ref="DC27:DC29"/>
    <mergeCell ref="DD27:DD29"/>
    <mergeCell ref="DE27:DE29"/>
    <mergeCell ref="DF27:DF29"/>
    <mergeCell ref="DG27:DG29"/>
    <mergeCell ref="DH27:DH29"/>
    <mergeCell ref="A22:A23"/>
    <mergeCell ref="B22:B23"/>
    <mergeCell ref="C22:C23"/>
    <mergeCell ref="D22:D23"/>
    <mergeCell ref="E22:E23"/>
    <mergeCell ref="F22:F23"/>
    <mergeCell ref="G22:G23"/>
    <mergeCell ref="AHG27:AHG29"/>
    <mergeCell ref="AHH27:AHH29"/>
    <mergeCell ref="AGZ27:AGZ29"/>
    <mergeCell ref="AHA27:AHA29"/>
    <mergeCell ref="AHB27:AHB29"/>
    <mergeCell ref="AHC27:AHC29"/>
    <mergeCell ref="AHD27:AHD29"/>
    <mergeCell ref="AHE27:AHE29"/>
    <mergeCell ref="AHF27:AHF29"/>
    <mergeCell ref="AFA27:AFA29"/>
    <mergeCell ref="AFB27:AFB29"/>
    <mergeCell ref="AFC27:AFC29"/>
    <mergeCell ref="AFF27:AFF29"/>
    <mergeCell ref="AFG27:AFG29"/>
    <mergeCell ref="AFH27:AFH29"/>
    <mergeCell ref="AFI27:AFI29"/>
    <mergeCell ref="AFJ27:AFJ29"/>
    <mergeCell ref="AFK27:AFK29"/>
    <mergeCell ref="AFL27:AFL29"/>
    <mergeCell ref="AFM27:AFM29"/>
    <mergeCell ref="AFN27:AFN29"/>
    <mergeCell ref="AFO27:AFO29"/>
    <mergeCell ref="AFP27:AFP29"/>
    <mergeCell ref="AFQ27:AFQ29"/>
    <mergeCell ref="AFR27:AFR29"/>
    <mergeCell ref="AFS27:AFS29"/>
    <mergeCell ref="AFT27:AFT29"/>
    <mergeCell ref="AFU27:AFU29"/>
    <mergeCell ref="AFV27:AFV29"/>
    <mergeCell ref="AFW27:AFW29"/>
    <mergeCell ref="AFX27:AFX29"/>
    <mergeCell ref="AFY27:AFY29"/>
    <mergeCell ref="AFZ27:AFZ29"/>
    <mergeCell ref="AGA27:AGA29"/>
    <mergeCell ref="AGB27:AGB29"/>
    <mergeCell ref="AGC27:AGC29"/>
    <mergeCell ref="AGD27:AGD29"/>
    <mergeCell ref="AGE27:AGE29"/>
    <mergeCell ref="AGF27:AGF29"/>
    <mergeCell ref="AGG27:AGG29"/>
    <mergeCell ref="AGH27:AGH29"/>
    <mergeCell ref="AGI27:AGI29"/>
    <mergeCell ref="AGJ27:AGJ29"/>
    <mergeCell ref="AGK27:AGK29"/>
    <mergeCell ref="AGL27:AGL29"/>
    <mergeCell ref="AGM27:AGM29"/>
    <mergeCell ref="AGN27:AGN29"/>
    <mergeCell ref="AGO27:AGO29"/>
    <mergeCell ref="AGP27:AGP29"/>
    <mergeCell ref="AGQ27:AGQ29"/>
    <mergeCell ref="AGR27:AGR29"/>
    <mergeCell ref="AGS27:AGS29"/>
    <mergeCell ref="AGT27:AGT29"/>
    <mergeCell ref="AGU27:AGU29"/>
    <mergeCell ref="AGV27:AGV29"/>
    <mergeCell ref="AGW27:AGW29"/>
    <mergeCell ref="AGX27:AGX29"/>
    <mergeCell ref="LV22:LV23"/>
    <mergeCell ref="LW22:LW23"/>
    <mergeCell ref="LX22:LX23"/>
    <mergeCell ref="LY22:LY23"/>
    <mergeCell ref="LZ22:LZ23"/>
    <mergeCell ref="MA22:MA23"/>
    <mergeCell ref="MB22:MB23"/>
    <mergeCell ref="MC22:MC23"/>
    <mergeCell ref="MD22:MD23"/>
    <mergeCell ref="ME22:ME23"/>
    <mergeCell ref="MF22:MF23"/>
    <mergeCell ref="MG22:MG23"/>
    <mergeCell ref="MH22:MH23"/>
    <mergeCell ref="MI22:MI23"/>
    <mergeCell ref="MJ22:MJ23"/>
    <mergeCell ref="MK22:MK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K22:AK23"/>
    <mergeCell ref="AL22:AL23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AU22:AU23"/>
    <mergeCell ref="AV22:AV23"/>
    <mergeCell ref="AW22:AW23"/>
    <mergeCell ref="KK22:KK23"/>
    <mergeCell ref="KL22:KL23"/>
    <mergeCell ref="KM22:KM23"/>
    <mergeCell ref="KN22:KN23"/>
    <mergeCell ref="KO22:KO23"/>
    <mergeCell ref="KP22:KP23"/>
    <mergeCell ref="KQ22:KQ23"/>
    <mergeCell ref="KR22:KR23"/>
    <mergeCell ref="KS22:KS23"/>
    <mergeCell ref="KT22:KT23"/>
    <mergeCell ref="KU22:KU23"/>
    <mergeCell ref="KV22:KV23"/>
    <mergeCell ref="KW22:KW23"/>
    <mergeCell ref="KX22:KX23"/>
    <mergeCell ref="KY22:KY23"/>
    <mergeCell ref="KZ22:KZ23"/>
    <mergeCell ref="LA22:LA23"/>
    <mergeCell ref="LB22:LB23"/>
    <mergeCell ref="LC22:LC23"/>
    <mergeCell ref="LD22:LD23"/>
    <mergeCell ref="LE22:LE23"/>
    <mergeCell ref="LF22:LF23"/>
    <mergeCell ref="LG22:LG23"/>
    <mergeCell ref="LH22:LH23"/>
    <mergeCell ref="LI22:LI23"/>
    <mergeCell ref="LJ22:LJ23"/>
    <mergeCell ref="LK22:LK23"/>
    <mergeCell ref="LN22:LN23"/>
    <mergeCell ref="LO22:LO23"/>
    <mergeCell ref="LP22:LP23"/>
    <mergeCell ref="LQ22:LQ23"/>
    <mergeCell ref="LR22:LR23"/>
    <mergeCell ref="LS22:LS23"/>
    <mergeCell ref="JD22:JD23"/>
    <mergeCell ref="JE22:JE23"/>
    <mergeCell ref="JF22:JF23"/>
    <mergeCell ref="JG22:JG23"/>
    <mergeCell ref="JH22:JH23"/>
    <mergeCell ref="JI22:JI23"/>
    <mergeCell ref="JJ22:JJ23"/>
    <mergeCell ref="JK22:JK23"/>
    <mergeCell ref="JL22:JL23"/>
    <mergeCell ref="JM22:JM23"/>
    <mergeCell ref="JN22:JN23"/>
    <mergeCell ref="JO22:JO23"/>
    <mergeCell ref="JP22:JP23"/>
    <mergeCell ref="JQ22:JQ23"/>
    <mergeCell ref="JR22:JR23"/>
    <mergeCell ref="JS22:JS23"/>
    <mergeCell ref="JT22:JT23"/>
    <mergeCell ref="JU22:JU23"/>
    <mergeCell ref="JV22:JV23"/>
    <mergeCell ref="JW22:JW23"/>
    <mergeCell ref="JX22:JX23"/>
    <mergeCell ref="JY22:JY23"/>
    <mergeCell ref="JZ22:JZ23"/>
    <mergeCell ref="KA22:KA23"/>
    <mergeCell ref="KB22:KB23"/>
    <mergeCell ref="KC22:KC23"/>
    <mergeCell ref="KD22:KD23"/>
    <mergeCell ref="KE22:KE23"/>
    <mergeCell ref="KF22:KF23"/>
    <mergeCell ref="KG22:KG23"/>
    <mergeCell ref="KH22:KH23"/>
    <mergeCell ref="KI22:KI23"/>
    <mergeCell ref="KJ22:KJ23"/>
    <mergeCell ref="HW22:HW23"/>
    <mergeCell ref="HX22:HX23"/>
    <mergeCell ref="HY22:HY23"/>
    <mergeCell ref="HZ22:HZ23"/>
    <mergeCell ref="IA22:IA23"/>
    <mergeCell ref="IB22:IB23"/>
    <mergeCell ref="IC22:IC23"/>
    <mergeCell ref="ID22:ID23"/>
    <mergeCell ref="IE22:IE23"/>
    <mergeCell ref="IF22:IF23"/>
    <mergeCell ref="IG22:IG23"/>
    <mergeCell ref="IH22:IH23"/>
    <mergeCell ref="II22:II23"/>
    <mergeCell ref="IJ22:IJ23"/>
    <mergeCell ref="IK22:IK23"/>
    <mergeCell ref="IL22:IL23"/>
    <mergeCell ref="IM22:IM23"/>
    <mergeCell ref="IN22:IN23"/>
    <mergeCell ref="IO22:IO23"/>
    <mergeCell ref="IP22:IP23"/>
    <mergeCell ref="IQ22:IQ23"/>
    <mergeCell ref="IR22:IR23"/>
    <mergeCell ref="IS22:IS23"/>
    <mergeCell ref="IT22:IT23"/>
    <mergeCell ref="IU22:IU23"/>
    <mergeCell ref="IV22:IV23"/>
    <mergeCell ref="IW22:IW23"/>
    <mergeCell ref="IX22:IX23"/>
    <mergeCell ref="IY22:IY23"/>
    <mergeCell ref="IZ22:IZ23"/>
    <mergeCell ref="JA22:JA23"/>
    <mergeCell ref="JB22:JB23"/>
    <mergeCell ref="JC22:JC23"/>
    <mergeCell ref="GP22:GP23"/>
    <mergeCell ref="GQ22:GQ23"/>
    <mergeCell ref="GR22:GR23"/>
    <mergeCell ref="GS22:GS23"/>
    <mergeCell ref="GT22:GT23"/>
    <mergeCell ref="GU22:GU23"/>
    <mergeCell ref="GV22:GV23"/>
    <mergeCell ref="GW22:GW23"/>
    <mergeCell ref="GX22:GX23"/>
    <mergeCell ref="GY22:GY23"/>
    <mergeCell ref="GZ22:GZ23"/>
    <mergeCell ref="HA22:HA23"/>
    <mergeCell ref="HB22:HB23"/>
    <mergeCell ref="HC22:HC23"/>
    <mergeCell ref="HD22:HD23"/>
    <mergeCell ref="HE22:HE23"/>
    <mergeCell ref="HF22:HF23"/>
    <mergeCell ref="HG22:HG23"/>
    <mergeCell ref="HH22:HH23"/>
    <mergeCell ref="HI22:HI23"/>
    <mergeCell ref="HJ22:HJ23"/>
    <mergeCell ref="HK22:HK23"/>
    <mergeCell ref="HL22:HL23"/>
    <mergeCell ref="HM22:HM23"/>
    <mergeCell ref="HN22:HN23"/>
    <mergeCell ref="HO22:HO23"/>
    <mergeCell ref="HP22:HP23"/>
    <mergeCell ref="HQ22:HQ23"/>
    <mergeCell ref="HR22:HR23"/>
    <mergeCell ref="HS22:HS23"/>
    <mergeCell ref="HT22:HT23"/>
    <mergeCell ref="HU22:HU23"/>
    <mergeCell ref="HV22:HV23"/>
    <mergeCell ref="FI22:FI23"/>
    <mergeCell ref="FJ22:FJ23"/>
    <mergeCell ref="FK22:FK23"/>
    <mergeCell ref="FL22:FL23"/>
    <mergeCell ref="FM22:FM23"/>
    <mergeCell ref="FN22:FN23"/>
    <mergeCell ref="FO22:FO23"/>
    <mergeCell ref="FP22:FP23"/>
    <mergeCell ref="FQ22:FQ23"/>
    <mergeCell ref="FR22:FR23"/>
    <mergeCell ref="FS22:FS23"/>
    <mergeCell ref="FT22:FT23"/>
    <mergeCell ref="FU22:FU23"/>
    <mergeCell ref="FV22:FV23"/>
    <mergeCell ref="FW22:FW23"/>
    <mergeCell ref="FX22:FX23"/>
    <mergeCell ref="FY22:FY23"/>
    <mergeCell ref="FZ22:FZ23"/>
    <mergeCell ref="GA22:GA23"/>
    <mergeCell ref="GB22:GB23"/>
    <mergeCell ref="GC22:GC23"/>
    <mergeCell ref="GD22:GD23"/>
    <mergeCell ref="GE22:GE23"/>
    <mergeCell ref="GF22:GF23"/>
    <mergeCell ref="GG22:GG23"/>
    <mergeCell ref="GH22:GH23"/>
    <mergeCell ref="GI22:GI23"/>
    <mergeCell ref="GJ22:GJ23"/>
    <mergeCell ref="GK22:GK23"/>
    <mergeCell ref="GL22:GL23"/>
    <mergeCell ref="GM22:GM23"/>
    <mergeCell ref="GN22:GN23"/>
    <mergeCell ref="GO22:GO23"/>
    <mergeCell ref="EK22:EK23"/>
    <mergeCell ref="EL22:EL23"/>
    <mergeCell ref="EM22:EM23"/>
    <mergeCell ref="EN22:EN23"/>
    <mergeCell ref="EO22:EO23"/>
    <mergeCell ref="EP22:EP23"/>
    <mergeCell ref="EQ22:EQ23"/>
    <mergeCell ref="ER22:ER23"/>
    <mergeCell ref="ES22:ES23"/>
    <mergeCell ref="DR22:DR23"/>
    <mergeCell ref="DS22:DS23"/>
    <mergeCell ref="DP22:DP23"/>
    <mergeCell ref="DQ22:DQ23"/>
    <mergeCell ref="DT22:DT23"/>
    <mergeCell ref="DU22:DU23"/>
    <mergeCell ref="DV22:DV23"/>
    <mergeCell ref="DW22:DW23"/>
    <mergeCell ref="DX22:DX23"/>
    <mergeCell ref="ET22:ET23"/>
    <mergeCell ref="EU22:EU23"/>
    <mergeCell ref="EV22:EV23"/>
    <mergeCell ref="EW22:EW23"/>
    <mergeCell ref="EX22:EX23"/>
    <mergeCell ref="EY22:EY23"/>
    <mergeCell ref="EZ22:EZ23"/>
    <mergeCell ref="FA22:FA23"/>
    <mergeCell ref="FB22:FB23"/>
    <mergeCell ref="FC22:FC23"/>
    <mergeCell ref="FD22:FD23"/>
    <mergeCell ref="FE22:FE23"/>
    <mergeCell ref="FF22:FF23"/>
    <mergeCell ref="FG22:FG23"/>
    <mergeCell ref="FH22:FH23"/>
    <mergeCell ref="CU22:CU23"/>
    <mergeCell ref="CV22:CV23"/>
    <mergeCell ref="CW22:CW23"/>
    <mergeCell ref="CX22:CX23"/>
    <mergeCell ref="CY22:CY23"/>
    <mergeCell ref="CZ22:CZ23"/>
    <mergeCell ref="DA22:DA23"/>
    <mergeCell ref="DB22:DB23"/>
    <mergeCell ref="DC22:DC23"/>
    <mergeCell ref="DD22:DD23"/>
    <mergeCell ref="DE22:DE23"/>
    <mergeCell ref="DF22:DF23"/>
    <mergeCell ref="DG22:DG23"/>
    <mergeCell ref="DH22:DH23"/>
    <mergeCell ref="DI22:DI23"/>
    <mergeCell ref="DJ22:DJ23"/>
    <mergeCell ref="DK22:DK23"/>
    <mergeCell ref="DL22:DL23"/>
    <mergeCell ref="DM22:DM23"/>
    <mergeCell ref="DN22:DN23"/>
    <mergeCell ref="DO22:DO23"/>
    <mergeCell ref="DY22:DY23"/>
    <mergeCell ref="DZ22:DZ23"/>
    <mergeCell ref="EA22:EA23"/>
    <mergeCell ref="EB22:EB23"/>
    <mergeCell ref="EC22:EC23"/>
    <mergeCell ref="ED22:ED23"/>
    <mergeCell ref="EE22:EE23"/>
    <mergeCell ref="EF22:EF23"/>
    <mergeCell ref="EG22:EG23"/>
    <mergeCell ref="EH22:EH23"/>
    <mergeCell ref="EI22:EI23"/>
    <mergeCell ref="EJ22:EJ23"/>
    <mergeCell ref="ZB22:ZB23"/>
    <mergeCell ref="ZC22:ZC23"/>
    <mergeCell ref="ZD22:ZD23"/>
    <mergeCell ref="ZE22:ZE23"/>
    <mergeCell ref="ZF22:ZF23"/>
    <mergeCell ref="ZG22:ZG23"/>
    <mergeCell ref="ZH22:ZH23"/>
    <mergeCell ref="ZI22:ZI23"/>
    <mergeCell ref="ZJ22:ZJ23"/>
    <mergeCell ref="ZK22:ZK23"/>
    <mergeCell ref="ZL22:ZL23"/>
    <mergeCell ref="ZM22:ZM23"/>
    <mergeCell ref="ZN22:ZN23"/>
    <mergeCell ref="ZO22:ZO23"/>
    <mergeCell ref="ZP22:ZP23"/>
    <mergeCell ref="AX22:AX23"/>
    <mergeCell ref="AY22:AY23"/>
    <mergeCell ref="AZ22:AZ23"/>
    <mergeCell ref="BA22:BA23"/>
    <mergeCell ref="BB22:BB23"/>
    <mergeCell ref="BC22:BC23"/>
    <mergeCell ref="BD22:BD23"/>
    <mergeCell ref="BE22:BE23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N22:BN23"/>
    <mergeCell ref="BO22:BO23"/>
    <mergeCell ref="BP22:BP23"/>
    <mergeCell ref="BQ22:BQ23"/>
    <mergeCell ref="BR22:BR23"/>
    <mergeCell ref="BS22:BS23"/>
    <mergeCell ref="BT22:BT23"/>
    <mergeCell ref="BU22:BU23"/>
    <mergeCell ref="BV22:BV23"/>
    <mergeCell ref="BW22:BW23"/>
    <mergeCell ref="BX22:BX23"/>
    <mergeCell ref="BY22:BY23"/>
    <mergeCell ref="BZ22:BZ23"/>
    <mergeCell ref="CA22:CA23"/>
    <mergeCell ref="CB22:CB23"/>
    <mergeCell ref="CC22:CC23"/>
    <mergeCell ref="CD22:CD23"/>
    <mergeCell ref="CE22:CE23"/>
    <mergeCell ref="CF22:CF23"/>
    <mergeCell ref="CG22:CG23"/>
    <mergeCell ref="CH22:CH23"/>
    <mergeCell ref="CI22:CI23"/>
    <mergeCell ref="CJ22:CJ23"/>
    <mergeCell ref="CK22:CK23"/>
    <mergeCell ref="CL22:CL23"/>
    <mergeCell ref="CM22:CM23"/>
    <mergeCell ref="CN22:CN23"/>
    <mergeCell ref="CO22:CO23"/>
    <mergeCell ref="CP22:CP23"/>
    <mergeCell ref="CQ22:CQ23"/>
    <mergeCell ref="CR22:CR23"/>
    <mergeCell ref="CS22:CS23"/>
    <mergeCell ref="CT22:CT23"/>
    <mergeCell ref="XU22:XU23"/>
    <mergeCell ref="XV22:XV23"/>
    <mergeCell ref="XW22:XW23"/>
    <mergeCell ref="XX22:XX23"/>
    <mergeCell ref="XY22:XY23"/>
    <mergeCell ref="XZ22:XZ23"/>
    <mergeCell ref="YA22:YA23"/>
    <mergeCell ref="YB22:YB23"/>
    <mergeCell ref="YC22:YC23"/>
    <mergeCell ref="YD22:YD23"/>
    <mergeCell ref="YE22:YE23"/>
    <mergeCell ref="YF22:YF23"/>
    <mergeCell ref="YG22:YG23"/>
    <mergeCell ref="YH22:YH23"/>
    <mergeCell ref="YI22:YI23"/>
    <mergeCell ref="YJ22:YJ23"/>
    <mergeCell ref="YK22:YK23"/>
    <mergeCell ref="YL22:YL23"/>
    <mergeCell ref="YM22:YM23"/>
    <mergeCell ref="YN22:YN23"/>
    <mergeCell ref="YO22:YO23"/>
    <mergeCell ref="YP22:YP23"/>
    <mergeCell ref="YQ22:YQ23"/>
    <mergeCell ref="YR22:YR23"/>
    <mergeCell ref="YS22:YS23"/>
    <mergeCell ref="YT22:YT23"/>
    <mergeCell ref="YU22:YU23"/>
    <mergeCell ref="YV22:YV23"/>
    <mergeCell ref="YW22:YW23"/>
    <mergeCell ref="YX22:YX23"/>
    <mergeCell ref="YY22:YY23"/>
    <mergeCell ref="YZ22:YZ23"/>
    <mergeCell ref="ZA22:ZA23"/>
    <mergeCell ref="WN22:WN23"/>
    <mergeCell ref="WO22:WO23"/>
    <mergeCell ref="WP22:WP23"/>
    <mergeCell ref="WQ22:WQ23"/>
    <mergeCell ref="WR22:WR23"/>
    <mergeCell ref="WS22:WS23"/>
    <mergeCell ref="WT22:WT23"/>
    <mergeCell ref="WU22:WU23"/>
    <mergeCell ref="WV22:WV23"/>
    <mergeCell ref="WW22:WW23"/>
    <mergeCell ref="WX22:WX23"/>
    <mergeCell ref="WY22:WY23"/>
    <mergeCell ref="WZ22:WZ23"/>
    <mergeCell ref="XA22:XA23"/>
    <mergeCell ref="XB22:XB23"/>
    <mergeCell ref="XC22:XC23"/>
    <mergeCell ref="XD22:XD23"/>
    <mergeCell ref="XE22:XE23"/>
    <mergeCell ref="XF22:XF23"/>
    <mergeCell ref="XG22:XG23"/>
    <mergeCell ref="XH22:XH23"/>
    <mergeCell ref="XI22:XI23"/>
    <mergeCell ref="XJ22:XJ23"/>
    <mergeCell ref="XK22:XK23"/>
    <mergeCell ref="XL22:XL23"/>
    <mergeCell ref="XM22:XM23"/>
    <mergeCell ref="XN22:XN23"/>
    <mergeCell ref="XO22:XO23"/>
    <mergeCell ref="XP22:XP23"/>
    <mergeCell ref="XQ22:XQ23"/>
    <mergeCell ref="XR22:XR23"/>
    <mergeCell ref="XS22:XS23"/>
    <mergeCell ref="XT22:XT23"/>
    <mergeCell ref="VG22:VG23"/>
    <mergeCell ref="VH22:VH23"/>
    <mergeCell ref="VI22:VI23"/>
    <mergeCell ref="VJ22:VJ23"/>
    <mergeCell ref="VK22:VK23"/>
    <mergeCell ref="VL22:VL23"/>
    <mergeCell ref="VM22:VM23"/>
    <mergeCell ref="VN22:VN23"/>
    <mergeCell ref="VO22:VO23"/>
    <mergeCell ref="VP22:VP23"/>
    <mergeCell ref="VQ22:VQ23"/>
    <mergeCell ref="VR22:VR23"/>
    <mergeCell ref="VS22:VS23"/>
    <mergeCell ref="VT22:VT23"/>
    <mergeCell ref="VU22:VU23"/>
    <mergeCell ref="VV22:VV23"/>
    <mergeCell ref="VW22:VW23"/>
    <mergeCell ref="VX22:VX23"/>
    <mergeCell ref="VY22:VY23"/>
    <mergeCell ref="VZ22:VZ23"/>
    <mergeCell ref="WA22:WA23"/>
    <mergeCell ref="WB22:WB23"/>
    <mergeCell ref="WC22:WC23"/>
    <mergeCell ref="WD22:WD23"/>
    <mergeCell ref="WE22:WE23"/>
    <mergeCell ref="WF22:WF23"/>
    <mergeCell ref="WG22:WG23"/>
    <mergeCell ref="WH22:WH23"/>
    <mergeCell ref="WI22:WI23"/>
    <mergeCell ref="WJ22:WJ23"/>
    <mergeCell ref="WK22:WK23"/>
    <mergeCell ref="WL22:WL23"/>
    <mergeCell ref="WM22:WM23"/>
    <mergeCell ref="TZ22:TZ23"/>
    <mergeCell ref="UA22:UA23"/>
    <mergeCell ref="UB22:UB23"/>
    <mergeCell ref="UC22:UC23"/>
    <mergeCell ref="UD22:UD23"/>
    <mergeCell ref="UE22:UE23"/>
    <mergeCell ref="UF22:UF23"/>
    <mergeCell ref="UG22:UG23"/>
    <mergeCell ref="UH22:UH23"/>
    <mergeCell ref="UI22:UI23"/>
    <mergeCell ref="UJ22:UJ23"/>
    <mergeCell ref="UK22:UK23"/>
    <mergeCell ref="UL22:UL23"/>
    <mergeCell ref="UM22:UM23"/>
    <mergeCell ref="UN22:UN23"/>
    <mergeCell ref="UO22:UO23"/>
    <mergeCell ref="UP22:UP23"/>
    <mergeCell ref="UQ22:UQ23"/>
    <mergeCell ref="UR22:UR23"/>
    <mergeCell ref="US22:US23"/>
    <mergeCell ref="UT22:UT23"/>
    <mergeCell ref="UU22:UU23"/>
    <mergeCell ref="UV22:UV23"/>
    <mergeCell ref="UW22:UW23"/>
    <mergeCell ref="UX22:UX23"/>
    <mergeCell ref="UY22:UY23"/>
    <mergeCell ref="UZ22:UZ23"/>
    <mergeCell ref="VA22:VA23"/>
    <mergeCell ref="VB22:VB23"/>
    <mergeCell ref="VC22:VC23"/>
    <mergeCell ref="VD22:VD23"/>
    <mergeCell ref="VE22:VE23"/>
    <mergeCell ref="VF22:VF23"/>
    <mergeCell ref="SS22:SS23"/>
    <mergeCell ref="ST22:ST23"/>
    <mergeCell ref="SU22:SU23"/>
    <mergeCell ref="SV22:SV23"/>
    <mergeCell ref="SW22:SW23"/>
    <mergeCell ref="SX22:SX23"/>
    <mergeCell ref="SY22:SY23"/>
    <mergeCell ref="SZ22:SZ23"/>
    <mergeCell ref="TA22:TA23"/>
    <mergeCell ref="TB22:TB23"/>
    <mergeCell ref="TC22:TC23"/>
    <mergeCell ref="TD22:TD23"/>
    <mergeCell ref="TE22:TE23"/>
    <mergeCell ref="TF22:TF23"/>
    <mergeCell ref="TG22:TG23"/>
    <mergeCell ref="TH22:TH23"/>
    <mergeCell ref="TI22:TI23"/>
    <mergeCell ref="TJ22:TJ23"/>
    <mergeCell ref="TK22:TK23"/>
    <mergeCell ref="TL22:TL23"/>
    <mergeCell ref="TM22:TM23"/>
    <mergeCell ref="TN22:TN23"/>
    <mergeCell ref="TO22:TO23"/>
    <mergeCell ref="TP22:TP23"/>
    <mergeCell ref="TQ22:TQ23"/>
    <mergeCell ref="TR22:TR23"/>
    <mergeCell ref="TS22:TS23"/>
    <mergeCell ref="TT22:TT23"/>
    <mergeCell ref="TU22:TU23"/>
    <mergeCell ref="TV22:TV23"/>
    <mergeCell ref="TW22:TW23"/>
    <mergeCell ref="TX22:TX23"/>
    <mergeCell ref="TY22:TY23"/>
    <mergeCell ref="RL22:RL23"/>
    <mergeCell ref="RM22:RM23"/>
    <mergeCell ref="RN22:RN23"/>
    <mergeCell ref="RO22:RO23"/>
    <mergeCell ref="RP22:RP23"/>
    <mergeCell ref="RQ22:RQ23"/>
    <mergeCell ref="RR22:RR23"/>
    <mergeCell ref="RS22:RS23"/>
    <mergeCell ref="RT22:RT23"/>
    <mergeCell ref="RU22:RU23"/>
    <mergeCell ref="RV22:RV23"/>
    <mergeCell ref="RW22:RW23"/>
    <mergeCell ref="RX22:RX23"/>
    <mergeCell ref="RY22:RY23"/>
    <mergeCell ref="RZ22:RZ23"/>
    <mergeCell ref="SA22:SA23"/>
    <mergeCell ref="SB22:SB23"/>
    <mergeCell ref="SC22:SC23"/>
    <mergeCell ref="SD22:SD23"/>
    <mergeCell ref="SE22:SE23"/>
    <mergeCell ref="SF22:SF23"/>
    <mergeCell ref="SG22:SG23"/>
    <mergeCell ref="SH22:SH23"/>
    <mergeCell ref="SI22:SI23"/>
    <mergeCell ref="SJ22:SJ23"/>
    <mergeCell ref="SK22:SK23"/>
    <mergeCell ref="SL22:SL23"/>
    <mergeCell ref="SM22:SM23"/>
    <mergeCell ref="SN22:SN23"/>
    <mergeCell ref="SO22:SO23"/>
    <mergeCell ref="SP22:SP23"/>
    <mergeCell ref="SQ22:SQ23"/>
    <mergeCell ref="SR22:SR23"/>
    <mergeCell ref="QE22:QE23"/>
    <mergeCell ref="QF22:QF23"/>
    <mergeCell ref="QG22:QG23"/>
    <mergeCell ref="QH22:QH23"/>
    <mergeCell ref="QI22:QI23"/>
    <mergeCell ref="QJ22:QJ23"/>
    <mergeCell ref="QK22:QK23"/>
    <mergeCell ref="QL22:QL23"/>
    <mergeCell ref="QM22:QM23"/>
    <mergeCell ref="QN22:QN23"/>
    <mergeCell ref="QO22:QO23"/>
    <mergeCell ref="QP22:QP23"/>
    <mergeCell ref="QQ22:QQ23"/>
    <mergeCell ref="QR22:QR23"/>
    <mergeCell ref="QS22:QS23"/>
    <mergeCell ref="QT22:QT23"/>
    <mergeCell ref="QU22:QU23"/>
    <mergeCell ref="QV22:QV23"/>
    <mergeCell ref="QW22:QW23"/>
    <mergeCell ref="QX22:QX23"/>
    <mergeCell ref="QY22:QY23"/>
    <mergeCell ref="QZ22:QZ23"/>
    <mergeCell ref="RA22:RA23"/>
    <mergeCell ref="RB22:RB23"/>
    <mergeCell ref="RC22:RC23"/>
    <mergeCell ref="RD22:RD23"/>
    <mergeCell ref="RE22:RE23"/>
    <mergeCell ref="RF22:RF23"/>
    <mergeCell ref="RG22:RG23"/>
    <mergeCell ref="RH22:RH23"/>
    <mergeCell ref="RI22:RI23"/>
    <mergeCell ref="RJ22:RJ23"/>
    <mergeCell ref="RK22:RK23"/>
    <mergeCell ref="OX22:OX23"/>
    <mergeCell ref="OY22:OY23"/>
    <mergeCell ref="OZ22:OZ23"/>
    <mergeCell ref="PA22:PA23"/>
    <mergeCell ref="PB22:PB23"/>
    <mergeCell ref="PC22:PC23"/>
    <mergeCell ref="PD22:PD23"/>
    <mergeCell ref="PE22:PE23"/>
    <mergeCell ref="PF22:PF23"/>
    <mergeCell ref="PG22:PG23"/>
    <mergeCell ref="PH22:PH23"/>
    <mergeCell ref="PI22:PI23"/>
    <mergeCell ref="PJ22:PJ23"/>
    <mergeCell ref="PK22:PK23"/>
    <mergeCell ref="PL22:PL23"/>
    <mergeCell ref="PM22:PM23"/>
    <mergeCell ref="PN22:PN23"/>
    <mergeCell ref="PO22:PO23"/>
    <mergeCell ref="PP22:PP23"/>
    <mergeCell ref="PQ22:PQ23"/>
    <mergeCell ref="PR22:PR23"/>
    <mergeCell ref="PS22:PS23"/>
    <mergeCell ref="PT22:PT23"/>
    <mergeCell ref="PU22:PU23"/>
    <mergeCell ref="PV22:PV23"/>
    <mergeCell ref="PW22:PW23"/>
    <mergeCell ref="PX22:PX23"/>
    <mergeCell ref="PY22:PY23"/>
    <mergeCell ref="PZ22:PZ23"/>
    <mergeCell ref="QA22:QA23"/>
    <mergeCell ref="QB22:QB23"/>
    <mergeCell ref="QC22:QC23"/>
    <mergeCell ref="QD22:QD23"/>
    <mergeCell ref="NQ22:NQ23"/>
    <mergeCell ref="NR22:NR23"/>
    <mergeCell ref="NS22:NS23"/>
    <mergeCell ref="NT22:NT23"/>
    <mergeCell ref="NU22:NU23"/>
    <mergeCell ref="NV22:NV23"/>
    <mergeCell ref="NW22:NW23"/>
    <mergeCell ref="NX22:NX23"/>
    <mergeCell ref="NY22:NY23"/>
    <mergeCell ref="NZ22:NZ23"/>
    <mergeCell ref="OA22:OA23"/>
    <mergeCell ref="OB22:OB23"/>
    <mergeCell ref="OC22:OC23"/>
    <mergeCell ref="OD22:OD23"/>
    <mergeCell ref="OE22:OE23"/>
    <mergeCell ref="OF22:OF23"/>
    <mergeCell ref="OG22:OG23"/>
    <mergeCell ref="OH22:OH23"/>
    <mergeCell ref="OI22:OI23"/>
    <mergeCell ref="OJ22:OJ23"/>
    <mergeCell ref="OK22:OK23"/>
    <mergeCell ref="OL22:OL23"/>
    <mergeCell ref="OM22:OM23"/>
    <mergeCell ref="ON22:ON23"/>
    <mergeCell ref="OO22:OO23"/>
    <mergeCell ref="OP22:OP23"/>
    <mergeCell ref="OQ22:OQ23"/>
    <mergeCell ref="OR22:OR23"/>
    <mergeCell ref="OS22:OS23"/>
    <mergeCell ref="OT22:OT23"/>
    <mergeCell ref="OU22:OU23"/>
    <mergeCell ref="OV22:OV23"/>
    <mergeCell ref="OW22:OW23"/>
    <mergeCell ref="AHI22:AHI23"/>
    <mergeCell ref="AHJ22:AHJ23"/>
    <mergeCell ref="AHK22:AHK23"/>
    <mergeCell ref="AHL22:AHL23"/>
    <mergeCell ref="AHM22:AHM23"/>
    <mergeCell ref="AHU22:AHU23"/>
    <mergeCell ref="AHV22:AHV23"/>
    <mergeCell ref="AHW22:AHW23"/>
    <mergeCell ref="AHZ22:AHZ23"/>
    <mergeCell ref="AIA22:AIA23"/>
    <mergeCell ref="AHN22:AHN23"/>
    <mergeCell ref="AHO22:AHO23"/>
    <mergeCell ref="AHP22:AHP23"/>
    <mergeCell ref="AHQ22:AHQ23"/>
    <mergeCell ref="AHR22:AHR23"/>
    <mergeCell ref="AHS22:AHS23"/>
    <mergeCell ref="AHT22:AHT23"/>
    <mergeCell ref="AFJ22:AFJ23"/>
    <mergeCell ref="AFK22:AFK23"/>
    <mergeCell ref="AFL22:AFL23"/>
    <mergeCell ref="AFM22:AFM23"/>
    <mergeCell ref="AFN22:AFN23"/>
    <mergeCell ref="AFO22:AFO23"/>
    <mergeCell ref="AFP22:AFP23"/>
    <mergeCell ref="AFQ22:AFQ23"/>
    <mergeCell ref="AFR22:AFR23"/>
    <mergeCell ref="AFS22:AFS23"/>
    <mergeCell ref="AFT22:AFT23"/>
    <mergeCell ref="AFU22:AFU23"/>
    <mergeCell ref="AFV22:AFV23"/>
    <mergeCell ref="AFW22:AFW23"/>
    <mergeCell ref="AFX22:AFX23"/>
    <mergeCell ref="AFY22:AFY23"/>
    <mergeCell ref="AFZ22:AFZ23"/>
    <mergeCell ref="AGA22:AGA23"/>
    <mergeCell ref="AGB22:AGB23"/>
    <mergeCell ref="AGC22:AGC23"/>
    <mergeCell ref="AGD22:AGD23"/>
    <mergeCell ref="AGE22:AGE23"/>
    <mergeCell ref="AGF22:AGF23"/>
    <mergeCell ref="AGG22:AGG23"/>
    <mergeCell ref="AGH22:AGH23"/>
    <mergeCell ref="AGI22:AGI23"/>
    <mergeCell ref="AGJ22:AGJ23"/>
    <mergeCell ref="AGK22:AGK23"/>
    <mergeCell ref="AGL22:AGL23"/>
    <mergeCell ref="AGM22:AGM23"/>
    <mergeCell ref="AGN22:AGN23"/>
    <mergeCell ref="AGO22:AGO23"/>
    <mergeCell ref="AGP22:AGP23"/>
    <mergeCell ref="AGQ22:AGQ23"/>
    <mergeCell ref="AGR22:AGR23"/>
    <mergeCell ref="AGS22:AGS23"/>
    <mergeCell ref="AGT22:AGT23"/>
    <mergeCell ref="AGU22:AGU23"/>
    <mergeCell ref="AGV22:AGV23"/>
    <mergeCell ref="AGW22:AGW23"/>
    <mergeCell ref="AGX22:AGX23"/>
    <mergeCell ref="AGY22:AGY23"/>
    <mergeCell ref="AGZ22:AGZ23"/>
    <mergeCell ref="AHA22:AHA23"/>
    <mergeCell ref="AHB22:AHB23"/>
    <mergeCell ref="AHC22:AHC23"/>
    <mergeCell ref="AHD22:AHD23"/>
    <mergeCell ref="AEE22:AEE23"/>
    <mergeCell ref="AEF22:AEF23"/>
    <mergeCell ref="AEG22:AEG23"/>
    <mergeCell ref="AEH22:AEH23"/>
    <mergeCell ref="AEI22:AEI23"/>
    <mergeCell ref="AEJ22:AEJ23"/>
    <mergeCell ref="AEK22:AEK23"/>
    <mergeCell ref="AEL22:AEL23"/>
    <mergeCell ref="AEM22:AEM23"/>
    <mergeCell ref="AEN22:AEN23"/>
    <mergeCell ref="AEO22:AEO23"/>
    <mergeCell ref="AEP22:AEP23"/>
    <mergeCell ref="AEQ22:AEQ23"/>
    <mergeCell ref="AER22:AER23"/>
    <mergeCell ref="AES22:AES23"/>
    <mergeCell ref="AET22:AET23"/>
    <mergeCell ref="AEU22:AEU23"/>
    <mergeCell ref="AEV22:AEV23"/>
    <mergeCell ref="AEW22:AEW23"/>
    <mergeCell ref="AEX22:AEX23"/>
    <mergeCell ref="AEY22:AEY23"/>
    <mergeCell ref="AEZ22:AEZ23"/>
    <mergeCell ref="AFA22:AFA23"/>
    <mergeCell ref="AFB22:AFB23"/>
    <mergeCell ref="AFC22:AFC23"/>
    <mergeCell ref="AFD22:AFD23"/>
    <mergeCell ref="AFE22:AFE23"/>
    <mergeCell ref="AFF22:AFF23"/>
    <mergeCell ref="AFG22:AFG23"/>
    <mergeCell ref="AFH22:AFH23"/>
    <mergeCell ref="AFI22:AFI23"/>
    <mergeCell ref="AHG22:AHG23"/>
    <mergeCell ref="AHH22:AHH23"/>
    <mergeCell ref="AHE22:AHE23"/>
    <mergeCell ref="AHF22:AHF23"/>
    <mergeCell ref="ACX22:ACX23"/>
    <mergeCell ref="ACY22:ACY23"/>
    <mergeCell ref="ACZ22:ACZ23"/>
    <mergeCell ref="ADA22:ADA23"/>
    <mergeCell ref="ADB22:ADB23"/>
    <mergeCell ref="ADC22:ADC23"/>
    <mergeCell ref="ADD22:ADD23"/>
    <mergeCell ref="ADE22:ADE23"/>
    <mergeCell ref="ADF22:ADF23"/>
    <mergeCell ref="ADG22:ADG23"/>
    <mergeCell ref="ADH22:ADH23"/>
    <mergeCell ref="ADI22:ADI23"/>
    <mergeCell ref="ADJ22:ADJ23"/>
    <mergeCell ref="ADK22:ADK23"/>
    <mergeCell ref="ADL22:ADL23"/>
    <mergeCell ref="ADM22:ADM23"/>
    <mergeCell ref="ADN22:ADN23"/>
    <mergeCell ref="ADO22:ADO23"/>
    <mergeCell ref="ADP22:ADP23"/>
    <mergeCell ref="ADQ22:ADQ23"/>
    <mergeCell ref="ADR22:ADR23"/>
    <mergeCell ref="ADS22:ADS23"/>
    <mergeCell ref="ADT22:ADT23"/>
    <mergeCell ref="ADU22:ADU23"/>
    <mergeCell ref="ADV22:ADV23"/>
    <mergeCell ref="ADW22:ADW23"/>
    <mergeCell ref="ADX22:ADX23"/>
    <mergeCell ref="ADY22:ADY23"/>
    <mergeCell ref="ADZ22:ADZ23"/>
    <mergeCell ref="AEA22:AEA23"/>
    <mergeCell ref="AEB22:AEB23"/>
    <mergeCell ref="AEC22:AEC23"/>
    <mergeCell ref="AED22:AED23"/>
    <mergeCell ref="ABO22:ABO23"/>
    <mergeCell ref="ABP22:ABP23"/>
    <mergeCell ref="ABQ22:ABQ23"/>
    <mergeCell ref="ABR22:ABR23"/>
    <mergeCell ref="ABS22:ABS23"/>
    <mergeCell ref="ABT22:ABT23"/>
    <mergeCell ref="ABU22:ABU23"/>
    <mergeCell ref="ABV22:ABV23"/>
    <mergeCell ref="ABW22:ABW23"/>
    <mergeCell ref="ABX22:ABX23"/>
    <mergeCell ref="ABY22:ABY23"/>
    <mergeCell ref="ABZ22:ABZ23"/>
    <mergeCell ref="ACA22:ACA23"/>
    <mergeCell ref="ACB22:ACB23"/>
    <mergeCell ref="ACC22:ACC23"/>
    <mergeCell ref="ACD22:ACD23"/>
    <mergeCell ref="ACE22:ACE23"/>
    <mergeCell ref="ACF22:ACF23"/>
    <mergeCell ref="ACG22:ACG23"/>
    <mergeCell ref="ACH22:ACH23"/>
    <mergeCell ref="ACI22:ACI23"/>
    <mergeCell ref="ACJ22:ACJ23"/>
    <mergeCell ref="ACK22:ACK23"/>
    <mergeCell ref="ACL22:ACL23"/>
    <mergeCell ref="ACM22:ACM23"/>
    <mergeCell ref="ACN22:ACN23"/>
    <mergeCell ref="ACO22:ACO23"/>
    <mergeCell ref="ACP22:ACP23"/>
    <mergeCell ref="ACQ22:ACQ23"/>
    <mergeCell ref="ACR22:ACR23"/>
    <mergeCell ref="ACS22:ACS23"/>
    <mergeCell ref="ACV22:ACV23"/>
    <mergeCell ref="ACW22:ACW23"/>
    <mergeCell ref="AAH22:AAH23"/>
    <mergeCell ref="AAI22:AAI23"/>
    <mergeCell ref="AAJ22:AAJ23"/>
    <mergeCell ref="AAK22:AAK23"/>
    <mergeCell ref="AAL22:AAL23"/>
    <mergeCell ref="AAM22:AAM23"/>
    <mergeCell ref="AAN22:AAN23"/>
    <mergeCell ref="AAO22:AAO23"/>
    <mergeCell ref="AAP22:AAP23"/>
    <mergeCell ref="AAQ22:AAQ23"/>
    <mergeCell ref="AAR22:AAR23"/>
    <mergeCell ref="AAS22:AAS23"/>
    <mergeCell ref="AAT22:AAT23"/>
    <mergeCell ref="AAU22:AAU23"/>
    <mergeCell ref="AAV22:AAV23"/>
    <mergeCell ref="AAW22:AAW23"/>
    <mergeCell ref="AAX22:AAX23"/>
    <mergeCell ref="AAY22:AAY23"/>
    <mergeCell ref="AAZ22:AAZ23"/>
    <mergeCell ref="ABA22:ABA23"/>
    <mergeCell ref="ABB22:ABB23"/>
    <mergeCell ref="ABC22:ABC23"/>
    <mergeCell ref="ABD22:ABD23"/>
    <mergeCell ref="ABE22:ABE23"/>
    <mergeCell ref="ABF22:ABF23"/>
    <mergeCell ref="ABG22:ABG23"/>
    <mergeCell ref="ABH22:ABH23"/>
    <mergeCell ref="ABI22:ABI23"/>
    <mergeCell ref="ABJ22:ABJ23"/>
    <mergeCell ref="ABK22:ABK23"/>
    <mergeCell ref="ABL22:ABL23"/>
    <mergeCell ref="ABM22:ABM23"/>
    <mergeCell ref="ABN22:ABN23"/>
    <mergeCell ref="FT19:FT21"/>
    <mergeCell ref="FU19:FU21"/>
    <mergeCell ref="FV19:FV21"/>
    <mergeCell ref="FW19:FW21"/>
    <mergeCell ref="FX19:FX21"/>
    <mergeCell ref="FY19:FY21"/>
    <mergeCell ref="FZ19:FZ21"/>
    <mergeCell ref="GA19:GA21"/>
    <mergeCell ref="GB19:GB21"/>
    <mergeCell ref="EF19:EF21"/>
    <mergeCell ref="EG19:EG21"/>
    <mergeCell ref="EH19:EH21"/>
    <mergeCell ref="EI19:EI21"/>
    <mergeCell ref="EJ19:EJ21"/>
    <mergeCell ref="EK19:EK21"/>
    <mergeCell ref="EL19:EL21"/>
    <mergeCell ref="ZQ22:ZQ23"/>
    <mergeCell ref="ZR22:ZR23"/>
    <mergeCell ref="ZS22:ZS23"/>
    <mergeCell ref="ZT22:ZT23"/>
    <mergeCell ref="ZU22:ZU23"/>
    <mergeCell ref="ZV22:ZV23"/>
    <mergeCell ref="ZW22:ZW23"/>
    <mergeCell ref="ZX22:ZX23"/>
    <mergeCell ref="ZY22:ZY23"/>
    <mergeCell ref="ZZ22:ZZ23"/>
    <mergeCell ref="AAA22:AAA23"/>
    <mergeCell ref="AAB22:AAB23"/>
    <mergeCell ref="AAC22:AAC23"/>
    <mergeCell ref="AAD22:AAD23"/>
    <mergeCell ref="AAE22:AAE23"/>
    <mergeCell ref="AAF22:AAF23"/>
    <mergeCell ref="AAG22:AAG23"/>
    <mergeCell ref="ML22:ML23"/>
    <mergeCell ref="MM22:MM23"/>
    <mergeCell ref="MN22:MN23"/>
    <mergeCell ref="MO22:MO23"/>
    <mergeCell ref="MP22:MP23"/>
    <mergeCell ref="MQ22:MQ23"/>
    <mergeCell ref="MR22:MR23"/>
    <mergeCell ref="MS22:MS23"/>
    <mergeCell ref="MT22:MT23"/>
    <mergeCell ref="MU22:MU23"/>
    <mergeCell ref="MV22:MV23"/>
    <mergeCell ref="MW22:MW23"/>
    <mergeCell ref="MX22:MX23"/>
    <mergeCell ref="MY22:MY23"/>
    <mergeCell ref="MZ22:MZ23"/>
    <mergeCell ref="NA22:NA23"/>
    <mergeCell ref="NB22:NB23"/>
    <mergeCell ref="NC22:NC23"/>
    <mergeCell ref="ND22:ND23"/>
    <mergeCell ref="NE22:NE23"/>
    <mergeCell ref="NF22:NF23"/>
    <mergeCell ref="NG22:NG23"/>
    <mergeCell ref="NH22:NH23"/>
    <mergeCell ref="NI22:NI23"/>
    <mergeCell ref="NJ22:NJ23"/>
    <mergeCell ref="NK22:NK23"/>
    <mergeCell ref="NL22:NL23"/>
    <mergeCell ref="NM22:NM23"/>
    <mergeCell ref="NN22:NN23"/>
    <mergeCell ref="NO22:NO23"/>
    <mergeCell ref="NP22:NP23"/>
    <mergeCell ref="EM19:EM21"/>
    <mergeCell ref="EN19:EN21"/>
    <mergeCell ref="EO19:EO21"/>
    <mergeCell ref="EP19:EP21"/>
    <mergeCell ref="EQ19:EQ21"/>
    <mergeCell ref="ER19:ER21"/>
    <mergeCell ref="ES19:ES21"/>
    <mergeCell ref="ET19:ET21"/>
    <mergeCell ref="EU19:EU21"/>
    <mergeCell ref="EV19:EV21"/>
    <mergeCell ref="EW19:EW21"/>
    <mergeCell ref="EX19:EX21"/>
    <mergeCell ref="EY19:EY21"/>
    <mergeCell ref="EZ19:EZ21"/>
    <mergeCell ref="FA19:FA21"/>
    <mergeCell ref="FB19:FB21"/>
    <mergeCell ref="FC19:FC21"/>
    <mergeCell ref="FD19:FD21"/>
    <mergeCell ref="FE19:FE21"/>
    <mergeCell ref="FF19:FF21"/>
    <mergeCell ref="FG19:FG21"/>
    <mergeCell ref="FH19:FH21"/>
    <mergeCell ref="FI19:FI21"/>
    <mergeCell ref="FJ19:FJ21"/>
    <mergeCell ref="FK19:FK21"/>
    <mergeCell ref="FL19:FL21"/>
    <mergeCell ref="FM19:FM21"/>
    <mergeCell ref="FN19:FN21"/>
    <mergeCell ref="FO19:FO21"/>
    <mergeCell ref="FP19:FP21"/>
    <mergeCell ref="FQ19:FQ21"/>
    <mergeCell ref="FR19:FR21"/>
    <mergeCell ref="FS19:FS21"/>
    <mergeCell ref="QK19:QK21"/>
    <mergeCell ref="QL19:QL21"/>
    <mergeCell ref="QM19:QM21"/>
    <mergeCell ref="QN19:QN21"/>
    <mergeCell ref="QO19:QO21"/>
    <mergeCell ref="QP19:QP21"/>
    <mergeCell ref="QQ19:QQ21"/>
    <mergeCell ref="QR19:QR21"/>
    <mergeCell ref="QS19:QS21"/>
    <mergeCell ref="QT19:QT21"/>
    <mergeCell ref="QU19:QU21"/>
    <mergeCell ref="QV19:QV21"/>
    <mergeCell ref="QW19:QW21"/>
    <mergeCell ref="QX19:QX21"/>
    <mergeCell ref="QY19:QY21"/>
    <mergeCell ref="QZ19:QZ21"/>
    <mergeCell ref="RA19:RA21"/>
    <mergeCell ref="RB19:RB21"/>
    <mergeCell ref="RC19:RC21"/>
    <mergeCell ref="RD19:RD21"/>
    <mergeCell ref="RE19:RE21"/>
    <mergeCell ref="RF19:RF21"/>
    <mergeCell ref="RG19:RG21"/>
    <mergeCell ref="RH19:RH21"/>
    <mergeCell ref="RI19:RI21"/>
    <mergeCell ref="RJ19:RJ21"/>
    <mergeCell ref="RK19:RK21"/>
    <mergeCell ref="RL19:RL21"/>
    <mergeCell ref="RM19:RM21"/>
    <mergeCell ref="RN19:RN21"/>
    <mergeCell ref="RO19:RO21"/>
    <mergeCell ref="RP19:RP21"/>
    <mergeCell ref="PT20:PT21"/>
    <mergeCell ref="PU20:PU21"/>
    <mergeCell ref="PV19:PV21"/>
    <mergeCell ref="PW19:PW21"/>
    <mergeCell ref="PX19:PX21"/>
    <mergeCell ref="PY19:PY21"/>
    <mergeCell ref="PZ19:PZ21"/>
    <mergeCell ref="OU19:OU21"/>
    <mergeCell ref="OV19:OV21"/>
    <mergeCell ref="OW19:OW21"/>
    <mergeCell ref="OX19:OX21"/>
    <mergeCell ref="OY19:OY21"/>
    <mergeCell ref="OZ19:OZ21"/>
    <mergeCell ref="PA19:PA21"/>
    <mergeCell ref="PK19:PK21"/>
    <mergeCell ref="PL19:PL21"/>
    <mergeCell ref="PM19:PM21"/>
    <mergeCell ref="PN19:PN21"/>
    <mergeCell ref="PO19:PO21"/>
    <mergeCell ref="PP19:PP21"/>
    <mergeCell ref="PQ19:PQ21"/>
    <mergeCell ref="PH20:PH21"/>
    <mergeCell ref="PI20:PI21"/>
    <mergeCell ref="PB19:PB21"/>
    <mergeCell ref="PC19:PC21"/>
    <mergeCell ref="PD19:PD21"/>
    <mergeCell ref="PE19:PE21"/>
    <mergeCell ref="PF19:PF21"/>
    <mergeCell ref="PG19:PG21"/>
    <mergeCell ref="PJ19:PJ21"/>
    <mergeCell ref="QA19:QA21"/>
    <mergeCell ref="QB19:QB21"/>
    <mergeCell ref="QC19:QC21"/>
    <mergeCell ref="QD19:QD21"/>
    <mergeCell ref="QE19:QE21"/>
    <mergeCell ref="QF19:QF21"/>
    <mergeCell ref="QG19:QG21"/>
    <mergeCell ref="QH19:QH21"/>
    <mergeCell ref="QI19:QI21"/>
    <mergeCell ref="QJ19:QJ21"/>
    <mergeCell ref="PR19:PR21"/>
    <mergeCell ref="PS19:PS21"/>
    <mergeCell ref="NN19:NN21"/>
    <mergeCell ref="NO19:NO21"/>
    <mergeCell ref="NP19:NP21"/>
    <mergeCell ref="NQ19:NQ21"/>
    <mergeCell ref="NR19:NR21"/>
    <mergeCell ref="NS19:NS21"/>
    <mergeCell ref="NT19:NT21"/>
    <mergeCell ref="NU19:NU21"/>
    <mergeCell ref="NV19:NV21"/>
    <mergeCell ref="NW19:NW21"/>
    <mergeCell ref="NX19:NX21"/>
    <mergeCell ref="NY19:NY21"/>
    <mergeCell ref="NZ19:NZ21"/>
    <mergeCell ref="OA19:OA21"/>
    <mergeCell ref="OB19:OB21"/>
    <mergeCell ref="OC19:OC21"/>
    <mergeCell ref="OD19:OD21"/>
    <mergeCell ref="OE19:OE21"/>
    <mergeCell ref="OF19:OF21"/>
    <mergeCell ref="OG19:OG21"/>
    <mergeCell ref="OH19:OH21"/>
    <mergeCell ref="OI19:OI21"/>
    <mergeCell ref="OJ19:OJ21"/>
    <mergeCell ref="OK19:OK21"/>
    <mergeCell ref="OL19:OL21"/>
    <mergeCell ref="OM19:OM21"/>
    <mergeCell ref="ON19:ON21"/>
    <mergeCell ref="OO19:OO21"/>
    <mergeCell ref="OP19:OP21"/>
    <mergeCell ref="OQ19:OQ21"/>
    <mergeCell ref="OR19:OR21"/>
    <mergeCell ref="OS19:OS21"/>
    <mergeCell ref="OT19:OT21"/>
    <mergeCell ref="MG19:MG21"/>
    <mergeCell ref="MH19:MH21"/>
    <mergeCell ref="MI19:MI21"/>
    <mergeCell ref="MJ19:MJ21"/>
    <mergeCell ref="MK19:MK21"/>
    <mergeCell ref="ML19:ML21"/>
    <mergeCell ref="MM19:MM21"/>
    <mergeCell ref="MN19:MN21"/>
    <mergeCell ref="MO19:MO21"/>
    <mergeCell ref="MP19:MP21"/>
    <mergeCell ref="MQ19:MQ21"/>
    <mergeCell ref="MR19:MR21"/>
    <mergeCell ref="MS19:MS21"/>
    <mergeCell ref="MT19:MT21"/>
    <mergeCell ref="MU19:MU21"/>
    <mergeCell ref="MV19:MV21"/>
    <mergeCell ref="MW19:MW21"/>
    <mergeCell ref="MX19:MX21"/>
    <mergeCell ref="MY19:MY21"/>
    <mergeCell ref="MZ19:MZ21"/>
    <mergeCell ref="NA19:NA21"/>
    <mergeCell ref="NB19:NB21"/>
    <mergeCell ref="NC19:NC21"/>
    <mergeCell ref="ND19:ND21"/>
    <mergeCell ref="NE19:NE21"/>
    <mergeCell ref="NF19:NF21"/>
    <mergeCell ref="NG19:NG21"/>
    <mergeCell ref="NH19:NH21"/>
    <mergeCell ref="NI19:NI21"/>
    <mergeCell ref="NJ19:NJ21"/>
    <mergeCell ref="NK19:NK21"/>
    <mergeCell ref="NL19:NL21"/>
    <mergeCell ref="NM19:NM21"/>
    <mergeCell ref="KZ19:KZ21"/>
    <mergeCell ref="LA19:LA21"/>
    <mergeCell ref="LB19:LB21"/>
    <mergeCell ref="LC19:LC21"/>
    <mergeCell ref="LD19:LD21"/>
    <mergeCell ref="LE19:LE21"/>
    <mergeCell ref="LF19:LF21"/>
    <mergeCell ref="LG19:LG21"/>
    <mergeCell ref="LH19:LH21"/>
    <mergeCell ref="LI19:LI21"/>
    <mergeCell ref="LJ19:LJ21"/>
    <mergeCell ref="LK19:LK21"/>
    <mergeCell ref="LL19:LL21"/>
    <mergeCell ref="LM19:LM21"/>
    <mergeCell ref="LN19:LN21"/>
    <mergeCell ref="LO19:LO21"/>
    <mergeCell ref="LP19:LP21"/>
    <mergeCell ref="LQ19:LQ21"/>
    <mergeCell ref="LR19:LR21"/>
    <mergeCell ref="LS19:LS21"/>
    <mergeCell ref="LT19:LT21"/>
    <mergeCell ref="LU19:LU21"/>
    <mergeCell ref="LV19:LV21"/>
    <mergeCell ref="LW19:LW21"/>
    <mergeCell ref="LX19:LX21"/>
    <mergeCell ref="LY19:LY21"/>
    <mergeCell ref="LZ19:LZ21"/>
    <mergeCell ref="MA19:MA21"/>
    <mergeCell ref="MB19:MB21"/>
    <mergeCell ref="MC19:MC21"/>
    <mergeCell ref="MD19:MD21"/>
    <mergeCell ref="ME19:ME21"/>
    <mergeCell ref="MF19:MF21"/>
    <mergeCell ref="JS19:JS21"/>
    <mergeCell ref="JT19:JT21"/>
    <mergeCell ref="JU19:JU21"/>
    <mergeCell ref="JV19:JV21"/>
    <mergeCell ref="JW19:JW21"/>
    <mergeCell ref="JX19:JX21"/>
    <mergeCell ref="JY19:JY21"/>
    <mergeCell ref="JZ19:JZ21"/>
    <mergeCell ref="KA19:KA21"/>
    <mergeCell ref="KB19:KB21"/>
    <mergeCell ref="KC19:KC21"/>
    <mergeCell ref="KD19:KD21"/>
    <mergeCell ref="KE19:KE21"/>
    <mergeCell ref="KF19:KF21"/>
    <mergeCell ref="KG19:KG21"/>
    <mergeCell ref="KH19:KH21"/>
    <mergeCell ref="KI19:KI21"/>
    <mergeCell ref="KJ19:KJ21"/>
    <mergeCell ref="KK19:KK21"/>
    <mergeCell ref="KL19:KL21"/>
    <mergeCell ref="KM19:KM21"/>
    <mergeCell ref="KN19:KN21"/>
    <mergeCell ref="KO19:KO21"/>
    <mergeCell ref="KP19:KP21"/>
    <mergeCell ref="KQ19:KQ21"/>
    <mergeCell ref="KR19:KR21"/>
    <mergeCell ref="KS19:KS21"/>
    <mergeCell ref="KT19:KT21"/>
    <mergeCell ref="KU19:KU21"/>
    <mergeCell ref="KV19:KV21"/>
    <mergeCell ref="KW19:KW21"/>
    <mergeCell ref="KX19:KX21"/>
    <mergeCell ref="KY19:KY21"/>
    <mergeCell ref="IL19:IL21"/>
    <mergeCell ref="IM19:IM21"/>
    <mergeCell ref="IN19:IN21"/>
    <mergeCell ref="IO19:IO21"/>
    <mergeCell ref="IP19:IP21"/>
    <mergeCell ref="IQ19:IQ21"/>
    <mergeCell ref="IR19:IR21"/>
    <mergeCell ref="IS19:IS21"/>
    <mergeCell ref="IT19:IT21"/>
    <mergeCell ref="IU19:IU21"/>
    <mergeCell ref="IV19:IV21"/>
    <mergeCell ref="IW19:IW21"/>
    <mergeCell ref="IX19:IX21"/>
    <mergeCell ref="IY19:IY21"/>
    <mergeCell ref="IZ19:IZ21"/>
    <mergeCell ref="JA19:JA21"/>
    <mergeCell ref="JB19:JB21"/>
    <mergeCell ref="JC19:JC21"/>
    <mergeCell ref="JD19:JD21"/>
    <mergeCell ref="JE19:JE21"/>
    <mergeCell ref="JF19:JF21"/>
    <mergeCell ref="JG19:JG21"/>
    <mergeCell ref="JH19:JH21"/>
    <mergeCell ref="JI19:JI21"/>
    <mergeCell ref="JJ19:JJ21"/>
    <mergeCell ref="JK19:JK21"/>
    <mergeCell ref="JL19:JL21"/>
    <mergeCell ref="JM19:JM21"/>
    <mergeCell ref="JN19:JN21"/>
    <mergeCell ref="JO19:JO21"/>
    <mergeCell ref="JP19:JP21"/>
    <mergeCell ref="JQ19:JQ21"/>
    <mergeCell ref="JR19:JR21"/>
    <mergeCell ref="HE19:HE21"/>
    <mergeCell ref="HF19:HF21"/>
    <mergeCell ref="HG19:HG21"/>
    <mergeCell ref="HH19:HH21"/>
    <mergeCell ref="HI19:HI21"/>
    <mergeCell ref="HJ19:HJ21"/>
    <mergeCell ref="HK19:HK21"/>
    <mergeCell ref="HU19:HU21"/>
    <mergeCell ref="HV19:HV21"/>
    <mergeCell ref="HW19:HW21"/>
    <mergeCell ref="HX19:HX21"/>
    <mergeCell ref="HY19:HY21"/>
    <mergeCell ref="HZ19:HZ21"/>
    <mergeCell ref="IA19:IA21"/>
    <mergeCell ref="HN20:HN21"/>
    <mergeCell ref="HO20:HO21"/>
    <mergeCell ref="HL19:HL21"/>
    <mergeCell ref="HM19:HM21"/>
    <mergeCell ref="HP19:HP21"/>
    <mergeCell ref="HQ19:HQ21"/>
    <mergeCell ref="HR19:HR21"/>
    <mergeCell ref="HS19:HS21"/>
    <mergeCell ref="HT19:HT21"/>
    <mergeCell ref="IB19:IB21"/>
    <mergeCell ref="IC19:IC21"/>
    <mergeCell ref="ID19:ID21"/>
    <mergeCell ref="IE19:IE21"/>
    <mergeCell ref="IF19:IF21"/>
    <mergeCell ref="IG19:IG21"/>
    <mergeCell ref="IH19:IH21"/>
    <mergeCell ref="II19:II21"/>
    <mergeCell ref="IJ19:IJ21"/>
    <mergeCell ref="IK19:IK21"/>
    <mergeCell ref="AFD28:AFD29"/>
    <mergeCell ref="AFE28:AFE29"/>
    <mergeCell ref="AET27:AET29"/>
    <mergeCell ref="AEU27:AEU29"/>
    <mergeCell ref="AEV27:AEV29"/>
    <mergeCell ref="AEW27:AEW29"/>
    <mergeCell ref="AEX27:AEX29"/>
    <mergeCell ref="AEY27:AEY29"/>
    <mergeCell ref="AEZ27:AEZ29"/>
    <mergeCell ref="TU19:TU21"/>
    <mergeCell ref="TV19:TV21"/>
    <mergeCell ref="TN19:TN21"/>
    <mergeCell ref="TO19:TO21"/>
    <mergeCell ref="TP19:TP21"/>
    <mergeCell ref="TQ19:TQ21"/>
    <mergeCell ref="TR19:TR21"/>
    <mergeCell ref="TS19:TS21"/>
    <mergeCell ref="TT19:TT21"/>
    <mergeCell ref="RQ19:RQ21"/>
    <mergeCell ref="RR19:RR21"/>
    <mergeCell ref="RS19:RS21"/>
    <mergeCell ref="RT19:RT21"/>
    <mergeCell ref="RU19:RU21"/>
    <mergeCell ref="RV19:RV21"/>
    <mergeCell ref="RW19:RW21"/>
    <mergeCell ref="RX19:RX21"/>
    <mergeCell ref="RY19:RY21"/>
    <mergeCell ref="RZ19:RZ21"/>
    <mergeCell ref="SA19:SA21"/>
    <mergeCell ref="SB19:SB21"/>
    <mergeCell ref="SC19:SC21"/>
    <mergeCell ref="SD19:SD21"/>
    <mergeCell ref="SE19:SE21"/>
    <mergeCell ref="SF19:SF21"/>
    <mergeCell ref="SG19:SG21"/>
    <mergeCell ref="SH19:SH21"/>
    <mergeCell ref="SI19:SI21"/>
    <mergeCell ref="SJ19:SJ21"/>
    <mergeCell ref="SK19:SK21"/>
    <mergeCell ref="SL19:SL21"/>
    <mergeCell ref="SM19:SM21"/>
    <mergeCell ref="SN19:SN21"/>
    <mergeCell ref="SO19:SO21"/>
    <mergeCell ref="SP19:SP21"/>
    <mergeCell ref="SQ19:SQ21"/>
    <mergeCell ref="SR19:SR21"/>
    <mergeCell ref="SS19:SS21"/>
    <mergeCell ref="ST19:ST21"/>
    <mergeCell ref="SU19:SU21"/>
    <mergeCell ref="SV19:SV21"/>
    <mergeCell ref="SW19:SW21"/>
    <mergeCell ref="SX19:SX21"/>
    <mergeCell ref="SY19:SY21"/>
    <mergeCell ref="SZ19:SZ21"/>
    <mergeCell ref="TA19:TA21"/>
    <mergeCell ref="TB19:TB21"/>
    <mergeCell ref="TC19:TC21"/>
    <mergeCell ref="TD19:TD21"/>
    <mergeCell ref="TE19:TE21"/>
    <mergeCell ref="TF19:TF21"/>
    <mergeCell ref="TG19:TG21"/>
    <mergeCell ref="TH19:TH21"/>
    <mergeCell ref="TI19:TI21"/>
    <mergeCell ref="TJ19:TJ21"/>
    <mergeCell ref="ADM27:ADM29"/>
    <mergeCell ref="ADN27:ADN29"/>
    <mergeCell ref="ADO27:ADO29"/>
    <mergeCell ref="ADP27:ADP29"/>
    <mergeCell ref="ADQ27:ADQ29"/>
    <mergeCell ref="ADR27:ADR29"/>
    <mergeCell ref="ADS27:ADS29"/>
    <mergeCell ref="ADT27:ADT29"/>
    <mergeCell ref="ADU27:ADU29"/>
    <mergeCell ref="ADV27:ADV29"/>
    <mergeCell ref="ADW27:ADW29"/>
    <mergeCell ref="ADX27:ADX29"/>
    <mergeCell ref="ADY27:ADY29"/>
    <mergeCell ref="ADZ27:ADZ29"/>
    <mergeCell ref="AEA27:AEA29"/>
    <mergeCell ref="AEB27:AEB29"/>
    <mergeCell ref="AEC27:AEC29"/>
    <mergeCell ref="AED27:AED29"/>
    <mergeCell ref="AEE27:AEE29"/>
    <mergeCell ref="AEF27:AEF29"/>
    <mergeCell ref="AEG27:AEG29"/>
    <mergeCell ref="AEH27:AEH29"/>
    <mergeCell ref="AEI27:AEI29"/>
    <mergeCell ref="AEJ27:AEJ29"/>
    <mergeCell ref="AEK27:AEK29"/>
    <mergeCell ref="AEL27:AEL29"/>
    <mergeCell ref="AEM27:AEM29"/>
    <mergeCell ref="AEN27:AEN29"/>
    <mergeCell ref="AEO27:AEO29"/>
    <mergeCell ref="AEP27:AEP29"/>
    <mergeCell ref="AEQ27:AEQ29"/>
    <mergeCell ref="AER27:AER29"/>
    <mergeCell ref="AES27:AES29"/>
    <mergeCell ref="AHI27:AHI29"/>
    <mergeCell ref="AHJ27:AHJ29"/>
    <mergeCell ref="AHK27:AHK29"/>
    <mergeCell ref="AHL27:AHL29"/>
    <mergeCell ref="AHM27:AHM29"/>
    <mergeCell ref="AHN27:AHN29"/>
    <mergeCell ref="AHO27:AHO29"/>
    <mergeCell ref="AHW27:AHW29"/>
    <mergeCell ref="AHZ27:AHZ29"/>
    <mergeCell ref="AIA27:AIA29"/>
    <mergeCell ref="AHX28:AHX29"/>
    <mergeCell ref="AHY28:AHY29"/>
    <mergeCell ref="AHP27:AHP29"/>
    <mergeCell ref="AHQ27:AHQ29"/>
    <mergeCell ref="AHR27:AHR29"/>
    <mergeCell ref="AHS27:AHS29"/>
    <mergeCell ref="AHT27:AHT29"/>
    <mergeCell ref="AHU27:AHU29"/>
    <mergeCell ref="AHV27:AHV29"/>
    <mergeCell ref="AFJ24:AFJ26"/>
    <mergeCell ref="AFK24:AFK26"/>
    <mergeCell ref="AFL24:AFL26"/>
    <mergeCell ref="AFM24:AFM26"/>
    <mergeCell ref="AFN24:AFN26"/>
    <mergeCell ref="AFO24:AFO26"/>
    <mergeCell ref="AFP24:AFP26"/>
    <mergeCell ref="AFQ24:AFQ26"/>
    <mergeCell ref="AFR24:AFR26"/>
    <mergeCell ref="AFS24:AFS26"/>
    <mergeCell ref="AFT24:AFT26"/>
    <mergeCell ref="AFU24:AFU26"/>
    <mergeCell ref="AFV24:AFV26"/>
    <mergeCell ref="AFW24:AFW26"/>
    <mergeCell ref="AFX24:AFX26"/>
    <mergeCell ref="AFY24:AFY26"/>
    <mergeCell ref="AFZ24:AFZ26"/>
    <mergeCell ref="AGA24:AGA26"/>
    <mergeCell ref="AGB24:AGB26"/>
    <mergeCell ref="AGC24:AGC26"/>
    <mergeCell ref="AGD24:AGD26"/>
    <mergeCell ref="AGE24:AGE26"/>
    <mergeCell ref="AGF24:AGF26"/>
    <mergeCell ref="AGG24:AGG26"/>
    <mergeCell ref="AGH24:AGH26"/>
    <mergeCell ref="AGI24:AGI26"/>
    <mergeCell ref="AGJ24:AGJ26"/>
    <mergeCell ref="AGK24:AGK26"/>
    <mergeCell ref="AGL24:AGL26"/>
    <mergeCell ref="AGM24:AGM26"/>
    <mergeCell ref="AGN24:AGN26"/>
    <mergeCell ref="AGO24:AGO26"/>
    <mergeCell ref="AGP24:AGP26"/>
    <mergeCell ref="AGQ24:AGQ26"/>
    <mergeCell ref="AGR24:AGR26"/>
    <mergeCell ref="AGS24:AGS26"/>
    <mergeCell ref="AGT24:AGT26"/>
    <mergeCell ref="AGU24:AGU26"/>
    <mergeCell ref="AGV24:AGV26"/>
    <mergeCell ref="AGW24:AGW26"/>
    <mergeCell ref="AGX24:AGX26"/>
    <mergeCell ref="AGY24:AGY26"/>
    <mergeCell ref="AGZ24:AGZ26"/>
    <mergeCell ref="AHA24:AHA26"/>
    <mergeCell ref="AHB24:AHB26"/>
    <mergeCell ref="AET24:AET26"/>
    <mergeCell ref="AEU24:AEU26"/>
    <mergeCell ref="AEV24:AEV26"/>
    <mergeCell ref="AEW24:AEW26"/>
    <mergeCell ref="AEX24:AEX26"/>
    <mergeCell ref="AEY24:AEY26"/>
    <mergeCell ref="AEZ24:AEZ26"/>
    <mergeCell ref="AFA24:AFA26"/>
    <mergeCell ref="AFB24:AFB26"/>
    <mergeCell ref="AFC24:AFC26"/>
    <mergeCell ref="AFD24:AFD26"/>
    <mergeCell ref="AFE24:AFE26"/>
    <mergeCell ref="AFF24:AFF26"/>
    <mergeCell ref="AFG24:AFG26"/>
    <mergeCell ref="AFH24:AFH26"/>
    <mergeCell ref="AFI24:AFI26"/>
    <mergeCell ref="AHU24:AHU26"/>
    <mergeCell ref="AHV24:AHV26"/>
    <mergeCell ref="AHW24:AHW26"/>
    <mergeCell ref="AHZ24:AHZ26"/>
    <mergeCell ref="AIA24:AIA26"/>
    <mergeCell ref="AHX25:AHX26"/>
    <mergeCell ref="AHY25:AHY26"/>
    <mergeCell ref="AHN24:AHN26"/>
    <mergeCell ref="AHO24:AHO26"/>
    <mergeCell ref="AHP24:AHP26"/>
    <mergeCell ref="AHQ24:AHQ26"/>
    <mergeCell ref="AHR24:AHR26"/>
    <mergeCell ref="AHS24:AHS26"/>
    <mergeCell ref="AHT24:AHT26"/>
    <mergeCell ref="AHG24:AHG26"/>
    <mergeCell ref="AHH24:AHH26"/>
    <mergeCell ref="AHI24:AHI26"/>
    <mergeCell ref="AHJ24:AHJ26"/>
    <mergeCell ref="AHK24:AHK26"/>
    <mergeCell ref="AHL24:AHL26"/>
    <mergeCell ref="AHM24:AHM26"/>
    <mergeCell ref="AHC24:AHC26"/>
    <mergeCell ref="AHD24:AHD26"/>
    <mergeCell ref="AHE24:AHE26"/>
    <mergeCell ref="AHF24:AHF26"/>
    <mergeCell ref="ADM24:ADM26"/>
    <mergeCell ref="ADN24:ADN26"/>
    <mergeCell ref="ADO24:ADO26"/>
    <mergeCell ref="ADP24:ADP26"/>
    <mergeCell ref="ADQ24:ADQ26"/>
    <mergeCell ref="ADR24:ADR26"/>
    <mergeCell ref="ADS24:ADS26"/>
    <mergeCell ref="ADT24:ADT26"/>
    <mergeCell ref="ADU24:ADU26"/>
    <mergeCell ref="ADV24:ADV26"/>
    <mergeCell ref="ADW24:ADW26"/>
    <mergeCell ref="ADX24:ADX26"/>
    <mergeCell ref="ADY24:ADY26"/>
    <mergeCell ref="ADZ24:ADZ26"/>
    <mergeCell ref="AEA24:AEA26"/>
    <mergeCell ref="AEB24:AEB26"/>
    <mergeCell ref="AEC24:AEC26"/>
    <mergeCell ref="AED24:AED26"/>
    <mergeCell ref="AEE24:AEE26"/>
    <mergeCell ref="AEF24:AEF26"/>
    <mergeCell ref="AEG24:AEG26"/>
    <mergeCell ref="AEH24:AEH26"/>
    <mergeCell ref="AEI24:AEI26"/>
    <mergeCell ref="AEJ24:AEJ26"/>
    <mergeCell ref="AEK24:AEK26"/>
    <mergeCell ref="AEL24:AEL26"/>
    <mergeCell ref="AEM24:AEM26"/>
    <mergeCell ref="AEN24:AEN26"/>
    <mergeCell ref="AEO24:AEO26"/>
    <mergeCell ref="AEP24:AEP26"/>
    <mergeCell ref="AEQ24:AEQ26"/>
    <mergeCell ref="AER24:AER26"/>
    <mergeCell ref="AES24:AES26"/>
    <mergeCell ref="ADJ27:ADJ29"/>
    <mergeCell ref="ADK27:ADK29"/>
    <mergeCell ref="ADL27:ADL29"/>
    <mergeCell ref="ADF24:ADF26"/>
    <mergeCell ref="ADG24:ADG26"/>
    <mergeCell ref="ADH24:ADH26"/>
    <mergeCell ref="ADI24:ADI26"/>
    <mergeCell ref="ADJ24:ADJ26"/>
    <mergeCell ref="ADK24:ADK26"/>
    <mergeCell ref="ADL24:ADL26"/>
    <mergeCell ref="ZQ24:ZQ26"/>
    <mergeCell ref="ZR24:ZR26"/>
    <mergeCell ref="ZS24:ZS26"/>
    <mergeCell ref="ZT24:ZT26"/>
    <mergeCell ref="ZU24:ZU26"/>
    <mergeCell ref="ZV24:ZV26"/>
    <mergeCell ref="ZW24:ZW26"/>
    <mergeCell ref="ZX24:ZX26"/>
    <mergeCell ref="ZY24:ZY26"/>
    <mergeCell ref="ZZ24:ZZ26"/>
    <mergeCell ref="AAA24:AAA26"/>
    <mergeCell ref="AAB24:AAB26"/>
    <mergeCell ref="AAC24:AAC26"/>
    <mergeCell ref="AAD24:AAD26"/>
    <mergeCell ref="AAE24:AAE26"/>
    <mergeCell ref="AAF24:AAF26"/>
    <mergeCell ref="AAG24:AAG26"/>
    <mergeCell ref="AAH24:AAH26"/>
    <mergeCell ref="AAI24:AAI26"/>
    <mergeCell ref="AAJ24:AAJ26"/>
    <mergeCell ref="AAK24:AAK26"/>
    <mergeCell ref="AAL24:AAL26"/>
    <mergeCell ref="AAM24:AAM26"/>
    <mergeCell ref="AAN24:AAN26"/>
    <mergeCell ref="AAO24:AAO26"/>
    <mergeCell ref="AAP24:AAP26"/>
    <mergeCell ref="AAQ24:AAQ26"/>
    <mergeCell ref="AAR24:AAR26"/>
    <mergeCell ref="AAS24:AAS26"/>
    <mergeCell ref="AAT24:AAT26"/>
    <mergeCell ref="AAU24:AAU26"/>
    <mergeCell ref="AAV24:AAV26"/>
    <mergeCell ref="AAW24:AAW26"/>
    <mergeCell ref="AAX24:AAX26"/>
    <mergeCell ref="AAY24:AAY26"/>
    <mergeCell ref="AAZ24:AAZ26"/>
    <mergeCell ref="ABA24:ABA26"/>
    <mergeCell ref="ABB24:ABB26"/>
    <mergeCell ref="ABC24:ABC26"/>
    <mergeCell ref="ABD24:ABD26"/>
    <mergeCell ref="ABE24:ABE26"/>
    <mergeCell ref="ABF24:ABF26"/>
    <mergeCell ref="ABG24:ABG26"/>
    <mergeCell ref="ABH24:ABH26"/>
    <mergeCell ref="ABI24:ABI26"/>
    <mergeCell ref="ABJ24:ABJ26"/>
    <mergeCell ref="ABK24:ABK26"/>
    <mergeCell ref="ABL24:ABL26"/>
    <mergeCell ref="ABM24:ABM26"/>
    <mergeCell ref="ACM27:ACM29"/>
    <mergeCell ref="ACN27:ACN29"/>
    <mergeCell ref="ACF27:ACF29"/>
    <mergeCell ref="ACG27:ACG29"/>
    <mergeCell ref="ACH27:ACH29"/>
    <mergeCell ref="ACT25:ACT26"/>
    <mergeCell ref="ACU25:ACU26"/>
    <mergeCell ref="ACT28:ACT29"/>
    <mergeCell ref="ACU28:ACU29"/>
    <mergeCell ref="ACP24:ACP26"/>
    <mergeCell ref="ACQ24:ACQ26"/>
    <mergeCell ref="ACR24:ACR26"/>
    <mergeCell ref="ACS24:ACS26"/>
    <mergeCell ref="ACV24:ACV26"/>
    <mergeCell ref="ACW24:ACW26"/>
    <mergeCell ref="ACX24:ACX26"/>
    <mergeCell ref="ABY27:ABY29"/>
    <mergeCell ref="ABZ27:ABZ29"/>
    <mergeCell ref="ACA27:ACA29"/>
    <mergeCell ref="ACB27:ACB29"/>
    <mergeCell ref="ACC27:ACC29"/>
    <mergeCell ref="ACD27:ACD29"/>
    <mergeCell ref="ACE27:ACE29"/>
    <mergeCell ref="ACI24:ACI26"/>
    <mergeCell ref="ACJ24:ACJ26"/>
    <mergeCell ref="ACK24:ACK26"/>
    <mergeCell ref="ACL24:ACL26"/>
    <mergeCell ref="ACM24:ACM26"/>
    <mergeCell ref="ACN24:ACN26"/>
    <mergeCell ref="ACO24:ACO26"/>
    <mergeCell ref="ACY24:ACY26"/>
    <mergeCell ref="ACZ24:ACZ26"/>
    <mergeCell ref="ADA24:ADA26"/>
    <mergeCell ref="ADB24:ADB26"/>
    <mergeCell ref="ADC24:ADC26"/>
    <mergeCell ref="ADD24:ADD26"/>
    <mergeCell ref="ADE24:ADE26"/>
    <mergeCell ref="ADI27:ADI29"/>
    <mergeCell ref="ACI27:ACI29"/>
    <mergeCell ref="ACJ27:ACJ29"/>
    <mergeCell ref="ACK27:ACK29"/>
    <mergeCell ref="ACL27:ACL29"/>
    <mergeCell ref="ACX27:ACX29"/>
    <mergeCell ref="ACY27:ACY29"/>
    <mergeCell ref="ACO27:ACO29"/>
    <mergeCell ref="ACP27:ACP29"/>
    <mergeCell ref="ACQ27:ACQ29"/>
    <mergeCell ref="ACR27:ACR29"/>
    <mergeCell ref="ACS27:ACS29"/>
    <mergeCell ref="ACV27:ACV29"/>
    <mergeCell ref="ACW27:ACW29"/>
    <mergeCell ref="ACZ27:ACZ29"/>
    <mergeCell ref="ADA27:ADA29"/>
    <mergeCell ref="ADB27:ADB29"/>
    <mergeCell ref="ADC27:ADC29"/>
    <mergeCell ref="ADD27:ADD29"/>
    <mergeCell ref="ADE27:ADE29"/>
    <mergeCell ref="ADF27:ADF29"/>
    <mergeCell ref="ADG27:ADG29"/>
    <mergeCell ref="ADH27:ADH29"/>
    <mergeCell ref="YY27:YY29"/>
    <mergeCell ref="YZ27:YZ29"/>
    <mergeCell ref="ZA27:ZA29"/>
    <mergeCell ref="ZB27:ZB29"/>
    <mergeCell ref="ZC27:ZC29"/>
    <mergeCell ref="ZD27:ZD29"/>
    <mergeCell ref="ZE27:ZE29"/>
    <mergeCell ref="ZF27:ZF29"/>
    <mergeCell ref="ZG27:ZG29"/>
    <mergeCell ref="ZH27:ZH29"/>
    <mergeCell ref="ZI27:ZI29"/>
    <mergeCell ref="ZJ27:ZJ29"/>
    <mergeCell ref="ZK27:ZK29"/>
    <mergeCell ref="ZL27:ZL29"/>
    <mergeCell ref="ZM27:ZM29"/>
    <mergeCell ref="ZN27:ZN29"/>
    <mergeCell ref="ZO27:ZO29"/>
    <mergeCell ref="ZP27:ZP29"/>
    <mergeCell ref="ZQ27:ZQ29"/>
    <mergeCell ref="ZR27:ZR29"/>
    <mergeCell ref="ACB24:ACB26"/>
    <mergeCell ref="ACC24:ACC26"/>
    <mergeCell ref="ACD24:ACD26"/>
    <mergeCell ref="ACE24:ACE26"/>
    <mergeCell ref="ACF24:ACF26"/>
    <mergeCell ref="ACG24:ACG26"/>
    <mergeCell ref="ACH24:ACH26"/>
    <mergeCell ref="ABU24:ABU26"/>
    <mergeCell ref="ABV24:ABV26"/>
    <mergeCell ref="ABW24:ABW26"/>
    <mergeCell ref="ABX24:ABX26"/>
    <mergeCell ref="ABY24:ABY26"/>
    <mergeCell ref="ABZ24:ABZ26"/>
    <mergeCell ref="ACA24:ACA26"/>
    <mergeCell ref="ABN24:ABN26"/>
    <mergeCell ref="ABO24:ABO26"/>
    <mergeCell ref="ABP24:ABP26"/>
    <mergeCell ref="ABQ24:ABQ26"/>
    <mergeCell ref="ABR24:ABR26"/>
    <mergeCell ref="ABS24:ABS26"/>
    <mergeCell ref="ABT24:ABT26"/>
    <mergeCell ref="XR27:XR29"/>
    <mergeCell ref="XS27:XS29"/>
    <mergeCell ref="XT27:XT29"/>
    <mergeCell ref="XU27:XU29"/>
    <mergeCell ref="XV27:XV29"/>
    <mergeCell ref="XW27:XW29"/>
    <mergeCell ref="XX27:XX29"/>
    <mergeCell ref="XY27:XY29"/>
    <mergeCell ref="XZ27:XZ29"/>
    <mergeCell ref="YA27:YA29"/>
    <mergeCell ref="YB27:YB29"/>
    <mergeCell ref="YC27:YC29"/>
    <mergeCell ref="YD27:YD29"/>
    <mergeCell ref="YE27:YE29"/>
    <mergeCell ref="YF27:YF29"/>
    <mergeCell ref="YG27:YG29"/>
    <mergeCell ref="YH27:YH29"/>
    <mergeCell ref="YI27:YI29"/>
    <mergeCell ref="YJ27:YJ29"/>
    <mergeCell ref="YK27:YK29"/>
    <mergeCell ref="YL27:YL29"/>
    <mergeCell ref="YM27:YM29"/>
    <mergeCell ref="YN27:YN29"/>
    <mergeCell ref="YO27:YO29"/>
    <mergeCell ref="YP27:YP29"/>
    <mergeCell ref="YQ27:YQ29"/>
    <mergeCell ref="YR27:YR29"/>
    <mergeCell ref="YS27:YS29"/>
    <mergeCell ref="YT27:YT29"/>
    <mergeCell ref="YU27:YU29"/>
    <mergeCell ref="YV27:YV29"/>
    <mergeCell ref="YW27:YW29"/>
    <mergeCell ref="YX27:YX29"/>
    <mergeCell ref="WK27:WK29"/>
    <mergeCell ref="WL27:WL29"/>
    <mergeCell ref="WM27:WM29"/>
    <mergeCell ref="WN27:WN29"/>
    <mergeCell ref="WO27:WO29"/>
    <mergeCell ref="WP27:WP29"/>
    <mergeCell ref="WQ27:WQ29"/>
    <mergeCell ref="WR27:WR29"/>
    <mergeCell ref="WS27:WS29"/>
    <mergeCell ref="WT27:WT29"/>
    <mergeCell ref="WU27:WU29"/>
    <mergeCell ref="WV27:WV29"/>
    <mergeCell ref="WW27:WW29"/>
    <mergeCell ref="WX27:WX29"/>
    <mergeCell ref="WY27:WY29"/>
    <mergeCell ref="WZ27:WZ29"/>
    <mergeCell ref="XA27:XA29"/>
    <mergeCell ref="XB27:XB29"/>
    <mergeCell ref="XC27:XC29"/>
    <mergeCell ref="XD27:XD29"/>
    <mergeCell ref="XE27:XE29"/>
    <mergeCell ref="XF27:XF29"/>
    <mergeCell ref="XG27:XG29"/>
    <mergeCell ref="XH27:XH29"/>
    <mergeCell ref="XI27:XI29"/>
    <mergeCell ref="XJ27:XJ29"/>
    <mergeCell ref="XK27:XK29"/>
    <mergeCell ref="XL27:XL29"/>
    <mergeCell ref="XM27:XM29"/>
    <mergeCell ref="XN27:XN29"/>
    <mergeCell ref="XO27:XO29"/>
    <mergeCell ref="XP27:XP29"/>
    <mergeCell ref="XQ27:XQ29"/>
    <mergeCell ref="VD27:VD29"/>
    <mergeCell ref="VE27:VE29"/>
    <mergeCell ref="VF27:VF29"/>
    <mergeCell ref="VG27:VG29"/>
    <mergeCell ref="VH27:VH29"/>
    <mergeCell ref="VI27:VI29"/>
    <mergeCell ref="VJ27:VJ29"/>
    <mergeCell ref="VK27:VK29"/>
    <mergeCell ref="VL27:VL29"/>
    <mergeCell ref="VM27:VM29"/>
    <mergeCell ref="VN27:VN29"/>
    <mergeCell ref="VO27:VO29"/>
    <mergeCell ref="VP27:VP29"/>
    <mergeCell ref="VQ27:VQ29"/>
    <mergeCell ref="VR27:VR29"/>
    <mergeCell ref="VS27:VS29"/>
    <mergeCell ref="VT27:VT29"/>
    <mergeCell ref="VU27:VU29"/>
    <mergeCell ref="VV27:VV29"/>
    <mergeCell ref="VW27:VW29"/>
    <mergeCell ref="VX27:VX29"/>
    <mergeCell ref="VY27:VY29"/>
    <mergeCell ref="VZ27:VZ29"/>
    <mergeCell ref="WA27:WA29"/>
    <mergeCell ref="WB27:WB29"/>
    <mergeCell ref="WC27:WC29"/>
    <mergeCell ref="WD27:WD29"/>
    <mergeCell ref="WE27:WE29"/>
    <mergeCell ref="WF27:WF29"/>
    <mergeCell ref="WG27:WG29"/>
    <mergeCell ref="WH27:WH29"/>
    <mergeCell ref="WI27:WI29"/>
    <mergeCell ref="WJ27:WJ29"/>
    <mergeCell ref="TW27:TW29"/>
    <mergeCell ref="TX27:TX29"/>
    <mergeCell ref="TY27:TY29"/>
    <mergeCell ref="TZ27:TZ29"/>
    <mergeCell ref="UA27:UA29"/>
    <mergeCell ref="UB27:UB29"/>
    <mergeCell ref="UC27:UC29"/>
    <mergeCell ref="UD27:UD29"/>
    <mergeCell ref="UE27:UE29"/>
    <mergeCell ref="UF27:UF29"/>
    <mergeCell ref="UG27:UG29"/>
    <mergeCell ref="UH27:UH29"/>
    <mergeCell ref="UI27:UI29"/>
    <mergeCell ref="UJ27:UJ29"/>
    <mergeCell ref="UK27:UK29"/>
    <mergeCell ref="UL27:UL29"/>
    <mergeCell ref="UM27:UM29"/>
    <mergeCell ref="UN27:UN29"/>
    <mergeCell ref="UO27:UO29"/>
    <mergeCell ref="UP27:UP29"/>
    <mergeCell ref="UQ27:UQ29"/>
    <mergeCell ref="UR27:UR29"/>
    <mergeCell ref="US27:US29"/>
    <mergeCell ref="UT27:UT29"/>
    <mergeCell ref="UU27:UU29"/>
    <mergeCell ref="UV27:UV29"/>
    <mergeCell ref="UW27:UW29"/>
    <mergeCell ref="UX27:UX29"/>
    <mergeCell ref="UY27:UY29"/>
    <mergeCell ref="UZ27:UZ29"/>
    <mergeCell ref="VA27:VA29"/>
    <mergeCell ref="VB27:VB29"/>
    <mergeCell ref="VC27:VC29"/>
    <mergeCell ref="SP27:SP29"/>
    <mergeCell ref="SQ27:SQ29"/>
    <mergeCell ref="SR27:SR29"/>
    <mergeCell ref="SS27:SS29"/>
    <mergeCell ref="ST27:ST29"/>
    <mergeCell ref="SU27:SU29"/>
    <mergeCell ref="SV27:SV29"/>
    <mergeCell ref="SW27:SW29"/>
    <mergeCell ref="SX27:SX29"/>
    <mergeCell ref="SY27:SY29"/>
    <mergeCell ref="SZ27:SZ29"/>
    <mergeCell ref="TA27:TA29"/>
    <mergeCell ref="TB27:TB29"/>
    <mergeCell ref="TC27:TC29"/>
    <mergeCell ref="TD27:TD29"/>
    <mergeCell ref="TE27:TE29"/>
    <mergeCell ref="TF27:TF29"/>
    <mergeCell ref="TG27:TG29"/>
    <mergeCell ref="TH27:TH29"/>
    <mergeCell ref="TI27:TI29"/>
    <mergeCell ref="TJ27:TJ29"/>
    <mergeCell ref="TK27:TK29"/>
    <mergeCell ref="TL27:TL29"/>
    <mergeCell ref="TM27:TM29"/>
    <mergeCell ref="TN27:TN29"/>
    <mergeCell ref="TO27:TO29"/>
    <mergeCell ref="TP27:TP29"/>
    <mergeCell ref="TQ27:TQ29"/>
    <mergeCell ref="TR27:TR29"/>
    <mergeCell ref="TS27:TS29"/>
    <mergeCell ref="TT27:TT29"/>
    <mergeCell ref="TU27:TU29"/>
    <mergeCell ref="TV27:TV29"/>
    <mergeCell ref="RI27:RI29"/>
    <mergeCell ref="RJ27:RJ29"/>
    <mergeCell ref="RK27:RK29"/>
    <mergeCell ref="RL27:RL29"/>
    <mergeCell ref="RM27:RM29"/>
    <mergeCell ref="RN27:RN29"/>
    <mergeCell ref="RO27:RO29"/>
    <mergeCell ref="RP27:RP29"/>
    <mergeCell ref="RQ27:RQ29"/>
    <mergeCell ref="RR27:RR29"/>
    <mergeCell ref="RS27:RS29"/>
    <mergeCell ref="RT27:RT29"/>
    <mergeCell ref="RU27:RU29"/>
    <mergeCell ref="RV27:RV29"/>
    <mergeCell ref="RW27:RW29"/>
    <mergeCell ref="RX27:RX29"/>
    <mergeCell ref="RY27:RY29"/>
    <mergeCell ref="RZ27:RZ29"/>
    <mergeCell ref="SA27:SA29"/>
    <mergeCell ref="SB27:SB29"/>
    <mergeCell ref="SC27:SC29"/>
    <mergeCell ref="SD27:SD29"/>
    <mergeCell ref="SE27:SE29"/>
    <mergeCell ref="SF27:SF29"/>
    <mergeCell ref="SG27:SG29"/>
    <mergeCell ref="SH27:SH29"/>
    <mergeCell ref="SI27:SI29"/>
    <mergeCell ref="SJ27:SJ29"/>
    <mergeCell ref="SK27:SK29"/>
    <mergeCell ref="SL27:SL29"/>
    <mergeCell ref="SM27:SM29"/>
    <mergeCell ref="SN27:SN29"/>
    <mergeCell ref="SO27:SO29"/>
    <mergeCell ref="QB27:QB29"/>
    <mergeCell ref="QC27:QC29"/>
    <mergeCell ref="QD27:QD29"/>
    <mergeCell ref="QE27:QE29"/>
    <mergeCell ref="QF27:QF29"/>
    <mergeCell ref="QG27:QG29"/>
    <mergeCell ref="QH27:QH29"/>
    <mergeCell ref="QI27:QI29"/>
    <mergeCell ref="QJ27:QJ29"/>
    <mergeCell ref="QK27:QK29"/>
    <mergeCell ref="QL27:QL29"/>
    <mergeCell ref="QM27:QM29"/>
    <mergeCell ref="QN27:QN29"/>
    <mergeCell ref="QO27:QO29"/>
    <mergeCell ref="QP27:QP29"/>
    <mergeCell ref="QQ27:QQ29"/>
    <mergeCell ref="QR27:QR29"/>
    <mergeCell ref="QS27:QS29"/>
    <mergeCell ref="QT27:QT29"/>
    <mergeCell ref="QU27:QU29"/>
    <mergeCell ref="QV27:QV29"/>
    <mergeCell ref="QW27:QW29"/>
    <mergeCell ref="QX27:QX29"/>
    <mergeCell ref="QY27:QY29"/>
    <mergeCell ref="QZ27:QZ29"/>
    <mergeCell ref="RA27:RA29"/>
    <mergeCell ref="RB27:RB29"/>
    <mergeCell ref="RC27:RC29"/>
    <mergeCell ref="RD27:RD29"/>
    <mergeCell ref="RE27:RE29"/>
    <mergeCell ref="RF27:RF29"/>
    <mergeCell ref="RG27:RG29"/>
    <mergeCell ref="RH27:RH29"/>
    <mergeCell ref="OU27:OU29"/>
    <mergeCell ref="OV27:OV29"/>
    <mergeCell ref="OW27:OW29"/>
    <mergeCell ref="OX27:OX29"/>
    <mergeCell ref="OY27:OY29"/>
    <mergeCell ref="OZ27:OZ29"/>
    <mergeCell ref="PA27:PA29"/>
    <mergeCell ref="PB27:PB29"/>
    <mergeCell ref="PC27:PC29"/>
    <mergeCell ref="PD27:PD29"/>
    <mergeCell ref="PE27:PE29"/>
    <mergeCell ref="PF27:PF29"/>
    <mergeCell ref="PG27:PG29"/>
    <mergeCell ref="PH27:PH29"/>
    <mergeCell ref="PI27:PI29"/>
    <mergeCell ref="PJ27:PJ29"/>
    <mergeCell ref="PK27:PK29"/>
    <mergeCell ref="PL27:PL29"/>
    <mergeCell ref="PM27:PM29"/>
    <mergeCell ref="PN27:PN29"/>
    <mergeCell ref="PO27:PO29"/>
    <mergeCell ref="PP27:PP29"/>
    <mergeCell ref="PQ27:PQ29"/>
    <mergeCell ref="PR27:PR29"/>
    <mergeCell ref="PS27:PS29"/>
    <mergeCell ref="PT27:PT29"/>
    <mergeCell ref="PU27:PU29"/>
    <mergeCell ref="PV27:PV29"/>
    <mergeCell ref="PW27:PW29"/>
    <mergeCell ref="PX27:PX29"/>
    <mergeCell ref="PY27:PY29"/>
    <mergeCell ref="PZ27:PZ29"/>
    <mergeCell ref="QA27:QA29"/>
    <mergeCell ref="ABO27:ABO29"/>
    <mergeCell ref="MJ27:MJ29"/>
    <mergeCell ref="MK27:MK29"/>
    <mergeCell ref="ML27:ML29"/>
    <mergeCell ref="MM27:MM29"/>
    <mergeCell ref="MN27:MN29"/>
    <mergeCell ref="MO27:MO29"/>
    <mergeCell ref="MP27:MP29"/>
    <mergeCell ref="MQ27:MQ29"/>
    <mergeCell ref="MR27:MR29"/>
    <mergeCell ref="MS27:MS29"/>
    <mergeCell ref="MT27:MT29"/>
    <mergeCell ref="MU27:MU29"/>
    <mergeCell ref="MV27:MV29"/>
    <mergeCell ref="MW27:MW29"/>
    <mergeCell ref="MX27:MX29"/>
    <mergeCell ref="MY27:MY29"/>
    <mergeCell ref="MZ27:MZ29"/>
    <mergeCell ref="NA27:NA29"/>
    <mergeCell ref="NB27:NB29"/>
    <mergeCell ref="NC27:NC29"/>
    <mergeCell ref="ND27:ND29"/>
    <mergeCell ref="NE27:NE29"/>
    <mergeCell ref="NF27:NF29"/>
    <mergeCell ref="NG27:NG29"/>
    <mergeCell ref="NH27:NH29"/>
    <mergeCell ref="NI27:NI29"/>
    <mergeCell ref="NJ27:NJ29"/>
    <mergeCell ref="NK27:NK29"/>
    <mergeCell ref="NL27:NL29"/>
    <mergeCell ref="NM27:NM29"/>
    <mergeCell ref="NN27:NN29"/>
    <mergeCell ref="NO27:NO29"/>
    <mergeCell ref="NP27:NP29"/>
    <mergeCell ref="NQ27:NQ29"/>
    <mergeCell ref="NR27:NR29"/>
    <mergeCell ref="NS27:NS29"/>
    <mergeCell ref="NT27:NT29"/>
    <mergeCell ref="NU27:NU29"/>
    <mergeCell ref="NV27:NV29"/>
    <mergeCell ref="NW27:NW29"/>
    <mergeCell ref="NX27:NX29"/>
    <mergeCell ref="NY27:NY29"/>
    <mergeCell ref="NZ28:NZ29"/>
    <mergeCell ref="OC27:OC29"/>
    <mergeCell ref="OD28:OD29"/>
    <mergeCell ref="OB27:OB29"/>
    <mergeCell ref="OF27:OF29"/>
    <mergeCell ref="OG27:OG29"/>
    <mergeCell ref="OH27:OH29"/>
    <mergeCell ref="OI27:OI29"/>
    <mergeCell ref="OJ27:OJ29"/>
    <mergeCell ref="OA28:OA29"/>
    <mergeCell ref="OE28:OE29"/>
    <mergeCell ref="OK27:OK29"/>
    <mergeCell ref="OL27:OL29"/>
    <mergeCell ref="OM27:OM29"/>
    <mergeCell ref="ON27:ON29"/>
    <mergeCell ref="OO27:OO29"/>
    <mergeCell ref="OP27:OP29"/>
    <mergeCell ref="OQ27:OQ29"/>
    <mergeCell ref="OR27:OR29"/>
    <mergeCell ref="OS27:OS29"/>
    <mergeCell ref="OT27:OT29"/>
    <mergeCell ref="A24:A26"/>
    <mergeCell ref="B24:B26"/>
    <mergeCell ref="C24:C26"/>
    <mergeCell ref="D24:D26"/>
    <mergeCell ref="E24:E26"/>
    <mergeCell ref="F24:F26"/>
    <mergeCell ref="G24:G26"/>
    <mergeCell ref="ABW27:ABW29"/>
    <mergeCell ref="ABX27:ABX29"/>
    <mergeCell ref="ABP27:ABP29"/>
    <mergeCell ref="ABQ27:ABQ29"/>
    <mergeCell ref="ABR27:ABR29"/>
    <mergeCell ref="ABS27:ABS29"/>
    <mergeCell ref="ABT27:ABT29"/>
    <mergeCell ref="ABU27:ABU29"/>
    <mergeCell ref="ABV27:ABV29"/>
    <mergeCell ref="ZS27:ZS29"/>
    <mergeCell ref="ZT27:ZT29"/>
    <mergeCell ref="ZU27:ZU29"/>
    <mergeCell ref="ZV27:ZV29"/>
    <mergeCell ref="ZW27:ZW29"/>
    <mergeCell ref="ZX27:ZX29"/>
    <mergeCell ref="ZY27:ZY29"/>
    <mergeCell ref="ZZ27:ZZ29"/>
    <mergeCell ref="AAA27:AAA29"/>
    <mergeCell ref="AAB27:AAB29"/>
    <mergeCell ref="AAC27:AAC29"/>
    <mergeCell ref="AAD27:AAD29"/>
    <mergeCell ref="AAE27:AAE29"/>
    <mergeCell ref="AAF27:AAF29"/>
    <mergeCell ref="AAG27:AAG29"/>
    <mergeCell ref="AAH27:AAH29"/>
    <mergeCell ref="AAI27:AAI29"/>
    <mergeCell ref="AAJ27:AAJ29"/>
    <mergeCell ref="AAK27:AAK29"/>
    <mergeCell ref="AAL27:AAL29"/>
    <mergeCell ref="AAM27:AAM29"/>
    <mergeCell ref="AAN27:AAN29"/>
    <mergeCell ref="AAO27:AAO29"/>
    <mergeCell ref="AAP27:AAP29"/>
    <mergeCell ref="AAQ27:AAQ29"/>
    <mergeCell ref="AAR27:AAR29"/>
    <mergeCell ref="AAS27:AAS29"/>
    <mergeCell ref="AAT27:AAT29"/>
    <mergeCell ref="AAU27:AAU29"/>
    <mergeCell ref="AAV27:AAV29"/>
    <mergeCell ref="AAW27:AAW29"/>
    <mergeCell ref="AAX27:AAX29"/>
    <mergeCell ref="AAY27:AAY29"/>
    <mergeCell ref="AAZ27:AAZ29"/>
    <mergeCell ref="ABA27:ABA29"/>
    <mergeCell ref="ABB27:ABB29"/>
    <mergeCell ref="ABC27:ABC29"/>
    <mergeCell ref="ABD27:ABD29"/>
    <mergeCell ref="ABE27:ABE29"/>
    <mergeCell ref="ABF27:ABF29"/>
    <mergeCell ref="ABG27:ABG29"/>
    <mergeCell ref="ABH27:ABH29"/>
    <mergeCell ref="ABI27:ABI29"/>
    <mergeCell ref="ABJ27:ABJ29"/>
    <mergeCell ref="ABK27:ABK29"/>
    <mergeCell ref="ABL27:ABL29"/>
    <mergeCell ref="ABM27:ABM29"/>
    <mergeCell ref="ABN27:ABN29"/>
    <mergeCell ref="LV24:LV26"/>
    <mergeCell ref="LW24:LW26"/>
    <mergeCell ref="LX24:LX26"/>
    <mergeCell ref="LY24:LY26"/>
    <mergeCell ref="LZ24:LZ26"/>
    <mergeCell ref="MA24:MA26"/>
    <mergeCell ref="MB24:MB26"/>
    <mergeCell ref="MC24:MC26"/>
    <mergeCell ref="MD24:MD26"/>
    <mergeCell ref="ME24:ME26"/>
    <mergeCell ref="MF24:MF26"/>
    <mergeCell ref="MG24:MG26"/>
    <mergeCell ref="MH24:MH26"/>
    <mergeCell ref="MI24:MI26"/>
    <mergeCell ref="MJ24:MJ26"/>
    <mergeCell ref="MK24:MK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T24:AT26"/>
    <mergeCell ref="AU24:AU26"/>
    <mergeCell ref="AV24:AV26"/>
    <mergeCell ref="AW24:AW26"/>
    <mergeCell ref="KM24:KM26"/>
    <mergeCell ref="KN24:KN26"/>
    <mergeCell ref="KO24:KO26"/>
    <mergeCell ref="KP24:KP26"/>
    <mergeCell ref="KQ24:KQ26"/>
    <mergeCell ref="KR24:KR26"/>
    <mergeCell ref="KS24:KS26"/>
    <mergeCell ref="KT24:KT26"/>
    <mergeCell ref="KU24:KU26"/>
    <mergeCell ref="KV24:KV26"/>
    <mergeCell ref="KW24:KW26"/>
    <mergeCell ref="KX24:KX26"/>
    <mergeCell ref="KY24:KY26"/>
    <mergeCell ref="KZ24:KZ26"/>
    <mergeCell ref="LA24:LA26"/>
    <mergeCell ref="LB24:LB26"/>
    <mergeCell ref="LC24:LC26"/>
    <mergeCell ref="LD24:LD26"/>
    <mergeCell ref="LE24:LE26"/>
    <mergeCell ref="LF24:LF26"/>
    <mergeCell ref="LG24:LG26"/>
    <mergeCell ref="LH24:LH26"/>
    <mergeCell ref="LI24:LI26"/>
    <mergeCell ref="LJ24:LJ26"/>
    <mergeCell ref="LK24:LK26"/>
    <mergeCell ref="LN24:LN26"/>
    <mergeCell ref="LO24:LO26"/>
    <mergeCell ref="LP24:LP26"/>
    <mergeCell ref="LQ24:LQ26"/>
    <mergeCell ref="LR24:LR26"/>
    <mergeCell ref="LS24:LS26"/>
    <mergeCell ref="LT24:LT26"/>
    <mergeCell ref="LU24:LU26"/>
    <mergeCell ref="JF24:JF26"/>
    <mergeCell ref="JG24:JG26"/>
    <mergeCell ref="JH24:JH26"/>
    <mergeCell ref="JI24:JI26"/>
    <mergeCell ref="JJ24:JJ26"/>
    <mergeCell ref="JK24:JK26"/>
    <mergeCell ref="JL24:JL26"/>
    <mergeCell ref="JM24:JM26"/>
    <mergeCell ref="JN24:JN26"/>
    <mergeCell ref="JO24:JO26"/>
    <mergeCell ref="JP24:JP26"/>
    <mergeCell ref="JQ24:JQ26"/>
    <mergeCell ref="JR24:JR26"/>
    <mergeCell ref="JS24:JS26"/>
    <mergeCell ref="JT24:JT26"/>
    <mergeCell ref="JU24:JU26"/>
    <mergeCell ref="JV24:JV26"/>
    <mergeCell ref="JW24:JW26"/>
    <mergeCell ref="JX24:JX26"/>
    <mergeCell ref="JY24:JY26"/>
    <mergeCell ref="JZ24:JZ26"/>
    <mergeCell ref="KA24:KA26"/>
    <mergeCell ref="KB24:KB26"/>
    <mergeCell ref="KC24:KC26"/>
    <mergeCell ref="KD24:KD26"/>
    <mergeCell ref="KE24:KE26"/>
    <mergeCell ref="KF24:KF26"/>
    <mergeCell ref="KG24:KG26"/>
    <mergeCell ref="KH24:KH26"/>
    <mergeCell ref="KI24:KI26"/>
    <mergeCell ref="KJ24:KJ26"/>
    <mergeCell ref="KK24:KK26"/>
    <mergeCell ref="KL24:KL26"/>
    <mergeCell ref="IH24:IH26"/>
    <mergeCell ref="II24:II26"/>
    <mergeCell ref="IJ24:IJ26"/>
    <mergeCell ref="IK24:IK26"/>
    <mergeCell ref="IL24:IL26"/>
    <mergeCell ref="IM24:IM26"/>
    <mergeCell ref="IN24:IN26"/>
    <mergeCell ref="IO24:IO26"/>
    <mergeCell ref="HN25:HN26"/>
    <mergeCell ref="HO25:HO26"/>
    <mergeCell ref="HL24:HL26"/>
    <mergeCell ref="HM24:HM26"/>
    <mergeCell ref="HP24:HP26"/>
    <mergeCell ref="HQ24:HQ26"/>
    <mergeCell ref="HR24:HR26"/>
    <mergeCell ref="HS24:HS26"/>
    <mergeCell ref="HT24:HT26"/>
    <mergeCell ref="IP24:IP26"/>
    <mergeCell ref="IQ24:IQ26"/>
    <mergeCell ref="IR24:IR26"/>
    <mergeCell ref="IS24:IS26"/>
    <mergeCell ref="IT24:IT26"/>
    <mergeCell ref="IU24:IU26"/>
    <mergeCell ref="IV24:IV26"/>
    <mergeCell ref="IW24:IW26"/>
    <mergeCell ref="IX24:IX26"/>
    <mergeCell ref="IY24:IY26"/>
    <mergeCell ref="IZ24:IZ26"/>
    <mergeCell ref="JA24:JA26"/>
    <mergeCell ref="JB24:JB26"/>
    <mergeCell ref="JC24:JC26"/>
    <mergeCell ref="JD24:JD26"/>
    <mergeCell ref="JE24:JE26"/>
    <mergeCell ref="GR24:GR26"/>
    <mergeCell ref="GS24:GS26"/>
    <mergeCell ref="GT24:GT26"/>
    <mergeCell ref="GU24:GU26"/>
    <mergeCell ref="GV24:GV26"/>
    <mergeCell ref="GW24:GW26"/>
    <mergeCell ref="GX24:GX26"/>
    <mergeCell ref="GY24:GY26"/>
    <mergeCell ref="GZ24:GZ26"/>
    <mergeCell ref="HA24:HA26"/>
    <mergeCell ref="HB24:HB26"/>
    <mergeCell ref="HC24:HC26"/>
    <mergeCell ref="HD24:HD26"/>
    <mergeCell ref="HE24:HE26"/>
    <mergeCell ref="HF24:HF26"/>
    <mergeCell ref="HG24:HG26"/>
    <mergeCell ref="HH24:HH26"/>
    <mergeCell ref="HI24:HI26"/>
    <mergeCell ref="HJ24:HJ26"/>
    <mergeCell ref="HK24:HK26"/>
    <mergeCell ref="HU24:HU26"/>
    <mergeCell ref="HV24:HV26"/>
    <mergeCell ref="HW24:HW26"/>
    <mergeCell ref="HX24:HX26"/>
    <mergeCell ref="HY24:HY26"/>
    <mergeCell ref="HZ24:HZ26"/>
    <mergeCell ref="IA24:IA26"/>
    <mergeCell ref="IB24:IB26"/>
    <mergeCell ref="IC24:IC26"/>
    <mergeCell ref="ID24:ID26"/>
    <mergeCell ref="IE24:IE26"/>
    <mergeCell ref="IF24:IF26"/>
    <mergeCell ref="IG24:IG26"/>
    <mergeCell ref="FK24:FK26"/>
    <mergeCell ref="FL24:FL26"/>
    <mergeCell ref="FM24:FM26"/>
    <mergeCell ref="FN24:FN26"/>
    <mergeCell ref="FO24:FO26"/>
    <mergeCell ref="FP24:FP26"/>
    <mergeCell ref="FQ24:FQ26"/>
    <mergeCell ref="FR24:FR26"/>
    <mergeCell ref="FS24:FS26"/>
    <mergeCell ref="FT24:FT26"/>
    <mergeCell ref="FU24:FU26"/>
    <mergeCell ref="FV24:FV26"/>
    <mergeCell ref="FW24:FW26"/>
    <mergeCell ref="FX24:FX26"/>
    <mergeCell ref="FY24:FY26"/>
    <mergeCell ref="FZ24:FZ26"/>
    <mergeCell ref="GA24:GA26"/>
    <mergeCell ref="GB24:GB26"/>
    <mergeCell ref="GC24:GC26"/>
    <mergeCell ref="GD24:GD26"/>
    <mergeCell ref="GE24:GE26"/>
    <mergeCell ref="GF24:GF26"/>
    <mergeCell ref="GG24:GG26"/>
    <mergeCell ref="GH24:GH26"/>
    <mergeCell ref="GI24:GI26"/>
    <mergeCell ref="GJ24:GJ26"/>
    <mergeCell ref="GK24:GK26"/>
    <mergeCell ref="GL24:GL26"/>
    <mergeCell ref="GM24:GM26"/>
    <mergeCell ref="GN24:GN26"/>
    <mergeCell ref="GO24:GO26"/>
    <mergeCell ref="GP24:GP26"/>
    <mergeCell ref="GQ24:GQ26"/>
    <mergeCell ref="EM24:EM26"/>
    <mergeCell ref="EN24:EN26"/>
    <mergeCell ref="EO24:EO26"/>
    <mergeCell ref="EP24:EP26"/>
    <mergeCell ref="EQ24:EQ26"/>
    <mergeCell ref="ER24:ER26"/>
    <mergeCell ref="ES24:ES26"/>
    <mergeCell ref="DR24:DR26"/>
    <mergeCell ref="DS24:DS26"/>
    <mergeCell ref="DP24:DP26"/>
    <mergeCell ref="DQ24:DQ26"/>
    <mergeCell ref="DT24:DT26"/>
    <mergeCell ref="DU24:DU26"/>
    <mergeCell ref="DV24:DV26"/>
    <mergeCell ref="DW24:DW26"/>
    <mergeCell ref="DX24:DX26"/>
    <mergeCell ref="ET24:ET26"/>
    <mergeCell ref="EU24:EU26"/>
    <mergeCell ref="EV24:EV26"/>
    <mergeCell ref="EW24:EW26"/>
    <mergeCell ref="EX24:EX26"/>
    <mergeCell ref="EY24:EY26"/>
    <mergeCell ref="EZ24:EZ26"/>
    <mergeCell ref="FA24:FA26"/>
    <mergeCell ref="FB24:FB26"/>
    <mergeCell ref="FC24:FC26"/>
    <mergeCell ref="FD24:FD26"/>
    <mergeCell ref="FE24:FE26"/>
    <mergeCell ref="FF24:FF26"/>
    <mergeCell ref="FG24:FG26"/>
    <mergeCell ref="FH24:FH26"/>
    <mergeCell ref="FI24:FI26"/>
    <mergeCell ref="FJ24:FJ26"/>
    <mergeCell ref="CW24:CW26"/>
    <mergeCell ref="CX24:CX26"/>
    <mergeCell ref="CY24:CY26"/>
    <mergeCell ref="CZ24:CZ26"/>
    <mergeCell ref="DA24:DA26"/>
    <mergeCell ref="DB24:DB26"/>
    <mergeCell ref="DC24:DC26"/>
    <mergeCell ref="DD24:DD26"/>
    <mergeCell ref="DE24:DE26"/>
    <mergeCell ref="DF24:DF26"/>
    <mergeCell ref="DG24:DG26"/>
    <mergeCell ref="DH24:DH26"/>
    <mergeCell ref="DI24:DI26"/>
    <mergeCell ref="DJ24:DJ26"/>
    <mergeCell ref="DK24:DK26"/>
    <mergeCell ref="DL24:DL26"/>
    <mergeCell ref="DM24:DM26"/>
    <mergeCell ref="DN24:DN26"/>
    <mergeCell ref="DO24:DO26"/>
    <mergeCell ref="DY24:DY26"/>
    <mergeCell ref="DZ24:DZ26"/>
    <mergeCell ref="EA24:EA26"/>
    <mergeCell ref="EB24:EB26"/>
    <mergeCell ref="EC24:EC26"/>
    <mergeCell ref="ED24:ED26"/>
    <mergeCell ref="EE24:EE26"/>
    <mergeCell ref="EF24:EF26"/>
    <mergeCell ref="EG24:EG26"/>
    <mergeCell ref="EH24:EH26"/>
    <mergeCell ref="EI24:EI26"/>
    <mergeCell ref="EJ24:EJ26"/>
    <mergeCell ref="EK24:EK26"/>
    <mergeCell ref="EL24:EL26"/>
    <mergeCell ref="ZD24:ZD26"/>
    <mergeCell ref="ZE24:ZE26"/>
    <mergeCell ref="ZF24:ZF26"/>
    <mergeCell ref="ZG24:ZG26"/>
    <mergeCell ref="ZH24:ZH26"/>
    <mergeCell ref="ZI24:ZI26"/>
    <mergeCell ref="ZJ24:ZJ26"/>
    <mergeCell ref="ZK24:ZK26"/>
    <mergeCell ref="ZL24:ZL26"/>
    <mergeCell ref="ZM24:ZM26"/>
    <mergeCell ref="ZN24:ZN26"/>
    <mergeCell ref="ZO24:ZO26"/>
    <mergeCell ref="ZP24:ZP26"/>
    <mergeCell ref="AX24:AX26"/>
    <mergeCell ref="AY24:AY26"/>
    <mergeCell ref="AZ24:AZ26"/>
    <mergeCell ref="BA24:BA26"/>
    <mergeCell ref="BB24:BB26"/>
    <mergeCell ref="BC24:BC26"/>
    <mergeCell ref="BD24:BD26"/>
    <mergeCell ref="BE24:BE26"/>
    <mergeCell ref="BF24:BF26"/>
    <mergeCell ref="BG24:BG26"/>
    <mergeCell ref="BH24:BH26"/>
    <mergeCell ref="BI24:BI26"/>
    <mergeCell ref="BJ24:BJ26"/>
    <mergeCell ref="BK24:BK26"/>
    <mergeCell ref="BL24:BL26"/>
    <mergeCell ref="BM24:BM26"/>
    <mergeCell ref="BN24:BN26"/>
    <mergeCell ref="BO24:BO26"/>
    <mergeCell ref="BP24:BP26"/>
    <mergeCell ref="BQ24:BQ26"/>
    <mergeCell ref="BR24:BR26"/>
    <mergeCell ref="BS24:BS26"/>
    <mergeCell ref="BT24:BT26"/>
    <mergeCell ref="BU24:BU26"/>
    <mergeCell ref="BV24:BV26"/>
    <mergeCell ref="BW24:BW26"/>
    <mergeCell ref="BX24:BX26"/>
    <mergeCell ref="BY24:BY26"/>
    <mergeCell ref="BZ24:BZ26"/>
    <mergeCell ref="CA24:CA26"/>
    <mergeCell ref="CB24:CB26"/>
    <mergeCell ref="CC24:CC26"/>
    <mergeCell ref="CD24:CD26"/>
    <mergeCell ref="CE24:CE26"/>
    <mergeCell ref="CF24:CF26"/>
    <mergeCell ref="CG24:CG26"/>
    <mergeCell ref="CH24:CH26"/>
    <mergeCell ref="CI24:CI26"/>
    <mergeCell ref="CJ24:CJ26"/>
    <mergeCell ref="CK24:CK26"/>
    <mergeCell ref="CL24:CL26"/>
    <mergeCell ref="CM24:CM26"/>
    <mergeCell ref="CN24:CN26"/>
    <mergeCell ref="CO24:CO26"/>
    <mergeCell ref="CP24:CP26"/>
    <mergeCell ref="CQ24:CQ26"/>
    <mergeCell ref="CR24:CR26"/>
    <mergeCell ref="CS24:CS26"/>
    <mergeCell ref="CT24:CT26"/>
    <mergeCell ref="CU24:CU26"/>
    <mergeCell ref="CV24:CV26"/>
    <mergeCell ref="XW24:XW26"/>
    <mergeCell ref="XX24:XX26"/>
    <mergeCell ref="XY24:XY26"/>
    <mergeCell ref="XZ24:XZ26"/>
    <mergeCell ref="YA24:YA26"/>
    <mergeCell ref="YB24:YB26"/>
    <mergeCell ref="YC24:YC26"/>
    <mergeCell ref="YD24:YD26"/>
    <mergeCell ref="YE24:YE26"/>
    <mergeCell ref="YF24:YF26"/>
    <mergeCell ref="YG24:YG26"/>
    <mergeCell ref="YH24:YH26"/>
    <mergeCell ref="YI24:YI26"/>
    <mergeCell ref="YJ24:YJ26"/>
    <mergeCell ref="YK24:YK26"/>
    <mergeCell ref="YL24:YL26"/>
    <mergeCell ref="YM24:YM26"/>
    <mergeCell ref="YN24:YN26"/>
    <mergeCell ref="YO24:YO26"/>
    <mergeCell ref="YP24:YP26"/>
    <mergeCell ref="YQ24:YQ26"/>
    <mergeCell ref="YR24:YR26"/>
    <mergeCell ref="YS24:YS26"/>
    <mergeCell ref="YT24:YT26"/>
    <mergeCell ref="YU24:YU26"/>
    <mergeCell ref="YV24:YV26"/>
    <mergeCell ref="YW24:YW26"/>
    <mergeCell ref="YX24:YX26"/>
    <mergeCell ref="YY24:YY26"/>
    <mergeCell ref="YZ24:YZ26"/>
    <mergeCell ref="ZA24:ZA26"/>
    <mergeCell ref="ZB24:ZB26"/>
    <mergeCell ref="ZC24:ZC26"/>
    <mergeCell ref="WP24:WP26"/>
    <mergeCell ref="WQ24:WQ26"/>
    <mergeCell ref="WR24:WR26"/>
    <mergeCell ref="WS24:WS26"/>
    <mergeCell ref="WT24:WT26"/>
    <mergeCell ref="WU24:WU26"/>
    <mergeCell ref="WV24:WV26"/>
    <mergeCell ref="WW24:WW26"/>
    <mergeCell ref="WX24:WX26"/>
    <mergeCell ref="WY24:WY26"/>
    <mergeCell ref="WZ24:WZ26"/>
    <mergeCell ref="XA24:XA26"/>
    <mergeCell ref="XB24:XB26"/>
    <mergeCell ref="XC24:XC26"/>
    <mergeCell ref="XD24:XD26"/>
    <mergeCell ref="XE24:XE26"/>
    <mergeCell ref="XF24:XF26"/>
    <mergeCell ref="XG24:XG26"/>
    <mergeCell ref="XH24:XH26"/>
    <mergeCell ref="XI24:XI26"/>
    <mergeCell ref="XJ24:XJ26"/>
    <mergeCell ref="XK24:XK26"/>
    <mergeCell ref="XL24:XL26"/>
    <mergeCell ref="XM24:XM26"/>
    <mergeCell ref="XN24:XN26"/>
    <mergeCell ref="XO24:XO26"/>
    <mergeCell ref="XP24:XP26"/>
    <mergeCell ref="XQ24:XQ26"/>
    <mergeCell ref="XR24:XR26"/>
    <mergeCell ref="XS24:XS26"/>
    <mergeCell ref="XT24:XT26"/>
    <mergeCell ref="XU24:XU26"/>
    <mergeCell ref="XV24:XV26"/>
    <mergeCell ref="VI24:VI26"/>
    <mergeCell ref="VJ24:VJ26"/>
    <mergeCell ref="VK24:VK26"/>
    <mergeCell ref="VL24:VL26"/>
    <mergeCell ref="VM24:VM26"/>
    <mergeCell ref="VN24:VN26"/>
    <mergeCell ref="VO24:VO26"/>
    <mergeCell ref="VP24:VP26"/>
    <mergeCell ref="VQ24:VQ26"/>
    <mergeCell ref="VR24:VR26"/>
    <mergeCell ref="VS24:VS26"/>
    <mergeCell ref="VT24:VT26"/>
    <mergeCell ref="VU24:VU26"/>
    <mergeCell ref="VV24:VV26"/>
    <mergeCell ref="VW24:VW26"/>
    <mergeCell ref="VX24:VX26"/>
    <mergeCell ref="VY24:VY26"/>
    <mergeCell ref="VZ24:VZ26"/>
    <mergeCell ref="WA24:WA26"/>
    <mergeCell ref="WB24:WB26"/>
    <mergeCell ref="WC24:WC26"/>
    <mergeCell ref="WD24:WD26"/>
    <mergeCell ref="WE24:WE26"/>
    <mergeCell ref="WF24:WF26"/>
    <mergeCell ref="WG24:WG26"/>
    <mergeCell ref="WH24:WH26"/>
    <mergeCell ref="WI24:WI26"/>
    <mergeCell ref="WJ24:WJ26"/>
    <mergeCell ref="WK24:WK26"/>
    <mergeCell ref="WL24:WL26"/>
    <mergeCell ref="WM24:WM26"/>
    <mergeCell ref="WN24:WN26"/>
    <mergeCell ref="WO24:WO26"/>
    <mergeCell ref="UB24:UB26"/>
    <mergeCell ref="UC24:UC26"/>
    <mergeCell ref="UD24:UD26"/>
    <mergeCell ref="UE24:UE26"/>
    <mergeCell ref="UF24:UF26"/>
    <mergeCell ref="UG24:UG26"/>
    <mergeCell ref="UH24:UH26"/>
    <mergeCell ref="UI24:UI26"/>
    <mergeCell ref="UJ24:UJ26"/>
    <mergeCell ref="UK24:UK26"/>
    <mergeCell ref="UL24:UL26"/>
    <mergeCell ref="UM24:UM26"/>
    <mergeCell ref="UN24:UN26"/>
    <mergeCell ref="UO24:UO26"/>
    <mergeCell ref="UP24:UP26"/>
    <mergeCell ref="UQ24:UQ26"/>
    <mergeCell ref="UR24:UR26"/>
    <mergeCell ref="US24:US26"/>
    <mergeCell ref="UT24:UT26"/>
    <mergeCell ref="UU24:UU26"/>
    <mergeCell ref="UV24:UV26"/>
    <mergeCell ref="UW24:UW26"/>
    <mergeCell ref="UX24:UX26"/>
    <mergeCell ref="UY24:UY26"/>
    <mergeCell ref="UZ24:UZ26"/>
    <mergeCell ref="VA24:VA26"/>
    <mergeCell ref="VB24:VB26"/>
    <mergeCell ref="VC24:VC26"/>
    <mergeCell ref="VD24:VD26"/>
    <mergeCell ref="VE24:VE26"/>
    <mergeCell ref="VF24:VF26"/>
    <mergeCell ref="VG24:VG26"/>
    <mergeCell ref="VH24:VH26"/>
    <mergeCell ref="SU24:SU26"/>
    <mergeCell ref="SV24:SV26"/>
    <mergeCell ref="SW24:SW26"/>
    <mergeCell ref="SX24:SX26"/>
    <mergeCell ref="SY24:SY26"/>
    <mergeCell ref="SZ24:SZ26"/>
    <mergeCell ref="TA24:TA26"/>
    <mergeCell ref="TB24:TB26"/>
    <mergeCell ref="TC24:TC26"/>
    <mergeCell ref="TD24:TD26"/>
    <mergeCell ref="TE24:TE26"/>
    <mergeCell ref="TF24:TF26"/>
    <mergeCell ref="TG24:TG26"/>
    <mergeCell ref="TH24:TH26"/>
    <mergeCell ref="TI24:TI26"/>
    <mergeCell ref="TJ24:TJ26"/>
    <mergeCell ref="TK24:TK26"/>
    <mergeCell ref="TL24:TL26"/>
    <mergeCell ref="TM24:TM26"/>
    <mergeCell ref="TN24:TN26"/>
    <mergeCell ref="TO24:TO26"/>
    <mergeCell ref="TP24:TP26"/>
    <mergeCell ref="TQ24:TQ26"/>
    <mergeCell ref="TR24:TR26"/>
    <mergeCell ref="TS24:TS26"/>
    <mergeCell ref="TT24:TT26"/>
    <mergeCell ref="TU24:TU26"/>
    <mergeCell ref="TV24:TV26"/>
    <mergeCell ref="TW24:TW26"/>
    <mergeCell ref="TX24:TX26"/>
    <mergeCell ref="TY24:TY26"/>
    <mergeCell ref="TZ24:TZ26"/>
    <mergeCell ref="UA24:UA26"/>
    <mergeCell ref="RN24:RN26"/>
    <mergeCell ref="RO24:RO26"/>
    <mergeCell ref="RP24:RP26"/>
    <mergeCell ref="RQ24:RQ26"/>
    <mergeCell ref="RR24:RR26"/>
    <mergeCell ref="RS24:RS26"/>
    <mergeCell ref="RT24:RT26"/>
    <mergeCell ref="RU24:RU26"/>
    <mergeCell ref="RV24:RV26"/>
    <mergeCell ref="RW24:RW26"/>
    <mergeCell ref="RX24:RX26"/>
    <mergeCell ref="RY24:RY26"/>
    <mergeCell ref="RZ24:RZ26"/>
    <mergeCell ref="SA24:SA26"/>
    <mergeCell ref="SB24:SB26"/>
    <mergeCell ref="SC24:SC26"/>
    <mergeCell ref="SD24:SD26"/>
    <mergeCell ref="SE24:SE26"/>
    <mergeCell ref="SF24:SF26"/>
    <mergeCell ref="SG24:SG26"/>
    <mergeCell ref="SH24:SH26"/>
    <mergeCell ref="SI24:SI26"/>
    <mergeCell ref="SJ24:SJ26"/>
    <mergeCell ref="SK24:SK26"/>
    <mergeCell ref="SL24:SL26"/>
    <mergeCell ref="SM24:SM26"/>
    <mergeCell ref="SN24:SN26"/>
    <mergeCell ref="SO24:SO26"/>
    <mergeCell ref="SP24:SP26"/>
    <mergeCell ref="SQ24:SQ26"/>
    <mergeCell ref="SR24:SR26"/>
    <mergeCell ref="SS24:SS26"/>
    <mergeCell ref="ST24:ST26"/>
    <mergeCell ref="QG24:QG26"/>
    <mergeCell ref="QH24:QH26"/>
    <mergeCell ref="QI24:QI26"/>
    <mergeCell ref="QJ24:QJ26"/>
    <mergeCell ref="QK24:QK26"/>
    <mergeCell ref="QL24:QL26"/>
    <mergeCell ref="QM24:QM26"/>
    <mergeCell ref="QN24:QN26"/>
    <mergeCell ref="QO24:QO26"/>
    <mergeCell ref="QP24:QP26"/>
    <mergeCell ref="QQ24:QQ26"/>
    <mergeCell ref="QR24:QR26"/>
    <mergeCell ref="QS24:QS26"/>
    <mergeCell ref="QT24:QT26"/>
    <mergeCell ref="QU24:QU26"/>
    <mergeCell ref="QV24:QV26"/>
    <mergeCell ref="QW24:QW26"/>
    <mergeCell ref="QX24:QX26"/>
    <mergeCell ref="QY24:QY26"/>
    <mergeCell ref="QZ24:QZ26"/>
    <mergeCell ref="RA24:RA26"/>
    <mergeCell ref="RB24:RB26"/>
    <mergeCell ref="RC24:RC26"/>
    <mergeCell ref="RD24:RD26"/>
    <mergeCell ref="RE24:RE26"/>
    <mergeCell ref="RF24:RF26"/>
    <mergeCell ref="RG24:RG26"/>
    <mergeCell ref="RH24:RH26"/>
    <mergeCell ref="RI24:RI26"/>
    <mergeCell ref="RJ24:RJ26"/>
    <mergeCell ref="RK24:RK26"/>
    <mergeCell ref="RL24:RL26"/>
    <mergeCell ref="RM24:RM26"/>
    <mergeCell ref="OZ24:OZ26"/>
    <mergeCell ref="PA24:PA26"/>
    <mergeCell ref="PB24:PB26"/>
    <mergeCell ref="PC24:PC26"/>
    <mergeCell ref="PD24:PD26"/>
    <mergeCell ref="PE24:PE26"/>
    <mergeCell ref="PF24:PF26"/>
    <mergeCell ref="PG24:PG26"/>
    <mergeCell ref="PH24:PH26"/>
    <mergeCell ref="PI24:PI26"/>
    <mergeCell ref="PJ24:PJ26"/>
    <mergeCell ref="PK24:PK26"/>
    <mergeCell ref="PL24:PL26"/>
    <mergeCell ref="PM24:PM26"/>
    <mergeCell ref="PN24:PN26"/>
    <mergeCell ref="PO24:PO26"/>
    <mergeCell ref="PP24:PP26"/>
    <mergeCell ref="PQ24:PQ26"/>
    <mergeCell ref="PR24:PR26"/>
    <mergeCell ref="PS24:PS26"/>
    <mergeCell ref="PT24:PT26"/>
    <mergeCell ref="PU24:PU26"/>
    <mergeCell ref="PV24:PV26"/>
    <mergeCell ref="PW24:PW26"/>
    <mergeCell ref="PX24:PX26"/>
    <mergeCell ref="PY24:PY26"/>
    <mergeCell ref="PZ24:PZ26"/>
    <mergeCell ref="QA24:QA26"/>
    <mergeCell ref="QB24:QB26"/>
    <mergeCell ref="QC24:QC26"/>
    <mergeCell ref="QD24:QD26"/>
    <mergeCell ref="QE24:QE26"/>
    <mergeCell ref="QF24:QF26"/>
    <mergeCell ref="NS24:NS26"/>
    <mergeCell ref="NT24:NT26"/>
    <mergeCell ref="NU24:NU26"/>
    <mergeCell ref="NV24:NV26"/>
    <mergeCell ref="NW24:NW26"/>
    <mergeCell ref="NX24:NX26"/>
    <mergeCell ref="NY24:NY26"/>
    <mergeCell ref="NZ24:NZ26"/>
    <mergeCell ref="OA24:OA26"/>
    <mergeCell ref="OB24:OB26"/>
    <mergeCell ref="OC24:OC26"/>
    <mergeCell ref="OD24:OD26"/>
    <mergeCell ref="OE24:OE26"/>
    <mergeCell ref="OF24:OF26"/>
    <mergeCell ref="OG24:OG26"/>
    <mergeCell ref="OH24:OH26"/>
    <mergeCell ref="OI24:OI26"/>
    <mergeCell ref="OJ24:OJ26"/>
    <mergeCell ref="OK24:OK26"/>
    <mergeCell ref="OL24:OL26"/>
    <mergeCell ref="OM24:OM26"/>
    <mergeCell ref="ON24:ON26"/>
    <mergeCell ref="OO24:OO26"/>
    <mergeCell ref="OP24:OP26"/>
    <mergeCell ref="OQ24:OQ26"/>
    <mergeCell ref="OR24:OR26"/>
    <mergeCell ref="OS24:OS26"/>
    <mergeCell ref="OT24:OT26"/>
    <mergeCell ref="OU24:OU26"/>
    <mergeCell ref="OV24:OV26"/>
    <mergeCell ref="OW24:OW26"/>
    <mergeCell ref="OX24:OX26"/>
    <mergeCell ref="OY24:OY26"/>
    <mergeCell ref="ML24:ML26"/>
    <mergeCell ref="MM24:MM26"/>
    <mergeCell ref="MN24:MN26"/>
    <mergeCell ref="MO24:MO26"/>
    <mergeCell ref="MP24:MP26"/>
    <mergeCell ref="MQ24:MQ26"/>
    <mergeCell ref="MR24:MR26"/>
    <mergeCell ref="MS24:MS26"/>
    <mergeCell ref="MT24:MT26"/>
    <mergeCell ref="MU24:MU26"/>
    <mergeCell ref="MV24:MV26"/>
    <mergeCell ref="MW24:MW26"/>
    <mergeCell ref="MX24:MX26"/>
    <mergeCell ref="MY24:MY26"/>
    <mergeCell ref="MZ24:MZ26"/>
    <mergeCell ref="NA24:NA26"/>
    <mergeCell ref="NB24:NB26"/>
    <mergeCell ref="NC24:NC26"/>
    <mergeCell ref="ND24:ND26"/>
    <mergeCell ref="NE24:NE26"/>
    <mergeCell ref="NF24:NF26"/>
    <mergeCell ref="NG24:NG26"/>
    <mergeCell ref="NH24:NH26"/>
    <mergeCell ref="NI24:NI26"/>
    <mergeCell ref="NJ24:NJ26"/>
    <mergeCell ref="NK24:NK26"/>
    <mergeCell ref="NL24:NL26"/>
    <mergeCell ref="NM24:NM26"/>
    <mergeCell ref="NN24:NN26"/>
    <mergeCell ref="NO24:NO26"/>
    <mergeCell ref="NP24:NP26"/>
    <mergeCell ref="NQ24:NQ26"/>
    <mergeCell ref="NR24:NR26"/>
    <mergeCell ref="XD16:XD18"/>
    <mergeCell ref="XE16:XE18"/>
    <mergeCell ref="XF16:XF18"/>
    <mergeCell ref="XG16:XG18"/>
    <mergeCell ref="XH16:XH18"/>
    <mergeCell ref="XI16:XI18"/>
    <mergeCell ref="XJ16:XJ18"/>
    <mergeCell ref="XK16:XK18"/>
    <mergeCell ref="XL16:XL18"/>
    <mergeCell ref="XM16:XM18"/>
    <mergeCell ref="XN16:XN18"/>
    <mergeCell ref="XO16:XO18"/>
    <mergeCell ref="XP16:XP18"/>
    <mergeCell ref="XQ16:XQ18"/>
    <mergeCell ref="XR16:XR18"/>
    <mergeCell ref="XS16:XS18"/>
    <mergeCell ref="XT16:XT18"/>
    <mergeCell ref="XU16:XU18"/>
    <mergeCell ref="SE16:SE18"/>
    <mergeCell ref="SF16:SF18"/>
    <mergeCell ref="SG16:SG18"/>
    <mergeCell ref="SH16:SH18"/>
    <mergeCell ref="SI16:SI18"/>
    <mergeCell ref="SJ16:SJ18"/>
    <mergeCell ref="SK16:SK18"/>
    <mergeCell ref="SL16:SL18"/>
    <mergeCell ref="SM16:SM18"/>
    <mergeCell ref="SN16:SN18"/>
    <mergeCell ref="SO16:SO18"/>
    <mergeCell ref="SP16:SP18"/>
    <mergeCell ref="SQ16:SQ18"/>
    <mergeCell ref="SR16:SR18"/>
    <mergeCell ref="SS16:SS18"/>
    <mergeCell ref="ST16:ST18"/>
    <mergeCell ref="SU16:SU18"/>
    <mergeCell ref="SV16:SV18"/>
    <mergeCell ref="SW16:SW18"/>
    <mergeCell ref="SX16:SX18"/>
    <mergeCell ref="SY16:SY18"/>
    <mergeCell ref="SZ16:SZ18"/>
    <mergeCell ref="TA16:TA18"/>
    <mergeCell ref="TB16:TB18"/>
    <mergeCell ref="TC16:TC18"/>
    <mergeCell ref="TD16:TD18"/>
    <mergeCell ref="TE16:TE18"/>
    <mergeCell ref="TF16:TF18"/>
    <mergeCell ref="TG16:TG18"/>
    <mergeCell ref="TH16:TH18"/>
    <mergeCell ref="TI16:TI18"/>
    <mergeCell ref="TJ16:TJ18"/>
    <mergeCell ref="TK16:TK18"/>
    <mergeCell ref="TL16:TL18"/>
    <mergeCell ref="TM16:TM18"/>
    <mergeCell ref="TN16:TN18"/>
    <mergeCell ref="TO16:TO18"/>
    <mergeCell ref="TP16:TP18"/>
    <mergeCell ref="TQ16:TQ18"/>
    <mergeCell ref="TR16:TR18"/>
    <mergeCell ref="TS16:TS18"/>
    <mergeCell ref="TT16:TT18"/>
    <mergeCell ref="TU16:TU18"/>
    <mergeCell ref="TV16:TV18"/>
    <mergeCell ref="TW16:TW18"/>
    <mergeCell ref="TX16:TX18"/>
    <mergeCell ref="VW16:VW18"/>
    <mergeCell ref="VX16:VX18"/>
    <mergeCell ref="VY16:VY18"/>
    <mergeCell ref="VZ16:VZ18"/>
    <mergeCell ref="WA16:WA18"/>
    <mergeCell ref="WB16:WB18"/>
    <mergeCell ref="WC16:WC18"/>
    <mergeCell ref="WD16:WD18"/>
    <mergeCell ref="WE16:WE18"/>
    <mergeCell ref="WF16:WF18"/>
    <mergeCell ref="WG16:WG18"/>
    <mergeCell ref="WH16:WH18"/>
    <mergeCell ref="WI16:WI18"/>
    <mergeCell ref="WJ16:WJ18"/>
    <mergeCell ref="WK16:WK18"/>
    <mergeCell ref="WL16:WL18"/>
    <mergeCell ref="WM16:WM18"/>
    <mergeCell ref="WN16:WN18"/>
    <mergeCell ref="WO16:WO18"/>
    <mergeCell ref="WP16:WP18"/>
    <mergeCell ref="WQ16:WQ18"/>
    <mergeCell ref="WR16:WR18"/>
    <mergeCell ref="WS16:WS18"/>
    <mergeCell ref="WT16:WT18"/>
    <mergeCell ref="WU16:WU18"/>
    <mergeCell ref="WV16:WV18"/>
    <mergeCell ref="WW16:WW18"/>
    <mergeCell ref="WX16:WX18"/>
    <mergeCell ref="WY16:WY18"/>
    <mergeCell ref="WZ16:WZ18"/>
    <mergeCell ref="XA16:XA18"/>
    <mergeCell ref="XB16:XB18"/>
    <mergeCell ref="XC16:XC18"/>
    <mergeCell ref="UP16:UP18"/>
    <mergeCell ref="UQ16:UQ18"/>
    <mergeCell ref="UR16:UR18"/>
    <mergeCell ref="US16:US18"/>
    <mergeCell ref="UT16:UT18"/>
    <mergeCell ref="UU16:UU18"/>
    <mergeCell ref="UV16:UV18"/>
    <mergeCell ref="UW16:UW18"/>
    <mergeCell ref="UX16:UX18"/>
    <mergeCell ref="UY16:UY18"/>
    <mergeCell ref="UZ16:UZ18"/>
    <mergeCell ref="VA16:VA18"/>
    <mergeCell ref="VB16:VB18"/>
    <mergeCell ref="VC16:VC18"/>
    <mergeCell ref="VD16:VD18"/>
    <mergeCell ref="VE16:VE18"/>
    <mergeCell ref="VF16:VF18"/>
    <mergeCell ref="VG16:VG18"/>
    <mergeCell ref="VH16:VH18"/>
    <mergeCell ref="VI16:VI18"/>
    <mergeCell ref="VJ16:VJ18"/>
    <mergeCell ref="VK16:VK18"/>
    <mergeCell ref="VL16:VL18"/>
    <mergeCell ref="VM16:VM18"/>
    <mergeCell ref="VN16:VN18"/>
    <mergeCell ref="VO16:VO18"/>
    <mergeCell ref="VP16:VP18"/>
    <mergeCell ref="VQ16:VQ18"/>
    <mergeCell ref="VR16:VR18"/>
    <mergeCell ref="VS16:VS18"/>
    <mergeCell ref="VT16:VT18"/>
    <mergeCell ref="VU16:VU18"/>
    <mergeCell ref="VV16:VV18"/>
    <mergeCell ref="RL16:RL18"/>
    <mergeCell ref="RM16:RM18"/>
    <mergeCell ref="RN16:RN18"/>
    <mergeCell ref="RO16:RO18"/>
    <mergeCell ref="RP16:RP18"/>
    <mergeCell ref="RQ16:RQ18"/>
    <mergeCell ref="RR16:RR18"/>
    <mergeCell ref="RS16:RS18"/>
    <mergeCell ref="RT16:RT18"/>
    <mergeCell ref="RU16:RU18"/>
    <mergeCell ref="RV16:RV18"/>
    <mergeCell ref="RW16:RW18"/>
    <mergeCell ref="RX16:RX18"/>
    <mergeCell ref="RY16:RY18"/>
    <mergeCell ref="RZ16:RZ18"/>
    <mergeCell ref="SA16:SA18"/>
    <mergeCell ref="SB16:SB18"/>
    <mergeCell ref="SC16:SC18"/>
    <mergeCell ref="SD16:SD18"/>
    <mergeCell ref="UB16:UB18"/>
    <mergeCell ref="UC16:UC18"/>
    <mergeCell ref="UD16:UD18"/>
    <mergeCell ref="UE16:UE18"/>
    <mergeCell ref="UF16:UF18"/>
    <mergeCell ref="UG16:UG18"/>
    <mergeCell ref="UH16:UH18"/>
    <mergeCell ref="UI16:UI18"/>
    <mergeCell ref="UJ16:UJ18"/>
    <mergeCell ref="UK16:UK18"/>
    <mergeCell ref="UL16:UL18"/>
    <mergeCell ref="UM16:UM18"/>
    <mergeCell ref="UN16:UN18"/>
    <mergeCell ref="UO16:UO18"/>
    <mergeCell ref="TY16:TY18"/>
    <mergeCell ref="TZ16:TZ18"/>
    <mergeCell ref="UA16:UA18"/>
    <mergeCell ref="QE16:QE18"/>
    <mergeCell ref="QF16:QF18"/>
    <mergeCell ref="QG16:QG18"/>
    <mergeCell ref="QH16:QH18"/>
    <mergeCell ref="QI16:QI18"/>
    <mergeCell ref="QJ16:QJ18"/>
    <mergeCell ref="QK16:QK18"/>
    <mergeCell ref="QL16:QL18"/>
    <mergeCell ref="QM16:QM18"/>
    <mergeCell ref="QN16:QN18"/>
    <mergeCell ref="QO16:QO18"/>
    <mergeCell ref="QP16:QP18"/>
    <mergeCell ref="QQ16:QQ18"/>
    <mergeCell ref="QR16:QR18"/>
    <mergeCell ref="QS16:QS18"/>
    <mergeCell ref="QT16:QT18"/>
    <mergeCell ref="QU16:QU18"/>
    <mergeCell ref="QV16:QV18"/>
    <mergeCell ref="QW16:QW18"/>
    <mergeCell ref="QX16:QX18"/>
    <mergeCell ref="QY16:QY18"/>
    <mergeCell ref="QZ16:QZ18"/>
    <mergeCell ref="RA16:RA18"/>
    <mergeCell ref="RB16:RB18"/>
    <mergeCell ref="RC16:RC18"/>
    <mergeCell ref="RD16:RD18"/>
    <mergeCell ref="RE16:RE18"/>
    <mergeCell ref="RF16:RF18"/>
    <mergeCell ref="RG16:RG18"/>
    <mergeCell ref="RH16:RH18"/>
    <mergeCell ref="RI16:RI18"/>
    <mergeCell ref="RJ16:RJ18"/>
    <mergeCell ref="RK16:RK18"/>
    <mergeCell ref="OX16:OX18"/>
    <mergeCell ref="OY16:OY18"/>
    <mergeCell ref="OZ16:OZ18"/>
    <mergeCell ref="PA16:PA18"/>
    <mergeCell ref="PB16:PB18"/>
    <mergeCell ref="PC16:PC18"/>
    <mergeCell ref="PD16:PD18"/>
    <mergeCell ref="PE16:PE18"/>
    <mergeCell ref="PF16:PF18"/>
    <mergeCell ref="PG16:PG18"/>
    <mergeCell ref="PH16:PH18"/>
    <mergeCell ref="PI16:PI18"/>
    <mergeCell ref="PJ16:PJ18"/>
    <mergeCell ref="PK16:PK18"/>
    <mergeCell ref="PL16:PL18"/>
    <mergeCell ref="PM16:PM18"/>
    <mergeCell ref="PN16:PN18"/>
    <mergeCell ref="PO16:PO18"/>
    <mergeCell ref="PP16:PP18"/>
    <mergeCell ref="PQ16:PQ18"/>
    <mergeCell ref="PR16:PR18"/>
    <mergeCell ref="PS16:PS18"/>
    <mergeCell ref="PT16:PT18"/>
    <mergeCell ref="PU16:PU18"/>
    <mergeCell ref="PV16:PV18"/>
    <mergeCell ref="PW16:PW18"/>
    <mergeCell ref="PX16:PX18"/>
    <mergeCell ref="PY16:PY18"/>
    <mergeCell ref="PZ16:PZ18"/>
    <mergeCell ref="QA16:QA18"/>
    <mergeCell ref="QB16:QB18"/>
    <mergeCell ref="QC16:QC18"/>
    <mergeCell ref="QD16:QD18"/>
    <mergeCell ref="NQ16:NQ18"/>
    <mergeCell ref="NR16:NR18"/>
    <mergeCell ref="NS16:NS18"/>
    <mergeCell ref="NT16:NT18"/>
    <mergeCell ref="NU16:NU18"/>
    <mergeCell ref="NV16:NV18"/>
    <mergeCell ref="NW16:NW18"/>
    <mergeCell ref="NX16:NX18"/>
    <mergeCell ref="NY16:NY18"/>
    <mergeCell ref="NZ16:NZ18"/>
    <mergeCell ref="OA16:OA18"/>
    <mergeCell ref="OB16:OB18"/>
    <mergeCell ref="OC16:OC18"/>
    <mergeCell ref="OD16:OD18"/>
    <mergeCell ref="OE16:OE18"/>
    <mergeCell ref="OF16:OF18"/>
    <mergeCell ref="OG16:OG18"/>
    <mergeCell ref="OH16:OH18"/>
    <mergeCell ref="OI16:OI18"/>
    <mergeCell ref="OJ16:OJ18"/>
    <mergeCell ref="OK16:OK18"/>
    <mergeCell ref="OL16:OL18"/>
    <mergeCell ref="OM16:OM18"/>
    <mergeCell ref="ON16:ON18"/>
    <mergeCell ref="OO16:OO18"/>
    <mergeCell ref="OP16:OP18"/>
    <mergeCell ref="OQ16:OQ18"/>
    <mergeCell ref="OR16:OR18"/>
    <mergeCell ref="OS16:OS18"/>
    <mergeCell ref="OT16:OT18"/>
    <mergeCell ref="OU16:OU18"/>
    <mergeCell ref="OV16:OV18"/>
    <mergeCell ref="OW16:OW18"/>
    <mergeCell ref="MJ16:MJ18"/>
    <mergeCell ref="MK16:MK18"/>
    <mergeCell ref="ML16:ML18"/>
    <mergeCell ref="MM16:MM18"/>
    <mergeCell ref="MN16:MN18"/>
    <mergeCell ref="MO16:MO18"/>
    <mergeCell ref="MP16:MP18"/>
    <mergeCell ref="MQ16:MQ18"/>
    <mergeCell ref="MR16:MR18"/>
    <mergeCell ref="MS16:MS18"/>
    <mergeCell ref="MT16:MT18"/>
    <mergeCell ref="MU16:MU18"/>
    <mergeCell ref="MV16:MV18"/>
    <mergeCell ref="MW16:MW18"/>
    <mergeCell ref="MX16:MX18"/>
    <mergeCell ref="MY16:MY18"/>
    <mergeCell ref="MZ16:MZ18"/>
    <mergeCell ref="NA16:NA18"/>
    <mergeCell ref="NB16:NB18"/>
    <mergeCell ref="NC16:NC18"/>
    <mergeCell ref="ND16:ND18"/>
    <mergeCell ref="NE16:NE18"/>
    <mergeCell ref="NF16:NF18"/>
    <mergeCell ref="NG16:NG18"/>
    <mergeCell ref="NH16:NH18"/>
    <mergeCell ref="NI16:NI18"/>
    <mergeCell ref="NJ16:NJ18"/>
    <mergeCell ref="NK16:NK18"/>
    <mergeCell ref="NL16:NL18"/>
    <mergeCell ref="NM16:NM18"/>
    <mergeCell ref="NN16:NN18"/>
    <mergeCell ref="NO16:NO18"/>
    <mergeCell ref="NP16:NP18"/>
    <mergeCell ref="AHL19:AHL21"/>
    <mergeCell ref="AHM19:AHM21"/>
    <mergeCell ref="AHN19:AHN21"/>
    <mergeCell ref="AHO19:AHO21"/>
    <mergeCell ref="AHP19:AHP21"/>
    <mergeCell ref="AHQ19:AHQ21"/>
    <mergeCell ref="AHW19:AHW21"/>
    <mergeCell ref="AHX20:AHX21"/>
    <mergeCell ref="AHR19:AHR21"/>
    <mergeCell ref="AHS19:AHS21"/>
    <mergeCell ref="AHT19:AHT21"/>
    <mergeCell ref="AHU19:AHU21"/>
    <mergeCell ref="AHV19:AHV21"/>
    <mergeCell ref="AHZ19:AHZ21"/>
    <mergeCell ref="AIA19:AIA21"/>
    <mergeCell ref="AHY20:AHY21"/>
    <mergeCell ref="AFG19:AFG21"/>
    <mergeCell ref="AFH19:AFH21"/>
    <mergeCell ref="AFI19:AFI21"/>
    <mergeCell ref="AFJ19:AFJ21"/>
    <mergeCell ref="AFK19:AFK21"/>
    <mergeCell ref="AFL19:AFL21"/>
    <mergeCell ref="AFM19:AFM21"/>
    <mergeCell ref="AFN19:AFN21"/>
    <mergeCell ref="AFO19:AFO21"/>
    <mergeCell ref="AFP19:AFP21"/>
    <mergeCell ref="AFQ19:AFQ21"/>
    <mergeCell ref="AFR19:AFR21"/>
    <mergeCell ref="AFS19:AFS21"/>
    <mergeCell ref="AFT19:AFT21"/>
    <mergeCell ref="AFU19:AFU21"/>
    <mergeCell ref="AFV19:AFV21"/>
    <mergeCell ref="AFW19:AFW21"/>
    <mergeCell ref="AFX19:AFX21"/>
    <mergeCell ref="AFY19:AFY21"/>
    <mergeCell ref="AFZ19:AFZ21"/>
    <mergeCell ref="AGA19:AGA21"/>
    <mergeCell ref="AGB19:AGB21"/>
    <mergeCell ref="AGC19:AGC21"/>
    <mergeCell ref="AGD19:AGD21"/>
    <mergeCell ref="AGE19:AGE21"/>
    <mergeCell ref="AGF19:AGF21"/>
    <mergeCell ref="AGG19:AGG21"/>
    <mergeCell ref="AGH19:AGH21"/>
    <mergeCell ref="AGI19:AGI21"/>
    <mergeCell ref="AGJ19:AGJ21"/>
    <mergeCell ref="AGK19:AGK21"/>
    <mergeCell ref="AGL19:AGL21"/>
    <mergeCell ref="AGM19:AGM21"/>
    <mergeCell ref="AGN19:AGN21"/>
    <mergeCell ref="AGO19:AGO21"/>
    <mergeCell ref="AGP19:AGP21"/>
    <mergeCell ref="AGQ19:AGQ21"/>
    <mergeCell ref="AGR19:AGR21"/>
    <mergeCell ref="AGS19:AGS21"/>
    <mergeCell ref="AGT19:AGT21"/>
    <mergeCell ref="AGU19:AGU21"/>
    <mergeCell ref="AGV19:AGV21"/>
    <mergeCell ref="AGW19:AGW21"/>
    <mergeCell ref="AGX19:AGX21"/>
    <mergeCell ref="AGY19:AGY21"/>
    <mergeCell ref="AGZ19:AGZ21"/>
    <mergeCell ref="AHA19:AHA21"/>
    <mergeCell ref="AHB19:AHB21"/>
    <mergeCell ref="AEH19:AEH21"/>
    <mergeCell ref="AEI19:AEI21"/>
    <mergeCell ref="AEJ19:AEJ21"/>
    <mergeCell ref="AEK19:AEK21"/>
    <mergeCell ref="AEL19:AEL21"/>
    <mergeCell ref="AEM19:AEM21"/>
    <mergeCell ref="AEN19:AEN21"/>
    <mergeCell ref="AEO19:AEO21"/>
    <mergeCell ref="AEP19:AEP21"/>
    <mergeCell ref="AEQ19:AEQ21"/>
    <mergeCell ref="AER19:AER21"/>
    <mergeCell ref="AES19:AES21"/>
    <mergeCell ref="AET19:AET21"/>
    <mergeCell ref="AEU19:AEU21"/>
    <mergeCell ref="AEV19:AEV21"/>
    <mergeCell ref="AEW19:AEW21"/>
    <mergeCell ref="AEX19:AEX21"/>
    <mergeCell ref="AEY19:AEY21"/>
    <mergeCell ref="AEZ19:AEZ21"/>
    <mergeCell ref="AFA19:AFA21"/>
    <mergeCell ref="AFB19:AFB21"/>
    <mergeCell ref="AFC19:AFC21"/>
    <mergeCell ref="AFD19:AFD21"/>
    <mergeCell ref="AFE19:AFE21"/>
    <mergeCell ref="AFF19:AFF21"/>
    <mergeCell ref="AHD19:AHD21"/>
    <mergeCell ref="AHE19:AHE21"/>
    <mergeCell ref="AHF19:AHF21"/>
    <mergeCell ref="AHG19:AHG21"/>
    <mergeCell ref="AHH19:AHH21"/>
    <mergeCell ref="AHI19:AHI21"/>
    <mergeCell ref="AHJ19:AHJ21"/>
    <mergeCell ref="AHK19:AHK21"/>
    <mergeCell ref="AHC19:AHC21"/>
    <mergeCell ref="ADB19:ADB21"/>
    <mergeCell ref="ACU20:ACU21"/>
    <mergeCell ref="ADC19:ADC21"/>
    <mergeCell ref="ADD19:ADD21"/>
    <mergeCell ref="ADE19:ADE21"/>
    <mergeCell ref="ADF19:ADF21"/>
    <mergeCell ref="ADG19:ADG21"/>
    <mergeCell ref="ADH19:ADH21"/>
    <mergeCell ref="ADI19:ADI21"/>
    <mergeCell ref="ADJ19:ADJ21"/>
    <mergeCell ref="ADK19:ADK21"/>
    <mergeCell ref="ADL19:ADL21"/>
    <mergeCell ref="ADM19:ADM21"/>
    <mergeCell ref="ADN19:ADN21"/>
    <mergeCell ref="ADO19:ADO21"/>
    <mergeCell ref="ADP19:ADP21"/>
    <mergeCell ref="ADQ19:ADQ21"/>
    <mergeCell ref="ADR19:ADR21"/>
    <mergeCell ref="ADS19:ADS21"/>
    <mergeCell ref="ADT19:ADT21"/>
    <mergeCell ref="ADU19:ADU21"/>
    <mergeCell ref="ADV19:ADV21"/>
    <mergeCell ref="ADW19:ADW21"/>
    <mergeCell ref="ADX19:ADX21"/>
    <mergeCell ref="ADY19:ADY21"/>
    <mergeCell ref="ADZ19:ADZ21"/>
    <mergeCell ref="AEA19:AEA21"/>
    <mergeCell ref="AEB19:AEB21"/>
    <mergeCell ref="AEC19:AEC21"/>
    <mergeCell ref="AED19:AED21"/>
    <mergeCell ref="AEE19:AEE21"/>
    <mergeCell ref="AEF19:AEF21"/>
    <mergeCell ref="AEG19:AEG21"/>
    <mergeCell ref="ABT19:ABT21"/>
    <mergeCell ref="ABU19:ABU21"/>
    <mergeCell ref="ABV19:ABV21"/>
    <mergeCell ref="ABW19:ABW21"/>
    <mergeCell ref="ABX19:ABX21"/>
    <mergeCell ref="ABY19:ABY21"/>
    <mergeCell ref="ABZ19:ABZ21"/>
    <mergeCell ref="ACA19:ACA21"/>
    <mergeCell ref="ACB19:ACB21"/>
    <mergeCell ref="ACC19:ACC21"/>
    <mergeCell ref="ACD19:ACD21"/>
    <mergeCell ref="ACE19:ACE21"/>
    <mergeCell ref="ACF19:ACF21"/>
    <mergeCell ref="ACG19:ACG21"/>
    <mergeCell ref="ACH19:ACH21"/>
    <mergeCell ref="ACI19:ACI21"/>
    <mergeCell ref="ACJ19:ACJ21"/>
    <mergeCell ref="ACK19:ACK21"/>
    <mergeCell ref="ACL19:ACL21"/>
    <mergeCell ref="ACM19:ACM21"/>
    <mergeCell ref="ACN19:ACN21"/>
    <mergeCell ref="ACO19:ACO21"/>
    <mergeCell ref="ACP19:ACP21"/>
    <mergeCell ref="ACQ19:ACQ21"/>
    <mergeCell ref="ACR19:ACR21"/>
    <mergeCell ref="ACS19:ACS21"/>
    <mergeCell ref="ACT20:ACT21"/>
    <mergeCell ref="ACV19:ACV21"/>
    <mergeCell ref="ACW19:ACW21"/>
    <mergeCell ref="ACX19:ACX21"/>
    <mergeCell ref="ACY19:ACY21"/>
    <mergeCell ref="ACZ19:ACZ21"/>
    <mergeCell ref="ADA19:ADA21"/>
    <mergeCell ref="AAM19:AAM21"/>
    <mergeCell ref="AAN19:AAN21"/>
    <mergeCell ref="AAO19:AAO21"/>
    <mergeCell ref="AAP19:AAP21"/>
    <mergeCell ref="AAQ19:AAQ21"/>
    <mergeCell ref="AAR19:AAR21"/>
    <mergeCell ref="AAS19:AAS21"/>
    <mergeCell ref="AAT19:AAT21"/>
    <mergeCell ref="AAU19:AAU21"/>
    <mergeCell ref="AAV19:AAV21"/>
    <mergeCell ref="AAW19:AAW21"/>
    <mergeCell ref="AAX19:AAX21"/>
    <mergeCell ref="AAY19:AAY21"/>
    <mergeCell ref="AAZ19:AAZ21"/>
    <mergeCell ref="ABA19:ABA21"/>
    <mergeCell ref="ABB19:ABB21"/>
    <mergeCell ref="ABC19:ABC21"/>
    <mergeCell ref="ABD19:ABD21"/>
    <mergeCell ref="ABE19:ABE21"/>
    <mergeCell ref="ABF19:ABF21"/>
    <mergeCell ref="ABG19:ABG21"/>
    <mergeCell ref="ABH19:ABH21"/>
    <mergeCell ref="ABI19:ABI21"/>
    <mergeCell ref="ABJ19:ABJ21"/>
    <mergeCell ref="ABK19:ABK21"/>
    <mergeCell ref="ABL19:ABL21"/>
    <mergeCell ref="ABM19:ABM21"/>
    <mergeCell ref="ABN19:ABN21"/>
    <mergeCell ref="ABO19:ABO21"/>
    <mergeCell ref="ABP19:ABP21"/>
    <mergeCell ref="ABQ19:ABQ21"/>
    <mergeCell ref="ABR19:ABR21"/>
    <mergeCell ref="ABS19:ABS21"/>
    <mergeCell ref="ZF19:ZF21"/>
    <mergeCell ref="ZG19:ZG21"/>
    <mergeCell ref="ZH19:ZH21"/>
    <mergeCell ref="ZI19:ZI21"/>
    <mergeCell ref="ZJ19:ZJ21"/>
    <mergeCell ref="ZK19:ZK21"/>
    <mergeCell ref="ZL19:ZL21"/>
    <mergeCell ref="ZM19:ZM21"/>
    <mergeCell ref="ZN19:ZN21"/>
    <mergeCell ref="ZO19:ZO21"/>
    <mergeCell ref="ZP19:ZP21"/>
    <mergeCell ref="ZQ19:ZQ21"/>
    <mergeCell ref="ZR19:ZR21"/>
    <mergeCell ref="ZS19:ZS21"/>
    <mergeCell ref="ZT19:ZT21"/>
    <mergeCell ref="ZU19:ZU21"/>
    <mergeCell ref="ZV19:ZV21"/>
    <mergeCell ref="ZW19:ZW21"/>
    <mergeCell ref="ZX19:ZX21"/>
    <mergeCell ref="ZY19:ZY21"/>
    <mergeCell ref="ZZ19:ZZ21"/>
    <mergeCell ref="AAA19:AAA21"/>
    <mergeCell ref="AAB19:AAB21"/>
    <mergeCell ref="AAC19:AAC21"/>
    <mergeCell ref="AAD19:AAD21"/>
    <mergeCell ref="AAE19:AAE21"/>
    <mergeCell ref="AAF19:AAF21"/>
    <mergeCell ref="AAG19:AAG21"/>
    <mergeCell ref="AAH19:AAH21"/>
    <mergeCell ref="AAI19:AAI21"/>
    <mergeCell ref="AAJ19:AAJ21"/>
    <mergeCell ref="AAK19:AAK21"/>
    <mergeCell ref="AAL19:AAL21"/>
    <mergeCell ref="XY19:XY21"/>
    <mergeCell ref="XZ19:XZ21"/>
    <mergeCell ref="YA19:YA21"/>
    <mergeCell ref="YB19:YB21"/>
    <mergeCell ref="YC19:YC21"/>
    <mergeCell ref="YD19:YD21"/>
    <mergeCell ref="YE19:YE21"/>
    <mergeCell ref="YF19:YF21"/>
    <mergeCell ref="YG19:YG21"/>
    <mergeCell ref="YH19:YH21"/>
    <mergeCell ref="YI19:YI21"/>
    <mergeCell ref="YJ19:YJ21"/>
    <mergeCell ref="YK19:YK21"/>
    <mergeCell ref="YL19:YL21"/>
    <mergeCell ref="YM19:YM21"/>
    <mergeCell ref="YN19:YN21"/>
    <mergeCell ref="YO19:YO21"/>
    <mergeCell ref="YP19:YP21"/>
    <mergeCell ref="YQ19:YQ21"/>
    <mergeCell ref="YR19:YR21"/>
    <mergeCell ref="YS19:YS21"/>
    <mergeCell ref="YT19:YT21"/>
    <mergeCell ref="YU19:YU21"/>
    <mergeCell ref="YV19:YV21"/>
    <mergeCell ref="YW19:YW21"/>
    <mergeCell ref="YX19:YX21"/>
    <mergeCell ref="YY19:YY21"/>
    <mergeCell ref="YZ19:YZ21"/>
    <mergeCell ref="ZA19:ZA21"/>
    <mergeCell ref="ZB19:ZB21"/>
    <mergeCell ref="ZC19:ZC21"/>
    <mergeCell ref="ZD19:ZD21"/>
    <mergeCell ref="ZE19:ZE21"/>
    <mergeCell ref="WR19:WR21"/>
    <mergeCell ref="WS19:WS21"/>
    <mergeCell ref="WT19:WT21"/>
    <mergeCell ref="WU19:WU21"/>
    <mergeCell ref="WV19:WV21"/>
    <mergeCell ref="WW19:WW21"/>
    <mergeCell ref="WX19:WX21"/>
    <mergeCell ref="WY19:WY21"/>
    <mergeCell ref="WZ19:WZ21"/>
    <mergeCell ref="XA19:XA21"/>
    <mergeCell ref="XB19:XB21"/>
    <mergeCell ref="XC19:XC21"/>
    <mergeCell ref="XD19:XD21"/>
    <mergeCell ref="XE19:XE21"/>
    <mergeCell ref="XF19:XF21"/>
    <mergeCell ref="XG19:XG21"/>
    <mergeCell ref="XH19:XH21"/>
    <mergeCell ref="XI19:XI21"/>
    <mergeCell ref="XJ19:XJ21"/>
    <mergeCell ref="XK19:XK21"/>
    <mergeCell ref="XL19:XL21"/>
    <mergeCell ref="XM19:XM21"/>
    <mergeCell ref="XN19:XN21"/>
    <mergeCell ref="XO19:XO21"/>
    <mergeCell ref="XP19:XP21"/>
    <mergeCell ref="XQ19:XQ21"/>
    <mergeCell ref="XR19:XR21"/>
    <mergeCell ref="XS19:XS21"/>
    <mergeCell ref="XT19:XT21"/>
    <mergeCell ref="XU19:XU21"/>
    <mergeCell ref="XV19:XV21"/>
    <mergeCell ref="XW19:XW21"/>
    <mergeCell ref="XX19:XX21"/>
    <mergeCell ref="VK19:VK21"/>
    <mergeCell ref="VL19:VL21"/>
    <mergeCell ref="VM19:VM21"/>
    <mergeCell ref="VN19:VN21"/>
    <mergeCell ref="VO19:VO21"/>
    <mergeCell ref="VP19:VP21"/>
    <mergeCell ref="VQ19:VQ21"/>
    <mergeCell ref="VR19:VR21"/>
    <mergeCell ref="VS19:VS21"/>
    <mergeCell ref="VT19:VT21"/>
    <mergeCell ref="VU19:VU21"/>
    <mergeCell ref="VV19:VV21"/>
    <mergeCell ref="VW19:VW21"/>
    <mergeCell ref="VX19:VX21"/>
    <mergeCell ref="VY19:VY21"/>
    <mergeCell ref="VZ19:VZ21"/>
    <mergeCell ref="WA19:WA21"/>
    <mergeCell ref="WB19:WB21"/>
    <mergeCell ref="WC19:WC21"/>
    <mergeCell ref="WD19:WD21"/>
    <mergeCell ref="WE19:WE21"/>
    <mergeCell ref="WF19:WF21"/>
    <mergeCell ref="WG19:WG21"/>
    <mergeCell ref="WH19:WH21"/>
    <mergeCell ref="WI19:WI21"/>
    <mergeCell ref="WJ19:WJ21"/>
    <mergeCell ref="WK19:WK21"/>
    <mergeCell ref="WL19:WL21"/>
    <mergeCell ref="WM19:WM21"/>
    <mergeCell ref="WN19:WN21"/>
    <mergeCell ref="WO19:WO21"/>
    <mergeCell ref="WP19:WP21"/>
    <mergeCell ref="WQ19:WQ21"/>
    <mergeCell ref="UD19:UD21"/>
    <mergeCell ref="UE19:UE21"/>
    <mergeCell ref="UF19:UF21"/>
    <mergeCell ref="UG19:UG21"/>
    <mergeCell ref="UH19:UH21"/>
    <mergeCell ref="UI19:UI21"/>
    <mergeCell ref="UJ19:UJ21"/>
    <mergeCell ref="UK19:UK21"/>
    <mergeCell ref="UL19:UL21"/>
    <mergeCell ref="UM19:UM21"/>
    <mergeCell ref="UN19:UN21"/>
    <mergeCell ref="UO19:UO21"/>
    <mergeCell ref="UP19:UP21"/>
    <mergeCell ref="UQ19:UQ21"/>
    <mergeCell ref="UR19:UR21"/>
    <mergeCell ref="US19:US21"/>
    <mergeCell ref="UT19:UT21"/>
    <mergeCell ref="UU19:UU21"/>
    <mergeCell ref="UV19:UV21"/>
    <mergeCell ref="UW19:UW21"/>
    <mergeCell ref="UX19:UX21"/>
    <mergeCell ref="UY19:UY21"/>
    <mergeCell ref="UZ19:UZ21"/>
    <mergeCell ref="VA19:VA21"/>
    <mergeCell ref="VB19:VB21"/>
    <mergeCell ref="VC19:VC21"/>
    <mergeCell ref="VD19:VD21"/>
    <mergeCell ref="VE19:VE21"/>
    <mergeCell ref="VF19:VF21"/>
    <mergeCell ref="VG19:VG21"/>
    <mergeCell ref="VH19:VH21"/>
    <mergeCell ref="VI19:VI21"/>
    <mergeCell ref="VJ19:VJ21"/>
    <mergeCell ref="DF19:DF21"/>
    <mergeCell ref="DG19:DG21"/>
    <mergeCell ref="DH19:DH21"/>
    <mergeCell ref="DI19:DI21"/>
    <mergeCell ref="DJ19:DJ21"/>
    <mergeCell ref="DK19:DK21"/>
    <mergeCell ref="DL19:DL21"/>
    <mergeCell ref="DM19:DM21"/>
    <mergeCell ref="DN19:DN21"/>
    <mergeCell ref="DO19:DO21"/>
    <mergeCell ref="DY19:DY21"/>
    <mergeCell ref="DZ19:DZ21"/>
    <mergeCell ref="EA19:EA21"/>
    <mergeCell ref="EB19:EB21"/>
    <mergeCell ref="EC19:EC21"/>
    <mergeCell ref="ED19:ED21"/>
    <mergeCell ref="EE19:EE21"/>
    <mergeCell ref="DR19:DR21"/>
    <mergeCell ref="DS19:DS21"/>
    <mergeCell ref="DP19:DP21"/>
    <mergeCell ref="DQ19:DQ21"/>
    <mergeCell ref="DT19:DT21"/>
    <mergeCell ref="DU19:DU21"/>
    <mergeCell ref="DV19:DV21"/>
    <mergeCell ref="DW19:DW21"/>
    <mergeCell ref="DX19:DX21"/>
    <mergeCell ref="TW19:TW21"/>
    <mergeCell ref="TX19:TX21"/>
    <mergeCell ref="TY19:TY21"/>
    <mergeCell ref="TZ19:TZ21"/>
    <mergeCell ref="UA19:UA21"/>
    <mergeCell ref="UB19:UB21"/>
    <mergeCell ref="UC19:UC21"/>
    <mergeCell ref="TK19:TK21"/>
    <mergeCell ref="TL19:TL21"/>
    <mergeCell ref="TM19:TM21"/>
    <mergeCell ref="GC19:GC21"/>
    <mergeCell ref="GD19:GD21"/>
    <mergeCell ref="GE19:GE21"/>
    <mergeCell ref="GF19:GF21"/>
    <mergeCell ref="GG19:GG21"/>
    <mergeCell ref="GH19:GH21"/>
    <mergeCell ref="GI19:GI21"/>
    <mergeCell ref="GJ19:GJ21"/>
    <mergeCell ref="GK19:GK21"/>
    <mergeCell ref="GL19:GL21"/>
    <mergeCell ref="GM19:GM21"/>
    <mergeCell ref="GN19:GN21"/>
    <mergeCell ref="GO19:GO21"/>
    <mergeCell ref="GP19:GP21"/>
    <mergeCell ref="GQ19:GQ21"/>
    <mergeCell ref="GR19:GR21"/>
    <mergeCell ref="GS19:GS21"/>
    <mergeCell ref="GT19:GT21"/>
    <mergeCell ref="GU19:GU21"/>
    <mergeCell ref="GV19:GV21"/>
    <mergeCell ref="GW19:GW21"/>
    <mergeCell ref="GX19:GX21"/>
    <mergeCell ref="GY19:GY21"/>
    <mergeCell ref="GZ19:GZ21"/>
    <mergeCell ref="HA19:HA21"/>
    <mergeCell ref="HB19:HB21"/>
    <mergeCell ref="HC19:HC21"/>
    <mergeCell ref="HD19:HD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CZ19:CZ21"/>
    <mergeCell ref="DA19:DA21"/>
    <mergeCell ref="DB19:DB21"/>
    <mergeCell ref="DC19:DC21"/>
    <mergeCell ref="DD19:DD21"/>
    <mergeCell ref="DE19:DE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AS13:AS15"/>
    <mergeCell ref="AT13:AT15"/>
    <mergeCell ref="AU13:AU15"/>
    <mergeCell ref="AV13:AV15"/>
    <mergeCell ref="AW13:AW15"/>
    <mergeCell ref="AX13:AX15"/>
    <mergeCell ref="AY13:AY15"/>
    <mergeCell ref="H13:H15"/>
    <mergeCell ref="I13:I15"/>
    <mergeCell ref="J13:J15"/>
    <mergeCell ref="K13:K15"/>
    <mergeCell ref="L13:L15"/>
    <mergeCell ref="M13:M15"/>
    <mergeCell ref="N13:N15"/>
    <mergeCell ref="A13:A15"/>
    <mergeCell ref="B13:B15"/>
    <mergeCell ref="C13:C15"/>
    <mergeCell ref="D13:D15"/>
    <mergeCell ref="E13:E15"/>
    <mergeCell ref="F13:F15"/>
    <mergeCell ref="G13:G15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L13:AL15"/>
    <mergeCell ref="AM13:AM15"/>
    <mergeCell ref="AN13:AN15"/>
    <mergeCell ref="AO13:AO15"/>
    <mergeCell ref="AP13:AP15"/>
    <mergeCell ref="AQ13:AQ15"/>
    <mergeCell ref="AR13:AR15"/>
    <mergeCell ref="AC13:AC15"/>
    <mergeCell ref="AD13:AD15"/>
    <mergeCell ref="AE13:AE15"/>
    <mergeCell ref="AF13:AF15"/>
    <mergeCell ref="AG13:AG15"/>
    <mergeCell ref="AJ13:AJ15"/>
    <mergeCell ref="AK13:AK15"/>
    <mergeCell ref="A16:A18"/>
    <mergeCell ref="B16:B18"/>
    <mergeCell ref="C16:C18"/>
    <mergeCell ref="D16:D18"/>
    <mergeCell ref="E16:E18"/>
    <mergeCell ref="F16:F18"/>
    <mergeCell ref="G16:G18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H14:AH15"/>
    <mergeCell ref="AI14:AI15"/>
    <mergeCell ref="AI16:AI18"/>
    <mergeCell ref="AJ16:AJ18"/>
    <mergeCell ref="AK16:AK18"/>
    <mergeCell ref="AL16:AL18"/>
    <mergeCell ref="AM16:AM18"/>
    <mergeCell ref="AGZ16:AGZ18"/>
    <mergeCell ref="AHA16:AHA18"/>
    <mergeCell ref="AHB16:AHB18"/>
    <mergeCell ref="AHC16:AHC18"/>
    <mergeCell ref="AHD16:AHD18"/>
    <mergeCell ref="AHE16:AHE18"/>
    <mergeCell ref="AHF16:AHF18"/>
    <mergeCell ref="AHG16:AHG18"/>
    <mergeCell ref="AHH16:AHH18"/>
    <mergeCell ref="AHI16:AHI18"/>
    <mergeCell ref="AHJ16:AHJ18"/>
    <mergeCell ref="AGJ17:AGJ18"/>
    <mergeCell ref="AGK17:AGK18"/>
    <mergeCell ref="AGG16:AGG18"/>
    <mergeCell ref="AGH16:AGH18"/>
    <mergeCell ref="AGI16:AGI18"/>
    <mergeCell ref="AGL16:AGL18"/>
    <mergeCell ref="AGM16:AGM18"/>
    <mergeCell ref="AGN16:AGN18"/>
    <mergeCell ref="AGO16:AGO18"/>
    <mergeCell ref="X16:X18"/>
    <mergeCell ref="Y16:Y18"/>
    <mergeCell ref="Q16:Q18"/>
    <mergeCell ref="R16:R18"/>
    <mergeCell ref="S16:S18"/>
    <mergeCell ref="T16:T18"/>
    <mergeCell ref="U16:U18"/>
    <mergeCell ref="V16:V18"/>
    <mergeCell ref="W16:W18"/>
    <mergeCell ref="AG16:AG18"/>
    <mergeCell ref="AH16:AH18"/>
    <mergeCell ref="Z16:Z18"/>
    <mergeCell ref="AA16:AA18"/>
    <mergeCell ref="AB16:AB18"/>
    <mergeCell ref="AC16:AC18"/>
    <mergeCell ref="AD16:AD18"/>
    <mergeCell ref="AE16:AE18"/>
    <mergeCell ref="AF16:AF18"/>
    <mergeCell ref="AU16:AU18"/>
    <mergeCell ref="AV16:AV18"/>
    <mergeCell ref="AN16:AN18"/>
    <mergeCell ref="AO16:AO18"/>
    <mergeCell ref="AP16:AP18"/>
    <mergeCell ref="AQ16:AQ18"/>
    <mergeCell ref="AR16:AR18"/>
    <mergeCell ref="AS16:AS18"/>
    <mergeCell ref="AT16:AT18"/>
    <mergeCell ref="AW16:AW18"/>
    <mergeCell ref="AX16:AX18"/>
    <mergeCell ref="AY16:AY18"/>
    <mergeCell ref="KQ16:KQ18"/>
    <mergeCell ref="KR16:KR18"/>
    <mergeCell ref="KS16:KS18"/>
    <mergeCell ref="KT16:KT18"/>
    <mergeCell ref="KU16:KU18"/>
    <mergeCell ref="KV16:KV18"/>
    <mergeCell ref="KW16:KW18"/>
    <mergeCell ref="KX16:KX18"/>
    <mergeCell ref="KY16:KY18"/>
    <mergeCell ref="KZ16:KZ18"/>
    <mergeCell ref="LA16:LA18"/>
    <mergeCell ref="LB16:LB18"/>
    <mergeCell ref="LC16:LC18"/>
    <mergeCell ref="LD16:LD18"/>
    <mergeCell ref="AEV16:AEV18"/>
    <mergeCell ref="AEW16:AEW18"/>
    <mergeCell ref="AEX16:AEX18"/>
    <mergeCell ref="AEY16:AEY18"/>
    <mergeCell ref="AEZ16:AEZ18"/>
    <mergeCell ref="AFA16:AFA18"/>
    <mergeCell ref="AFB16:AFB18"/>
    <mergeCell ref="AFC16:AFC18"/>
    <mergeCell ref="AFD16:AFD18"/>
    <mergeCell ref="AFE16:AFE18"/>
    <mergeCell ref="AFF16:AFF18"/>
    <mergeCell ref="AFG16:AFG18"/>
    <mergeCell ref="AFH16:AFH18"/>
    <mergeCell ref="AFI16:AFI18"/>
    <mergeCell ref="AFJ16:AFJ18"/>
    <mergeCell ref="AFK16:AFK18"/>
    <mergeCell ref="AHK16:AHK18"/>
    <mergeCell ref="AHL16:AHL18"/>
    <mergeCell ref="AHM16:AHM18"/>
    <mergeCell ref="AHN16:AHN18"/>
    <mergeCell ref="AHO16:AHO18"/>
    <mergeCell ref="AHP16:AHP18"/>
    <mergeCell ref="AHQ16:AHQ18"/>
    <mergeCell ref="AHW16:AHW18"/>
    <mergeCell ref="AHX17:AHX18"/>
    <mergeCell ref="AHR16:AHR18"/>
    <mergeCell ref="AHS16:AHS18"/>
    <mergeCell ref="AHT16:AHT18"/>
    <mergeCell ref="AHU16:AHU18"/>
    <mergeCell ref="AHV16:AHV18"/>
    <mergeCell ref="AHZ16:AHZ18"/>
    <mergeCell ref="AIA16:AIA18"/>
    <mergeCell ref="AHY17:AHY18"/>
    <mergeCell ref="AFL16:AFL18"/>
    <mergeCell ref="AFM16:AFM18"/>
    <mergeCell ref="AFN16:AFN18"/>
    <mergeCell ref="AFO16:AFO18"/>
    <mergeCell ref="AFP16:AFP18"/>
    <mergeCell ref="AFQ16:AFQ18"/>
    <mergeCell ref="AFR16:AFR18"/>
    <mergeCell ref="AFS16:AFS18"/>
    <mergeCell ref="AFT16:AFT18"/>
    <mergeCell ref="AFU16:AFU18"/>
    <mergeCell ref="AFV16:AFV18"/>
    <mergeCell ref="AFW16:AFW18"/>
    <mergeCell ref="AFX16:AFX18"/>
    <mergeCell ref="AFY16:AFY18"/>
    <mergeCell ref="AFZ16:AFZ18"/>
    <mergeCell ref="AGA16:AGA18"/>
    <mergeCell ref="AGB16:AGB18"/>
    <mergeCell ref="AGC16:AGC18"/>
    <mergeCell ref="AGD16:AGD18"/>
    <mergeCell ref="AGE16:AGE18"/>
    <mergeCell ref="AGF16:AGF18"/>
    <mergeCell ref="AGP16:AGP18"/>
    <mergeCell ref="AGQ16:AGQ18"/>
    <mergeCell ref="AGR16:AGR18"/>
    <mergeCell ref="AGS16:AGS18"/>
    <mergeCell ref="AGT16:AGT18"/>
    <mergeCell ref="AGU16:AGU18"/>
    <mergeCell ref="AGV16:AGV18"/>
    <mergeCell ref="AGW16:AGW18"/>
    <mergeCell ref="AGX16:AGX18"/>
    <mergeCell ref="AGY16:AGY18"/>
    <mergeCell ref="ADO16:ADO18"/>
    <mergeCell ref="ADP16:ADP18"/>
    <mergeCell ref="ADQ16:ADQ18"/>
    <mergeCell ref="ADR16:ADR18"/>
    <mergeCell ref="ADS16:ADS18"/>
    <mergeCell ref="ADT16:ADT18"/>
    <mergeCell ref="ADU16:ADU18"/>
    <mergeCell ref="ADV16:ADV18"/>
    <mergeCell ref="ADW16:ADW18"/>
    <mergeCell ref="ADX16:ADX18"/>
    <mergeCell ref="ADY16:ADY18"/>
    <mergeCell ref="ADZ16:ADZ18"/>
    <mergeCell ref="AEA16:AEA18"/>
    <mergeCell ref="AEB16:AEB18"/>
    <mergeCell ref="AEC16:AEC18"/>
    <mergeCell ref="AED16:AED18"/>
    <mergeCell ref="AEE16:AEE18"/>
    <mergeCell ref="AEF16:AEF18"/>
    <mergeCell ref="AEG16:AEG18"/>
    <mergeCell ref="AEH16:AEH18"/>
    <mergeCell ref="AEI16:AEI18"/>
    <mergeCell ref="AEJ16:AEJ18"/>
    <mergeCell ref="AEK16:AEK18"/>
    <mergeCell ref="AEL16:AEL18"/>
    <mergeCell ref="AEM16:AEM18"/>
    <mergeCell ref="AEN16:AEN18"/>
    <mergeCell ref="AEO16:AEO18"/>
    <mergeCell ref="AEP16:AEP18"/>
    <mergeCell ref="AEQ16:AEQ18"/>
    <mergeCell ref="AER16:AER18"/>
    <mergeCell ref="AES16:AES18"/>
    <mergeCell ref="AET16:AET18"/>
    <mergeCell ref="AEU16:AEU18"/>
    <mergeCell ref="ACC16:ACC18"/>
    <mergeCell ref="ACD16:ACD18"/>
    <mergeCell ref="ACE16:ACE18"/>
    <mergeCell ref="ACF16:ACF18"/>
    <mergeCell ref="ACG16:ACG18"/>
    <mergeCell ref="ACH16:ACH18"/>
    <mergeCell ref="ACI16:ACI18"/>
    <mergeCell ref="ACJ16:ACJ18"/>
    <mergeCell ref="ACK16:ACK18"/>
    <mergeCell ref="ACL16:ACL18"/>
    <mergeCell ref="ACM16:ACM18"/>
    <mergeCell ref="ACN16:ACN18"/>
    <mergeCell ref="ACO16:ACO18"/>
    <mergeCell ref="ACP16:ACP18"/>
    <mergeCell ref="ACQ16:ACQ18"/>
    <mergeCell ref="ADA16:ADA18"/>
    <mergeCell ref="ADB16:ADB18"/>
    <mergeCell ref="ADC16:ADC18"/>
    <mergeCell ref="ADD16:ADD18"/>
    <mergeCell ref="ADE16:ADE18"/>
    <mergeCell ref="ADF16:ADF18"/>
    <mergeCell ref="ADG16:ADG18"/>
    <mergeCell ref="ADH16:ADH18"/>
    <mergeCell ref="ADI16:ADI18"/>
    <mergeCell ref="ADJ16:ADJ18"/>
    <mergeCell ref="ADK16:ADK18"/>
    <mergeCell ref="ADL16:ADL18"/>
    <mergeCell ref="ADM16:ADM18"/>
    <mergeCell ref="ADN16:ADN18"/>
    <mergeCell ref="ACT17:ACT18"/>
    <mergeCell ref="ACU17:ACU18"/>
    <mergeCell ref="ACR16:ACR18"/>
    <mergeCell ref="ACS16:ACS18"/>
    <mergeCell ref="ACV16:ACV18"/>
    <mergeCell ref="ACW16:ACW18"/>
    <mergeCell ref="ACX16:ACX18"/>
    <mergeCell ref="ACY16:ACY18"/>
    <mergeCell ref="ACZ16:ACZ18"/>
    <mergeCell ref="AAV16:AAV18"/>
    <mergeCell ref="AAW16:AAW18"/>
    <mergeCell ref="AAX16:AAX18"/>
    <mergeCell ref="AAY16:AAY18"/>
    <mergeCell ref="AAZ16:AAZ18"/>
    <mergeCell ref="ABA16:ABA18"/>
    <mergeCell ref="ABB16:ABB18"/>
    <mergeCell ref="ABC16:ABC18"/>
    <mergeCell ref="ABD16:ABD18"/>
    <mergeCell ref="ABE16:ABE18"/>
    <mergeCell ref="ABF16:ABF18"/>
    <mergeCell ref="ABG16:ABG18"/>
    <mergeCell ref="ABH16:ABH18"/>
    <mergeCell ref="ABI16:ABI18"/>
    <mergeCell ref="ABJ16:ABJ18"/>
    <mergeCell ref="ABK16:ABK18"/>
    <mergeCell ref="ABL16:ABL18"/>
    <mergeCell ref="ABM16:ABM18"/>
    <mergeCell ref="ABN16:ABN18"/>
    <mergeCell ref="ABO16:ABO18"/>
    <mergeCell ref="ABP16:ABP18"/>
    <mergeCell ref="ABQ16:ABQ18"/>
    <mergeCell ref="ABR16:ABR18"/>
    <mergeCell ref="ABS16:ABS18"/>
    <mergeCell ref="ABT16:ABT18"/>
    <mergeCell ref="ABU16:ABU18"/>
    <mergeCell ref="ABV16:ABV18"/>
    <mergeCell ref="ABW16:ABW18"/>
    <mergeCell ref="ABX16:ABX18"/>
    <mergeCell ref="ABY16:ABY18"/>
    <mergeCell ref="ABZ16:ABZ18"/>
    <mergeCell ref="ACA16:ACA18"/>
    <mergeCell ref="ACB16:ACB18"/>
    <mergeCell ref="ZO16:ZO18"/>
    <mergeCell ref="ZP16:ZP18"/>
    <mergeCell ref="ZQ16:ZQ18"/>
    <mergeCell ref="ZR16:ZR18"/>
    <mergeCell ref="ZS16:ZS18"/>
    <mergeCell ref="ZT16:ZT18"/>
    <mergeCell ref="ZU16:ZU18"/>
    <mergeCell ref="ZV16:ZV18"/>
    <mergeCell ref="ZW16:ZW18"/>
    <mergeCell ref="ZX16:ZX18"/>
    <mergeCell ref="ZY16:ZY18"/>
    <mergeCell ref="ZZ16:ZZ18"/>
    <mergeCell ref="AAA16:AAA18"/>
    <mergeCell ref="AAB16:AAB18"/>
    <mergeCell ref="AAC16:AAC18"/>
    <mergeCell ref="AAD16:AAD18"/>
    <mergeCell ref="AAE16:AAE18"/>
    <mergeCell ref="AAF16:AAF18"/>
    <mergeCell ref="AAG16:AAG18"/>
    <mergeCell ref="AAH16:AAH18"/>
    <mergeCell ref="AAI16:AAI18"/>
    <mergeCell ref="AAJ16:AAJ18"/>
    <mergeCell ref="AAK16:AAK18"/>
    <mergeCell ref="AAL16:AAL18"/>
    <mergeCell ref="AAM16:AAM18"/>
    <mergeCell ref="AAN16:AAN18"/>
    <mergeCell ref="AAO16:AAO18"/>
    <mergeCell ref="AAP16:AAP18"/>
    <mergeCell ref="AAQ16:AAQ18"/>
    <mergeCell ref="AAR16:AAR18"/>
    <mergeCell ref="AAS16:AAS18"/>
    <mergeCell ref="AAT16:AAT18"/>
    <mergeCell ref="AAU16:AAU18"/>
    <mergeCell ref="YH16:YH18"/>
    <mergeCell ref="YI16:YI18"/>
    <mergeCell ref="YJ16:YJ18"/>
    <mergeCell ref="YK16:YK18"/>
    <mergeCell ref="YL16:YL18"/>
    <mergeCell ref="YM16:YM18"/>
    <mergeCell ref="YN16:YN18"/>
    <mergeCell ref="YO16:YO18"/>
    <mergeCell ref="YP16:YP18"/>
    <mergeCell ref="YQ16:YQ18"/>
    <mergeCell ref="YR16:YR18"/>
    <mergeCell ref="YS16:YS18"/>
    <mergeCell ref="YT16:YT18"/>
    <mergeCell ref="YU16:YU18"/>
    <mergeCell ref="YV16:YV18"/>
    <mergeCell ref="YW16:YW18"/>
    <mergeCell ref="YX16:YX18"/>
    <mergeCell ref="YY16:YY18"/>
    <mergeCell ref="YZ16:YZ18"/>
    <mergeCell ref="ZA16:ZA18"/>
    <mergeCell ref="ZB16:ZB18"/>
    <mergeCell ref="ZC16:ZC18"/>
    <mergeCell ref="ZD16:ZD18"/>
    <mergeCell ref="ZE16:ZE18"/>
    <mergeCell ref="ZF16:ZF18"/>
    <mergeCell ref="ZG16:ZG18"/>
    <mergeCell ref="ZH16:ZH18"/>
    <mergeCell ref="ZI16:ZI18"/>
    <mergeCell ref="ZJ16:ZJ18"/>
    <mergeCell ref="ZK16:ZK18"/>
    <mergeCell ref="ZL16:ZL18"/>
    <mergeCell ref="ZM16:ZM18"/>
    <mergeCell ref="ZN16:ZN18"/>
    <mergeCell ref="LX13:LX15"/>
    <mergeCell ref="LY13:LY15"/>
    <mergeCell ref="LZ13:LZ15"/>
    <mergeCell ref="MA13:MA15"/>
    <mergeCell ref="MB13:MB15"/>
    <mergeCell ref="MC13:MC15"/>
    <mergeCell ref="MD13:MD15"/>
    <mergeCell ref="ME13:ME15"/>
    <mergeCell ref="MF13:MF15"/>
    <mergeCell ref="MG13:MG15"/>
    <mergeCell ref="MH13:MH15"/>
    <mergeCell ref="MI13:MI15"/>
    <mergeCell ref="MJ13:MJ15"/>
    <mergeCell ref="MK13:MK15"/>
    <mergeCell ref="KO13:KO15"/>
    <mergeCell ref="KP13:KP15"/>
    <mergeCell ref="KQ13:KQ15"/>
    <mergeCell ref="KR13:KR15"/>
    <mergeCell ref="KS13:KS15"/>
    <mergeCell ref="KT13:KT15"/>
    <mergeCell ref="KU13:KU15"/>
    <mergeCell ref="XV16:XV18"/>
    <mergeCell ref="XW16:XW18"/>
    <mergeCell ref="XX16:XX18"/>
    <mergeCell ref="XY16:XY18"/>
    <mergeCell ref="XZ16:XZ18"/>
    <mergeCell ref="YA16:YA18"/>
    <mergeCell ref="YB16:YB18"/>
    <mergeCell ref="YC16:YC18"/>
    <mergeCell ref="YD16:YD18"/>
    <mergeCell ref="YE16:YE18"/>
    <mergeCell ref="YF16:YF18"/>
    <mergeCell ref="YG16:YG18"/>
    <mergeCell ref="LE16:LE18"/>
    <mergeCell ref="LF16:LF18"/>
    <mergeCell ref="LG16:LG18"/>
    <mergeCell ref="LH16:LH18"/>
    <mergeCell ref="LI16:LI18"/>
    <mergeCell ref="LJ16:LJ18"/>
    <mergeCell ref="LK16:LK18"/>
    <mergeCell ref="LL16:LL18"/>
    <mergeCell ref="LM16:LM18"/>
    <mergeCell ref="LN16:LN18"/>
    <mergeCell ref="LO16:LO18"/>
    <mergeCell ref="LP16:LP18"/>
    <mergeCell ref="LQ16:LQ18"/>
    <mergeCell ref="LR16:LR18"/>
    <mergeCell ref="LS16:LS18"/>
    <mergeCell ref="LT16:LT18"/>
    <mergeCell ref="LU16:LU18"/>
    <mergeCell ref="LV16:LV18"/>
    <mergeCell ref="LW16:LW18"/>
    <mergeCell ref="LX16:LX18"/>
    <mergeCell ref="LY16:LY18"/>
    <mergeCell ref="LZ16:LZ18"/>
    <mergeCell ref="MA16:MA18"/>
    <mergeCell ref="MB16:MB18"/>
    <mergeCell ref="MC16:MC18"/>
    <mergeCell ref="MD16:MD18"/>
    <mergeCell ref="ME16:ME18"/>
    <mergeCell ref="MF16:MF18"/>
    <mergeCell ref="MG16:MG18"/>
    <mergeCell ref="MH16:MH18"/>
    <mergeCell ref="MI16:MI18"/>
    <mergeCell ref="IF16:IF18"/>
    <mergeCell ref="IG16:IG18"/>
    <mergeCell ref="IH16:IH18"/>
    <mergeCell ref="II16:II18"/>
    <mergeCell ref="IJ16:IJ18"/>
    <mergeCell ref="KV13:KV15"/>
    <mergeCell ref="KW13:KW15"/>
    <mergeCell ref="KX13:KX15"/>
    <mergeCell ref="KY13:KY15"/>
    <mergeCell ref="KZ13:KZ15"/>
    <mergeCell ref="LA13:LA15"/>
    <mergeCell ref="LB13:LB15"/>
    <mergeCell ref="LC13:LC15"/>
    <mergeCell ref="LD13:LD15"/>
    <mergeCell ref="LE13:LE15"/>
    <mergeCell ref="LF13:LF15"/>
    <mergeCell ref="LG13:LG15"/>
    <mergeCell ref="LH13:LH15"/>
    <mergeCell ref="LI13:LI15"/>
    <mergeCell ref="LJ13:LJ15"/>
    <mergeCell ref="LK13:LK15"/>
    <mergeCell ref="LL13:LL15"/>
    <mergeCell ref="LM13:LM15"/>
    <mergeCell ref="LN13:LN15"/>
    <mergeCell ref="LO13:LO15"/>
    <mergeCell ref="LP13:LP15"/>
    <mergeCell ref="LQ13:LQ15"/>
    <mergeCell ref="LR13:LR15"/>
    <mergeCell ref="LS13:LS15"/>
    <mergeCell ref="LT13:LT15"/>
    <mergeCell ref="LU13:LU15"/>
    <mergeCell ref="LV13:LV15"/>
    <mergeCell ref="LW13:LW15"/>
    <mergeCell ref="GW16:GW18"/>
    <mergeCell ref="GX16:GX18"/>
    <mergeCell ref="GY16:GY18"/>
    <mergeCell ref="GZ16:GZ18"/>
    <mergeCell ref="HA16:HA18"/>
    <mergeCell ref="HB16:HB18"/>
    <mergeCell ref="HC16:HC18"/>
    <mergeCell ref="HD16:HD18"/>
    <mergeCell ref="HE16:HE18"/>
    <mergeCell ref="HF16:HF18"/>
    <mergeCell ref="HG16:HG18"/>
    <mergeCell ref="HH16:HH18"/>
    <mergeCell ref="HI16:HI18"/>
    <mergeCell ref="HJ16:HJ18"/>
    <mergeCell ref="HK16:HK18"/>
    <mergeCell ref="HL16:HL18"/>
    <mergeCell ref="HM16:HM18"/>
    <mergeCell ref="HP16:HP18"/>
    <mergeCell ref="HQ16:HQ18"/>
    <mergeCell ref="HR16:HR18"/>
    <mergeCell ref="HS16:HS18"/>
    <mergeCell ref="HT16:HT18"/>
    <mergeCell ref="HU16:HU18"/>
    <mergeCell ref="HV16:HV18"/>
    <mergeCell ref="HW16:HW18"/>
    <mergeCell ref="HX16:HX18"/>
    <mergeCell ref="HY16:HY18"/>
    <mergeCell ref="HZ16:HZ18"/>
    <mergeCell ref="IA16:IA18"/>
    <mergeCell ref="IB16:IB18"/>
    <mergeCell ref="IC16:IC18"/>
    <mergeCell ref="ID16:ID18"/>
    <mergeCell ref="IE16:IE18"/>
    <mergeCell ref="KK13:KK15"/>
    <mergeCell ref="KL13:KL15"/>
    <mergeCell ref="KM13:KM15"/>
    <mergeCell ref="KN13:KN15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FC16:FC18"/>
    <mergeCell ref="FD16:FD18"/>
    <mergeCell ref="FE16:FE18"/>
    <mergeCell ref="FF16:FF18"/>
    <mergeCell ref="FG16:FG18"/>
    <mergeCell ref="FH16:FH18"/>
    <mergeCell ref="FI16:FI18"/>
    <mergeCell ref="FJ16:FJ18"/>
    <mergeCell ref="FK16:FK18"/>
    <mergeCell ref="GU16:GU18"/>
    <mergeCell ref="GV16:GV18"/>
    <mergeCell ref="JD13:JD15"/>
    <mergeCell ref="JE13:JE15"/>
    <mergeCell ref="JF13:JF15"/>
    <mergeCell ref="JG13:JG15"/>
    <mergeCell ref="JH13:JH15"/>
    <mergeCell ref="JI13:JI15"/>
    <mergeCell ref="JJ13:JJ15"/>
    <mergeCell ref="JK13:JK15"/>
    <mergeCell ref="JL13:JL15"/>
    <mergeCell ref="JM13:JM15"/>
    <mergeCell ref="JN13:JN15"/>
    <mergeCell ref="JO13:JO15"/>
    <mergeCell ref="JP13:JP15"/>
    <mergeCell ref="JQ13:JQ15"/>
    <mergeCell ref="JR13:JR15"/>
    <mergeCell ref="JS13:JS15"/>
    <mergeCell ref="JT13:JT15"/>
    <mergeCell ref="JU13:JU15"/>
    <mergeCell ref="JV13:JV15"/>
    <mergeCell ref="JW13:JW15"/>
    <mergeCell ref="JX13:JX15"/>
    <mergeCell ref="JY13:JY15"/>
    <mergeCell ref="JZ13:JZ15"/>
    <mergeCell ref="KA13:KA15"/>
    <mergeCell ref="KB13:KB15"/>
    <mergeCell ref="KC13:KC15"/>
    <mergeCell ref="KD13:KD15"/>
    <mergeCell ref="KE13:KE15"/>
    <mergeCell ref="KF13:KF15"/>
    <mergeCell ref="KG13:KG15"/>
    <mergeCell ref="KH13:KH15"/>
    <mergeCell ref="KI13:KI15"/>
    <mergeCell ref="KJ13:KJ15"/>
    <mergeCell ref="HW13:HW15"/>
    <mergeCell ref="HX13:HX15"/>
    <mergeCell ref="HY13:HY15"/>
    <mergeCell ref="HZ13:HZ15"/>
    <mergeCell ref="IA13:IA15"/>
    <mergeCell ref="IB13:IB15"/>
    <mergeCell ref="IC13:IC15"/>
    <mergeCell ref="ID13:ID15"/>
    <mergeCell ref="IE13:IE15"/>
    <mergeCell ref="IF13:IF15"/>
    <mergeCell ref="IG13:IG15"/>
    <mergeCell ref="IH13:IH15"/>
    <mergeCell ref="II13:II15"/>
    <mergeCell ref="IJ13:IJ15"/>
    <mergeCell ref="IK13:IK15"/>
    <mergeCell ref="IL13:IL15"/>
    <mergeCell ref="IM13:IM15"/>
    <mergeCell ref="IN13:IN15"/>
    <mergeCell ref="IO13:IO15"/>
    <mergeCell ref="IP13:IP15"/>
    <mergeCell ref="IQ13:IQ15"/>
    <mergeCell ref="IR13:IR15"/>
    <mergeCell ref="IS13:IS15"/>
    <mergeCell ref="IT13:IT15"/>
    <mergeCell ref="IU13:IU15"/>
    <mergeCell ref="IV13:IV15"/>
    <mergeCell ref="IW13:IW15"/>
    <mergeCell ref="IX13:IX15"/>
    <mergeCell ref="IY13:IY15"/>
    <mergeCell ref="IZ13:IZ15"/>
    <mergeCell ref="JA13:JA15"/>
    <mergeCell ref="JB13:JB15"/>
    <mergeCell ref="JC13:JC15"/>
    <mergeCell ref="EQ13:EQ15"/>
    <mergeCell ref="ER13:ER15"/>
    <mergeCell ref="ES13:ES15"/>
    <mergeCell ref="ET13:ET15"/>
    <mergeCell ref="EU13:EU15"/>
    <mergeCell ref="GU13:GU15"/>
    <mergeCell ref="GV13:GV15"/>
    <mergeCell ref="GW13:GW15"/>
    <mergeCell ref="GX13:GX15"/>
    <mergeCell ref="GY13:GY15"/>
    <mergeCell ref="GZ13:GZ15"/>
    <mergeCell ref="HA13:HA15"/>
    <mergeCell ref="HB13:HB15"/>
    <mergeCell ref="HC13:HC15"/>
    <mergeCell ref="HD13:HD15"/>
    <mergeCell ref="HE13:HE15"/>
    <mergeCell ref="HF13:HF15"/>
    <mergeCell ref="HG13:HG15"/>
    <mergeCell ref="HH13:HH15"/>
    <mergeCell ref="HI13:HI15"/>
    <mergeCell ref="HJ13:HJ15"/>
    <mergeCell ref="HK13:HK15"/>
    <mergeCell ref="HL13:HL15"/>
    <mergeCell ref="HM13:HM15"/>
    <mergeCell ref="HN13:HN15"/>
    <mergeCell ref="HO13:HO15"/>
    <mergeCell ref="HP13:HP15"/>
    <mergeCell ref="HQ13:HQ15"/>
    <mergeCell ref="HR13:HR15"/>
    <mergeCell ref="HS13:HS15"/>
    <mergeCell ref="HT13:HT15"/>
    <mergeCell ref="HU13:HU15"/>
    <mergeCell ref="HV13:HV15"/>
    <mergeCell ref="DH13:DH15"/>
    <mergeCell ref="DI13:DI15"/>
    <mergeCell ref="DJ13:DJ15"/>
    <mergeCell ref="DK13:DK15"/>
    <mergeCell ref="DL13:DL15"/>
    <mergeCell ref="DM13:DM15"/>
    <mergeCell ref="DN13:DN15"/>
    <mergeCell ref="DO13:DO15"/>
    <mergeCell ref="DP13:DP15"/>
    <mergeCell ref="DQ13:DQ15"/>
    <mergeCell ref="DT13:DT15"/>
    <mergeCell ref="DU13:DU15"/>
    <mergeCell ref="DV13:DV15"/>
    <mergeCell ref="DW13:DW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EH13:EH15"/>
    <mergeCell ref="EI13:EI15"/>
    <mergeCell ref="EJ13:EJ15"/>
    <mergeCell ref="EK13:EK15"/>
    <mergeCell ref="EL13:EL15"/>
    <mergeCell ref="EM13:EM15"/>
    <mergeCell ref="EN13:EN15"/>
    <mergeCell ref="EO13:EO15"/>
    <mergeCell ref="EP13:EP15"/>
    <mergeCell ref="KD16:KD18"/>
    <mergeCell ref="KE16:KE18"/>
    <mergeCell ref="KF16:KF18"/>
    <mergeCell ref="KG16:KG18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BY13:BY15"/>
    <mergeCell ref="BZ13:BZ15"/>
    <mergeCell ref="CA13:CA15"/>
    <mergeCell ref="CB13:CB15"/>
    <mergeCell ref="CC13:CC15"/>
    <mergeCell ref="CD13:CD15"/>
    <mergeCell ref="CE13:CE15"/>
    <mergeCell ref="CF13:CF15"/>
    <mergeCell ref="CG13:CG15"/>
    <mergeCell ref="CH13:CH15"/>
    <mergeCell ref="CI13:CI15"/>
    <mergeCell ref="CJ13:CJ15"/>
    <mergeCell ref="CK13:CK15"/>
    <mergeCell ref="CL13:CL15"/>
    <mergeCell ref="CM13:CM15"/>
    <mergeCell ref="CN13:CN15"/>
    <mergeCell ref="CO13:CO15"/>
    <mergeCell ref="CP13:CP15"/>
    <mergeCell ref="CQ13:CQ15"/>
    <mergeCell ref="CR13:CR15"/>
    <mergeCell ref="CS13:CS15"/>
    <mergeCell ref="CT13:CT15"/>
    <mergeCell ref="CU13:CU15"/>
    <mergeCell ref="CV13:CV15"/>
    <mergeCell ref="CW13:CW15"/>
    <mergeCell ref="CX13:CX15"/>
    <mergeCell ref="CY13:CY15"/>
    <mergeCell ref="CZ13:CZ15"/>
    <mergeCell ref="DA13:DA15"/>
    <mergeCell ref="DB13:DB15"/>
    <mergeCell ref="DC13:DC15"/>
    <mergeCell ref="DD13:DD15"/>
    <mergeCell ref="DE13:DE15"/>
    <mergeCell ref="DF13:DF15"/>
    <mergeCell ref="DG13:DG15"/>
    <mergeCell ref="GR16:GR18"/>
    <mergeCell ref="GS16:GS18"/>
    <mergeCell ref="GT16:GT18"/>
    <mergeCell ref="GN13:GN15"/>
    <mergeCell ref="GO13:GO15"/>
    <mergeCell ref="GP13:GP15"/>
    <mergeCell ref="GQ13:GQ15"/>
    <mergeCell ref="GR13:GR15"/>
    <mergeCell ref="GS13:GS15"/>
    <mergeCell ref="GT13:GT15"/>
    <mergeCell ref="KO16:KO18"/>
    <mergeCell ref="KP16:KP18"/>
    <mergeCell ref="KH16:KH18"/>
    <mergeCell ref="KI16:KI18"/>
    <mergeCell ref="KJ16:KJ18"/>
    <mergeCell ref="KK16:KK18"/>
    <mergeCell ref="KL16:KL18"/>
    <mergeCell ref="KM16:KM18"/>
    <mergeCell ref="KN16:KN18"/>
    <mergeCell ref="IK16:IK18"/>
    <mergeCell ref="IL16:IL18"/>
    <mergeCell ref="IM16:IM18"/>
    <mergeCell ref="IN16:IN18"/>
    <mergeCell ref="IO16:IO18"/>
    <mergeCell ref="IP16:IP18"/>
    <mergeCell ref="IQ16:IQ18"/>
    <mergeCell ref="IR16:IR18"/>
    <mergeCell ref="IS16:IS18"/>
    <mergeCell ref="IT16:IT18"/>
    <mergeCell ref="IU16:IU18"/>
    <mergeCell ref="IV16:IV18"/>
    <mergeCell ref="IW16:IW18"/>
    <mergeCell ref="IX16:IX18"/>
    <mergeCell ref="IY16:IY18"/>
    <mergeCell ref="IZ16:IZ18"/>
    <mergeCell ref="JA16:JA18"/>
    <mergeCell ref="JB16:JB18"/>
    <mergeCell ref="JC16:JC18"/>
    <mergeCell ref="JD16:JD18"/>
    <mergeCell ref="JE16:JE18"/>
    <mergeCell ref="JF16:JF18"/>
    <mergeCell ref="JG16:JG18"/>
    <mergeCell ref="JH16:JH18"/>
    <mergeCell ref="JI16:JI18"/>
    <mergeCell ref="JJ16:JJ18"/>
    <mergeCell ref="JK16:JK18"/>
    <mergeCell ref="JL16:JL18"/>
    <mergeCell ref="JM16:JM18"/>
    <mergeCell ref="JN16:JN18"/>
    <mergeCell ref="JO16:JO18"/>
    <mergeCell ref="JP16:JP18"/>
    <mergeCell ref="JQ16:JQ18"/>
    <mergeCell ref="JR16:JR18"/>
    <mergeCell ref="JS16:JS18"/>
    <mergeCell ref="JT16:JT18"/>
    <mergeCell ref="JU16:JU18"/>
    <mergeCell ref="JV16:JV18"/>
    <mergeCell ref="JW16:JW18"/>
    <mergeCell ref="JX16:JX18"/>
    <mergeCell ref="JY16:JY18"/>
    <mergeCell ref="JZ16:JZ18"/>
    <mergeCell ref="KA16:KA18"/>
    <mergeCell ref="KB16:KB18"/>
    <mergeCell ref="KC16:KC18"/>
    <mergeCell ref="GQ16:GQ18"/>
    <mergeCell ref="GI16:GI18"/>
    <mergeCell ref="GJ16:GJ18"/>
    <mergeCell ref="GK16:GK18"/>
    <mergeCell ref="GL16:GL18"/>
    <mergeCell ref="GM16:GM18"/>
    <mergeCell ref="GN16:GN18"/>
    <mergeCell ref="GO16:GO18"/>
    <mergeCell ref="FX13:FX15"/>
    <mergeCell ref="FY13:FY15"/>
    <mergeCell ref="FZ13:FZ15"/>
    <mergeCell ref="GA13:GA15"/>
    <mergeCell ref="GB13:GB15"/>
    <mergeCell ref="GC13:GC15"/>
    <mergeCell ref="GD13:GD15"/>
    <mergeCell ref="GE13:GE15"/>
    <mergeCell ref="GH13:GH15"/>
    <mergeCell ref="GI13:GI15"/>
    <mergeCell ref="GJ13:GJ15"/>
    <mergeCell ref="GK13:GK15"/>
    <mergeCell ref="GL13:GL15"/>
    <mergeCell ref="GM13:GM15"/>
    <mergeCell ref="EV16:EV18"/>
    <mergeCell ref="EW16:EW18"/>
    <mergeCell ref="EX16:EX18"/>
    <mergeCell ref="EY16:EY18"/>
    <mergeCell ref="EZ16:EZ18"/>
    <mergeCell ref="FA16:FA18"/>
    <mergeCell ref="FB16:FB18"/>
    <mergeCell ref="FJ13:FJ15"/>
    <mergeCell ref="FK13:FK15"/>
    <mergeCell ref="FL13:FL15"/>
    <mergeCell ref="FM13:FM15"/>
    <mergeCell ref="FN13:FN15"/>
    <mergeCell ref="FO13:FO15"/>
    <mergeCell ref="FP13:FP15"/>
    <mergeCell ref="FQ13:FQ15"/>
    <mergeCell ref="FR13:FR15"/>
    <mergeCell ref="FS13:FS15"/>
    <mergeCell ref="FT13:FT15"/>
    <mergeCell ref="FU13:FU15"/>
    <mergeCell ref="FV13:FV15"/>
    <mergeCell ref="FW13:FW15"/>
    <mergeCell ref="GF14:GF15"/>
    <mergeCell ref="GG14:GG15"/>
    <mergeCell ref="GD16:GD18"/>
    <mergeCell ref="GE16:GE18"/>
    <mergeCell ref="GF16:GF18"/>
    <mergeCell ref="GG16:GG18"/>
    <mergeCell ref="GH16:GH18"/>
    <mergeCell ref="FC13:FC15"/>
    <mergeCell ref="FD13:FD15"/>
    <mergeCell ref="FE13:FE15"/>
    <mergeCell ref="FF13:FF15"/>
    <mergeCell ref="FG13:FG15"/>
    <mergeCell ref="FH13:FH15"/>
    <mergeCell ref="FI13:FI15"/>
    <mergeCell ref="EV13:EV15"/>
    <mergeCell ref="EW13:EW15"/>
    <mergeCell ref="EX13:EX15"/>
    <mergeCell ref="EY13:EY15"/>
    <mergeCell ref="EZ13:EZ15"/>
    <mergeCell ref="FA13:FA15"/>
    <mergeCell ref="FB13:FB15"/>
    <mergeCell ref="FS16:FS18"/>
    <mergeCell ref="FT16:FT18"/>
    <mergeCell ref="FL16:FL18"/>
    <mergeCell ref="FM16:FM18"/>
    <mergeCell ref="FN16:FN18"/>
    <mergeCell ref="FO16:FO18"/>
    <mergeCell ref="FP16:FP18"/>
    <mergeCell ref="FQ16:FQ18"/>
    <mergeCell ref="FR16:FR18"/>
    <mergeCell ref="GB16:GB18"/>
    <mergeCell ref="GC16:GC18"/>
    <mergeCell ref="FU16:FU18"/>
    <mergeCell ref="FV16:FV18"/>
    <mergeCell ref="FW16:FW18"/>
    <mergeCell ref="FX16:FX18"/>
    <mergeCell ref="FY16:FY18"/>
    <mergeCell ref="FZ16:FZ18"/>
    <mergeCell ref="GA16:GA18"/>
    <mergeCell ref="GP16:GP18"/>
    <mergeCell ref="ET16:ET18"/>
    <mergeCell ref="EU16:EU18"/>
    <mergeCell ref="EM16:EM18"/>
    <mergeCell ref="EN16:EN18"/>
    <mergeCell ref="EO16:EO18"/>
    <mergeCell ref="EP16:EP18"/>
    <mergeCell ref="EQ16:EQ18"/>
    <mergeCell ref="ER16:ER18"/>
    <mergeCell ref="ES16:ES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Z16:CZ18"/>
    <mergeCell ref="DA16:DA18"/>
    <mergeCell ref="DB16:DB18"/>
    <mergeCell ref="DC16:DC18"/>
    <mergeCell ref="DD16:DD18"/>
    <mergeCell ref="DE16:DE18"/>
    <mergeCell ref="DF16:DF18"/>
    <mergeCell ref="DG16:DG18"/>
    <mergeCell ref="DH16:DH18"/>
    <mergeCell ref="DI16:DI18"/>
    <mergeCell ref="DJ16:DJ18"/>
    <mergeCell ref="DK16:DK18"/>
    <mergeCell ref="DL16:DL18"/>
    <mergeCell ref="DM16:DM18"/>
    <mergeCell ref="DN16:DN18"/>
    <mergeCell ref="DO16:DO18"/>
    <mergeCell ref="DY16:DY18"/>
    <mergeCell ref="DZ16:DZ18"/>
    <mergeCell ref="EA16:EA18"/>
    <mergeCell ref="EB16:EB18"/>
    <mergeCell ref="EC16:EC18"/>
    <mergeCell ref="ED16:ED18"/>
    <mergeCell ref="EE16:EE18"/>
    <mergeCell ref="EF16:EF18"/>
    <mergeCell ref="EG16:EG18"/>
    <mergeCell ref="EH16:EH18"/>
    <mergeCell ref="EI16:EI18"/>
    <mergeCell ref="EJ16:EJ18"/>
    <mergeCell ref="EK16:EK18"/>
    <mergeCell ref="EL16:EL18"/>
    <mergeCell ref="DR16:DR18"/>
    <mergeCell ref="DS16:DS18"/>
    <mergeCell ref="DP16:DP18"/>
    <mergeCell ref="DQ16:DQ18"/>
    <mergeCell ref="DT16:DT18"/>
    <mergeCell ref="DU16:DU18"/>
    <mergeCell ref="DV16:DV18"/>
    <mergeCell ref="DW16:DW18"/>
    <mergeCell ref="DX16:DX18"/>
    <mergeCell ref="YU13:YU15"/>
    <mergeCell ref="YV13:YV15"/>
    <mergeCell ref="YW13:YW15"/>
    <mergeCell ref="YX13:YX15"/>
    <mergeCell ref="YY13:YY15"/>
    <mergeCell ref="YZ13:YZ15"/>
    <mergeCell ref="ZA13:ZA15"/>
    <mergeCell ref="ZB13:ZB15"/>
    <mergeCell ref="ZC13:ZC15"/>
    <mergeCell ref="ZD13:ZD15"/>
    <mergeCell ref="ZE13:ZE15"/>
    <mergeCell ref="ZF13:ZF15"/>
    <mergeCell ref="ZG13:ZG15"/>
    <mergeCell ref="ZH13:ZH15"/>
    <mergeCell ref="ZI13:ZI15"/>
    <mergeCell ref="ZJ13:ZJ15"/>
    <mergeCell ref="ZK13:ZK15"/>
    <mergeCell ref="ZL13:ZL15"/>
    <mergeCell ref="ZM13:ZM15"/>
    <mergeCell ref="ZN13:ZN15"/>
    <mergeCell ref="ZO13:ZO15"/>
    <mergeCell ref="ZP13:ZP15"/>
    <mergeCell ref="ZQ13:ZQ15"/>
    <mergeCell ref="ZR13:ZR15"/>
    <mergeCell ref="ZS13:ZS15"/>
    <mergeCell ref="ZT13:ZT15"/>
    <mergeCell ref="ZU13:ZU15"/>
    <mergeCell ref="ZV13:ZV15"/>
    <mergeCell ref="YF14:YF15"/>
    <mergeCell ref="YG14:YG15"/>
    <mergeCell ref="YE13:YE15"/>
    <mergeCell ref="YH13:YH15"/>
    <mergeCell ref="YI13:YI15"/>
    <mergeCell ref="YJ13:YJ15"/>
    <mergeCell ref="YK13:YK15"/>
    <mergeCell ref="YL13:YL15"/>
    <mergeCell ref="YM13:YM15"/>
    <mergeCell ref="XE13:XE15"/>
    <mergeCell ref="XF13:XF15"/>
    <mergeCell ref="XG13:XG15"/>
    <mergeCell ref="XH13:XH15"/>
    <mergeCell ref="XI13:XI15"/>
    <mergeCell ref="XJ13:XJ15"/>
    <mergeCell ref="XK13:XK15"/>
    <mergeCell ref="XL13:XL15"/>
    <mergeCell ref="XM13:XM15"/>
    <mergeCell ref="XN13:XN15"/>
    <mergeCell ref="XO13:XO15"/>
    <mergeCell ref="XP13:XP15"/>
    <mergeCell ref="XQ13:XQ15"/>
    <mergeCell ref="XR13:XR15"/>
    <mergeCell ref="XS13:XS15"/>
    <mergeCell ref="XT13:XT15"/>
    <mergeCell ref="XU13:XU15"/>
    <mergeCell ref="XV13:XV15"/>
    <mergeCell ref="XW13:XW15"/>
    <mergeCell ref="XX13:XX15"/>
    <mergeCell ref="XY13:XY15"/>
    <mergeCell ref="XZ13:XZ15"/>
    <mergeCell ref="YA13:YA15"/>
    <mergeCell ref="YB13:YB15"/>
    <mergeCell ref="YC13:YC15"/>
    <mergeCell ref="YD13:YD15"/>
    <mergeCell ref="YN13:YN15"/>
    <mergeCell ref="YO13:YO15"/>
    <mergeCell ref="YP13:YP15"/>
    <mergeCell ref="YQ13:YQ15"/>
    <mergeCell ref="YR13:YR15"/>
    <mergeCell ref="YS13:YS15"/>
    <mergeCell ref="YT13:YT15"/>
    <mergeCell ref="VX13:VX15"/>
    <mergeCell ref="VY13:VY15"/>
    <mergeCell ref="VZ13:VZ15"/>
    <mergeCell ref="WA13:WA15"/>
    <mergeCell ref="WB13:WB15"/>
    <mergeCell ref="WC13:WC15"/>
    <mergeCell ref="WD13:WD15"/>
    <mergeCell ref="WE13:WE15"/>
    <mergeCell ref="WF13:WF15"/>
    <mergeCell ref="WG13:WG15"/>
    <mergeCell ref="WH13:WH15"/>
    <mergeCell ref="WI13:WI15"/>
    <mergeCell ref="WJ13:WJ15"/>
    <mergeCell ref="WK13:WK15"/>
    <mergeCell ref="WL13:WL15"/>
    <mergeCell ref="WM13:WM15"/>
    <mergeCell ref="WN13:WN15"/>
    <mergeCell ref="WO13:WO15"/>
    <mergeCell ref="WP13:WP15"/>
    <mergeCell ref="WQ13:WQ15"/>
    <mergeCell ref="WR13:WR15"/>
    <mergeCell ref="WS13:WS15"/>
    <mergeCell ref="WT13:WT15"/>
    <mergeCell ref="WU13:WU15"/>
    <mergeCell ref="WV13:WV15"/>
    <mergeCell ref="WW13:WW15"/>
    <mergeCell ref="WX13:WX15"/>
    <mergeCell ref="WY13:WY15"/>
    <mergeCell ref="WZ13:WZ15"/>
    <mergeCell ref="XA13:XA15"/>
    <mergeCell ref="XB13:XB15"/>
    <mergeCell ref="XC13:XC15"/>
    <mergeCell ref="XD13:XD15"/>
    <mergeCell ref="UQ13:UQ15"/>
    <mergeCell ref="UR13:UR15"/>
    <mergeCell ref="US13:US15"/>
    <mergeCell ref="UT13:UT15"/>
    <mergeCell ref="UU13:UU15"/>
    <mergeCell ref="UV13:UV15"/>
    <mergeCell ref="UW13:UW15"/>
    <mergeCell ref="UX13:UX15"/>
    <mergeCell ref="UY13:UY15"/>
    <mergeCell ref="UZ13:UZ15"/>
    <mergeCell ref="VA13:VA15"/>
    <mergeCell ref="VB13:VB15"/>
    <mergeCell ref="VC13:VC15"/>
    <mergeCell ref="VD13:VD15"/>
    <mergeCell ref="VE13:VE15"/>
    <mergeCell ref="VF13:VF15"/>
    <mergeCell ref="VG13:VG15"/>
    <mergeCell ref="VH13:VH15"/>
    <mergeCell ref="VI13:VI15"/>
    <mergeCell ref="VJ13:VJ15"/>
    <mergeCell ref="VK13:VK15"/>
    <mergeCell ref="VL13:VL15"/>
    <mergeCell ref="VM13:VM15"/>
    <mergeCell ref="VN13:VN15"/>
    <mergeCell ref="VO13:VO15"/>
    <mergeCell ref="VP13:VP15"/>
    <mergeCell ref="VQ13:VQ15"/>
    <mergeCell ref="VR13:VR15"/>
    <mergeCell ref="VS13:VS15"/>
    <mergeCell ref="VT13:VT15"/>
    <mergeCell ref="VU13:VU15"/>
    <mergeCell ref="VV13:VV15"/>
    <mergeCell ref="VW13:VW15"/>
    <mergeCell ref="TJ13:TJ15"/>
    <mergeCell ref="TK13:TK15"/>
    <mergeCell ref="TL13:TL15"/>
    <mergeCell ref="TM13:TM15"/>
    <mergeCell ref="TN13:TN15"/>
    <mergeCell ref="TO13:TO15"/>
    <mergeCell ref="TP13:TP15"/>
    <mergeCell ref="TQ13:TQ15"/>
    <mergeCell ref="TR13:TR15"/>
    <mergeCell ref="TS13:TS15"/>
    <mergeCell ref="TT13:TT15"/>
    <mergeCell ref="TU13:TU15"/>
    <mergeCell ref="TV13:TV15"/>
    <mergeCell ref="TW13:TW15"/>
    <mergeCell ref="TX13:TX15"/>
    <mergeCell ref="TY13:TY15"/>
    <mergeCell ref="TZ13:TZ15"/>
    <mergeCell ref="UA13:UA15"/>
    <mergeCell ref="UB13:UB15"/>
    <mergeCell ref="UC13:UC15"/>
    <mergeCell ref="UD13:UD15"/>
    <mergeCell ref="UE13:UE15"/>
    <mergeCell ref="UF13:UF15"/>
    <mergeCell ref="UG13:UG15"/>
    <mergeCell ref="UH13:UH15"/>
    <mergeCell ref="UI13:UI15"/>
    <mergeCell ref="UJ13:UJ15"/>
    <mergeCell ref="UK13:UK15"/>
    <mergeCell ref="UL13:UL15"/>
    <mergeCell ref="UM13:UM15"/>
    <mergeCell ref="UN13:UN15"/>
    <mergeCell ref="UO13:UO15"/>
    <mergeCell ref="UP13:UP15"/>
    <mergeCell ref="SC13:SC15"/>
    <mergeCell ref="SD13:SD15"/>
    <mergeCell ref="SE13:SE15"/>
    <mergeCell ref="SF13:SF15"/>
    <mergeCell ref="SG13:SG15"/>
    <mergeCell ref="SH13:SH15"/>
    <mergeCell ref="SI13:SI15"/>
    <mergeCell ref="SJ13:SJ15"/>
    <mergeCell ref="SK13:SK15"/>
    <mergeCell ref="SL13:SL15"/>
    <mergeCell ref="SM13:SM15"/>
    <mergeCell ref="SN13:SN15"/>
    <mergeCell ref="SO13:SO15"/>
    <mergeCell ref="SP13:SP15"/>
    <mergeCell ref="SQ13:SQ15"/>
    <mergeCell ref="SR13:SR15"/>
    <mergeCell ref="SS13:SS15"/>
    <mergeCell ref="ST13:ST15"/>
    <mergeCell ref="SU13:SU15"/>
    <mergeCell ref="SV13:SV15"/>
    <mergeCell ref="SW13:SW15"/>
    <mergeCell ref="SX13:SX15"/>
    <mergeCell ref="SY13:SY15"/>
    <mergeCell ref="SZ13:SZ15"/>
    <mergeCell ref="TA13:TA15"/>
    <mergeCell ref="TB13:TB15"/>
    <mergeCell ref="TC13:TC15"/>
    <mergeCell ref="TD13:TD15"/>
    <mergeCell ref="TE13:TE15"/>
    <mergeCell ref="TF13:TF15"/>
    <mergeCell ref="TG13:TG15"/>
    <mergeCell ref="TH13:TH15"/>
    <mergeCell ref="TI13:TI15"/>
    <mergeCell ref="QV13:QV15"/>
    <mergeCell ref="QW13:QW15"/>
    <mergeCell ref="QX13:QX15"/>
    <mergeCell ref="QY13:QY15"/>
    <mergeCell ref="QZ13:QZ15"/>
    <mergeCell ref="RA13:RA15"/>
    <mergeCell ref="RB13:RB15"/>
    <mergeCell ref="RC13:RC15"/>
    <mergeCell ref="RD13:RD15"/>
    <mergeCell ref="RE13:RE15"/>
    <mergeCell ref="RF13:RF15"/>
    <mergeCell ref="RG13:RG15"/>
    <mergeCell ref="RH13:RH15"/>
    <mergeCell ref="RI13:RI15"/>
    <mergeCell ref="RJ13:RJ15"/>
    <mergeCell ref="RK13:RK15"/>
    <mergeCell ref="RL13:RL15"/>
    <mergeCell ref="RM13:RM15"/>
    <mergeCell ref="RN13:RN15"/>
    <mergeCell ref="RO13:RO15"/>
    <mergeCell ref="RP13:RP15"/>
    <mergeCell ref="RQ13:RQ15"/>
    <mergeCell ref="RR13:RR15"/>
    <mergeCell ref="RS13:RS15"/>
    <mergeCell ref="RT13:RT15"/>
    <mergeCell ref="RU13:RU15"/>
    <mergeCell ref="RV13:RV15"/>
    <mergeCell ref="RW13:RW15"/>
    <mergeCell ref="RX13:RX15"/>
    <mergeCell ref="RY13:RY15"/>
    <mergeCell ref="RZ13:RZ15"/>
    <mergeCell ref="SA13:SA15"/>
    <mergeCell ref="SB13:SB15"/>
    <mergeCell ref="PM13:PM15"/>
    <mergeCell ref="PN13:PN15"/>
    <mergeCell ref="PO13:PO15"/>
    <mergeCell ref="PP13:PP15"/>
    <mergeCell ref="PQ13:PQ15"/>
    <mergeCell ref="PR13:PR15"/>
    <mergeCell ref="PS13:PS15"/>
    <mergeCell ref="PV13:PV15"/>
    <mergeCell ref="PW13:PW15"/>
    <mergeCell ref="PX13:PX15"/>
    <mergeCell ref="PY13:PY15"/>
    <mergeCell ref="PZ13:PZ15"/>
    <mergeCell ref="QA13:QA15"/>
    <mergeCell ref="QB13:QB15"/>
    <mergeCell ref="QC13:QC15"/>
    <mergeCell ref="QD13:QD15"/>
    <mergeCell ref="QE13:QE15"/>
    <mergeCell ref="QF13:QF15"/>
    <mergeCell ref="QG13:QG15"/>
    <mergeCell ref="QH13:QH15"/>
    <mergeCell ref="QI13:QI15"/>
    <mergeCell ref="QJ13:QJ15"/>
    <mergeCell ref="QK13:QK15"/>
    <mergeCell ref="QL13:QL15"/>
    <mergeCell ref="QM13:QM15"/>
    <mergeCell ref="QN13:QN15"/>
    <mergeCell ref="QO13:QO15"/>
    <mergeCell ref="QP13:QP15"/>
    <mergeCell ref="QQ13:QQ15"/>
    <mergeCell ref="QR13:QR15"/>
    <mergeCell ref="QS13:QS15"/>
    <mergeCell ref="QT13:QT15"/>
    <mergeCell ref="QU13:QU15"/>
    <mergeCell ref="AGY13:AGY15"/>
    <mergeCell ref="AGZ13:AGZ15"/>
    <mergeCell ref="AHA13:AHA15"/>
    <mergeCell ref="AHB13:AHB15"/>
    <mergeCell ref="AHC13:AHC15"/>
    <mergeCell ref="AHD13:AHD15"/>
    <mergeCell ref="AHE13:AHE15"/>
    <mergeCell ref="AHF13:AHF15"/>
    <mergeCell ref="AHG13:AHG15"/>
    <mergeCell ref="AHH13:AHH15"/>
    <mergeCell ref="AHI13:AHI15"/>
    <mergeCell ref="AHJ13:AHJ15"/>
    <mergeCell ref="AHK13:AHK15"/>
    <mergeCell ref="AHL13:AHL15"/>
    <mergeCell ref="AHM13:AHM15"/>
    <mergeCell ref="AHN13:AHN15"/>
    <mergeCell ref="MS13:MS15"/>
    <mergeCell ref="MT13:MT15"/>
    <mergeCell ref="MU13:MU15"/>
    <mergeCell ref="MV13:MV15"/>
    <mergeCell ref="MW13:MW15"/>
    <mergeCell ref="MX13:MX15"/>
    <mergeCell ref="MY13:MY15"/>
    <mergeCell ref="MZ13:MZ15"/>
    <mergeCell ref="NA13:NA15"/>
    <mergeCell ref="NB13:NB15"/>
    <mergeCell ref="NC13:NC15"/>
    <mergeCell ref="ND13:ND15"/>
    <mergeCell ref="NE13:NE15"/>
    <mergeCell ref="NF13:NF15"/>
    <mergeCell ref="NG13:NG15"/>
    <mergeCell ref="NH13:NH15"/>
    <mergeCell ref="NI13:NI15"/>
    <mergeCell ref="NJ13:NJ15"/>
    <mergeCell ref="NK13:NK15"/>
    <mergeCell ref="NL13:NL15"/>
    <mergeCell ref="NM13:NM15"/>
    <mergeCell ref="NN13:NN15"/>
    <mergeCell ref="NO13:NO15"/>
    <mergeCell ref="NP13:NP15"/>
    <mergeCell ref="NQ13:NQ15"/>
    <mergeCell ref="NR13:NR15"/>
    <mergeCell ref="NS13:NS15"/>
    <mergeCell ref="NT13:NT15"/>
    <mergeCell ref="NU13:NU15"/>
    <mergeCell ref="NV13:NV15"/>
    <mergeCell ref="NW13:NW15"/>
    <mergeCell ref="NX13:NX15"/>
    <mergeCell ref="NY13:NY15"/>
    <mergeCell ref="NZ13:NZ15"/>
    <mergeCell ref="OA13:OA15"/>
    <mergeCell ref="OB13:OB15"/>
    <mergeCell ref="OC13:OC15"/>
    <mergeCell ref="OD13:OD15"/>
    <mergeCell ref="OE13:OE15"/>
    <mergeCell ref="OF13:OF15"/>
    <mergeCell ref="OG13:OG15"/>
    <mergeCell ref="OH13:OH15"/>
    <mergeCell ref="OI13:OI15"/>
    <mergeCell ref="OJ13:OJ15"/>
    <mergeCell ref="OK13:OK15"/>
    <mergeCell ref="OL13:OL15"/>
    <mergeCell ref="OM13:OM15"/>
    <mergeCell ref="ON13:ON15"/>
    <mergeCell ref="AFI13:AFI15"/>
    <mergeCell ref="AFJ13:AFJ15"/>
    <mergeCell ref="AFK13:AFK15"/>
    <mergeCell ref="AFL13:AFL15"/>
    <mergeCell ref="AFM13:AFM15"/>
    <mergeCell ref="AFN13:AFN15"/>
    <mergeCell ref="AFO13:AFO15"/>
    <mergeCell ref="AFP13:AFP15"/>
    <mergeCell ref="AFQ13:AFQ15"/>
    <mergeCell ref="AEF14:AEF15"/>
    <mergeCell ref="AEG14:AEG15"/>
    <mergeCell ref="ADZ13:ADZ15"/>
    <mergeCell ref="AEA13:AEA15"/>
    <mergeCell ref="AEB13:AEB15"/>
    <mergeCell ref="AEC13:AEC15"/>
    <mergeCell ref="AED13:AED15"/>
    <mergeCell ref="AEE13:AEE15"/>
    <mergeCell ref="AEH13:AEH15"/>
    <mergeCell ref="AHV13:AHV15"/>
    <mergeCell ref="AHW13:AHW15"/>
    <mergeCell ref="AHX14:AHX15"/>
    <mergeCell ref="AHY14:AHY15"/>
    <mergeCell ref="AHZ14:AHZ15"/>
    <mergeCell ref="AIA14:AIA15"/>
    <mergeCell ref="AHO13:AHO15"/>
    <mergeCell ref="AHP13:AHP15"/>
    <mergeCell ref="AHQ13:AHQ15"/>
    <mergeCell ref="AHR13:AHR15"/>
    <mergeCell ref="AHS13:AHS15"/>
    <mergeCell ref="AHT13:AHT15"/>
    <mergeCell ref="AHU13:AHU15"/>
    <mergeCell ref="AFR13:AFR15"/>
    <mergeCell ref="AFS13:AFS15"/>
    <mergeCell ref="AFT13:AFT15"/>
    <mergeCell ref="AFU13:AFU15"/>
    <mergeCell ref="AFV13:AFV15"/>
    <mergeCell ref="AFW13:AFW15"/>
    <mergeCell ref="AFX13:AFX15"/>
    <mergeCell ref="AFY13:AFY15"/>
    <mergeCell ref="AFZ13:AFZ15"/>
    <mergeCell ref="AGA13:AGA15"/>
    <mergeCell ref="AGB13:AGB15"/>
    <mergeCell ref="AGC13:AGC15"/>
    <mergeCell ref="AGD13:AGD15"/>
    <mergeCell ref="AGE13:AGE15"/>
    <mergeCell ref="AGF13:AGF15"/>
    <mergeCell ref="AGG13:AGG15"/>
    <mergeCell ref="AGH13:AGH15"/>
    <mergeCell ref="AGI13:AGI15"/>
    <mergeCell ref="AGJ13:AGJ15"/>
    <mergeCell ref="AGK13:AGK15"/>
    <mergeCell ref="AGL13:AGL15"/>
    <mergeCell ref="AGM13:AGM15"/>
    <mergeCell ref="AGN13:AGN15"/>
    <mergeCell ref="AGO13:AGO15"/>
    <mergeCell ref="AGP13:AGP15"/>
    <mergeCell ref="AGQ13:AGQ15"/>
    <mergeCell ref="AGR13:AGR15"/>
    <mergeCell ref="AGS13:AGS15"/>
    <mergeCell ref="AGT13:AGT15"/>
    <mergeCell ref="AGU13:AGU15"/>
    <mergeCell ref="AGV13:AGV15"/>
    <mergeCell ref="AGW13:AGW15"/>
    <mergeCell ref="AGX13:AGX15"/>
    <mergeCell ref="ADS13:ADS15"/>
    <mergeCell ref="ADT13:ADT15"/>
    <mergeCell ref="ADU13:ADU15"/>
    <mergeCell ref="ADV13:ADV15"/>
    <mergeCell ref="ADW13:ADW15"/>
    <mergeCell ref="ADX13:ADX15"/>
    <mergeCell ref="ADY13:ADY15"/>
    <mergeCell ref="AEI13:AEI15"/>
    <mergeCell ref="AEJ13:AEJ15"/>
    <mergeCell ref="AEK13:AEK15"/>
    <mergeCell ref="AEL13:AEL15"/>
    <mergeCell ref="AEM13:AEM15"/>
    <mergeCell ref="AEN13:AEN15"/>
    <mergeCell ref="AEO13:AEO15"/>
    <mergeCell ref="AEP13:AEP15"/>
    <mergeCell ref="AEQ13:AEQ15"/>
    <mergeCell ref="AER13:AER15"/>
    <mergeCell ref="AES13:AES15"/>
    <mergeCell ref="AET13:AET15"/>
    <mergeCell ref="AEU13:AEU15"/>
    <mergeCell ref="AEV13:AEV15"/>
    <mergeCell ref="AEW13:AEW15"/>
    <mergeCell ref="AEX13:AEX15"/>
    <mergeCell ref="AEY13:AEY15"/>
    <mergeCell ref="AEZ13:AEZ15"/>
    <mergeCell ref="AFA13:AFA15"/>
    <mergeCell ref="AFB13:AFB15"/>
    <mergeCell ref="AFC13:AFC15"/>
    <mergeCell ref="AFD13:AFD15"/>
    <mergeCell ref="AFE13:AFE15"/>
    <mergeCell ref="AFF13:AFF15"/>
    <mergeCell ref="AFG13:AFG15"/>
    <mergeCell ref="AFH13:AFH15"/>
    <mergeCell ref="ACD13:ACD15"/>
    <mergeCell ref="ACE13:ACE15"/>
    <mergeCell ref="ACF13:ACF15"/>
    <mergeCell ref="ACG13:ACG15"/>
    <mergeCell ref="ACH13:ACH15"/>
    <mergeCell ref="ACI13:ACI15"/>
    <mergeCell ref="ACJ13:ACJ15"/>
    <mergeCell ref="ACK13:ACK15"/>
    <mergeCell ref="ACL13:ACL15"/>
    <mergeCell ref="ACM13:ACM15"/>
    <mergeCell ref="ACN13:ACN15"/>
    <mergeCell ref="ACX13:ACX15"/>
    <mergeCell ref="ACY13:ACY15"/>
    <mergeCell ref="ACZ13:ACZ15"/>
    <mergeCell ref="ADA13:ADA15"/>
    <mergeCell ref="ADB13:ADB15"/>
    <mergeCell ref="ADC13:ADC15"/>
    <mergeCell ref="ADD13:ADD15"/>
    <mergeCell ref="ADE13:ADE15"/>
    <mergeCell ref="ADF13:ADF15"/>
    <mergeCell ref="ADG13:ADG15"/>
    <mergeCell ref="ADH13:ADH15"/>
    <mergeCell ref="ADI13:ADI15"/>
    <mergeCell ref="ADJ13:ADJ15"/>
    <mergeCell ref="ADK13:ADK15"/>
    <mergeCell ref="ADL13:ADL15"/>
    <mergeCell ref="ADM13:ADM15"/>
    <mergeCell ref="ADN13:ADN15"/>
    <mergeCell ref="ADO13:ADO15"/>
    <mergeCell ref="ADP13:ADP15"/>
    <mergeCell ref="ADQ13:ADQ15"/>
    <mergeCell ref="ADR13:ADR15"/>
    <mergeCell ref="ACT14:ACT15"/>
    <mergeCell ref="ACU14:ACU15"/>
    <mergeCell ref="ACO13:ACO15"/>
    <mergeCell ref="ACP13:ACP15"/>
    <mergeCell ref="ACQ13:ACQ15"/>
    <mergeCell ref="ACR13:ACR15"/>
    <mergeCell ref="ACS13:ACS15"/>
    <mergeCell ref="ACV13:ACV15"/>
    <mergeCell ref="ACW13:ACW15"/>
    <mergeCell ref="AAW13:AAW15"/>
    <mergeCell ref="AAX13:AAX15"/>
    <mergeCell ref="AAY13:AAY15"/>
    <mergeCell ref="AAZ13:AAZ15"/>
    <mergeCell ref="ABA13:ABA15"/>
    <mergeCell ref="ABB13:ABB15"/>
    <mergeCell ref="ABC13:ABC15"/>
    <mergeCell ref="ABD13:ABD15"/>
    <mergeCell ref="ABE13:ABE15"/>
    <mergeCell ref="ABF13:ABF15"/>
    <mergeCell ref="ABG13:ABG15"/>
    <mergeCell ref="ABH13:ABH15"/>
    <mergeCell ref="ABI13:ABI15"/>
    <mergeCell ref="ABJ13:ABJ15"/>
    <mergeCell ref="ABK13:ABK15"/>
    <mergeCell ref="ABL13:ABL15"/>
    <mergeCell ref="ABM13:ABM15"/>
    <mergeCell ref="ABN13:ABN15"/>
    <mergeCell ref="ABO13:ABO15"/>
    <mergeCell ref="ABP13:ABP15"/>
    <mergeCell ref="ABQ13:ABQ15"/>
    <mergeCell ref="ABR13:ABR15"/>
    <mergeCell ref="ABS13:ABS15"/>
    <mergeCell ref="ABT13:ABT15"/>
    <mergeCell ref="ABU13:ABU15"/>
    <mergeCell ref="ABV13:ABV15"/>
    <mergeCell ref="ABW13:ABW15"/>
    <mergeCell ref="ABX13:ABX15"/>
    <mergeCell ref="ABY13:ABY15"/>
    <mergeCell ref="ABZ13:ABZ15"/>
    <mergeCell ref="ACA13:ACA15"/>
    <mergeCell ref="ACB13:ACB15"/>
    <mergeCell ref="ACC13:ACC15"/>
    <mergeCell ref="A10:A12"/>
    <mergeCell ref="B10:B12"/>
    <mergeCell ref="C10:C12"/>
    <mergeCell ref="D10:D12"/>
    <mergeCell ref="E10:E12"/>
    <mergeCell ref="F10:F12"/>
    <mergeCell ref="G10:G12"/>
    <mergeCell ref="ZW13:ZW15"/>
    <mergeCell ref="ZX13:ZX15"/>
    <mergeCell ref="ZY13:ZY15"/>
    <mergeCell ref="ZZ13:ZZ15"/>
    <mergeCell ref="AAA13:AAA15"/>
    <mergeCell ref="AAB13:AAB15"/>
    <mergeCell ref="AAC13:AAC15"/>
    <mergeCell ref="AAD13:AAD15"/>
    <mergeCell ref="AAE13:AAE15"/>
    <mergeCell ref="AAF13:AAF15"/>
    <mergeCell ref="AAG13:AAG15"/>
    <mergeCell ref="AAH13:AAH15"/>
    <mergeCell ref="AAI13:AAI15"/>
    <mergeCell ref="AAJ13:AAJ15"/>
    <mergeCell ref="AAK13:AAK15"/>
    <mergeCell ref="AAL13:AAL15"/>
    <mergeCell ref="AAM13:AAM15"/>
    <mergeCell ref="AAN13:AAN15"/>
    <mergeCell ref="AAO13:AAO15"/>
    <mergeCell ref="AAP13:AAP15"/>
    <mergeCell ref="AAQ13:AAQ15"/>
    <mergeCell ref="AAR13:AAR15"/>
    <mergeCell ref="AAS13:AAS15"/>
    <mergeCell ref="AAT13:AAT15"/>
    <mergeCell ref="AAU13:AAU15"/>
    <mergeCell ref="AAV13:AAV15"/>
    <mergeCell ref="DR13:DR15"/>
    <mergeCell ref="DS13:DS15"/>
    <mergeCell ref="ML13:ML15"/>
    <mergeCell ref="MM13:MM15"/>
    <mergeCell ref="MN13:MN15"/>
    <mergeCell ref="MO13:MO15"/>
    <mergeCell ref="MP13:MP15"/>
    <mergeCell ref="MQ13:MQ15"/>
    <mergeCell ref="MR13:MR15"/>
    <mergeCell ref="OO13:OO15"/>
    <mergeCell ref="OP13:OP15"/>
    <mergeCell ref="OQ13:OQ15"/>
    <mergeCell ref="OR13:OR15"/>
    <mergeCell ref="OS13:OS15"/>
    <mergeCell ref="OT13:OT15"/>
    <mergeCell ref="OU13:OU15"/>
    <mergeCell ref="OV13:OV15"/>
    <mergeCell ref="OW13:OW15"/>
    <mergeCell ref="OX13:OX15"/>
    <mergeCell ref="OY13:OY15"/>
    <mergeCell ref="OZ13:OZ15"/>
    <mergeCell ref="PA13:PA15"/>
    <mergeCell ref="PB13:PB15"/>
    <mergeCell ref="PC13:PC15"/>
    <mergeCell ref="PF13:PF15"/>
    <mergeCell ref="PG13:PG15"/>
    <mergeCell ref="PH13:PH15"/>
    <mergeCell ref="PI13:PI15"/>
    <mergeCell ref="PJ13:PJ15"/>
    <mergeCell ref="PK13:PK15"/>
    <mergeCell ref="PL13:PL15"/>
    <mergeCell ref="LP10:LP12"/>
    <mergeCell ref="LQ10:LQ12"/>
    <mergeCell ref="LR10:LR12"/>
    <mergeCell ref="LS10:LS12"/>
    <mergeCell ref="LT10:LT12"/>
    <mergeCell ref="LU10:LU12"/>
    <mergeCell ref="LV10:LV12"/>
    <mergeCell ref="LW10:LW12"/>
    <mergeCell ref="LX10:LX12"/>
    <mergeCell ref="LY10:LY12"/>
    <mergeCell ref="LZ10:LZ12"/>
    <mergeCell ref="MA10:MA12"/>
    <mergeCell ref="MB10:MB12"/>
    <mergeCell ref="MC10:MC12"/>
    <mergeCell ref="MD10:MD12"/>
    <mergeCell ref="ME10:ME12"/>
    <mergeCell ref="MF10:MF12"/>
    <mergeCell ref="MG10:MG12"/>
    <mergeCell ref="MH10:MH12"/>
    <mergeCell ref="MI10:MI12"/>
    <mergeCell ref="MJ10:MJ12"/>
    <mergeCell ref="MK10:MK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KI10:KI12"/>
    <mergeCell ref="KJ10:KJ12"/>
    <mergeCell ref="KK10:KK12"/>
    <mergeCell ref="KL10:KL12"/>
    <mergeCell ref="KM10:KM12"/>
    <mergeCell ref="KN10:KN12"/>
    <mergeCell ref="KO10:KO12"/>
    <mergeCell ref="KP10:KP12"/>
    <mergeCell ref="KQ10:KQ12"/>
    <mergeCell ref="KR10:KR12"/>
    <mergeCell ref="KS10:KS12"/>
    <mergeCell ref="KT10:KT12"/>
    <mergeCell ref="KU10:KU12"/>
    <mergeCell ref="KV10:KV12"/>
    <mergeCell ref="KW10:KW12"/>
    <mergeCell ref="KX10:KX12"/>
    <mergeCell ref="KY10:KY12"/>
    <mergeCell ref="KZ10:KZ12"/>
    <mergeCell ref="LA10:LA12"/>
    <mergeCell ref="LB10:LB12"/>
    <mergeCell ref="LC10:LC12"/>
    <mergeCell ref="LD10:LD12"/>
    <mergeCell ref="LE10:LE12"/>
    <mergeCell ref="LF10:LF12"/>
    <mergeCell ref="LG10:LG12"/>
    <mergeCell ref="LH10:LH12"/>
    <mergeCell ref="LI10:LI12"/>
    <mergeCell ref="LJ10:LJ12"/>
    <mergeCell ref="LK10:LK12"/>
    <mergeCell ref="LL10:LL12"/>
    <mergeCell ref="LM10:LM12"/>
    <mergeCell ref="LN10:LN12"/>
    <mergeCell ref="LO10:LO12"/>
    <mergeCell ref="JB10:JB12"/>
    <mergeCell ref="JC10:JC12"/>
    <mergeCell ref="JD10:JD12"/>
    <mergeCell ref="JE10:JE12"/>
    <mergeCell ref="JF10:JF12"/>
    <mergeCell ref="JG10:JG12"/>
    <mergeCell ref="JH10:JH12"/>
    <mergeCell ref="JI10:JI12"/>
    <mergeCell ref="JJ10:JJ12"/>
    <mergeCell ref="JK10:JK12"/>
    <mergeCell ref="JL10:JL12"/>
    <mergeCell ref="JM10:JM12"/>
    <mergeCell ref="JN10:JN12"/>
    <mergeCell ref="JO10:JO12"/>
    <mergeCell ref="JP10:JP12"/>
    <mergeCell ref="JQ10:JQ12"/>
    <mergeCell ref="JR10:JR12"/>
    <mergeCell ref="JS10:JS12"/>
    <mergeCell ref="JT10:JT12"/>
    <mergeCell ref="JU10:JU12"/>
    <mergeCell ref="JV10:JV12"/>
    <mergeCell ref="JW10:JW12"/>
    <mergeCell ref="JX10:JX12"/>
    <mergeCell ref="JY10:JY12"/>
    <mergeCell ref="JZ10:JZ12"/>
    <mergeCell ref="KA10:KA12"/>
    <mergeCell ref="KB10:KB12"/>
    <mergeCell ref="KC10:KC12"/>
    <mergeCell ref="KD10:KD12"/>
    <mergeCell ref="KE10:KE12"/>
    <mergeCell ref="KF10:KF12"/>
    <mergeCell ref="KG10:KG12"/>
    <mergeCell ref="KH10:KH12"/>
    <mergeCell ref="HU10:HU12"/>
    <mergeCell ref="HV10:HV12"/>
    <mergeCell ref="HW10:HW12"/>
    <mergeCell ref="HX10:HX12"/>
    <mergeCell ref="HY10:HY12"/>
    <mergeCell ref="HZ10:HZ12"/>
    <mergeCell ref="IA10:IA12"/>
    <mergeCell ref="IB10:IB12"/>
    <mergeCell ref="IC10:IC12"/>
    <mergeCell ref="ID10:ID12"/>
    <mergeCell ref="IE10:IE12"/>
    <mergeCell ref="IF10:IF12"/>
    <mergeCell ref="IG10:IG12"/>
    <mergeCell ref="IH10:IH12"/>
    <mergeCell ref="II10:II12"/>
    <mergeCell ref="IJ10:IJ12"/>
    <mergeCell ref="IK10:IK12"/>
    <mergeCell ref="IL10:IL12"/>
    <mergeCell ref="IM10:IM12"/>
    <mergeCell ref="IN10:IN12"/>
    <mergeCell ref="IO10:IO12"/>
    <mergeCell ref="IP10:IP12"/>
    <mergeCell ref="IQ10:IQ12"/>
    <mergeCell ref="IR10:IR12"/>
    <mergeCell ref="IS10:IS12"/>
    <mergeCell ref="IT10:IT12"/>
    <mergeCell ref="IU10:IU12"/>
    <mergeCell ref="IV10:IV12"/>
    <mergeCell ref="IW10:IW12"/>
    <mergeCell ref="IX10:IX12"/>
    <mergeCell ref="IY10:IY12"/>
    <mergeCell ref="IZ10:IZ12"/>
    <mergeCell ref="JA10:JA12"/>
    <mergeCell ref="GN10:GN12"/>
    <mergeCell ref="GO10:GO12"/>
    <mergeCell ref="GP10:GP12"/>
    <mergeCell ref="GQ10:GQ12"/>
    <mergeCell ref="GR10:GR12"/>
    <mergeCell ref="GS10:GS12"/>
    <mergeCell ref="GT10:GT12"/>
    <mergeCell ref="GU10:GU12"/>
    <mergeCell ref="GV10:GV12"/>
    <mergeCell ref="GW10:GW12"/>
    <mergeCell ref="GX10:GX12"/>
    <mergeCell ref="GY10:GY12"/>
    <mergeCell ref="GZ10:GZ12"/>
    <mergeCell ref="HA10:HA12"/>
    <mergeCell ref="HB10:HB12"/>
    <mergeCell ref="HC10:HC12"/>
    <mergeCell ref="HD10:HD12"/>
    <mergeCell ref="HE10:HE12"/>
    <mergeCell ref="HF10:HF12"/>
    <mergeCell ref="HG10:HG12"/>
    <mergeCell ref="HH10:HH12"/>
    <mergeCell ref="HI10:HI12"/>
    <mergeCell ref="HJ10:HJ12"/>
    <mergeCell ref="HK10:HK12"/>
    <mergeCell ref="HL10:HL12"/>
    <mergeCell ref="HM10:HM12"/>
    <mergeCell ref="HN10:HN12"/>
    <mergeCell ref="HO10:HO12"/>
    <mergeCell ref="HP10:HP12"/>
    <mergeCell ref="HQ10:HQ12"/>
    <mergeCell ref="HR10:HR12"/>
    <mergeCell ref="HS10:HS12"/>
    <mergeCell ref="HT10:HT12"/>
    <mergeCell ref="FG10:FG12"/>
    <mergeCell ref="FH10:FH12"/>
    <mergeCell ref="FI10:FI12"/>
    <mergeCell ref="FJ10:FJ12"/>
    <mergeCell ref="FK10:FK12"/>
    <mergeCell ref="FL10:FL12"/>
    <mergeCell ref="FM10:FM12"/>
    <mergeCell ref="FN10:FN12"/>
    <mergeCell ref="FO10:FO12"/>
    <mergeCell ref="FP10:FP12"/>
    <mergeCell ref="FQ10:FQ12"/>
    <mergeCell ref="FR10:FR12"/>
    <mergeCell ref="FS10:FS12"/>
    <mergeCell ref="FT10:FT12"/>
    <mergeCell ref="FU10:FU12"/>
    <mergeCell ref="FV10:FV12"/>
    <mergeCell ref="FW10:FW12"/>
    <mergeCell ref="FX10:FX12"/>
    <mergeCell ref="FY10:FY12"/>
    <mergeCell ref="FZ10:FZ12"/>
    <mergeCell ref="GA10:GA12"/>
    <mergeCell ref="GB10:GB12"/>
    <mergeCell ref="GC10:GC12"/>
    <mergeCell ref="GD10:GD12"/>
    <mergeCell ref="GE10:GE12"/>
    <mergeCell ref="GF10:GF12"/>
    <mergeCell ref="GG10:GG12"/>
    <mergeCell ref="GH10:GH12"/>
    <mergeCell ref="GI10:GI12"/>
    <mergeCell ref="GJ10:GJ12"/>
    <mergeCell ref="GK10:GK12"/>
    <mergeCell ref="GL10:GL12"/>
    <mergeCell ref="GM10:GM12"/>
    <mergeCell ref="EI10:EI12"/>
    <mergeCell ref="EJ10:EJ12"/>
    <mergeCell ref="EK10:EK12"/>
    <mergeCell ref="EL10:EL12"/>
    <mergeCell ref="EM10:EM12"/>
    <mergeCell ref="EN10:EN12"/>
    <mergeCell ref="EO10:EO12"/>
    <mergeCell ref="EP10:EP12"/>
    <mergeCell ref="EQ10:EQ12"/>
    <mergeCell ref="ER10:ER12"/>
    <mergeCell ref="ES10:ES12"/>
    <mergeCell ref="ET10:ET12"/>
    <mergeCell ref="EU10:EU12"/>
    <mergeCell ref="EV10:EV12"/>
    <mergeCell ref="EW10:EW12"/>
    <mergeCell ref="DR10:DR12"/>
    <mergeCell ref="DS10:DS12"/>
    <mergeCell ref="DM10:DM12"/>
    <mergeCell ref="DN10:DN12"/>
    <mergeCell ref="DO10:DO12"/>
    <mergeCell ref="DP10:DP12"/>
    <mergeCell ref="DQ10:DQ12"/>
    <mergeCell ref="DT10:DT12"/>
    <mergeCell ref="DU10:DU12"/>
    <mergeCell ref="EX10:EX12"/>
    <mergeCell ref="EY10:EY12"/>
    <mergeCell ref="EZ10:EZ12"/>
    <mergeCell ref="FA10:FA12"/>
    <mergeCell ref="FB10:FB12"/>
    <mergeCell ref="FC10:FC12"/>
    <mergeCell ref="FD10:FD12"/>
    <mergeCell ref="FE10:FE12"/>
    <mergeCell ref="FF10:FF12"/>
    <mergeCell ref="BO10:BO12"/>
    <mergeCell ref="BP10:BP12"/>
    <mergeCell ref="BQ10:BQ12"/>
    <mergeCell ref="BT10:BT12"/>
    <mergeCell ref="BU10:BU12"/>
    <mergeCell ref="BV10:BV12"/>
    <mergeCell ref="CY10:CY12"/>
    <mergeCell ref="CZ10:CZ12"/>
    <mergeCell ref="DA10:DA12"/>
    <mergeCell ref="DB10:DB12"/>
    <mergeCell ref="DC10:DC12"/>
    <mergeCell ref="DD10:DD12"/>
    <mergeCell ref="DE10:DE12"/>
    <mergeCell ref="DF10:DF12"/>
    <mergeCell ref="DG10:DG12"/>
    <mergeCell ref="DH10:DH12"/>
    <mergeCell ref="DI10:DI12"/>
    <mergeCell ref="DJ10:DJ12"/>
    <mergeCell ref="DK10:DK12"/>
    <mergeCell ref="DL10:DL12"/>
    <mergeCell ref="DV10:DV12"/>
    <mergeCell ref="DW10:DW12"/>
    <mergeCell ref="DX10:DX12"/>
    <mergeCell ref="DY10:DY12"/>
    <mergeCell ref="DZ10:DZ12"/>
    <mergeCell ref="EA10:EA12"/>
    <mergeCell ref="EB10:EB12"/>
    <mergeCell ref="EC10:EC12"/>
    <mergeCell ref="ED10:ED12"/>
    <mergeCell ref="EE10:EE12"/>
    <mergeCell ref="EF10:EF12"/>
    <mergeCell ref="EG10:EG12"/>
    <mergeCell ref="EH10:EH12"/>
    <mergeCell ref="ZB10:ZB12"/>
    <mergeCell ref="ZC10:ZC12"/>
    <mergeCell ref="ZD10:ZD12"/>
    <mergeCell ref="ZE10:ZE12"/>
    <mergeCell ref="ZF10:ZF12"/>
    <mergeCell ref="ZG10:ZG12"/>
    <mergeCell ref="ZH10:ZH12"/>
    <mergeCell ref="ZI10:ZI12"/>
    <mergeCell ref="ZJ10:ZJ12"/>
    <mergeCell ref="ZK10:ZK12"/>
    <mergeCell ref="ZL10:ZL12"/>
    <mergeCell ref="ZM10:ZM12"/>
    <mergeCell ref="ZN10:ZN12"/>
    <mergeCell ref="ZO10:ZO12"/>
    <mergeCell ref="ZP10:ZP12"/>
    <mergeCell ref="ZQ10:ZQ12"/>
    <mergeCell ref="ZR10:ZR12"/>
    <mergeCell ref="ZS10:ZS12"/>
    <mergeCell ref="ZT10:ZT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W10:BW12"/>
    <mergeCell ref="BX10:BX12"/>
    <mergeCell ref="BY10:BY12"/>
    <mergeCell ref="BZ10:BZ12"/>
    <mergeCell ref="CA10:CA12"/>
    <mergeCell ref="CB10:CB12"/>
    <mergeCell ref="CC10:CC12"/>
    <mergeCell ref="CD10:CD12"/>
    <mergeCell ref="CE10:CE12"/>
    <mergeCell ref="CF10:CF12"/>
    <mergeCell ref="CG10:CG12"/>
    <mergeCell ref="CH10:CH12"/>
    <mergeCell ref="CI10:CI12"/>
    <mergeCell ref="CJ10:CJ12"/>
    <mergeCell ref="CK10:CK12"/>
    <mergeCell ref="CL10:CL12"/>
    <mergeCell ref="CM10:CM12"/>
    <mergeCell ref="CN10:CN12"/>
    <mergeCell ref="CO10:CO12"/>
    <mergeCell ref="CP10:CP12"/>
    <mergeCell ref="CQ10:CQ12"/>
    <mergeCell ref="CR10:CR12"/>
    <mergeCell ref="CS10:CS12"/>
    <mergeCell ref="CT10:CT12"/>
    <mergeCell ref="CU10:CU12"/>
    <mergeCell ref="CV10:CV12"/>
    <mergeCell ref="CW10:CW12"/>
    <mergeCell ref="CX10:CX12"/>
    <mergeCell ref="BR11:BR12"/>
    <mergeCell ref="BS11:BS12"/>
    <mergeCell ref="BN10:BN12"/>
    <mergeCell ref="XU10:XU12"/>
    <mergeCell ref="XV10:XV12"/>
    <mergeCell ref="XW10:XW12"/>
    <mergeCell ref="XX10:XX12"/>
    <mergeCell ref="XY10:XY12"/>
    <mergeCell ref="XZ10:XZ12"/>
    <mergeCell ref="YA10:YA12"/>
    <mergeCell ref="YB10:YB12"/>
    <mergeCell ref="YC10:YC12"/>
    <mergeCell ref="YD10:YD12"/>
    <mergeCell ref="YE10:YE12"/>
    <mergeCell ref="YF10:YF12"/>
    <mergeCell ref="YG10:YG12"/>
    <mergeCell ref="YH10:YH12"/>
    <mergeCell ref="YI10:YI12"/>
    <mergeCell ref="YJ10:YJ12"/>
    <mergeCell ref="YK10:YK12"/>
    <mergeCell ref="YL10:YL12"/>
    <mergeCell ref="YM10:YM12"/>
    <mergeCell ref="YN10:YN12"/>
    <mergeCell ref="YO10:YO12"/>
    <mergeCell ref="YP10:YP12"/>
    <mergeCell ref="YQ10:YQ12"/>
    <mergeCell ref="YR10:YR12"/>
    <mergeCell ref="YS10:YS12"/>
    <mergeCell ref="YT10:YT12"/>
    <mergeCell ref="YU10:YU12"/>
    <mergeCell ref="YV10:YV12"/>
    <mergeCell ref="YW10:YW12"/>
    <mergeCell ref="YX10:YX12"/>
    <mergeCell ref="YY10:YY12"/>
    <mergeCell ref="YZ10:YZ12"/>
    <mergeCell ref="ZA10:ZA12"/>
    <mergeCell ref="WN10:WN12"/>
    <mergeCell ref="WO10:WO12"/>
    <mergeCell ref="WP10:WP12"/>
    <mergeCell ref="WQ10:WQ12"/>
    <mergeCell ref="WR10:WR12"/>
    <mergeCell ref="WS10:WS12"/>
    <mergeCell ref="WT10:WT12"/>
    <mergeCell ref="WU10:WU12"/>
    <mergeCell ref="WV10:WV12"/>
    <mergeCell ref="WW10:WW12"/>
    <mergeCell ref="WX10:WX12"/>
    <mergeCell ref="WY10:WY12"/>
    <mergeCell ref="WZ10:WZ12"/>
    <mergeCell ref="XA10:XA12"/>
    <mergeCell ref="XB10:XB12"/>
    <mergeCell ref="XC10:XC12"/>
    <mergeCell ref="XD10:XD12"/>
    <mergeCell ref="XE10:XE12"/>
    <mergeCell ref="XF10:XF12"/>
    <mergeCell ref="XG10:XG12"/>
    <mergeCell ref="XH10:XH12"/>
    <mergeCell ref="XI10:XI12"/>
    <mergeCell ref="XJ10:XJ12"/>
    <mergeCell ref="XK10:XK12"/>
    <mergeCell ref="XL10:XL12"/>
    <mergeCell ref="XM10:XM12"/>
    <mergeCell ref="XN10:XN12"/>
    <mergeCell ref="XO10:XO12"/>
    <mergeCell ref="XP10:XP12"/>
    <mergeCell ref="XQ10:XQ12"/>
    <mergeCell ref="XR10:XR12"/>
    <mergeCell ref="XS10:XS12"/>
    <mergeCell ref="XT10:XT12"/>
    <mergeCell ref="VG10:VG12"/>
    <mergeCell ref="VH10:VH12"/>
    <mergeCell ref="VI10:VI12"/>
    <mergeCell ref="VJ10:VJ12"/>
    <mergeCell ref="VK10:VK12"/>
    <mergeCell ref="VL10:VL12"/>
    <mergeCell ref="VM10:VM12"/>
    <mergeCell ref="VN10:VN12"/>
    <mergeCell ref="VO10:VO12"/>
    <mergeCell ref="VP10:VP12"/>
    <mergeCell ref="VQ10:VQ12"/>
    <mergeCell ref="VR10:VR12"/>
    <mergeCell ref="VS10:VS12"/>
    <mergeCell ref="VT10:VT12"/>
    <mergeCell ref="VU10:VU12"/>
    <mergeCell ref="VV10:VV12"/>
    <mergeCell ref="VW10:VW12"/>
    <mergeCell ref="VX10:VX12"/>
    <mergeCell ref="VY10:VY12"/>
    <mergeCell ref="VZ10:VZ12"/>
    <mergeCell ref="WA10:WA12"/>
    <mergeCell ref="WB10:WB12"/>
    <mergeCell ref="WC10:WC12"/>
    <mergeCell ref="WD10:WD12"/>
    <mergeCell ref="WE10:WE12"/>
    <mergeCell ref="WF10:WF12"/>
    <mergeCell ref="WG10:WG12"/>
    <mergeCell ref="WH10:WH12"/>
    <mergeCell ref="WI10:WI12"/>
    <mergeCell ref="WJ10:WJ12"/>
    <mergeCell ref="WK10:WK12"/>
    <mergeCell ref="WL10:WL12"/>
    <mergeCell ref="WM10:WM12"/>
    <mergeCell ref="TZ10:TZ12"/>
    <mergeCell ref="UA10:UA12"/>
    <mergeCell ref="UB10:UB12"/>
    <mergeCell ref="UC10:UC12"/>
    <mergeCell ref="UD10:UD12"/>
    <mergeCell ref="UE10:UE12"/>
    <mergeCell ref="UF10:UF12"/>
    <mergeCell ref="UG10:UG12"/>
    <mergeCell ref="UH10:UH12"/>
    <mergeCell ref="UI10:UI12"/>
    <mergeCell ref="UJ10:UJ12"/>
    <mergeCell ref="UK10:UK12"/>
    <mergeCell ref="UL10:UL12"/>
    <mergeCell ref="UM10:UM12"/>
    <mergeCell ref="UN10:UN12"/>
    <mergeCell ref="UO10:UO12"/>
    <mergeCell ref="UP10:UP12"/>
    <mergeCell ref="UQ10:UQ12"/>
    <mergeCell ref="UR10:UR12"/>
    <mergeCell ref="US10:US12"/>
    <mergeCell ref="UT10:UT12"/>
    <mergeCell ref="UU10:UU12"/>
    <mergeCell ref="UV10:UV12"/>
    <mergeCell ref="UW10:UW12"/>
    <mergeCell ref="UX10:UX12"/>
    <mergeCell ref="UY10:UY12"/>
    <mergeCell ref="UZ10:UZ12"/>
    <mergeCell ref="VA10:VA12"/>
    <mergeCell ref="VB10:VB12"/>
    <mergeCell ref="VC10:VC12"/>
    <mergeCell ref="VD10:VD12"/>
    <mergeCell ref="VE10:VE12"/>
    <mergeCell ref="VF10:VF12"/>
    <mergeCell ref="SS10:SS12"/>
    <mergeCell ref="ST10:ST12"/>
    <mergeCell ref="SU10:SU12"/>
    <mergeCell ref="SV10:SV12"/>
    <mergeCell ref="SW10:SW12"/>
    <mergeCell ref="SX10:SX12"/>
    <mergeCell ref="SY10:SY12"/>
    <mergeCell ref="SZ10:SZ12"/>
    <mergeCell ref="TA10:TA12"/>
    <mergeCell ref="TB10:TB12"/>
    <mergeCell ref="TC10:TC12"/>
    <mergeCell ref="TD10:TD12"/>
    <mergeCell ref="TE10:TE12"/>
    <mergeCell ref="TF10:TF12"/>
    <mergeCell ref="TG10:TG12"/>
    <mergeCell ref="TH10:TH12"/>
    <mergeCell ref="TI10:TI12"/>
    <mergeCell ref="TJ10:TJ12"/>
    <mergeCell ref="TK10:TK12"/>
    <mergeCell ref="TL10:TL12"/>
    <mergeCell ref="TM10:TM12"/>
    <mergeCell ref="TN10:TN12"/>
    <mergeCell ref="TO10:TO12"/>
    <mergeCell ref="TP10:TP12"/>
    <mergeCell ref="TQ10:TQ12"/>
    <mergeCell ref="TR10:TR12"/>
    <mergeCell ref="TS10:TS12"/>
    <mergeCell ref="TT10:TT12"/>
    <mergeCell ref="TU10:TU12"/>
    <mergeCell ref="TV10:TV12"/>
    <mergeCell ref="TW10:TW12"/>
    <mergeCell ref="TX10:TX12"/>
    <mergeCell ref="TY10:TY12"/>
    <mergeCell ref="RL10:RL12"/>
    <mergeCell ref="RM10:RM12"/>
    <mergeCell ref="RN10:RN12"/>
    <mergeCell ref="RO10:RO12"/>
    <mergeCell ref="RP10:RP12"/>
    <mergeCell ref="RQ10:RQ12"/>
    <mergeCell ref="RR10:RR12"/>
    <mergeCell ref="RS10:RS12"/>
    <mergeCell ref="RT10:RT12"/>
    <mergeCell ref="RU10:RU12"/>
    <mergeCell ref="RV10:RV12"/>
    <mergeCell ref="RW10:RW12"/>
    <mergeCell ref="RX10:RX12"/>
    <mergeCell ref="RY10:RY12"/>
    <mergeCell ref="RZ10:RZ12"/>
    <mergeCell ref="SA10:SA12"/>
    <mergeCell ref="SB10:SB12"/>
    <mergeCell ref="SC10:SC12"/>
    <mergeCell ref="SD10:SD12"/>
    <mergeCell ref="SE10:SE12"/>
    <mergeCell ref="SF10:SF12"/>
    <mergeCell ref="SG10:SG12"/>
    <mergeCell ref="SH10:SH12"/>
    <mergeCell ref="SI10:SI12"/>
    <mergeCell ref="SJ10:SJ12"/>
    <mergeCell ref="SK10:SK12"/>
    <mergeCell ref="SL10:SL12"/>
    <mergeCell ref="SM10:SM12"/>
    <mergeCell ref="SN10:SN12"/>
    <mergeCell ref="SO10:SO12"/>
    <mergeCell ref="SP10:SP12"/>
    <mergeCell ref="SQ10:SQ12"/>
    <mergeCell ref="SR10:SR12"/>
    <mergeCell ref="QE10:QE12"/>
    <mergeCell ref="QF10:QF12"/>
    <mergeCell ref="QG10:QG12"/>
    <mergeCell ref="QH10:QH12"/>
    <mergeCell ref="QI10:QI12"/>
    <mergeCell ref="QJ10:QJ12"/>
    <mergeCell ref="QK10:QK12"/>
    <mergeCell ref="QL10:QL12"/>
    <mergeCell ref="QM10:QM12"/>
    <mergeCell ref="QN10:QN12"/>
    <mergeCell ref="QO10:QO12"/>
    <mergeCell ref="QP10:QP12"/>
    <mergeCell ref="QQ10:QQ12"/>
    <mergeCell ref="QR10:QR12"/>
    <mergeCell ref="QS10:QS12"/>
    <mergeCell ref="QT10:QT12"/>
    <mergeCell ref="QU10:QU12"/>
    <mergeCell ref="QV11:QV12"/>
    <mergeCell ref="QX10:QX12"/>
    <mergeCell ref="QY10:QY12"/>
    <mergeCell ref="QZ10:QZ12"/>
    <mergeCell ref="RA10:RA12"/>
    <mergeCell ref="RB10:RB12"/>
    <mergeCell ref="RC10:RC12"/>
    <mergeCell ref="RD10:RD12"/>
    <mergeCell ref="QW11:QW12"/>
    <mergeCell ref="RE10:RE12"/>
    <mergeCell ref="RF10:RF12"/>
    <mergeCell ref="RG10:RG12"/>
    <mergeCell ref="RH10:RH12"/>
    <mergeCell ref="RI10:RI12"/>
    <mergeCell ref="RJ10:RJ12"/>
    <mergeCell ref="RK10:RK12"/>
    <mergeCell ref="OX10:OX12"/>
    <mergeCell ref="OY10:OY12"/>
    <mergeCell ref="OZ10:OZ12"/>
    <mergeCell ref="PA10:PA12"/>
    <mergeCell ref="PB10:PB12"/>
    <mergeCell ref="PC10:PC12"/>
    <mergeCell ref="PD10:PD12"/>
    <mergeCell ref="PE10:PE12"/>
    <mergeCell ref="PF10:PF12"/>
    <mergeCell ref="PG10:PG12"/>
    <mergeCell ref="PH10:PH12"/>
    <mergeCell ref="PI10:PI12"/>
    <mergeCell ref="PJ10:PJ12"/>
    <mergeCell ref="PK10:PK12"/>
    <mergeCell ref="PL10:PL12"/>
    <mergeCell ref="PM10:PM12"/>
    <mergeCell ref="PN10:PN12"/>
    <mergeCell ref="PO10:PO12"/>
    <mergeCell ref="PP10:PP12"/>
    <mergeCell ref="PQ10:PQ12"/>
    <mergeCell ref="PR10:PR12"/>
    <mergeCell ref="PS10:PS12"/>
    <mergeCell ref="PT10:PT12"/>
    <mergeCell ref="PU10:PU12"/>
    <mergeCell ref="PV10:PV12"/>
    <mergeCell ref="PW10:PW12"/>
    <mergeCell ref="PX10:PX12"/>
    <mergeCell ref="PY10:PY12"/>
    <mergeCell ref="PZ10:PZ12"/>
    <mergeCell ref="QA10:QA12"/>
    <mergeCell ref="QB10:QB12"/>
    <mergeCell ref="QC10:QC12"/>
    <mergeCell ref="QD10:QD12"/>
    <mergeCell ref="NZ10:NZ12"/>
    <mergeCell ref="OA10:OA12"/>
    <mergeCell ref="OB10:OB12"/>
    <mergeCell ref="OC10:OC12"/>
    <mergeCell ref="OD10:OD12"/>
    <mergeCell ref="OE10:OE12"/>
    <mergeCell ref="OF10:OF12"/>
    <mergeCell ref="OG10:OG12"/>
    <mergeCell ref="OH10:OH12"/>
    <mergeCell ref="OI10:OI12"/>
    <mergeCell ref="OJ10:OJ12"/>
    <mergeCell ref="NF11:NF12"/>
    <mergeCell ref="NG11:NG12"/>
    <mergeCell ref="MZ10:MZ12"/>
    <mergeCell ref="NA10:NA12"/>
    <mergeCell ref="NB10:NB12"/>
    <mergeCell ref="NC10:NC12"/>
    <mergeCell ref="ND10:ND12"/>
    <mergeCell ref="NE10:NE12"/>
    <mergeCell ref="NH10:NH12"/>
    <mergeCell ref="OK10:OK12"/>
    <mergeCell ref="OL10:OL12"/>
    <mergeCell ref="OM10:OM12"/>
    <mergeCell ref="ON10:ON12"/>
    <mergeCell ref="OO10:OO12"/>
    <mergeCell ref="OP10:OP12"/>
    <mergeCell ref="OQ10:OQ12"/>
    <mergeCell ref="OR10:OR12"/>
    <mergeCell ref="OS10:OS12"/>
    <mergeCell ref="OT10:OT12"/>
    <mergeCell ref="OU10:OU12"/>
    <mergeCell ref="OV10:OV12"/>
    <mergeCell ref="OW10:OW12"/>
    <mergeCell ref="AHF10:AHF12"/>
    <mergeCell ref="AHG10:AHG12"/>
    <mergeCell ref="AHH10:AHH12"/>
    <mergeCell ref="AHI10:AHI12"/>
    <mergeCell ref="AHZ10:AHZ12"/>
    <mergeCell ref="AIA10:AIA12"/>
    <mergeCell ref="AHX11:AHX12"/>
    <mergeCell ref="AHY11:AHY12"/>
    <mergeCell ref="AFN11:AFN12"/>
    <mergeCell ref="AFO11:AFO12"/>
    <mergeCell ref="AFK10:AFK12"/>
    <mergeCell ref="AFL10:AFL12"/>
    <mergeCell ref="AFM10:AFM12"/>
    <mergeCell ref="AFP10:AFP12"/>
    <mergeCell ref="AFQ10:AFQ12"/>
    <mergeCell ref="AFR10:AFR12"/>
    <mergeCell ref="AFS10:AFS12"/>
    <mergeCell ref="ADS10:ADS12"/>
    <mergeCell ref="ADT10:ADT12"/>
    <mergeCell ref="ADU10:ADU12"/>
    <mergeCell ref="ADV10:ADV12"/>
    <mergeCell ref="ADW10:ADW12"/>
    <mergeCell ref="ADX10:ADX12"/>
    <mergeCell ref="ADY10:ADY12"/>
    <mergeCell ref="AEI10:AEI12"/>
    <mergeCell ref="AEJ10:AEJ12"/>
    <mergeCell ref="AEK10:AEK12"/>
    <mergeCell ref="AEL10:AEL12"/>
    <mergeCell ref="AEM10:AEM12"/>
    <mergeCell ref="AEN10:AEN12"/>
    <mergeCell ref="AEO10:AEO12"/>
    <mergeCell ref="AEP10:AEP12"/>
    <mergeCell ref="AEQ10:AEQ12"/>
    <mergeCell ref="AER10:AER12"/>
    <mergeCell ref="AES10:AES12"/>
    <mergeCell ref="AET10:AET12"/>
    <mergeCell ref="AEU10:AEU12"/>
    <mergeCell ref="AEV10:AEV12"/>
    <mergeCell ref="AEW10:AEW12"/>
    <mergeCell ref="AEX10:AEX12"/>
    <mergeCell ref="AEY10:AEY12"/>
    <mergeCell ref="AEZ10:AEZ12"/>
    <mergeCell ref="AFA10:AFA12"/>
    <mergeCell ref="AFB10:AFB12"/>
    <mergeCell ref="AFC10:AFC12"/>
    <mergeCell ref="AFD10:AFD12"/>
    <mergeCell ref="AFE10:AFE12"/>
    <mergeCell ref="AFF10:AFF12"/>
    <mergeCell ref="AFG10:AFG12"/>
    <mergeCell ref="AFH10:AFH12"/>
    <mergeCell ref="AFI10:AFI12"/>
    <mergeCell ref="AFJ10:AFJ12"/>
    <mergeCell ref="AEF11:AEF12"/>
    <mergeCell ref="AEG11:AEG12"/>
    <mergeCell ref="ADZ10:ADZ12"/>
    <mergeCell ref="AEA10:AEA12"/>
    <mergeCell ref="AEB10:AEB12"/>
    <mergeCell ref="AEC10:AEC12"/>
    <mergeCell ref="AED10:AED12"/>
    <mergeCell ref="AEE10:AEE12"/>
    <mergeCell ref="AEH10:AEH12"/>
    <mergeCell ref="ADP10:ADP12"/>
    <mergeCell ref="ADQ10:ADQ12"/>
    <mergeCell ref="ADR10:ADR12"/>
    <mergeCell ref="ACT11:ACT12"/>
    <mergeCell ref="ACU11:ACU12"/>
    <mergeCell ref="ACO10:ACO12"/>
    <mergeCell ref="ACP10:ACP12"/>
    <mergeCell ref="ACQ10:ACQ12"/>
    <mergeCell ref="ACR10:ACR12"/>
    <mergeCell ref="ACS10:ACS12"/>
    <mergeCell ref="ACV10:ACV12"/>
    <mergeCell ref="ACW10:ACW12"/>
    <mergeCell ref="AHJ10:AHJ12"/>
    <mergeCell ref="AHK10:AHK12"/>
    <mergeCell ref="AHL10:AHL12"/>
    <mergeCell ref="AHM10:AHM12"/>
    <mergeCell ref="AHN10:AHN12"/>
    <mergeCell ref="AHO10:AHO12"/>
    <mergeCell ref="AHP10:AHP12"/>
    <mergeCell ref="AHQ10:AHQ12"/>
    <mergeCell ref="AHR10:AHR12"/>
    <mergeCell ref="AHS10:AHS12"/>
    <mergeCell ref="AHT10:AHT12"/>
    <mergeCell ref="AHU10:AHU12"/>
    <mergeCell ref="AHV10:AHV12"/>
    <mergeCell ref="AHW10:AHW12"/>
    <mergeCell ref="AFT10:AFT12"/>
    <mergeCell ref="AFU10:AFU12"/>
    <mergeCell ref="AFV10:AFV12"/>
    <mergeCell ref="AFW10:AFW12"/>
    <mergeCell ref="AFX10:AFX12"/>
    <mergeCell ref="AFY10:AFY12"/>
    <mergeCell ref="AFZ10:AFZ12"/>
    <mergeCell ref="AGA10:AGA12"/>
    <mergeCell ref="AGB10:AGB12"/>
    <mergeCell ref="AGC10:AGC12"/>
    <mergeCell ref="AGD10:AGD12"/>
    <mergeCell ref="AGE10:AGE12"/>
    <mergeCell ref="AGF10:AGF12"/>
    <mergeCell ref="AGG10:AGG12"/>
    <mergeCell ref="AGH10:AGH12"/>
    <mergeCell ref="AGI10:AGI12"/>
    <mergeCell ref="AGJ10:AGJ12"/>
    <mergeCell ref="AGK10:AGK12"/>
    <mergeCell ref="AGL10:AGL12"/>
    <mergeCell ref="AGM10:AGM12"/>
    <mergeCell ref="AGN10:AGN12"/>
    <mergeCell ref="AGO10:AGO12"/>
    <mergeCell ref="AGP10:AGP12"/>
    <mergeCell ref="AGQ10:AGQ12"/>
    <mergeCell ref="AGR10:AGR12"/>
    <mergeCell ref="AGS10:AGS12"/>
    <mergeCell ref="AGT10:AGT12"/>
    <mergeCell ref="AGU10:AGU12"/>
    <mergeCell ref="AGV10:AGV12"/>
    <mergeCell ref="AGW10:AGW12"/>
    <mergeCell ref="AGX10:AGX12"/>
    <mergeCell ref="AGY10:AGY12"/>
    <mergeCell ref="AGZ10:AGZ12"/>
    <mergeCell ref="AHA10:AHA12"/>
    <mergeCell ref="AHB10:AHB12"/>
    <mergeCell ref="AHC10:AHC12"/>
    <mergeCell ref="AHD10:AHD12"/>
    <mergeCell ref="AHE10:AHE12"/>
    <mergeCell ref="ABZ10:ABZ12"/>
    <mergeCell ref="ACA10:ACA12"/>
    <mergeCell ref="ACB10:ACB12"/>
    <mergeCell ref="ACC10:ACC12"/>
    <mergeCell ref="ACD10:ACD12"/>
    <mergeCell ref="ACE10:ACE12"/>
    <mergeCell ref="ACF10:ACF12"/>
    <mergeCell ref="ACG10:ACG12"/>
    <mergeCell ref="ACH10:ACH12"/>
    <mergeCell ref="ACI10:ACI12"/>
    <mergeCell ref="ACJ10:ACJ12"/>
    <mergeCell ref="ACK10:ACK12"/>
    <mergeCell ref="ACL10:ACL12"/>
    <mergeCell ref="ACM10:ACM12"/>
    <mergeCell ref="ACN10:ACN12"/>
    <mergeCell ref="ACX10:ACX12"/>
    <mergeCell ref="ACY10:ACY12"/>
    <mergeCell ref="ACZ10:ACZ12"/>
    <mergeCell ref="ADA10:ADA12"/>
    <mergeCell ref="ADB10:ADB12"/>
    <mergeCell ref="ADC10:ADC12"/>
    <mergeCell ref="ADD10:ADD12"/>
    <mergeCell ref="ADE10:ADE12"/>
    <mergeCell ref="ADF10:ADF12"/>
    <mergeCell ref="ADG10:ADG12"/>
    <mergeCell ref="ADH10:ADH12"/>
    <mergeCell ref="ADI10:ADI12"/>
    <mergeCell ref="ADJ10:ADJ12"/>
    <mergeCell ref="ADK10:ADK12"/>
    <mergeCell ref="ADL10:ADL12"/>
    <mergeCell ref="ADM10:ADM12"/>
    <mergeCell ref="ADN10:ADN12"/>
    <mergeCell ref="ADO10:ADO12"/>
    <mergeCell ref="AAQ10:AAQ12"/>
    <mergeCell ref="AAR10:AAR12"/>
    <mergeCell ref="AAS10:AAS12"/>
    <mergeCell ref="AAT10:AAT12"/>
    <mergeCell ref="AAU10:AAU12"/>
    <mergeCell ref="AAV10:AAV12"/>
    <mergeCell ref="AAW10:AAW12"/>
    <mergeCell ref="AAX10:AAX12"/>
    <mergeCell ref="AAY10:AAY12"/>
    <mergeCell ref="AAZ10:AAZ12"/>
    <mergeCell ref="ABA10:ABA12"/>
    <mergeCell ref="ABB10:ABB12"/>
    <mergeCell ref="ABC10:ABC12"/>
    <mergeCell ref="ABF10:ABF12"/>
    <mergeCell ref="ABG10:ABG12"/>
    <mergeCell ref="ABH10:ABH12"/>
    <mergeCell ref="ABI10:ABI12"/>
    <mergeCell ref="ABJ10:ABJ12"/>
    <mergeCell ref="ABK10:ABK12"/>
    <mergeCell ref="ABL10:ABL12"/>
    <mergeCell ref="ABM10:ABM12"/>
    <mergeCell ref="ABN10:ABN12"/>
    <mergeCell ref="ABO10:ABO12"/>
    <mergeCell ref="ABP10:ABP12"/>
    <mergeCell ref="ABQ10:ABQ12"/>
    <mergeCell ref="ABR10:ABR12"/>
    <mergeCell ref="ABS10:ABS12"/>
    <mergeCell ref="ABT10:ABT12"/>
    <mergeCell ref="ABU10:ABU12"/>
    <mergeCell ref="ABV10:ABV12"/>
    <mergeCell ref="ABW10:ABW12"/>
    <mergeCell ref="ABX10:ABX12"/>
    <mergeCell ref="ABY10:ABY12"/>
    <mergeCell ref="HD8:HD9"/>
    <mergeCell ref="HE8:HE9"/>
    <mergeCell ref="HF8:HF9"/>
    <mergeCell ref="HG8:HG9"/>
    <mergeCell ref="FI8:FI9"/>
    <mergeCell ref="FJ8:FJ9"/>
    <mergeCell ref="FK8:FK9"/>
    <mergeCell ref="FL8:FL9"/>
    <mergeCell ref="FM8:FM9"/>
    <mergeCell ref="FN8:FN9"/>
    <mergeCell ref="FO8:FO9"/>
    <mergeCell ref="ZU10:ZU12"/>
    <mergeCell ref="ZV10:ZV12"/>
    <mergeCell ref="ZW10:ZW12"/>
    <mergeCell ref="ZX10:ZX12"/>
    <mergeCell ref="ZY10:ZY12"/>
    <mergeCell ref="ZZ10:ZZ12"/>
    <mergeCell ref="AAA10:AAA12"/>
    <mergeCell ref="AAB10:AAB12"/>
    <mergeCell ref="AAC10:AAC12"/>
    <mergeCell ref="AAD10:AAD12"/>
    <mergeCell ref="AAE10:AAE12"/>
    <mergeCell ref="AAF10:AAF12"/>
    <mergeCell ref="AAG10:AAG12"/>
    <mergeCell ref="AAH10:AAH12"/>
    <mergeCell ref="AAI10:AAI12"/>
    <mergeCell ref="AAJ10:AAJ12"/>
    <mergeCell ref="AAK10:AAK12"/>
    <mergeCell ref="AAL10:AAL12"/>
    <mergeCell ref="AAM10:AAM12"/>
    <mergeCell ref="AAN10:AAN12"/>
    <mergeCell ref="AAO10:AAO12"/>
    <mergeCell ref="AAP10:AAP12"/>
    <mergeCell ref="ML10:ML12"/>
    <mergeCell ref="MM10:MM12"/>
    <mergeCell ref="MN10:MN12"/>
    <mergeCell ref="MO10:MO12"/>
    <mergeCell ref="MP10:MP12"/>
    <mergeCell ref="MQ10:MQ12"/>
    <mergeCell ref="MR10:MR12"/>
    <mergeCell ref="MS10:MS12"/>
    <mergeCell ref="MT10:MT12"/>
    <mergeCell ref="MU10:MU12"/>
    <mergeCell ref="MV10:MV12"/>
    <mergeCell ref="MW10:MW12"/>
    <mergeCell ref="MX10:MX12"/>
    <mergeCell ref="MY10:MY12"/>
    <mergeCell ref="NI10:NI12"/>
    <mergeCell ref="NJ10:NJ12"/>
    <mergeCell ref="NK10:NK12"/>
    <mergeCell ref="NL10:NL12"/>
    <mergeCell ref="NM10:NM12"/>
    <mergeCell ref="NN10:NN12"/>
    <mergeCell ref="NO10:NO12"/>
    <mergeCell ref="NP10:NP12"/>
    <mergeCell ref="NQ10:NQ12"/>
    <mergeCell ref="NR10:NR12"/>
    <mergeCell ref="NS10:NS12"/>
    <mergeCell ref="NT10:NT12"/>
    <mergeCell ref="NU10:NU12"/>
    <mergeCell ref="NV10:NV12"/>
    <mergeCell ref="NW10:NW12"/>
    <mergeCell ref="NX10:NX12"/>
    <mergeCell ref="NY10:NY12"/>
    <mergeCell ref="RT8:RT9"/>
    <mergeCell ref="RU8:RU9"/>
    <mergeCell ref="RV8:RV9"/>
    <mergeCell ref="RW8:RW9"/>
    <mergeCell ref="RX8:RX9"/>
    <mergeCell ref="RY8:RY9"/>
    <mergeCell ref="RZ8:RZ9"/>
    <mergeCell ref="SA8:SA9"/>
    <mergeCell ref="SB8:SB9"/>
    <mergeCell ref="SC8:SC9"/>
    <mergeCell ref="SD8:SD9"/>
    <mergeCell ref="SE8:SE9"/>
    <mergeCell ref="SF8:SF9"/>
    <mergeCell ref="SG8:SG9"/>
    <mergeCell ref="SH8:SH9"/>
    <mergeCell ref="SI8:SI9"/>
    <mergeCell ref="SJ8:SJ9"/>
    <mergeCell ref="SK8:SK9"/>
    <mergeCell ref="SL8:SL9"/>
    <mergeCell ref="SM8:SM9"/>
    <mergeCell ref="SN8:SN9"/>
    <mergeCell ref="SO8:SO9"/>
    <mergeCell ref="SP8:SP9"/>
    <mergeCell ref="SQ8:SQ9"/>
    <mergeCell ref="SR8:SR9"/>
    <mergeCell ref="SS8:SS9"/>
    <mergeCell ref="FP8:FP9"/>
    <mergeCell ref="FQ8:FQ9"/>
    <mergeCell ref="FR8:FR9"/>
    <mergeCell ref="FS8:FS9"/>
    <mergeCell ref="FT8:FT9"/>
    <mergeCell ref="FU8:FU9"/>
    <mergeCell ref="FV8:FV9"/>
    <mergeCell ref="FW8:FW9"/>
    <mergeCell ref="FX8:FX9"/>
    <mergeCell ref="FY8:FY9"/>
    <mergeCell ref="FZ8:FZ9"/>
    <mergeCell ref="GA8:GA9"/>
    <mergeCell ref="GB8:GB9"/>
    <mergeCell ref="GC8:GC9"/>
    <mergeCell ref="GD8:GD9"/>
    <mergeCell ref="GE8:GE9"/>
    <mergeCell ref="GF8:GF9"/>
    <mergeCell ref="GG8:GG9"/>
    <mergeCell ref="GJ8:GJ9"/>
    <mergeCell ref="GK8:GK9"/>
    <mergeCell ref="GL8:GL9"/>
    <mergeCell ref="GM8:GM9"/>
    <mergeCell ref="GN8:GN9"/>
    <mergeCell ref="GO8:GO9"/>
    <mergeCell ref="GP8:GP9"/>
    <mergeCell ref="GQ8:GQ9"/>
    <mergeCell ref="GR8:GR9"/>
    <mergeCell ref="GS8:GS9"/>
    <mergeCell ref="GT8:GT9"/>
    <mergeCell ref="GU8:GU9"/>
    <mergeCell ref="GV8:GV9"/>
    <mergeCell ref="GW8:GW9"/>
    <mergeCell ref="GX8:GX9"/>
    <mergeCell ref="GY8:GY9"/>
    <mergeCell ref="GZ8:GZ9"/>
    <mergeCell ref="HA8:HA9"/>
    <mergeCell ref="HB8:HB9"/>
    <mergeCell ref="HC8:HC9"/>
    <mergeCell ref="QM8:QM9"/>
    <mergeCell ref="QN8:QN9"/>
    <mergeCell ref="QO8:QO9"/>
    <mergeCell ref="QP8:QP9"/>
    <mergeCell ref="QQ8:QQ9"/>
    <mergeCell ref="QR8:QR9"/>
    <mergeCell ref="QS8:QS9"/>
    <mergeCell ref="QT8:QT9"/>
    <mergeCell ref="QU8:QU9"/>
    <mergeCell ref="QV8:QV9"/>
    <mergeCell ref="QW8:QW9"/>
    <mergeCell ref="QX8:QX9"/>
    <mergeCell ref="QY8:QY9"/>
    <mergeCell ref="QZ8:QZ9"/>
    <mergeCell ref="RA8:RA9"/>
    <mergeCell ref="RB8:RB9"/>
    <mergeCell ref="RC8:RC9"/>
    <mergeCell ref="RD8:RD9"/>
    <mergeCell ref="RE8:RE9"/>
    <mergeCell ref="RF8:RF9"/>
    <mergeCell ref="RG8:RG9"/>
    <mergeCell ref="RH8:RH9"/>
    <mergeCell ref="RI8:RI9"/>
    <mergeCell ref="RJ8:RJ9"/>
    <mergeCell ref="RK8:RK9"/>
    <mergeCell ref="RL8:RL9"/>
    <mergeCell ref="RM8:RM9"/>
    <mergeCell ref="RN8:RN9"/>
    <mergeCell ref="RO8:RO9"/>
    <mergeCell ref="RP8:RP9"/>
    <mergeCell ref="RQ8:RQ9"/>
    <mergeCell ref="RR8:RR9"/>
    <mergeCell ref="RS8:RS9"/>
    <mergeCell ref="PF8:PF9"/>
    <mergeCell ref="PG8:PG9"/>
    <mergeCell ref="PH8:PH9"/>
    <mergeCell ref="PI8:PI9"/>
    <mergeCell ref="PJ8:PJ9"/>
    <mergeCell ref="PK8:PK9"/>
    <mergeCell ref="PL8:PL9"/>
    <mergeCell ref="PM8:PM9"/>
    <mergeCell ref="PN8:PN9"/>
    <mergeCell ref="PO8:PO9"/>
    <mergeCell ref="PP8:PP9"/>
    <mergeCell ref="PQ8:PQ9"/>
    <mergeCell ref="PR8:PR9"/>
    <mergeCell ref="PS8:PS9"/>
    <mergeCell ref="PT8:PT9"/>
    <mergeCell ref="PU8:PU9"/>
    <mergeCell ref="PV8:PV9"/>
    <mergeCell ref="PW8:PW9"/>
    <mergeCell ref="PX8:PX9"/>
    <mergeCell ref="PY8:PY9"/>
    <mergeCell ref="PZ8:PZ9"/>
    <mergeCell ref="QA8:QA9"/>
    <mergeCell ref="QB8:QB9"/>
    <mergeCell ref="QC8:QC9"/>
    <mergeCell ref="QD8:QD9"/>
    <mergeCell ref="QE8:QE9"/>
    <mergeCell ref="QF8:QF9"/>
    <mergeCell ref="QG8:QG9"/>
    <mergeCell ref="QH8:QH9"/>
    <mergeCell ref="QI8:QI9"/>
    <mergeCell ref="QJ8:QJ9"/>
    <mergeCell ref="QK8:QK9"/>
    <mergeCell ref="QL8:QL9"/>
    <mergeCell ref="NY8:NY9"/>
    <mergeCell ref="NZ8:NZ9"/>
    <mergeCell ref="OA8:OA9"/>
    <mergeCell ref="OB8:OB9"/>
    <mergeCell ref="OC8:OC9"/>
    <mergeCell ref="OD8:OD9"/>
    <mergeCell ref="OE8:OE9"/>
    <mergeCell ref="OF8:OF9"/>
    <mergeCell ref="OG8:OG9"/>
    <mergeCell ref="OH8:OH9"/>
    <mergeCell ref="OI8:OI9"/>
    <mergeCell ref="OJ8:OJ9"/>
    <mergeCell ref="OK8:OK9"/>
    <mergeCell ref="OL8:OL9"/>
    <mergeCell ref="OM8:OM9"/>
    <mergeCell ref="ON8:ON9"/>
    <mergeCell ref="OO8:OO9"/>
    <mergeCell ref="OP8:OP9"/>
    <mergeCell ref="OQ8:OQ9"/>
    <mergeCell ref="OR8:OR9"/>
    <mergeCell ref="OS8:OS9"/>
    <mergeCell ref="OT8:OT9"/>
    <mergeCell ref="OU8:OU9"/>
    <mergeCell ref="OV8:OV9"/>
    <mergeCell ref="OW8:OW9"/>
    <mergeCell ref="OX8:OX9"/>
    <mergeCell ref="OY8:OY9"/>
    <mergeCell ref="OZ8:OZ9"/>
    <mergeCell ref="PA8:PA9"/>
    <mergeCell ref="PB8:PB9"/>
    <mergeCell ref="PC8:PC9"/>
    <mergeCell ref="PD8:PD9"/>
    <mergeCell ref="PE8:PE9"/>
    <mergeCell ref="MP8:MP9"/>
    <mergeCell ref="MQ8:MQ9"/>
    <mergeCell ref="MR8:MR9"/>
    <mergeCell ref="MS8:MS9"/>
    <mergeCell ref="MT8:MT9"/>
    <mergeCell ref="MU8:MU9"/>
    <mergeCell ref="MV8:MV9"/>
    <mergeCell ref="MW8:MW9"/>
    <mergeCell ref="MX8:MX9"/>
    <mergeCell ref="MY8:MY9"/>
    <mergeCell ref="MZ8:MZ9"/>
    <mergeCell ref="NA8:NA9"/>
    <mergeCell ref="NB8:NB9"/>
    <mergeCell ref="NC8:NC9"/>
    <mergeCell ref="ND8:ND9"/>
    <mergeCell ref="NE8:NE9"/>
    <mergeCell ref="NH8:NH9"/>
    <mergeCell ref="NI8:NI9"/>
    <mergeCell ref="NJ8:NJ9"/>
    <mergeCell ref="NK8:NK9"/>
    <mergeCell ref="NL8:NL9"/>
    <mergeCell ref="NM8:NM9"/>
    <mergeCell ref="NN8:NN9"/>
    <mergeCell ref="NO8:NO9"/>
    <mergeCell ref="NP8:NP9"/>
    <mergeCell ref="NQ8:NQ9"/>
    <mergeCell ref="NR8:NR9"/>
    <mergeCell ref="NS8:NS9"/>
    <mergeCell ref="NT8:NT9"/>
    <mergeCell ref="NU8:NU9"/>
    <mergeCell ref="NV8:NV9"/>
    <mergeCell ref="NW8:NW9"/>
    <mergeCell ref="NX8:NX9"/>
    <mergeCell ref="LI8:LI9"/>
    <mergeCell ref="LJ8:LJ9"/>
    <mergeCell ref="LK8:LK9"/>
    <mergeCell ref="LL8:LL9"/>
    <mergeCell ref="LM8:LM9"/>
    <mergeCell ref="LN8:LN9"/>
    <mergeCell ref="LO8:LO9"/>
    <mergeCell ref="LP8:LP9"/>
    <mergeCell ref="LQ8:LQ9"/>
    <mergeCell ref="LR8:LR9"/>
    <mergeCell ref="LS8:LS9"/>
    <mergeCell ref="LT8:LT9"/>
    <mergeCell ref="LU8:LU9"/>
    <mergeCell ref="LV8:LV9"/>
    <mergeCell ref="LW8:LW9"/>
    <mergeCell ref="LX8:LX9"/>
    <mergeCell ref="LY8:LY9"/>
    <mergeCell ref="LZ8:LZ9"/>
    <mergeCell ref="MA8:MA9"/>
    <mergeCell ref="MB8:MB9"/>
    <mergeCell ref="MC8:MC9"/>
    <mergeCell ref="MD8:MD9"/>
    <mergeCell ref="ME8:ME9"/>
    <mergeCell ref="MF8:MF9"/>
    <mergeCell ref="MG8:MG9"/>
    <mergeCell ref="MH8:MH9"/>
    <mergeCell ref="MI8:MI9"/>
    <mergeCell ref="MJ8:MJ9"/>
    <mergeCell ref="MK8:MK9"/>
    <mergeCell ref="ML8:ML9"/>
    <mergeCell ref="MM8:MM9"/>
    <mergeCell ref="MN8:MN9"/>
    <mergeCell ref="MO8:MO9"/>
    <mergeCell ref="KB8:KB9"/>
    <mergeCell ref="KC8:KC9"/>
    <mergeCell ref="KD8:KD9"/>
    <mergeCell ref="KE8:KE9"/>
    <mergeCell ref="KF8:KF9"/>
    <mergeCell ref="KG8:KG9"/>
    <mergeCell ref="KH8:KH9"/>
    <mergeCell ref="KI8:KI9"/>
    <mergeCell ref="KJ8:KJ9"/>
    <mergeCell ref="KK8:KK9"/>
    <mergeCell ref="KL8:KL9"/>
    <mergeCell ref="KM8:KM9"/>
    <mergeCell ref="KN8:KN9"/>
    <mergeCell ref="KO8:KO9"/>
    <mergeCell ref="KP8:KP9"/>
    <mergeCell ref="KQ8:KQ9"/>
    <mergeCell ref="KR8:KR9"/>
    <mergeCell ref="KS8:KS9"/>
    <mergeCell ref="KT8:KT9"/>
    <mergeCell ref="KU8:KU9"/>
    <mergeCell ref="KV8:KV9"/>
    <mergeCell ref="KW8:KW9"/>
    <mergeCell ref="KX8:KX9"/>
    <mergeCell ref="KY8:KY9"/>
    <mergeCell ref="KZ8:KZ9"/>
    <mergeCell ref="LA8:LA9"/>
    <mergeCell ref="LB8:LB9"/>
    <mergeCell ref="LC8:LC9"/>
    <mergeCell ref="LD8:LD9"/>
    <mergeCell ref="LE8:LE9"/>
    <mergeCell ref="LF8:LF9"/>
    <mergeCell ref="LG8:LG9"/>
    <mergeCell ref="LH8:LH9"/>
    <mergeCell ref="IU8:IU9"/>
    <mergeCell ref="IV8:IV9"/>
    <mergeCell ref="IW8:IW9"/>
    <mergeCell ref="IX8:IX9"/>
    <mergeCell ref="IY8:IY9"/>
    <mergeCell ref="IZ8:IZ9"/>
    <mergeCell ref="JA8:JA9"/>
    <mergeCell ref="JB8:JB9"/>
    <mergeCell ref="JC8:JC9"/>
    <mergeCell ref="JD8:JD9"/>
    <mergeCell ref="JE8:JE9"/>
    <mergeCell ref="JF8:JF9"/>
    <mergeCell ref="JG8:JG9"/>
    <mergeCell ref="JH8:JH9"/>
    <mergeCell ref="JI8:JI9"/>
    <mergeCell ref="JJ8:JJ9"/>
    <mergeCell ref="JK8:JK9"/>
    <mergeCell ref="JL8:JL9"/>
    <mergeCell ref="JM8:JM9"/>
    <mergeCell ref="JN8:JN9"/>
    <mergeCell ref="JO8:JO9"/>
    <mergeCell ref="JP8:JP9"/>
    <mergeCell ref="JQ8:JQ9"/>
    <mergeCell ref="JR8:JR9"/>
    <mergeCell ref="JS8:JS9"/>
    <mergeCell ref="JT8:JT9"/>
    <mergeCell ref="JU8:JU9"/>
    <mergeCell ref="JV8:JV9"/>
    <mergeCell ref="JW8:JW9"/>
    <mergeCell ref="JX8:JX9"/>
    <mergeCell ref="JY8:JY9"/>
    <mergeCell ref="JZ8:JZ9"/>
    <mergeCell ref="KA8:KA9"/>
    <mergeCell ref="TP8:TP9"/>
    <mergeCell ref="TQ8:TQ9"/>
    <mergeCell ref="TR8:TR9"/>
    <mergeCell ref="TS8:TS9"/>
    <mergeCell ref="TT8:TT9"/>
    <mergeCell ref="TU8:TU9"/>
    <mergeCell ref="TV8:TV9"/>
    <mergeCell ref="TW8:TW9"/>
    <mergeCell ref="TX8:TX9"/>
    <mergeCell ref="TY8:TY9"/>
    <mergeCell ref="TZ8:TZ9"/>
    <mergeCell ref="UA8:UA9"/>
    <mergeCell ref="UB8:UB9"/>
    <mergeCell ref="UC8:UC9"/>
    <mergeCell ref="UD8:UD9"/>
    <mergeCell ref="UE8:UE9"/>
    <mergeCell ref="UF8:UF9"/>
    <mergeCell ref="UG8:UG9"/>
    <mergeCell ref="UH8:UH9"/>
    <mergeCell ref="UI8:UI9"/>
    <mergeCell ref="UJ8:UJ9"/>
    <mergeCell ref="UK8:UK9"/>
    <mergeCell ref="UL8:UL9"/>
    <mergeCell ref="UM8:UM9"/>
    <mergeCell ref="UN8:UN9"/>
    <mergeCell ref="UO8:UO9"/>
    <mergeCell ref="UP8:UP9"/>
    <mergeCell ref="HH8:HH9"/>
    <mergeCell ref="HI8:HI9"/>
    <mergeCell ref="HJ8:HJ9"/>
    <mergeCell ref="HK8:HK9"/>
    <mergeCell ref="HL8:HL9"/>
    <mergeCell ref="HM8:HM9"/>
    <mergeCell ref="HP8:HP9"/>
    <mergeCell ref="HQ8:HQ9"/>
    <mergeCell ref="HR8:HR9"/>
    <mergeCell ref="HS8:HS9"/>
    <mergeCell ref="HT8:HT9"/>
    <mergeCell ref="HU8:HU9"/>
    <mergeCell ref="HV8:HV9"/>
    <mergeCell ref="HW8:HW9"/>
    <mergeCell ref="HX8:HX9"/>
    <mergeCell ref="HY8:HY9"/>
    <mergeCell ref="HZ8:HZ9"/>
    <mergeCell ref="IA8:IA9"/>
    <mergeCell ref="IB8:IB9"/>
    <mergeCell ref="IC8:IC9"/>
    <mergeCell ref="ID8:ID9"/>
    <mergeCell ref="IE8:IE9"/>
    <mergeCell ref="IF8:IF9"/>
    <mergeCell ref="IG8:IG9"/>
    <mergeCell ref="IH8:IH9"/>
    <mergeCell ref="II8:II9"/>
    <mergeCell ref="IJ8:IJ9"/>
    <mergeCell ref="IK8:IK9"/>
    <mergeCell ref="IL8:IL9"/>
    <mergeCell ref="IM8:IM9"/>
    <mergeCell ref="IN8:IN9"/>
    <mergeCell ref="IO8:IO9"/>
    <mergeCell ref="IP8:IP9"/>
    <mergeCell ref="IQ8:IQ9"/>
    <mergeCell ref="IR8:IR9"/>
    <mergeCell ref="IS8:IS9"/>
    <mergeCell ref="IT8:IT9"/>
    <mergeCell ref="YS5:YS7"/>
    <mergeCell ref="YT5:YT7"/>
    <mergeCell ref="YU5:YU7"/>
    <mergeCell ref="YV5:YV7"/>
    <mergeCell ref="YW5:YW7"/>
    <mergeCell ref="YX5:YX7"/>
    <mergeCell ref="YY5:YY7"/>
    <mergeCell ref="YZ5:YZ7"/>
    <mergeCell ref="ZA5:ZA7"/>
    <mergeCell ref="ZB5:ZB7"/>
    <mergeCell ref="ZC5:ZC7"/>
    <mergeCell ref="ZD5:ZD7"/>
    <mergeCell ref="ZE5:ZE7"/>
    <mergeCell ref="ZF5:ZF7"/>
    <mergeCell ref="ZG5:ZG7"/>
    <mergeCell ref="ZH5:ZH7"/>
    <mergeCell ref="ZI5:ZI7"/>
    <mergeCell ref="ZJ5:ZJ7"/>
    <mergeCell ref="ZK5:ZK7"/>
    <mergeCell ref="ZL5:ZL7"/>
    <mergeCell ref="ZM5:ZM7"/>
    <mergeCell ref="ZN5:ZN7"/>
    <mergeCell ref="ZO5:ZO7"/>
    <mergeCell ref="ZP5:ZP7"/>
    <mergeCell ref="ZQ5:ZQ7"/>
    <mergeCell ref="ZR5:ZR7"/>
    <mergeCell ref="ZS5:ZS7"/>
    <mergeCell ref="ZT5:ZT7"/>
    <mergeCell ref="ZU5:ZU7"/>
    <mergeCell ref="ZV5:ZV7"/>
    <mergeCell ref="UF5:UF7"/>
    <mergeCell ref="UG5:UG7"/>
    <mergeCell ref="UH5:UH7"/>
    <mergeCell ref="UI5:UI7"/>
    <mergeCell ref="UJ5:UJ7"/>
    <mergeCell ref="UK5:UK7"/>
    <mergeCell ref="UL5:UL7"/>
    <mergeCell ref="UM5:UM7"/>
    <mergeCell ref="UN5:UN7"/>
    <mergeCell ref="UO5:UO7"/>
    <mergeCell ref="UP5:UP7"/>
    <mergeCell ref="UQ5:UQ7"/>
    <mergeCell ref="UR5:UR7"/>
    <mergeCell ref="US5:US7"/>
    <mergeCell ref="VA5:VA7"/>
    <mergeCell ref="VB5:VB7"/>
    <mergeCell ref="VC5:VC7"/>
    <mergeCell ref="VD5:VD7"/>
    <mergeCell ref="VE5:VE7"/>
    <mergeCell ref="VF5:VF7"/>
    <mergeCell ref="VG5:VG7"/>
    <mergeCell ref="VH5:VH7"/>
    <mergeCell ref="VI5:VI7"/>
    <mergeCell ref="VJ5:VJ7"/>
    <mergeCell ref="VK5:VK7"/>
    <mergeCell ref="VL5:VL7"/>
    <mergeCell ref="VM5:VM7"/>
    <mergeCell ref="VN5:VN7"/>
    <mergeCell ref="VO5:VO7"/>
    <mergeCell ref="VP5:VP7"/>
    <mergeCell ref="VQ5:VQ7"/>
    <mergeCell ref="VR5:VR7"/>
    <mergeCell ref="VS5:VS7"/>
    <mergeCell ref="VT5:VT7"/>
    <mergeCell ref="XL5:XL7"/>
    <mergeCell ref="XM5:XM7"/>
    <mergeCell ref="XN5:XN7"/>
    <mergeCell ref="XO5:XO7"/>
    <mergeCell ref="XP5:XP7"/>
    <mergeCell ref="XQ5:XQ7"/>
    <mergeCell ref="XR5:XR7"/>
    <mergeCell ref="XS5:XS7"/>
    <mergeCell ref="XT5:XT7"/>
    <mergeCell ref="XU5:XU7"/>
    <mergeCell ref="XV5:XV7"/>
    <mergeCell ref="XW5:XW7"/>
    <mergeCell ref="XX5:XX7"/>
    <mergeCell ref="XY5:XY7"/>
    <mergeCell ref="XZ5:XZ7"/>
    <mergeCell ref="YA5:YA7"/>
    <mergeCell ref="YB5:YB7"/>
    <mergeCell ref="YC5:YC7"/>
    <mergeCell ref="YD5:YD7"/>
    <mergeCell ref="YE5:YE7"/>
    <mergeCell ref="YF5:YF7"/>
    <mergeCell ref="YG5:YG7"/>
    <mergeCell ref="YH5:YH7"/>
    <mergeCell ref="YI5:YI7"/>
    <mergeCell ref="YJ5:YJ7"/>
    <mergeCell ref="YK5:YK7"/>
    <mergeCell ref="YL5:YL7"/>
    <mergeCell ref="YM5:YM7"/>
    <mergeCell ref="YN5:YN7"/>
    <mergeCell ref="YO5:YO7"/>
    <mergeCell ref="YP5:YP7"/>
    <mergeCell ref="YQ5:YQ7"/>
    <mergeCell ref="YR5:YR7"/>
    <mergeCell ref="WE5:WE7"/>
    <mergeCell ref="WF5:WF7"/>
    <mergeCell ref="WG5:WG7"/>
    <mergeCell ref="WH5:WH7"/>
    <mergeCell ref="WI5:WI7"/>
    <mergeCell ref="WJ5:WJ7"/>
    <mergeCell ref="WK5:WK7"/>
    <mergeCell ref="WL5:WL7"/>
    <mergeCell ref="WM5:WM7"/>
    <mergeCell ref="WN5:WN7"/>
    <mergeCell ref="WO5:WO7"/>
    <mergeCell ref="WP5:WP7"/>
    <mergeCell ref="WQ5:WQ7"/>
    <mergeCell ref="WR5:WR7"/>
    <mergeCell ref="WS5:WS7"/>
    <mergeCell ref="WT5:WT7"/>
    <mergeCell ref="WU5:WU7"/>
    <mergeCell ref="WV5:WV7"/>
    <mergeCell ref="WW5:WW7"/>
    <mergeCell ref="WX5:WX7"/>
    <mergeCell ref="WY5:WY7"/>
    <mergeCell ref="WZ5:WZ7"/>
    <mergeCell ref="XA5:XA7"/>
    <mergeCell ref="XB5:XB7"/>
    <mergeCell ref="XC5:XC7"/>
    <mergeCell ref="XD5:XD7"/>
    <mergeCell ref="XE5:XE7"/>
    <mergeCell ref="XF5:XF7"/>
    <mergeCell ref="XG5:XG7"/>
    <mergeCell ref="XH5:XH7"/>
    <mergeCell ref="XI5:XI7"/>
    <mergeCell ref="XJ5:XJ7"/>
    <mergeCell ref="XK5:XK7"/>
    <mergeCell ref="TA5:TA7"/>
    <mergeCell ref="TB5:TB7"/>
    <mergeCell ref="TC5:TC7"/>
    <mergeCell ref="TD5:TD7"/>
    <mergeCell ref="TE5:TE7"/>
    <mergeCell ref="TF5:TF7"/>
    <mergeCell ref="TG5:TG7"/>
    <mergeCell ref="TH5:TH7"/>
    <mergeCell ref="TI5:TI7"/>
    <mergeCell ref="TJ5:TJ7"/>
    <mergeCell ref="TK5:TK7"/>
    <mergeCell ref="TL5:TL7"/>
    <mergeCell ref="TM5:TM7"/>
    <mergeCell ref="TN5:TN7"/>
    <mergeCell ref="TO5:TO7"/>
    <mergeCell ref="TP5:TP7"/>
    <mergeCell ref="TQ5:TQ7"/>
    <mergeCell ref="TR5:TR7"/>
    <mergeCell ref="TS5:TS7"/>
    <mergeCell ref="TT5:TT7"/>
    <mergeCell ref="TU5:TU7"/>
    <mergeCell ref="TV5:TV7"/>
    <mergeCell ref="TW5:TW7"/>
    <mergeCell ref="TX5:TX7"/>
    <mergeCell ref="TY5:TY7"/>
    <mergeCell ref="TZ5:TZ7"/>
    <mergeCell ref="UA5:UA7"/>
    <mergeCell ref="UB5:UB7"/>
    <mergeCell ref="UC5:UC7"/>
    <mergeCell ref="UD5:UD7"/>
    <mergeCell ref="UE5:UE7"/>
    <mergeCell ref="WC5:WC7"/>
    <mergeCell ref="WD5:WD7"/>
    <mergeCell ref="VU5:VU7"/>
    <mergeCell ref="VV5:VV7"/>
    <mergeCell ref="VW5:VW7"/>
    <mergeCell ref="VX5:VX7"/>
    <mergeCell ref="VY5:VY7"/>
    <mergeCell ref="VZ5:VZ7"/>
    <mergeCell ref="WA5:WA7"/>
    <mergeCell ref="WB5:WB7"/>
    <mergeCell ref="UT5:UT7"/>
    <mergeCell ref="UU5:UU7"/>
    <mergeCell ref="UV5:UV7"/>
    <mergeCell ref="UW5:UW7"/>
    <mergeCell ref="UX5:UX7"/>
    <mergeCell ref="UY5:UY7"/>
    <mergeCell ref="UZ5:UZ7"/>
    <mergeCell ref="RT5:RT7"/>
    <mergeCell ref="RU5:RU7"/>
    <mergeCell ref="RV5:RV7"/>
    <mergeCell ref="RW5:RW7"/>
    <mergeCell ref="RX5:RX7"/>
    <mergeCell ref="RY5:RY7"/>
    <mergeCell ref="RZ5:RZ7"/>
    <mergeCell ref="SA5:SA7"/>
    <mergeCell ref="SB5:SB7"/>
    <mergeCell ref="SC5:SC7"/>
    <mergeCell ref="SD5:SD7"/>
    <mergeCell ref="SE5:SE7"/>
    <mergeCell ref="SF5:SF7"/>
    <mergeCell ref="SG5:SG7"/>
    <mergeCell ref="SH5:SH7"/>
    <mergeCell ref="SI5:SI7"/>
    <mergeCell ref="SJ5:SJ7"/>
    <mergeCell ref="SK5:SK7"/>
    <mergeCell ref="SL5:SL7"/>
    <mergeCell ref="SM5:SM7"/>
    <mergeCell ref="SN5:SN7"/>
    <mergeCell ref="SO5:SO7"/>
    <mergeCell ref="SP5:SP7"/>
    <mergeCell ref="SQ5:SQ7"/>
    <mergeCell ref="SR5:SR7"/>
    <mergeCell ref="SS5:SS7"/>
    <mergeCell ref="ST5:ST7"/>
    <mergeCell ref="SU5:SU7"/>
    <mergeCell ref="SV5:SV7"/>
    <mergeCell ref="SW5:SW7"/>
    <mergeCell ref="SX5:SX7"/>
    <mergeCell ref="SY5:SY7"/>
    <mergeCell ref="SZ5:SZ7"/>
    <mergeCell ref="QM5:QM7"/>
    <mergeCell ref="QN5:QN7"/>
    <mergeCell ref="QO5:QO7"/>
    <mergeCell ref="QP5:QP7"/>
    <mergeCell ref="QQ5:QQ7"/>
    <mergeCell ref="QR5:QR7"/>
    <mergeCell ref="QS5:QS7"/>
    <mergeCell ref="QT5:QT7"/>
    <mergeCell ref="QU5:QU7"/>
    <mergeCell ref="QV5:QV7"/>
    <mergeCell ref="QW5:QW7"/>
    <mergeCell ref="QX5:QX7"/>
    <mergeCell ref="QY5:QY7"/>
    <mergeCell ref="QZ5:QZ7"/>
    <mergeCell ref="RA5:RA7"/>
    <mergeCell ref="RB5:RB7"/>
    <mergeCell ref="RC5:RC7"/>
    <mergeCell ref="RD5:RD7"/>
    <mergeCell ref="RE5:RE7"/>
    <mergeCell ref="RF5:RF7"/>
    <mergeCell ref="RG5:RG7"/>
    <mergeCell ref="RH5:RH7"/>
    <mergeCell ref="RI5:RI7"/>
    <mergeCell ref="RJ5:RJ7"/>
    <mergeCell ref="RK5:RK7"/>
    <mergeCell ref="RL5:RL7"/>
    <mergeCell ref="RM5:RM7"/>
    <mergeCell ref="RN5:RN7"/>
    <mergeCell ref="RO5:RO7"/>
    <mergeCell ref="RP5:RP7"/>
    <mergeCell ref="RQ5:RQ7"/>
    <mergeCell ref="RR5:RR7"/>
    <mergeCell ref="RS5:RS7"/>
    <mergeCell ref="PF5:PF7"/>
    <mergeCell ref="PG5:PG7"/>
    <mergeCell ref="PH5:PH7"/>
    <mergeCell ref="PI5:PI7"/>
    <mergeCell ref="PJ5:PJ7"/>
    <mergeCell ref="PK5:PK7"/>
    <mergeCell ref="PL5:PL7"/>
    <mergeCell ref="PM5:PM7"/>
    <mergeCell ref="PN5:PN7"/>
    <mergeCell ref="PO5:PO7"/>
    <mergeCell ref="PP5:PP7"/>
    <mergeCell ref="PQ5:PQ7"/>
    <mergeCell ref="PR5:PR7"/>
    <mergeCell ref="PS5:PS7"/>
    <mergeCell ref="PT5:PT7"/>
    <mergeCell ref="PU5:PU7"/>
    <mergeCell ref="PV5:PV7"/>
    <mergeCell ref="PW5:PW7"/>
    <mergeCell ref="PX5:PX7"/>
    <mergeCell ref="PY5:PY7"/>
    <mergeCell ref="PZ5:PZ7"/>
    <mergeCell ref="QA5:QA7"/>
    <mergeCell ref="QB5:QB7"/>
    <mergeCell ref="QC5:QC7"/>
    <mergeCell ref="QD5:QD7"/>
    <mergeCell ref="QE5:QE7"/>
    <mergeCell ref="QF5:QF7"/>
    <mergeCell ref="QG5:QG7"/>
    <mergeCell ref="QH5:QH7"/>
    <mergeCell ref="QI5:QI7"/>
    <mergeCell ref="QJ5:QJ7"/>
    <mergeCell ref="QK5:QK7"/>
    <mergeCell ref="QL5:QL7"/>
    <mergeCell ref="NY5:NY7"/>
    <mergeCell ref="NZ5:NZ7"/>
    <mergeCell ref="OA5:OA7"/>
    <mergeCell ref="OB5:OB7"/>
    <mergeCell ref="OC5:OC7"/>
    <mergeCell ref="OD5:OD7"/>
    <mergeCell ref="OE5:OE7"/>
    <mergeCell ref="OF5:OF7"/>
    <mergeCell ref="OG5:OG7"/>
    <mergeCell ref="OH5:OH7"/>
    <mergeCell ref="OI5:OI7"/>
    <mergeCell ref="OJ5:OJ7"/>
    <mergeCell ref="OK5:OK7"/>
    <mergeCell ref="OL5:OL7"/>
    <mergeCell ref="OM5:OM7"/>
    <mergeCell ref="ON5:ON7"/>
    <mergeCell ref="OO5:OO7"/>
    <mergeCell ref="OP5:OP7"/>
    <mergeCell ref="OQ5:OQ7"/>
    <mergeCell ref="OR5:OR7"/>
    <mergeCell ref="OS5:OS7"/>
    <mergeCell ref="OT5:OT7"/>
    <mergeCell ref="OU5:OU7"/>
    <mergeCell ref="OV5:OV7"/>
    <mergeCell ref="OW5:OW7"/>
    <mergeCell ref="OX5:OX7"/>
    <mergeCell ref="OY5:OY7"/>
    <mergeCell ref="OZ5:OZ7"/>
    <mergeCell ref="PA5:PA7"/>
    <mergeCell ref="PB5:PB7"/>
    <mergeCell ref="PC5:PC7"/>
    <mergeCell ref="PD5:PD7"/>
    <mergeCell ref="PE5:PE7"/>
    <mergeCell ref="MR5:MR7"/>
    <mergeCell ref="MS5:MS7"/>
    <mergeCell ref="MT5:MT7"/>
    <mergeCell ref="MU5:MU7"/>
    <mergeCell ref="MV5:MV7"/>
    <mergeCell ref="MW5:MW7"/>
    <mergeCell ref="MX5:MX7"/>
    <mergeCell ref="MY5:MY7"/>
    <mergeCell ref="MZ5:MZ7"/>
    <mergeCell ref="NA5:NA7"/>
    <mergeCell ref="NB5:NB7"/>
    <mergeCell ref="NC5:NC7"/>
    <mergeCell ref="ND5:ND7"/>
    <mergeCell ref="NE5:NE7"/>
    <mergeCell ref="NF5:NF7"/>
    <mergeCell ref="NG5:NG7"/>
    <mergeCell ref="NH5:NH7"/>
    <mergeCell ref="NI5:NI7"/>
    <mergeCell ref="NJ5:NJ7"/>
    <mergeCell ref="NK5:NK7"/>
    <mergeCell ref="NL5:NL7"/>
    <mergeCell ref="NM5:NM7"/>
    <mergeCell ref="NN5:NN7"/>
    <mergeCell ref="NO5:NO7"/>
    <mergeCell ref="NP5:NP7"/>
    <mergeCell ref="NQ5:NQ7"/>
    <mergeCell ref="NR5:NR7"/>
    <mergeCell ref="NS5:NS7"/>
    <mergeCell ref="NT5:NT7"/>
    <mergeCell ref="NU5:NU7"/>
    <mergeCell ref="NV5:NV7"/>
    <mergeCell ref="NW5:NW7"/>
    <mergeCell ref="NX5:NX7"/>
    <mergeCell ref="AIA8:AIA9"/>
    <mergeCell ref="AHP8:AHP9"/>
    <mergeCell ref="AHQ8:AHQ9"/>
    <mergeCell ref="AHR8:AHR9"/>
    <mergeCell ref="AHS8:AHS9"/>
    <mergeCell ref="AHT8:AHT9"/>
    <mergeCell ref="AHU8:AHU9"/>
    <mergeCell ref="AHV8:AHV9"/>
    <mergeCell ref="AEO8:AEO9"/>
    <mergeCell ref="AEP8:AEP9"/>
    <mergeCell ref="AEQ8:AEQ9"/>
    <mergeCell ref="AER8:AER9"/>
    <mergeCell ref="AES8:AES9"/>
    <mergeCell ref="AET8:AET9"/>
    <mergeCell ref="AEU8:AEU9"/>
    <mergeCell ref="AEV8:AEV9"/>
    <mergeCell ref="AEW8:AEW9"/>
    <mergeCell ref="AEX8:AEX9"/>
    <mergeCell ref="AEY8:AEY9"/>
    <mergeCell ref="AEZ8:AEZ9"/>
    <mergeCell ref="AFA8:AFA9"/>
    <mergeCell ref="AFB8:AFB9"/>
    <mergeCell ref="AFC8:AFC9"/>
    <mergeCell ref="AFD8:AFD9"/>
    <mergeCell ref="AFE8:AFE9"/>
    <mergeCell ref="AFF8:AFF9"/>
    <mergeCell ref="AFG8:AFG9"/>
    <mergeCell ref="AFH8:AFH9"/>
    <mergeCell ref="AFI8:AFI9"/>
    <mergeCell ref="AFJ8:AFJ9"/>
    <mergeCell ref="AFK8:AFK9"/>
    <mergeCell ref="AFL8:AFL9"/>
    <mergeCell ref="AFM8:AFM9"/>
    <mergeCell ref="AFN8:AFN9"/>
    <mergeCell ref="AFO8:AFO9"/>
    <mergeCell ref="AFP8:AFP9"/>
    <mergeCell ref="AFQ8:AFQ9"/>
    <mergeCell ref="AFR8:AFR9"/>
    <mergeCell ref="AFS8:AFS9"/>
    <mergeCell ref="AFT8:AFT9"/>
    <mergeCell ref="AFU8:AFU9"/>
    <mergeCell ref="AFV8:AFV9"/>
    <mergeCell ref="AFW8:AFW9"/>
    <mergeCell ref="AFX8:AFX9"/>
    <mergeCell ref="AFY8:AFY9"/>
    <mergeCell ref="AFZ8:AFZ9"/>
    <mergeCell ref="AGA8:AGA9"/>
    <mergeCell ref="AGB8:AGB9"/>
    <mergeCell ref="AGC8:AGC9"/>
    <mergeCell ref="AGD8:AGD9"/>
    <mergeCell ref="AGE8:AGE9"/>
    <mergeCell ref="AGF8:AGF9"/>
    <mergeCell ref="AGG8:AGG9"/>
    <mergeCell ref="AGH8:AGH9"/>
    <mergeCell ref="AGI8:AGI9"/>
    <mergeCell ref="AGJ8:AGJ9"/>
    <mergeCell ref="AGK8:AGK9"/>
    <mergeCell ref="AEN8:AEN9"/>
    <mergeCell ref="AGL8:AGL9"/>
    <mergeCell ref="AGM8:AGM9"/>
    <mergeCell ref="AGN8:AGN9"/>
    <mergeCell ref="AGO8:AGO9"/>
    <mergeCell ref="AGP8:AGP9"/>
    <mergeCell ref="AGQ8:AGQ9"/>
    <mergeCell ref="AGR8:AGR9"/>
    <mergeCell ref="AGS8:AGS9"/>
    <mergeCell ref="AGT8:AGT9"/>
    <mergeCell ref="AGU8:AGU9"/>
    <mergeCell ref="AGX8:AGX9"/>
    <mergeCell ref="AGY8:AGY9"/>
    <mergeCell ref="AGZ8:AGZ9"/>
    <mergeCell ref="AHA8:AHA9"/>
    <mergeCell ref="AHB8:AHB9"/>
    <mergeCell ref="AHC8:AHC9"/>
    <mergeCell ref="AHD8:AHD9"/>
    <mergeCell ref="AHE8:AHE9"/>
    <mergeCell ref="AHF8:AHF9"/>
    <mergeCell ref="AHG8:AHG9"/>
    <mergeCell ref="AHH8:AHH9"/>
    <mergeCell ref="AHI8:AHI9"/>
    <mergeCell ref="AHJ8:AHJ9"/>
    <mergeCell ref="AHK8:AHK9"/>
    <mergeCell ref="AHL8:AHL9"/>
    <mergeCell ref="AHM8:AHM9"/>
    <mergeCell ref="AHN8:AHN9"/>
    <mergeCell ref="AHO8:AHO9"/>
    <mergeCell ref="AHW8:AHW9"/>
    <mergeCell ref="AHX8:AHX9"/>
    <mergeCell ref="AHY8:AHY9"/>
    <mergeCell ref="AHZ8:AHZ9"/>
    <mergeCell ref="ADG8:ADG9"/>
    <mergeCell ref="ADH8:ADH9"/>
    <mergeCell ref="ADI8:ADI9"/>
    <mergeCell ref="ADJ8:ADJ9"/>
    <mergeCell ref="ADK8:ADK9"/>
    <mergeCell ref="ADL8:ADL9"/>
    <mergeCell ref="ADM8:ADM9"/>
    <mergeCell ref="ADN8:ADN9"/>
    <mergeCell ref="ADO8:ADO9"/>
    <mergeCell ref="ADP8:ADP9"/>
    <mergeCell ref="ADQ8:ADQ9"/>
    <mergeCell ref="ADR8:ADR9"/>
    <mergeCell ref="ADS8:ADS9"/>
    <mergeCell ref="ADT8:ADT9"/>
    <mergeCell ref="ADU8:ADU9"/>
    <mergeCell ref="ADV8:ADV9"/>
    <mergeCell ref="ADW8:ADW9"/>
    <mergeCell ref="ADX8:ADX9"/>
    <mergeCell ref="ADY8:ADY9"/>
    <mergeCell ref="ADZ8:ADZ9"/>
    <mergeCell ref="AEA8:AEA9"/>
    <mergeCell ref="AEB8:AEB9"/>
    <mergeCell ref="AEC8:AEC9"/>
    <mergeCell ref="AED8:AED9"/>
    <mergeCell ref="AEE8:AEE9"/>
    <mergeCell ref="AEF8:AEF9"/>
    <mergeCell ref="AEG8:AEG9"/>
    <mergeCell ref="AEH8:AEH9"/>
    <mergeCell ref="AEI8:AEI9"/>
    <mergeCell ref="AEJ8:AEJ9"/>
    <mergeCell ref="AEK8:AEK9"/>
    <mergeCell ref="AEL8:AEL9"/>
    <mergeCell ref="AEM8:AEM9"/>
    <mergeCell ref="ABX8:ABX9"/>
    <mergeCell ref="ABY8:ABY9"/>
    <mergeCell ref="ABZ8:ABZ9"/>
    <mergeCell ref="ACA8:ACA9"/>
    <mergeCell ref="ACB8:ACB9"/>
    <mergeCell ref="ACC8:ACC9"/>
    <mergeCell ref="ACD8:ACD9"/>
    <mergeCell ref="ACE8:ACE9"/>
    <mergeCell ref="ACF8:ACF9"/>
    <mergeCell ref="ACG8:ACG9"/>
    <mergeCell ref="ACH8:ACH9"/>
    <mergeCell ref="ACI8:ACI9"/>
    <mergeCell ref="ACJ8:ACJ9"/>
    <mergeCell ref="ACK8:ACK9"/>
    <mergeCell ref="ACL8:ACL9"/>
    <mergeCell ref="ACM8:ACM9"/>
    <mergeCell ref="ACN8:ACN9"/>
    <mergeCell ref="ACO8:ACO9"/>
    <mergeCell ref="ACP8:ACP9"/>
    <mergeCell ref="ACQ8:ACQ9"/>
    <mergeCell ref="ACR8:ACR9"/>
    <mergeCell ref="ACS8:ACS9"/>
    <mergeCell ref="ACV8:ACV9"/>
    <mergeCell ref="ACW8:ACW9"/>
    <mergeCell ref="ACX8:ACX9"/>
    <mergeCell ref="ACY8:ACY9"/>
    <mergeCell ref="ACZ8:ACZ9"/>
    <mergeCell ref="ADA8:ADA9"/>
    <mergeCell ref="ADB8:ADB9"/>
    <mergeCell ref="ADC8:ADC9"/>
    <mergeCell ref="ADD8:ADD9"/>
    <mergeCell ref="ADE8:ADE9"/>
    <mergeCell ref="ADF8:ADF9"/>
    <mergeCell ref="AAQ8:AAQ9"/>
    <mergeCell ref="AAR8:AAR9"/>
    <mergeCell ref="AAS8:AAS9"/>
    <mergeCell ref="AAT8:AAT9"/>
    <mergeCell ref="AAU8:AAU9"/>
    <mergeCell ref="AAV8:AAV9"/>
    <mergeCell ref="AAW8:AAW9"/>
    <mergeCell ref="AAX8:AAX9"/>
    <mergeCell ref="AAY8:AAY9"/>
    <mergeCell ref="AAZ8:AAZ9"/>
    <mergeCell ref="ABA8:ABA9"/>
    <mergeCell ref="ABB8:ABB9"/>
    <mergeCell ref="ABC8:ABC9"/>
    <mergeCell ref="ABD8:ABD9"/>
    <mergeCell ref="ABE8:ABE9"/>
    <mergeCell ref="ABF8:ABF9"/>
    <mergeCell ref="ABG8:ABG9"/>
    <mergeCell ref="ABH8:ABH9"/>
    <mergeCell ref="ABI8:ABI9"/>
    <mergeCell ref="ABJ8:ABJ9"/>
    <mergeCell ref="ABK8:ABK9"/>
    <mergeCell ref="ABL8:ABL9"/>
    <mergeCell ref="ABM8:ABM9"/>
    <mergeCell ref="ABN8:ABN9"/>
    <mergeCell ref="ABO8:ABO9"/>
    <mergeCell ref="ABP8:ABP9"/>
    <mergeCell ref="ABQ8:ABQ9"/>
    <mergeCell ref="ABR8:ABR9"/>
    <mergeCell ref="ABS8:ABS9"/>
    <mergeCell ref="ABT8:ABT9"/>
    <mergeCell ref="ABU8:ABU9"/>
    <mergeCell ref="ABV8:ABV9"/>
    <mergeCell ref="ABW8:ABW9"/>
    <mergeCell ref="ZJ8:ZJ9"/>
    <mergeCell ref="ZK8:ZK9"/>
    <mergeCell ref="ZL8:ZL9"/>
    <mergeCell ref="ZM8:ZM9"/>
    <mergeCell ref="ZN8:ZN9"/>
    <mergeCell ref="ZO8:ZO9"/>
    <mergeCell ref="ZP8:ZP9"/>
    <mergeCell ref="ZQ8:ZQ9"/>
    <mergeCell ref="ZR8:ZR9"/>
    <mergeCell ref="ZS8:ZS9"/>
    <mergeCell ref="ZT8:ZT9"/>
    <mergeCell ref="ZU8:ZU9"/>
    <mergeCell ref="ZV8:ZV9"/>
    <mergeCell ref="ZW8:ZW9"/>
    <mergeCell ref="ZX8:ZX9"/>
    <mergeCell ref="ZY8:ZY9"/>
    <mergeCell ref="ZZ8:ZZ9"/>
    <mergeCell ref="AAA8:AAA9"/>
    <mergeCell ref="AAB8:AAB9"/>
    <mergeCell ref="AAC8:AAC9"/>
    <mergeCell ref="AAD8:AAD9"/>
    <mergeCell ref="AAE8:AAE9"/>
    <mergeCell ref="AAF8:AAF9"/>
    <mergeCell ref="AAG8:AAG9"/>
    <mergeCell ref="AAH8:AAH9"/>
    <mergeCell ref="AAI8:AAI9"/>
    <mergeCell ref="AAJ8:AAJ9"/>
    <mergeCell ref="AAK8:AAK9"/>
    <mergeCell ref="AAL8:AAL9"/>
    <mergeCell ref="AAM8:AAM9"/>
    <mergeCell ref="AAN8:AAN9"/>
    <mergeCell ref="AAO8:AAO9"/>
    <mergeCell ref="AAP8:AAP9"/>
    <mergeCell ref="YC8:YC9"/>
    <mergeCell ref="YD8:YD9"/>
    <mergeCell ref="YE8:YE9"/>
    <mergeCell ref="YF8:YF9"/>
    <mergeCell ref="YG8:YG9"/>
    <mergeCell ref="YH8:YH9"/>
    <mergeCell ref="YI8:YI9"/>
    <mergeCell ref="YJ8:YJ9"/>
    <mergeCell ref="YK8:YK9"/>
    <mergeCell ref="YL8:YL9"/>
    <mergeCell ref="YM8:YM9"/>
    <mergeCell ref="YN8:YN9"/>
    <mergeCell ref="YO8:YO9"/>
    <mergeCell ref="YP8:YP9"/>
    <mergeCell ref="YQ8:YQ9"/>
    <mergeCell ref="YR8:YR9"/>
    <mergeCell ref="YS8:YS9"/>
    <mergeCell ref="YT8:YT9"/>
    <mergeCell ref="YU8:YU9"/>
    <mergeCell ref="YV8:YV9"/>
    <mergeCell ref="YW8:YW9"/>
    <mergeCell ref="YX8:YX9"/>
    <mergeCell ref="YY8:YY9"/>
    <mergeCell ref="YZ8:YZ9"/>
    <mergeCell ref="ZA8:ZA9"/>
    <mergeCell ref="ZB8:ZB9"/>
    <mergeCell ref="ZC8:ZC9"/>
    <mergeCell ref="ZD8:ZD9"/>
    <mergeCell ref="ZE8:ZE9"/>
    <mergeCell ref="ZF8:ZF9"/>
    <mergeCell ref="ZG8:ZG9"/>
    <mergeCell ref="ZH8:ZH9"/>
    <mergeCell ref="ZI8:ZI9"/>
    <mergeCell ref="WV8:WV9"/>
    <mergeCell ref="WW8:WW9"/>
    <mergeCell ref="WX8:WX9"/>
    <mergeCell ref="WY8:WY9"/>
    <mergeCell ref="WZ8:WZ9"/>
    <mergeCell ref="XA8:XA9"/>
    <mergeCell ref="XB8:XB9"/>
    <mergeCell ref="XC8:XC9"/>
    <mergeCell ref="XD8:XD9"/>
    <mergeCell ref="XE8:XE9"/>
    <mergeCell ref="XF8:XF9"/>
    <mergeCell ref="XG8:XG9"/>
    <mergeCell ref="XH8:XH9"/>
    <mergeCell ref="XI8:XI9"/>
    <mergeCell ref="XJ8:XJ9"/>
    <mergeCell ref="XK8:XK9"/>
    <mergeCell ref="XL8:XL9"/>
    <mergeCell ref="XM8:XM9"/>
    <mergeCell ref="XN8:XN9"/>
    <mergeCell ref="XO8:XO9"/>
    <mergeCell ref="XP8:XP9"/>
    <mergeCell ref="XQ8:XQ9"/>
    <mergeCell ref="XR8:XR9"/>
    <mergeCell ref="XS8:XS9"/>
    <mergeCell ref="XT8:XT9"/>
    <mergeCell ref="XU8:XU9"/>
    <mergeCell ref="XV8:XV9"/>
    <mergeCell ref="XW8:XW9"/>
    <mergeCell ref="XX8:XX9"/>
    <mergeCell ref="XY8:XY9"/>
    <mergeCell ref="XZ8:XZ9"/>
    <mergeCell ref="YA8:YA9"/>
    <mergeCell ref="YB8:YB9"/>
    <mergeCell ref="VM8:VM9"/>
    <mergeCell ref="VN8:VN9"/>
    <mergeCell ref="VO8:VO9"/>
    <mergeCell ref="VP8:VP9"/>
    <mergeCell ref="VQ8:VQ9"/>
    <mergeCell ref="VR8:VR9"/>
    <mergeCell ref="VS8:VS9"/>
    <mergeCell ref="VT8:VT9"/>
    <mergeCell ref="VU8:VU9"/>
    <mergeCell ref="VV8:VV9"/>
    <mergeCell ref="VW8:VW9"/>
    <mergeCell ref="VX8:VX9"/>
    <mergeCell ref="VY8:VY9"/>
    <mergeCell ref="VZ8:VZ9"/>
    <mergeCell ref="WA8:WA9"/>
    <mergeCell ref="WB8:WB9"/>
    <mergeCell ref="WC8:WC9"/>
    <mergeCell ref="WD8:WD9"/>
    <mergeCell ref="WE8:WE9"/>
    <mergeCell ref="WF8:WF9"/>
    <mergeCell ref="WG8:WG9"/>
    <mergeCell ref="WH8:WH9"/>
    <mergeCell ref="WI8:WI9"/>
    <mergeCell ref="WJ8:WJ9"/>
    <mergeCell ref="WK8:WK9"/>
    <mergeCell ref="WN8:WN9"/>
    <mergeCell ref="WO8:WO9"/>
    <mergeCell ref="WP8:WP9"/>
    <mergeCell ref="WQ8:WQ9"/>
    <mergeCell ref="WR8:WR9"/>
    <mergeCell ref="WS8:WS9"/>
    <mergeCell ref="WT8:WT9"/>
    <mergeCell ref="WU8:WU9"/>
    <mergeCell ref="EO8:EO9"/>
    <mergeCell ref="EP8:EP9"/>
    <mergeCell ref="EQ8:EQ9"/>
    <mergeCell ref="ER8:ER9"/>
    <mergeCell ref="ES8:ES9"/>
    <mergeCell ref="ET8:ET9"/>
    <mergeCell ref="EU8:EU9"/>
    <mergeCell ref="EV8:EV9"/>
    <mergeCell ref="EW8:EW9"/>
    <mergeCell ref="EX8:EX9"/>
    <mergeCell ref="EY8:EY9"/>
    <mergeCell ref="EZ8:EZ9"/>
    <mergeCell ref="FA8:FA9"/>
    <mergeCell ref="FB8:FB9"/>
    <mergeCell ref="FC8:FC9"/>
    <mergeCell ref="FD8:FD9"/>
    <mergeCell ref="FE8:FE9"/>
    <mergeCell ref="FF8:FF9"/>
    <mergeCell ref="FG8:FG9"/>
    <mergeCell ref="FH8:FH9"/>
    <mergeCell ref="UZ8:UZ9"/>
    <mergeCell ref="VA8:VA9"/>
    <mergeCell ref="VB8:VB9"/>
    <mergeCell ref="VC8:VC9"/>
    <mergeCell ref="VD8:VD9"/>
    <mergeCell ref="VE8:VE9"/>
    <mergeCell ref="VF8:VF9"/>
    <mergeCell ref="VG8:VG9"/>
    <mergeCell ref="VH8:VH9"/>
    <mergeCell ref="VI8:VI9"/>
    <mergeCell ref="VJ8:VJ9"/>
    <mergeCell ref="VK8:VK9"/>
    <mergeCell ref="VL8:VL9"/>
    <mergeCell ref="UX8:UX9"/>
    <mergeCell ref="UY8:UY9"/>
    <mergeCell ref="UQ8:UQ9"/>
    <mergeCell ref="UR8:UR9"/>
    <mergeCell ref="US8:US9"/>
    <mergeCell ref="UT8:UT9"/>
    <mergeCell ref="UU8:UU9"/>
    <mergeCell ref="UV8:UV9"/>
    <mergeCell ref="UW8:UW9"/>
    <mergeCell ref="ST8:ST9"/>
    <mergeCell ref="SU8:SU9"/>
    <mergeCell ref="SV8:SV9"/>
    <mergeCell ref="SW8:SW9"/>
    <mergeCell ref="SX8:SX9"/>
    <mergeCell ref="SY8:SY9"/>
    <mergeCell ref="SZ8:SZ9"/>
    <mergeCell ref="TA8:TA9"/>
    <mergeCell ref="TB8:TB9"/>
    <mergeCell ref="TC8:TC9"/>
    <mergeCell ref="TD8:TD9"/>
    <mergeCell ref="TE8:TE9"/>
    <mergeCell ref="TF8:TF9"/>
    <mergeCell ref="TG8:TG9"/>
    <mergeCell ref="TH8:TH9"/>
    <mergeCell ref="TI8:TI9"/>
    <mergeCell ref="TJ8:TJ9"/>
    <mergeCell ref="TK8:TK9"/>
    <mergeCell ref="TL8:TL9"/>
    <mergeCell ref="TM8:TM9"/>
    <mergeCell ref="TN8:TN9"/>
    <mergeCell ref="TO8:TO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DU8:DU9"/>
    <mergeCell ref="DV8:DV9"/>
    <mergeCell ref="DW8:DW9"/>
    <mergeCell ref="DX8:DX9"/>
    <mergeCell ref="DY8:DY9"/>
    <mergeCell ref="DZ8:DZ9"/>
    <mergeCell ref="EA8:EA9"/>
    <mergeCell ref="EB8:EB9"/>
    <mergeCell ref="EC8:EC9"/>
    <mergeCell ref="ED8:ED9"/>
    <mergeCell ref="EE8:EE9"/>
    <mergeCell ref="EF8:EF9"/>
    <mergeCell ref="X8:X9"/>
    <mergeCell ref="Y8:Y9"/>
    <mergeCell ref="Z8:Z9"/>
    <mergeCell ref="AA8:AA9"/>
    <mergeCell ref="AB8:AB9"/>
    <mergeCell ref="AC8:AC9"/>
    <mergeCell ref="AD8:AD9"/>
    <mergeCell ref="AE8:AE9"/>
    <mergeCell ref="AV8:AV9"/>
    <mergeCell ref="AW8:AW9"/>
    <mergeCell ref="AO8:AO9"/>
    <mergeCell ref="AP8:AP9"/>
    <mergeCell ref="AQ8:AQ9"/>
    <mergeCell ref="AR8:AR9"/>
    <mergeCell ref="AS8:AS9"/>
    <mergeCell ref="AT8:AT9"/>
    <mergeCell ref="AU8:AU9"/>
    <mergeCell ref="AF8:AF9"/>
    <mergeCell ref="AG8:AG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S8:BS9"/>
    <mergeCell ref="BT8:BT9"/>
    <mergeCell ref="BL8:BL9"/>
    <mergeCell ref="BM8:BM9"/>
    <mergeCell ref="BN8:BN9"/>
    <mergeCell ref="BO8:BO9"/>
    <mergeCell ref="BP8:BP9"/>
    <mergeCell ref="BQ8:BQ9"/>
    <mergeCell ref="BR8:BR9"/>
    <mergeCell ref="BJ8:BJ9"/>
    <mergeCell ref="BK8:BK9"/>
    <mergeCell ref="DO8:DO9"/>
    <mergeCell ref="DP8:DP9"/>
    <mergeCell ref="DQ8:DQ9"/>
    <mergeCell ref="DT8:DT9"/>
    <mergeCell ref="DR8:DR9"/>
    <mergeCell ref="DS8:DS9"/>
    <mergeCell ref="DJ5:DJ7"/>
    <mergeCell ref="DK5:DK7"/>
    <mergeCell ref="DN5:DN7"/>
    <mergeCell ref="DO5:DO7"/>
    <mergeCell ref="DP5:DP7"/>
    <mergeCell ref="DQ5:DQ7"/>
    <mergeCell ref="DT5:DT7"/>
    <mergeCell ref="DU5:DU7"/>
    <mergeCell ref="DV5:DV7"/>
    <mergeCell ref="DW5:DW7"/>
    <mergeCell ref="DX5:DX7"/>
    <mergeCell ref="DY5:DY7"/>
    <mergeCell ref="DZ5:DZ7"/>
    <mergeCell ref="EA5:EA7"/>
    <mergeCell ref="EB5:EB7"/>
    <mergeCell ref="EC5:EC7"/>
    <mergeCell ref="ED5:ED7"/>
    <mergeCell ref="EE5:EE7"/>
    <mergeCell ref="EF5:EF7"/>
    <mergeCell ref="EG5:EG7"/>
    <mergeCell ref="EH5:EH7"/>
    <mergeCell ref="EI5:EI7"/>
    <mergeCell ref="EJ5:EJ7"/>
    <mergeCell ref="EK5:EK7"/>
    <mergeCell ref="EL5:EL7"/>
    <mergeCell ref="EM5:EM7"/>
    <mergeCell ref="EN5:EN7"/>
    <mergeCell ref="EG8:EG9"/>
    <mergeCell ref="EH8:EH9"/>
    <mergeCell ref="EI8:EI9"/>
    <mergeCell ref="EJ8:EJ9"/>
    <mergeCell ref="EK8:EK9"/>
    <mergeCell ref="EL8:EL9"/>
    <mergeCell ref="EM8:EM9"/>
    <mergeCell ref="EN8:EN9"/>
    <mergeCell ref="DD8:DD9"/>
    <mergeCell ref="DE8:DE9"/>
    <mergeCell ref="DL6:DL7"/>
    <mergeCell ref="DM6:DM7"/>
    <mergeCell ref="A8:A9"/>
    <mergeCell ref="B8:B9"/>
    <mergeCell ref="C8:C9"/>
    <mergeCell ref="D8:D9"/>
    <mergeCell ref="E8:E9"/>
    <mergeCell ref="CG8:CG9"/>
    <mergeCell ref="CH8:CH9"/>
    <mergeCell ref="CR8:CR9"/>
    <mergeCell ref="CS8:CS9"/>
    <mergeCell ref="CT8:CT9"/>
    <mergeCell ref="CU8:CU9"/>
    <mergeCell ref="CV8:CV9"/>
    <mergeCell ref="CW8:CW9"/>
    <mergeCell ref="CX8:CX9"/>
    <mergeCell ref="CY8:CY9"/>
    <mergeCell ref="CZ8:CZ9"/>
    <mergeCell ref="DA8:DA9"/>
    <mergeCell ref="DB8:DB9"/>
    <mergeCell ref="DC8:DC9"/>
    <mergeCell ref="DM8:DM9"/>
    <mergeCell ref="DN8:DN9"/>
    <mergeCell ref="DF8:DF9"/>
    <mergeCell ref="DG8:DG9"/>
    <mergeCell ref="DH8:DH9"/>
    <mergeCell ref="DI8:DI9"/>
    <mergeCell ref="DJ8:DJ9"/>
    <mergeCell ref="DK8:DK9"/>
    <mergeCell ref="DL8:DL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AJ8:AJ9"/>
    <mergeCell ref="AK8:AK9"/>
    <mergeCell ref="AL8:AL9"/>
    <mergeCell ref="AM8:AM9"/>
    <mergeCell ref="AN8:AN9"/>
    <mergeCell ref="DF6:DF7"/>
    <mergeCell ref="DG6:DG7"/>
    <mergeCell ref="DA5:DA7"/>
    <mergeCell ref="DB5:DB7"/>
    <mergeCell ref="DC5:DC7"/>
    <mergeCell ref="DD5:DD7"/>
    <mergeCell ref="DE5:DE7"/>
    <mergeCell ref="DH5:DH7"/>
    <mergeCell ref="DI5:DI7"/>
    <mergeCell ref="R8:R9"/>
    <mergeCell ref="S8:S9"/>
    <mergeCell ref="T8:T9"/>
    <mergeCell ref="U8:U9"/>
    <mergeCell ref="V8:V9"/>
    <mergeCell ref="W8:W9"/>
    <mergeCell ref="LZ5:LZ7"/>
    <mergeCell ref="MA5:MA7"/>
    <mergeCell ref="MB5:MB7"/>
    <mergeCell ref="MC5:MC7"/>
    <mergeCell ref="MD5:MD7"/>
    <mergeCell ref="ME5:ME7"/>
    <mergeCell ref="MF5:MF7"/>
    <mergeCell ref="MG5:MG7"/>
    <mergeCell ref="MH5:MH7"/>
    <mergeCell ref="MI5:MI7"/>
    <mergeCell ref="MJ5:MJ7"/>
    <mergeCell ref="MK5:MK7"/>
    <mergeCell ref="ML5:ML7"/>
    <mergeCell ref="MM5:MM7"/>
    <mergeCell ref="MN5:MN7"/>
    <mergeCell ref="MO5:MO7"/>
    <mergeCell ref="MP5:MP7"/>
    <mergeCell ref="MQ5:MQ7"/>
    <mergeCell ref="CL6:CL7"/>
    <mergeCell ref="CM6:CM7"/>
    <mergeCell ref="CK5:CK7"/>
    <mergeCell ref="CN5:CN7"/>
    <mergeCell ref="CO5:CO7"/>
    <mergeCell ref="CP5:CP7"/>
    <mergeCell ref="CQ5:CQ7"/>
    <mergeCell ref="CR5:CR7"/>
    <mergeCell ref="CS5:CS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BR6:BR7"/>
    <mergeCell ref="BS6:BS7"/>
    <mergeCell ref="BN5:BN7"/>
    <mergeCell ref="BO5:BO7"/>
    <mergeCell ref="BP5:BP7"/>
    <mergeCell ref="BQ5:BQ7"/>
    <mergeCell ref="BT5:BT7"/>
    <mergeCell ref="BU5:BU7"/>
    <mergeCell ref="BV5:BV7"/>
    <mergeCell ref="KS5:KS7"/>
    <mergeCell ref="KT5:KT7"/>
    <mergeCell ref="KU5:KU7"/>
    <mergeCell ref="KV5:KV7"/>
    <mergeCell ref="KW5:KW7"/>
    <mergeCell ref="KX5:KX7"/>
    <mergeCell ref="KY5:KY7"/>
    <mergeCell ref="KZ5:KZ7"/>
    <mergeCell ref="LA5:LA7"/>
    <mergeCell ref="LB5:LB7"/>
    <mergeCell ref="LC5:LC7"/>
    <mergeCell ref="LD5:LD7"/>
    <mergeCell ref="LE5:LE7"/>
    <mergeCell ref="LF5:LF7"/>
    <mergeCell ref="LG5:LG7"/>
    <mergeCell ref="LH5:LH7"/>
    <mergeCell ref="LI5:LI7"/>
    <mergeCell ref="LJ5:LJ7"/>
    <mergeCell ref="LK5:LK7"/>
    <mergeCell ref="LL5:LL7"/>
    <mergeCell ref="LM5:LM7"/>
    <mergeCell ref="LN5:LN7"/>
    <mergeCell ref="LO5:LO7"/>
    <mergeCell ref="LP5:LP7"/>
    <mergeCell ref="LQ5:LQ7"/>
    <mergeCell ref="LR5:LR7"/>
    <mergeCell ref="LS5:LS7"/>
    <mergeCell ref="LT5:LT7"/>
    <mergeCell ref="LU5:LU7"/>
    <mergeCell ref="LV5:LV7"/>
    <mergeCell ref="LW5:LW7"/>
    <mergeCell ref="LX5:LX7"/>
    <mergeCell ref="LY5:LY7"/>
    <mergeCell ref="JL5:JL7"/>
    <mergeCell ref="JM5:JM7"/>
    <mergeCell ref="JN5:JN7"/>
    <mergeCell ref="JO5:JO7"/>
    <mergeCell ref="JP5:JP7"/>
    <mergeCell ref="JQ5:JQ7"/>
    <mergeCell ref="JR5:JR7"/>
    <mergeCell ref="JS5:JS7"/>
    <mergeCell ref="JT5:JT7"/>
    <mergeCell ref="JU5:JU7"/>
    <mergeCell ref="JV5:JV7"/>
    <mergeCell ref="JW5:JW7"/>
    <mergeCell ref="JX5:JX7"/>
    <mergeCell ref="JY5:JY7"/>
    <mergeCell ref="JZ5:JZ7"/>
    <mergeCell ref="KA5:KA7"/>
    <mergeCell ref="KB5:KB7"/>
    <mergeCell ref="KC5:KC7"/>
    <mergeCell ref="KD5:KD7"/>
    <mergeCell ref="KE5:KE7"/>
    <mergeCell ref="KF5:KF7"/>
    <mergeCell ref="KG5:KG7"/>
    <mergeCell ref="KH5:KH7"/>
    <mergeCell ref="KI5:KI7"/>
    <mergeCell ref="KJ5:KJ7"/>
    <mergeCell ref="KK5:KK7"/>
    <mergeCell ref="KL5:KL7"/>
    <mergeCell ref="KM5:KM7"/>
    <mergeCell ref="KN5:KN7"/>
    <mergeCell ref="KO5:KO7"/>
    <mergeCell ref="KP5:KP7"/>
    <mergeCell ref="KQ5:KQ7"/>
    <mergeCell ref="KR5:KR7"/>
    <mergeCell ref="IE5:IE7"/>
    <mergeCell ref="IF5:IF7"/>
    <mergeCell ref="IG5:IG7"/>
    <mergeCell ref="IH5:IH7"/>
    <mergeCell ref="II5:II7"/>
    <mergeCell ref="IJ5:IJ7"/>
    <mergeCell ref="IK5:IK7"/>
    <mergeCell ref="IL5:IL7"/>
    <mergeCell ref="IM5:IM7"/>
    <mergeCell ref="IN5:IN7"/>
    <mergeCell ref="IO5:IO7"/>
    <mergeCell ref="IP5:IP7"/>
    <mergeCell ref="IQ5:IQ7"/>
    <mergeCell ref="IR5:IR7"/>
    <mergeCell ref="IS5:IS7"/>
    <mergeCell ref="IT5:IT7"/>
    <mergeCell ref="IU5:IU7"/>
    <mergeCell ref="IV5:IV7"/>
    <mergeCell ref="IW5:IW7"/>
    <mergeCell ref="IX5:IX7"/>
    <mergeCell ref="IY5:IY7"/>
    <mergeCell ref="IZ5:IZ7"/>
    <mergeCell ref="JA5:JA7"/>
    <mergeCell ref="JB5:JB7"/>
    <mergeCell ref="JC5:JC7"/>
    <mergeCell ref="JD5:JD7"/>
    <mergeCell ref="JE5:JE7"/>
    <mergeCell ref="JF5:JF7"/>
    <mergeCell ref="JG5:JG7"/>
    <mergeCell ref="JH5:JH7"/>
    <mergeCell ref="JI5:JI7"/>
    <mergeCell ref="JJ5:JJ7"/>
    <mergeCell ref="JK5:JK7"/>
    <mergeCell ref="GX5:GX7"/>
    <mergeCell ref="GY5:GY7"/>
    <mergeCell ref="GZ5:GZ7"/>
    <mergeCell ref="HA5:HA7"/>
    <mergeCell ref="HB5:HB7"/>
    <mergeCell ref="HC5:HC7"/>
    <mergeCell ref="HD5:HD7"/>
    <mergeCell ref="HE5:HE7"/>
    <mergeCell ref="HF5:HF7"/>
    <mergeCell ref="HG5:HG7"/>
    <mergeCell ref="HH5:HH7"/>
    <mergeCell ref="HI5:HI7"/>
    <mergeCell ref="HJ5:HJ7"/>
    <mergeCell ref="HK5:HK7"/>
    <mergeCell ref="HL5:HL7"/>
    <mergeCell ref="HM5:HM7"/>
    <mergeCell ref="HN5:HN7"/>
    <mergeCell ref="HO5:HO7"/>
    <mergeCell ref="HP5:HP7"/>
    <mergeCell ref="HQ5:HQ7"/>
    <mergeCell ref="HR5:HR7"/>
    <mergeCell ref="HS5:HS7"/>
    <mergeCell ref="HT5:HT7"/>
    <mergeCell ref="HU5:HU7"/>
    <mergeCell ref="HV5:HV7"/>
    <mergeCell ref="HW5:HW7"/>
    <mergeCell ref="HX5:HX7"/>
    <mergeCell ref="HY5:HY7"/>
    <mergeCell ref="HZ5:HZ7"/>
    <mergeCell ref="IA5:IA7"/>
    <mergeCell ref="IB5:IB7"/>
    <mergeCell ref="IC5:IC7"/>
    <mergeCell ref="ID5:ID7"/>
    <mergeCell ref="FQ5:FQ7"/>
    <mergeCell ref="FR5:FR7"/>
    <mergeCell ref="FS5:FS7"/>
    <mergeCell ref="FT5:FT7"/>
    <mergeCell ref="FU5:FU7"/>
    <mergeCell ref="FV5:FV7"/>
    <mergeCell ref="FW5:FW7"/>
    <mergeCell ref="FX5:FX7"/>
    <mergeCell ref="FY5:FY7"/>
    <mergeCell ref="FZ5:FZ7"/>
    <mergeCell ref="GA5:GA7"/>
    <mergeCell ref="GB5:GB7"/>
    <mergeCell ref="GC5:GC7"/>
    <mergeCell ref="GD5:GD7"/>
    <mergeCell ref="GE5:GE7"/>
    <mergeCell ref="GF5:GF7"/>
    <mergeCell ref="GG5:GG7"/>
    <mergeCell ref="GH5:GH7"/>
    <mergeCell ref="GI5:GI7"/>
    <mergeCell ref="GJ5:GJ7"/>
    <mergeCell ref="GK5:GK7"/>
    <mergeCell ref="GL5:GL7"/>
    <mergeCell ref="GM5:GM7"/>
    <mergeCell ref="GN5:GN7"/>
    <mergeCell ref="GO5:GO7"/>
    <mergeCell ref="GP5:GP7"/>
    <mergeCell ref="GQ5:GQ7"/>
    <mergeCell ref="GR5:GR7"/>
    <mergeCell ref="GS5:GS7"/>
    <mergeCell ref="GT5:GT7"/>
    <mergeCell ref="GU5:GU7"/>
    <mergeCell ref="GV5:GV7"/>
    <mergeCell ref="GW5:GW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H6:AH7"/>
    <mergeCell ref="AI6:AI7"/>
    <mergeCell ref="AC5:AC7"/>
    <mergeCell ref="AD5:AD7"/>
    <mergeCell ref="AE5:AE7"/>
    <mergeCell ref="AF5:AF7"/>
    <mergeCell ref="AG5:AG7"/>
    <mergeCell ref="AJ5:AJ7"/>
    <mergeCell ref="AK5:AK7"/>
    <mergeCell ref="FD5:FD7"/>
    <mergeCell ref="FE5:FE7"/>
    <mergeCell ref="FF5:FF7"/>
    <mergeCell ref="FG5:FG7"/>
    <mergeCell ref="FH5:FH7"/>
    <mergeCell ref="FI5:FI7"/>
    <mergeCell ref="FJ5:FJ7"/>
    <mergeCell ref="FK5:FK7"/>
    <mergeCell ref="FL5:FL7"/>
    <mergeCell ref="FM5:FM7"/>
    <mergeCell ref="FN5:FN7"/>
    <mergeCell ref="FO5:FO7"/>
    <mergeCell ref="FP5:FP7"/>
    <mergeCell ref="DR5:DR7"/>
    <mergeCell ref="DS5:DS7"/>
    <mergeCell ref="CT5:CT7"/>
    <mergeCell ref="CU5:CU7"/>
    <mergeCell ref="CV5:CV7"/>
    <mergeCell ref="CW5:CW7"/>
    <mergeCell ref="CX5:CX7"/>
    <mergeCell ref="CY5:CY7"/>
    <mergeCell ref="CZ5:CZ7"/>
    <mergeCell ref="EO5:EO7"/>
    <mergeCell ref="EP5:EP7"/>
    <mergeCell ref="EQ5:EQ7"/>
    <mergeCell ref="ER5:ER7"/>
    <mergeCell ref="ES5:ES7"/>
    <mergeCell ref="ET5:ET7"/>
    <mergeCell ref="EU5:EU7"/>
    <mergeCell ref="EV5:EV7"/>
    <mergeCell ref="EW5:EW7"/>
    <mergeCell ref="EX5:EX7"/>
    <mergeCell ref="EY5:EY7"/>
    <mergeCell ref="EZ5:EZ7"/>
    <mergeCell ref="FA5:FA7"/>
    <mergeCell ref="FB5:FB7"/>
    <mergeCell ref="FC5:FC7"/>
    <mergeCell ref="AHB5:AHB7"/>
    <mergeCell ref="AHC5:AHC7"/>
    <mergeCell ref="AHD5:AHD7"/>
    <mergeCell ref="AHE5:AHE7"/>
    <mergeCell ref="AHF5:AHF7"/>
    <mergeCell ref="AHG5:AHG7"/>
    <mergeCell ref="AHH5:AHH7"/>
    <mergeCell ref="AHI5:AHI7"/>
    <mergeCell ref="AHJ5:AHJ7"/>
    <mergeCell ref="AHK5:AHK7"/>
    <mergeCell ref="AHL5:AHL7"/>
    <mergeCell ref="AHM5:AHM7"/>
    <mergeCell ref="AHN5:AHN7"/>
    <mergeCell ref="ACT6:ACT7"/>
    <mergeCell ref="ACU6:ACU7"/>
    <mergeCell ref="ACQ5:ACQ7"/>
    <mergeCell ref="ACR5:ACR7"/>
    <mergeCell ref="ACS5:ACS7"/>
    <mergeCell ref="ACV5:ACV7"/>
    <mergeCell ref="ACW5:ACW7"/>
    <mergeCell ref="ACX5:ACX7"/>
    <mergeCell ref="ACY5:ACY7"/>
    <mergeCell ref="ABT5:ABT7"/>
    <mergeCell ref="ABU5:ABU7"/>
    <mergeCell ref="ABV5:ABV7"/>
    <mergeCell ref="ABW5:ABW7"/>
    <mergeCell ref="ABX5:ABX7"/>
    <mergeCell ref="ABY5:ABY7"/>
    <mergeCell ref="ABZ5:ABZ7"/>
    <mergeCell ref="ACA5:ACA7"/>
    <mergeCell ref="ACB5:ACB7"/>
    <mergeCell ref="ACC5:ACC7"/>
    <mergeCell ref="ACD5:ACD7"/>
    <mergeCell ref="ACE5:ACE7"/>
    <mergeCell ref="ACF5:ACF7"/>
    <mergeCell ref="ACG5:ACG7"/>
    <mergeCell ref="ACZ5:ACZ7"/>
    <mergeCell ref="ADA5:ADA7"/>
    <mergeCell ref="ADB5:ADB7"/>
    <mergeCell ref="ADC5:ADC7"/>
    <mergeCell ref="ADD5:ADD7"/>
    <mergeCell ref="ADE5:ADE7"/>
    <mergeCell ref="ADF5:ADF7"/>
    <mergeCell ref="ADG5:ADG7"/>
    <mergeCell ref="ADH5:ADH7"/>
    <mergeCell ref="ADI5:ADI7"/>
    <mergeCell ref="ADJ5:ADJ7"/>
    <mergeCell ref="ADK5:ADK7"/>
    <mergeCell ref="ADL5:ADL7"/>
    <mergeCell ref="ADM5:ADM7"/>
    <mergeCell ref="ADN5:ADN7"/>
    <mergeCell ref="ADO5:ADO7"/>
    <mergeCell ref="ADP5:ADP7"/>
    <mergeCell ref="ADQ5:ADQ7"/>
    <mergeCell ref="ADR5:ADR7"/>
    <mergeCell ref="ADS5:ADS7"/>
    <mergeCell ref="ADT5:ADT7"/>
    <mergeCell ref="ACL6:ACL7"/>
    <mergeCell ref="ACM6:ACM7"/>
    <mergeCell ref="ACH5:ACH7"/>
    <mergeCell ref="ACI5:ACI7"/>
    <mergeCell ref="ACJ5:ACJ7"/>
    <mergeCell ref="ACK5:ACK7"/>
    <mergeCell ref="ACN5:ACN7"/>
    <mergeCell ref="AFC5:AFC7"/>
    <mergeCell ref="AFD5:AFD7"/>
    <mergeCell ref="AFE5:AFE7"/>
    <mergeCell ref="AFF5:AFF7"/>
    <mergeCell ref="AFG5:AFG7"/>
    <mergeCell ref="AFH5:AFH7"/>
    <mergeCell ref="AFI5:AFI7"/>
    <mergeCell ref="AFJ5:AFJ7"/>
    <mergeCell ref="AFK5:AFK7"/>
    <mergeCell ref="AFL5:AFL7"/>
    <mergeCell ref="AFM5:AFM7"/>
    <mergeCell ref="AFN5:AFN7"/>
    <mergeCell ref="AFO5:AFO7"/>
    <mergeCell ref="AFP5:AFP7"/>
    <mergeCell ref="AFQ5:AFQ7"/>
    <mergeCell ref="AHV5:AHV7"/>
    <mergeCell ref="AHW5:AHW7"/>
    <mergeCell ref="AHX5:AHX7"/>
    <mergeCell ref="AHY5:AHY7"/>
    <mergeCell ref="AHZ5:AHZ7"/>
    <mergeCell ref="AIA5:AIA7"/>
    <mergeCell ref="AHO5:AHO7"/>
    <mergeCell ref="AHP5:AHP7"/>
    <mergeCell ref="AHQ5:AHQ7"/>
    <mergeCell ref="AHR5:AHR7"/>
    <mergeCell ref="AHS5:AHS7"/>
    <mergeCell ref="AHT5:AHT7"/>
    <mergeCell ref="AHU5:AHU7"/>
    <mergeCell ref="AFR5:AFR7"/>
    <mergeCell ref="AFS5:AFS7"/>
    <mergeCell ref="AFT5:AFT7"/>
    <mergeCell ref="AFU5:AFU7"/>
    <mergeCell ref="AFV5:AFV7"/>
    <mergeCell ref="AFW5:AFW7"/>
    <mergeCell ref="AFX5:AFX7"/>
    <mergeCell ref="AFY5:AFY7"/>
    <mergeCell ref="AFZ5:AFZ7"/>
    <mergeCell ref="AGA5:AGA7"/>
    <mergeCell ref="AGB5:AGB7"/>
    <mergeCell ref="AGC5:AGC7"/>
    <mergeCell ref="AGD5:AGD7"/>
    <mergeCell ref="AGE5:AGE7"/>
    <mergeCell ref="AGF5:AGF7"/>
    <mergeCell ref="AGG5:AGG7"/>
    <mergeCell ref="AGH5:AGH7"/>
    <mergeCell ref="AGI5:AGI7"/>
    <mergeCell ref="AGJ5:AGJ7"/>
    <mergeCell ref="AGK5:AGK7"/>
    <mergeCell ref="AGL5:AGL7"/>
    <mergeCell ref="AGM5:AGM7"/>
    <mergeCell ref="AGN5:AGN7"/>
    <mergeCell ref="AGO5:AGO7"/>
    <mergeCell ref="AGP5:AGP7"/>
    <mergeCell ref="AGQ5:AGQ7"/>
    <mergeCell ref="AGR5:AGR7"/>
    <mergeCell ref="AGS5:AGS7"/>
    <mergeCell ref="AGT5:AGT7"/>
    <mergeCell ref="AGU5:AGU7"/>
    <mergeCell ref="AGV5:AGV7"/>
    <mergeCell ref="AGW5:AGW7"/>
    <mergeCell ref="AGX5:AGX7"/>
    <mergeCell ref="AGY5:AGY7"/>
    <mergeCell ref="AGZ5:AGZ7"/>
    <mergeCell ref="AHA5:AHA7"/>
    <mergeCell ref="ADV5:ADV7"/>
    <mergeCell ref="ADW5:ADW7"/>
    <mergeCell ref="ADX5:ADX7"/>
    <mergeCell ref="ADY5:ADY7"/>
    <mergeCell ref="ADZ5:ADZ7"/>
    <mergeCell ref="AEA5:AEA7"/>
    <mergeCell ref="AEB5:AEB7"/>
    <mergeCell ref="AEC5:AEC7"/>
    <mergeCell ref="AED5:AED7"/>
    <mergeCell ref="AEE5:AEE7"/>
    <mergeCell ref="AEF5:AEF7"/>
    <mergeCell ref="AEG5:AEG7"/>
    <mergeCell ref="AEH5:AEH7"/>
    <mergeCell ref="AEI5:AEI7"/>
    <mergeCell ref="AEJ5:AEJ7"/>
    <mergeCell ref="AEK5:AEK7"/>
    <mergeCell ref="AEL5:AEL7"/>
    <mergeCell ref="AEM5:AEM7"/>
    <mergeCell ref="AEN5:AEN7"/>
    <mergeCell ref="AEO5:AEO7"/>
    <mergeCell ref="AEP5:AEP7"/>
    <mergeCell ref="AEQ5:AEQ7"/>
    <mergeCell ref="AER5:AER7"/>
    <mergeCell ref="AES5:AES7"/>
    <mergeCell ref="AET5:AET7"/>
    <mergeCell ref="AEU5:AEU7"/>
    <mergeCell ref="AEV5:AEV7"/>
    <mergeCell ref="AEW5:AEW7"/>
    <mergeCell ref="AEX5:AEX7"/>
    <mergeCell ref="AEY5:AEY7"/>
    <mergeCell ref="AEZ5:AEZ7"/>
    <mergeCell ref="AFA5:AFA7"/>
    <mergeCell ref="AFB5:AFB7"/>
    <mergeCell ref="AAN5:AAN7"/>
    <mergeCell ref="AAO5:AAO7"/>
    <mergeCell ref="AAP5:AAP7"/>
    <mergeCell ref="AAQ5:AAQ7"/>
    <mergeCell ref="AAR5:AAR7"/>
    <mergeCell ref="AAS5:AAS7"/>
    <mergeCell ref="AAT5:AAT7"/>
    <mergeCell ref="AAU5:AAU7"/>
    <mergeCell ref="AAV5:AAV7"/>
    <mergeCell ref="AAW5:AAW7"/>
    <mergeCell ref="AAX5:AAX7"/>
    <mergeCell ref="AAY5:AAY7"/>
    <mergeCell ref="AAZ5:AAZ7"/>
    <mergeCell ref="ABA5:ABA7"/>
    <mergeCell ref="ABB5:ABB7"/>
    <mergeCell ref="ABC5:ABC7"/>
    <mergeCell ref="ABD5:ABD7"/>
    <mergeCell ref="ABE5:ABE7"/>
    <mergeCell ref="ABF5:ABF7"/>
    <mergeCell ref="ABG5:ABG7"/>
    <mergeCell ref="ABH5:ABH7"/>
    <mergeCell ref="ABI5:ABI7"/>
    <mergeCell ref="ABJ5:ABJ7"/>
    <mergeCell ref="ABK5:ABK7"/>
    <mergeCell ref="ABL5:ABL7"/>
    <mergeCell ref="ABM5:ABM7"/>
    <mergeCell ref="ABN5:ABN7"/>
    <mergeCell ref="ABO5:ABO7"/>
    <mergeCell ref="ABP5:ABP7"/>
    <mergeCell ref="ABQ5:ABQ7"/>
    <mergeCell ref="ABR5:ABR7"/>
    <mergeCell ref="ABS5:ABS7"/>
    <mergeCell ref="ADU5:ADU7"/>
    <mergeCell ref="ACO5:ACO7"/>
    <mergeCell ref="ACP5:ACP7"/>
    <mergeCell ref="CB1:CC2"/>
    <mergeCell ref="CD1:CE2"/>
    <mergeCell ref="CF1:CG2"/>
    <mergeCell ref="CH1:CI2"/>
    <mergeCell ref="CJ1:CK2"/>
    <mergeCell ref="CL1:CM2"/>
    <mergeCell ref="CN1:CO2"/>
    <mergeCell ref="CP1:CQ2"/>
    <mergeCell ref="CR1:CS2"/>
    <mergeCell ref="A1:A2"/>
    <mergeCell ref="B1:C2"/>
    <mergeCell ref="D1:E2"/>
    <mergeCell ref="F1:G2"/>
    <mergeCell ref="H1:I2"/>
    <mergeCell ref="J1:K2"/>
    <mergeCell ref="L1:M2"/>
    <mergeCell ref="ZW5:ZW7"/>
    <mergeCell ref="ZX5:ZX7"/>
    <mergeCell ref="ZY5:ZY7"/>
    <mergeCell ref="ZZ5:ZZ7"/>
    <mergeCell ref="AAA5:AAA7"/>
    <mergeCell ref="AAB5:AAB7"/>
    <mergeCell ref="AAC5:AAC7"/>
    <mergeCell ref="AAD5:AAD7"/>
    <mergeCell ref="AAE5:AAE7"/>
    <mergeCell ref="AAF5:AAF7"/>
    <mergeCell ref="AAG5:AAG7"/>
    <mergeCell ref="AAH5:AAH7"/>
    <mergeCell ref="AAI5:AAI7"/>
    <mergeCell ref="AAJ5:AAJ7"/>
    <mergeCell ref="AAK5:AAK7"/>
    <mergeCell ref="AAL5:AAL7"/>
    <mergeCell ref="AAM5:AAM7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L5:AL7"/>
    <mergeCell ref="AM5:AM7"/>
    <mergeCell ref="AN5:AN7"/>
    <mergeCell ref="N1:O2"/>
    <mergeCell ref="P1:Q2"/>
    <mergeCell ref="R1:S2"/>
    <mergeCell ref="T1:U2"/>
    <mergeCell ref="V1:W2"/>
    <mergeCell ref="X1:Y2"/>
    <mergeCell ref="Z1:AA2"/>
    <mergeCell ref="AB1:AC2"/>
    <mergeCell ref="AD1:AE2"/>
    <mergeCell ref="AF1:AG2"/>
    <mergeCell ref="AH1:AI2"/>
    <mergeCell ref="AJ1:AK2"/>
    <mergeCell ref="AL1:AM2"/>
    <mergeCell ref="AN1:AO2"/>
    <mergeCell ref="AP1:AQ2"/>
    <mergeCell ref="AR1:AS2"/>
    <mergeCell ref="AT1:AU2"/>
    <mergeCell ref="AV1:AW2"/>
    <mergeCell ref="AX1:AY2"/>
    <mergeCell ref="AZ1:BA2"/>
    <mergeCell ref="BB1:BC2"/>
    <mergeCell ref="BD1:BE2"/>
    <mergeCell ref="BF1:BG2"/>
    <mergeCell ref="BH1:BI2"/>
    <mergeCell ref="BJ1:BK2"/>
    <mergeCell ref="BL1:BM2"/>
    <mergeCell ref="BN1:BO2"/>
    <mergeCell ref="BP1:BQ2"/>
    <mergeCell ref="BR1:BS2"/>
    <mergeCell ref="BT1:BU2"/>
    <mergeCell ref="BV1:BW2"/>
    <mergeCell ref="BX1:BY2"/>
    <mergeCell ref="BZ1:CA2"/>
    <mergeCell ref="UN1:UO2"/>
    <mergeCell ref="UP1:UQ2"/>
    <mergeCell ref="UR1:US2"/>
    <mergeCell ref="UT1:UU2"/>
    <mergeCell ref="UV1:UW2"/>
    <mergeCell ref="UX1:UY2"/>
    <mergeCell ref="UZ1:VA2"/>
    <mergeCell ref="VB1:VC2"/>
    <mergeCell ref="VD1:VE2"/>
    <mergeCell ref="VF1:VG2"/>
    <mergeCell ref="VH1:VI2"/>
    <mergeCell ref="VJ1:VK2"/>
    <mergeCell ref="VL1:VM2"/>
    <mergeCell ref="VN1:VO2"/>
    <mergeCell ref="VP1:VQ2"/>
    <mergeCell ref="VR1:VS2"/>
    <mergeCell ref="VT1:VU2"/>
    <mergeCell ref="VV1:VW2"/>
    <mergeCell ref="VX1:VY2"/>
    <mergeCell ref="VZ1:WA2"/>
    <mergeCell ref="WB1:WC2"/>
    <mergeCell ref="WD1:WE2"/>
    <mergeCell ref="WF1:WG2"/>
    <mergeCell ref="WH1:WI2"/>
    <mergeCell ref="WJ1:WK2"/>
    <mergeCell ref="WL1:WM2"/>
    <mergeCell ref="WN1:WO2"/>
    <mergeCell ref="WP1:WQ2"/>
    <mergeCell ref="WR1:WS2"/>
    <mergeCell ref="WT1:WU2"/>
    <mergeCell ref="WV1:WW2"/>
    <mergeCell ref="WX1:WY2"/>
    <mergeCell ref="WZ1:XA2"/>
    <mergeCell ref="RZ1:SA2"/>
    <mergeCell ref="SB1:SC2"/>
    <mergeCell ref="SD1:SE2"/>
    <mergeCell ref="SF1:SG2"/>
    <mergeCell ref="SH1:SI2"/>
    <mergeCell ref="SJ1:SK2"/>
    <mergeCell ref="SL1:SM2"/>
    <mergeCell ref="SN1:SO2"/>
    <mergeCell ref="SP1:SQ2"/>
    <mergeCell ref="SR1:SS2"/>
    <mergeCell ref="ST1:SU2"/>
    <mergeCell ref="SV1:SW2"/>
    <mergeCell ref="SX1:SY2"/>
    <mergeCell ref="SZ1:TA2"/>
    <mergeCell ref="TB1:TC2"/>
    <mergeCell ref="TD1:TE2"/>
    <mergeCell ref="TF1:TG2"/>
    <mergeCell ref="TH1:TI2"/>
    <mergeCell ref="TJ1:TK2"/>
    <mergeCell ref="TL1:TM2"/>
    <mergeCell ref="TN1:TO2"/>
    <mergeCell ref="TP1:TQ2"/>
    <mergeCell ref="TR1:TS2"/>
    <mergeCell ref="TT1:TU2"/>
    <mergeCell ref="TV1:TW2"/>
    <mergeCell ref="TX1:TY2"/>
    <mergeCell ref="TZ1:UA2"/>
    <mergeCell ref="UB1:UC2"/>
    <mergeCell ref="UD1:UE2"/>
    <mergeCell ref="UF1:UG2"/>
    <mergeCell ref="UH1:UI2"/>
    <mergeCell ref="UJ1:UK2"/>
    <mergeCell ref="UL1:UM2"/>
    <mergeCell ref="PL1:PM2"/>
    <mergeCell ref="PN1:PO2"/>
    <mergeCell ref="PP1:PQ2"/>
    <mergeCell ref="PR1:PS2"/>
    <mergeCell ref="PT1:PU2"/>
    <mergeCell ref="PV1:PW2"/>
    <mergeCell ref="PX1:PY2"/>
    <mergeCell ref="PZ1:QA2"/>
    <mergeCell ref="QB1:QC2"/>
    <mergeCell ref="QD1:QE2"/>
    <mergeCell ref="QF1:QG2"/>
    <mergeCell ref="QH1:QI2"/>
    <mergeCell ref="QJ1:QK2"/>
    <mergeCell ref="QL1:QM2"/>
    <mergeCell ref="QN1:QO2"/>
    <mergeCell ref="QP1:QQ2"/>
    <mergeCell ref="QR1:QS2"/>
    <mergeCell ref="QT1:QU2"/>
    <mergeCell ref="QV1:QW2"/>
    <mergeCell ref="QX1:QY2"/>
    <mergeCell ref="QZ1:RA2"/>
    <mergeCell ref="RB1:RC2"/>
    <mergeCell ref="RD1:RE2"/>
    <mergeCell ref="RF1:RG2"/>
    <mergeCell ref="RH1:RI2"/>
    <mergeCell ref="RJ1:RK2"/>
    <mergeCell ref="RL1:RM2"/>
    <mergeCell ref="RN1:RO2"/>
    <mergeCell ref="RP1:RQ2"/>
    <mergeCell ref="RR1:RS2"/>
    <mergeCell ref="RT1:RU2"/>
    <mergeCell ref="RV1:RW2"/>
    <mergeCell ref="RX1:RY2"/>
    <mergeCell ref="MX1:MY2"/>
    <mergeCell ref="MZ1:NA2"/>
    <mergeCell ref="NB1:NC2"/>
    <mergeCell ref="ND1:NE2"/>
    <mergeCell ref="NF1:NG2"/>
    <mergeCell ref="NH1:NI2"/>
    <mergeCell ref="NJ1:NK2"/>
    <mergeCell ref="NL1:NM2"/>
    <mergeCell ref="NN1:NO2"/>
    <mergeCell ref="NP1:NQ2"/>
    <mergeCell ref="NR1:NS2"/>
    <mergeCell ref="NT1:NU2"/>
    <mergeCell ref="NV1:NW2"/>
    <mergeCell ref="NX1:NY2"/>
    <mergeCell ref="NZ1:OA2"/>
    <mergeCell ref="OB1:OC2"/>
    <mergeCell ref="OD1:OE2"/>
    <mergeCell ref="OF1:OG2"/>
    <mergeCell ref="OH1:OI2"/>
    <mergeCell ref="OJ1:OK2"/>
    <mergeCell ref="OL1:OM2"/>
    <mergeCell ref="ON1:OO2"/>
    <mergeCell ref="OP1:OQ2"/>
    <mergeCell ref="OR1:OS2"/>
    <mergeCell ref="OT1:OU2"/>
    <mergeCell ref="OV1:OW2"/>
    <mergeCell ref="OX1:OY2"/>
    <mergeCell ref="OZ1:PA2"/>
    <mergeCell ref="PB1:PC2"/>
    <mergeCell ref="PD1:PE2"/>
    <mergeCell ref="PF1:PG2"/>
    <mergeCell ref="PH1:PI2"/>
    <mergeCell ref="PJ1:PK2"/>
    <mergeCell ref="KJ1:KK2"/>
    <mergeCell ref="KL1:KM2"/>
    <mergeCell ref="KN1:KO2"/>
    <mergeCell ref="KP1:KQ2"/>
    <mergeCell ref="KR1:KS2"/>
    <mergeCell ref="KT1:KU2"/>
    <mergeCell ref="KV1:KW2"/>
    <mergeCell ref="KX1:KY2"/>
    <mergeCell ref="KZ1:LA2"/>
    <mergeCell ref="LB1:LC2"/>
    <mergeCell ref="LD1:LE2"/>
    <mergeCell ref="LF1:LG2"/>
    <mergeCell ref="LH1:LI2"/>
    <mergeCell ref="LJ1:LK2"/>
    <mergeCell ref="LL1:LM2"/>
    <mergeCell ref="LN1:LO2"/>
    <mergeCell ref="LP1:LQ2"/>
    <mergeCell ref="LR1:LS2"/>
    <mergeCell ref="LT1:LU2"/>
    <mergeCell ref="LV1:LW2"/>
    <mergeCell ref="LX1:LY2"/>
    <mergeCell ref="LZ1:MA2"/>
    <mergeCell ref="MB1:MC2"/>
    <mergeCell ref="MD1:ME2"/>
    <mergeCell ref="MF1:MG2"/>
    <mergeCell ref="MH1:MI2"/>
    <mergeCell ref="MJ1:MK2"/>
    <mergeCell ref="ML1:MM2"/>
    <mergeCell ref="MN1:MO2"/>
    <mergeCell ref="MP1:MQ2"/>
    <mergeCell ref="MR1:MS2"/>
    <mergeCell ref="MT1:MU2"/>
    <mergeCell ref="MV1:MW2"/>
    <mergeCell ref="HV1:HW2"/>
    <mergeCell ref="HX1:HY2"/>
    <mergeCell ref="HZ1:IA2"/>
    <mergeCell ref="IB1:IC2"/>
    <mergeCell ref="ID1:IE2"/>
    <mergeCell ref="IF1:IG2"/>
    <mergeCell ref="IH1:II2"/>
    <mergeCell ref="IJ1:IK2"/>
    <mergeCell ref="IL1:IM2"/>
    <mergeCell ref="IN1:IO2"/>
    <mergeCell ref="IP1:IQ2"/>
    <mergeCell ref="IR1:IS2"/>
    <mergeCell ref="IT1:IU2"/>
    <mergeCell ref="IV1:IW2"/>
    <mergeCell ref="IX1:IY2"/>
    <mergeCell ref="IZ1:JA2"/>
    <mergeCell ref="JB1:JC2"/>
    <mergeCell ref="JD1:JE2"/>
    <mergeCell ref="JF1:JG2"/>
    <mergeCell ref="JH1:JI2"/>
    <mergeCell ref="JJ1:JK2"/>
    <mergeCell ref="JL1:JM2"/>
    <mergeCell ref="JN1:JO2"/>
    <mergeCell ref="JP1:JQ2"/>
    <mergeCell ref="JR1:JS2"/>
    <mergeCell ref="JT1:JU2"/>
    <mergeCell ref="JV1:JW2"/>
    <mergeCell ref="JX1:JY2"/>
    <mergeCell ref="JZ1:KA2"/>
    <mergeCell ref="KB1:KC2"/>
    <mergeCell ref="KD1:KE2"/>
    <mergeCell ref="KF1:KG2"/>
    <mergeCell ref="KH1:KI2"/>
    <mergeCell ref="FH1:FI2"/>
    <mergeCell ref="FJ1:FK2"/>
    <mergeCell ref="FL1:FM2"/>
    <mergeCell ref="FN1:FO2"/>
    <mergeCell ref="FP1:FQ2"/>
    <mergeCell ref="FR1:FS2"/>
    <mergeCell ref="FT1:FU2"/>
    <mergeCell ref="FV1:FW2"/>
    <mergeCell ref="FX1:FY2"/>
    <mergeCell ref="FZ1:GA2"/>
    <mergeCell ref="GB1:GC2"/>
    <mergeCell ref="GD1:GE2"/>
    <mergeCell ref="GF1:GG2"/>
    <mergeCell ref="GH1:GI2"/>
    <mergeCell ref="GJ1:GK2"/>
    <mergeCell ref="GL1:GM2"/>
    <mergeCell ref="GN1:GO2"/>
    <mergeCell ref="GP1:GQ2"/>
    <mergeCell ref="GR1:GS2"/>
    <mergeCell ref="GT1:GU2"/>
    <mergeCell ref="GV1:GW2"/>
    <mergeCell ref="GX1:GY2"/>
    <mergeCell ref="GZ1:HA2"/>
    <mergeCell ref="HB1:HC2"/>
    <mergeCell ref="HD1:HE2"/>
    <mergeCell ref="HF1:HG2"/>
    <mergeCell ref="HH1:HI2"/>
    <mergeCell ref="HJ1:HK2"/>
    <mergeCell ref="HL1:HM2"/>
    <mergeCell ref="HN1:HO2"/>
    <mergeCell ref="HP1:HQ2"/>
    <mergeCell ref="HR1:HS2"/>
    <mergeCell ref="HT1:HU2"/>
    <mergeCell ref="CT1:CU2"/>
    <mergeCell ref="CV1:CW2"/>
    <mergeCell ref="CX1:CY2"/>
    <mergeCell ref="CZ1:DA2"/>
    <mergeCell ref="DB1:DC2"/>
    <mergeCell ref="DD1:DE2"/>
    <mergeCell ref="DF1:DG2"/>
    <mergeCell ref="DH1:DI2"/>
    <mergeCell ref="DJ1:DK2"/>
    <mergeCell ref="DL1:DM2"/>
    <mergeCell ref="DN1:DO2"/>
    <mergeCell ref="DP1:DQ2"/>
    <mergeCell ref="DT1:DU2"/>
    <mergeCell ref="DV1:DW2"/>
    <mergeCell ref="DR1:DS2"/>
    <mergeCell ref="DX1:DY2"/>
    <mergeCell ref="DZ1:EA2"/>
    <mergeCell ref="EB1:EC2"/>
    <mergeCell ref="ED1:EE2"/>
    <mergeCell ref="EF1:EG2"/>
    <mergeCell ref="EH1:EI2"/>
    <mergeCell ref="EJ1:EK2"/>
    <mergeCell ref="EL1:EM2"/>
    <mergeCell ref="EN1:EO2"/>
    <mergeCell ref="EP1:EQ2"/>
    <mergeCell ref="ER1:ES2"/>
    <mergeCell ref="ET1:EU2"/>
    <mergeCell ref="EV1:EW2"/>
    <mergeCell ref="EX1:EY2"/>
    <mergeCell ref="EZ1:FA2"/>
    <mergeCell ref="FB1:FC2"/>
    <mergeCell ref="FD1:FE2"/>
    <mergeCell ref="FF1:FG2"/>
    <mergeCell ref="AHR1:AHS2"/>
    <mergeCell ref="AHT1:AHU2"/>
    <mergeCell ref="AHV1:AHW2"/>
    <mergeCell ref="AHX1:AHY2"/>
    <mergeCell ref="AHZ1:AIA2"/>
    <mergeCell ref="AGZ1:AHA2"/>
    <mergeCell ref="AHB1:AHC2"/>
    <mergeCell ref="AHD1:AHE2"/>
    <mergeCell ref="AHF1:AHG2"/>
    <mergeCell ref="AHH1:AHI2"/>
    <mergeCell ref="AHJ1:AHK2"/>
    <mergeCell ref="AHL1:AHM2"/>
    <mergeCell ref="ADF1:ADG2"/>
    <mergeCell ref="ADH1:ADI2"/>
    <mergeCell ref="ADJ1:ADK2"/>
    <mergeCell ref="ADL1:ADM2"/>
    <mergeCell ref="ADN1:ADO2"/>
    <mergeCell ref="ADP1:ADQ2"/>
    <mergeCell ref="ADR1:ADS2"/>
    <mergeCell ref="ADT1:ADU2"/>
    <mergeCell ref="ADV1:ADW2"/>
    <mergeCell ref="ADX1:ADY2"/>
    <mergeCell ref="ADZ1:AEA2"/>
    <mergeCell ref="AEB1:AEC2"/>
    <mergeCell ref="AED1:AEE2"/>
    <mergeCell ref="AEF1:AEG2"/>
    <mergeCell ref="AEH1:AEI2"/>
    <mergeCell ref="AEJ1:AEK2"/>
    <mergeCell ref="AEL1:AEM2"/>
    <mergeCell ref="AEN1:AEO2"/>
    <mergeCell ref="AEP1:AEQ2"/>
    <mergeCell ref="AER1:AES2"/>
    <mergeCell ref="AET1:AEU2"/>
    <mergeCell ref="AEV1:AEW2"/>
    <mergeCell ref="AEX1:AEY2"/>
    <mergeCell ref="AEZ1:AFA2"/>
    <mergeCell ref="AFB1:AFC2"/>
    <mergeCell ref="AFD1:AFE2"/>
    <mergeCell ref="AFF1:AFG2"/>
    <mergeCell ref="AFH1:AFI2"/>
    <mergeCell ref="AFJ1:AFK2"/>
    <mergeCell ref="AFL1:AFM2"/>
    <mergeCell ref="AFN1:AFO2"/>
    <mergeCell ref="AFP1:AFQ2"/>
    <mergeCell ref="AFR1:AFS2"/>
    <mergeCell ref="AFT1:AFU2"/>
    <mergeCell ref="AFV1:AFW2"/>
    <mergeCell ref="AFX1:AFY2"/>
    <mergeCell ref="AFZ1:AGA2"/>
    <mergeCell ref="AGB1:AGC2"/>
    <mergeCell ref="AGD1:AGE2"/>
    <mergeCell ref="AGF1:AGG2"/>
    <mergeCell ref="AGH1:AGI2"/>
    <mergeCell ref="AGJ1:AGK2"/>
    <mergeCell ref="AGL1:AGM2"/>
    <mergeCell ref="AGN1:AGO2"/>
    <mergeCell ref="AGP1:AGQ2"/>
    <mergeCell ref="AGR1:AGS2"/>
    <mergeCell ref="AGT1:AGU2"/>
    <mergeCell ref="AGV1:AGW2"/>
    <mergeCell ref="AGX1:AGY2"/>
    <mergeCell ref="AAV1:AAW2"/>
    <mergeCell ref="AAX1:AAY2"/>
    <mergeCell ref="AAZ1:ABA2"/>
    <mergeCell ref="ABB1:ABC2"/>
    <mergeCell ref="ABD1:ABE2"/>
    <mergeCell ref="ABF1:ABG2"/>
    <mergeCell ref="ABH1:ABI2"/>
    <mergeCell ref="ABJ1:ABK2"/>
    <mergeCell ref="ABL1:ABM2"/>
    <mergeCell ref="ABN1:ABO2"/>
    <mergeCell ref="ABP1:ABQ2"/>
    <mergeCell ref="ABR1:ABS2"/>
    <mergeCell ref="ABT1:ABU2"/>
    <mergeCell ref="ABV1:ABW2"/>
    <mergeCell ref="ABX1:ABY2"/>
    <mergeCell ref="ABZ1:ACA2"/>
    <mergeCell ref="ACB1:ACC2"/>
    <mergeCell ref="ACD1:ACE2"/>
    <mergeCell ref="ACF1:ACG2"/>
    <mergeCell ref="ACH1:ACI2"/>
    <mergeCell ref="ACJ1:ACK2"/>
    <mergeCell ref="ACL1:ACM2"/>
    <mergeCell ref="ACN1:ACO2"/>
    <mergeCell ref="ACP1:ACQ2"/>
    <mergeCell ref="ACR1:ACS2"/>
    <mergeCell ref="ACT1:ACU2"/>
    <mergeCell ref="ACV1:ACW2"/>
    <mergeCell ref="ACX1:ACY2"/>
    <mergeCell ref="ACZ1:ADA2"/>
    <mergeCell ref="ADB1:ADC2"/>
    <mergeCell ref="ADD1:ADE2"/>
    <mergeCell ref="AHN1:AHO2"/>
    <mergeCell ref="AHP1:AHQ2"/>
    <mergeCell ref="WV36:WV38"/>
    <mergeCell ref="WW36:WW38"/>
    <mergeCell ref="WX36:WX38"/>
    <mergeCell ref="WY36:WY38"/>
    <mergeCell ref="WZ36:WZ38"/>
    <mergeCell ref="XA36:XA38"/>
    <mergeCell ref="XB36:XB38"/>
    <mergeCell ref="XC36:XC38"/>
    <mergeCell ref="XD36:XD38"/>
    <mergeCell ref="XE36:XE38"/>
    <mergeCell ref="XF36:XF38"/>
    <mergeCell ref="XG36:XG38"/>
    <mergeCell ref="XH36:XH38"/>
    <mergeCell ref="XI36:XI38"/>
    <mergeCell ref="XJ36:XJ38"/>
    <mergeCell ref="ZL1:ZM2"/>
    <mergeCell ref="ZN1:ZO2"/>
    <mergeCell ref="ZP1:ZQ2"/>
    <mergeCell ref="ZR1:ZS2"/>
    <mergeCell ref="ZT1:ZU2"/>
    <mergeCell ref="ZV1:ZW2"/>
    <mergeCell ref="ZX1:ZY2"/>
    <mergeCell ref="ZZ1:AAA2"/>
    <mergeCell ref="AAB1:AAC2"/>
    <mergeCell ref="AAD1:AAE2"/>
    <mergeCell ref="AAF1:AAG2"/>
    <mergeCell ref="AAH1:AAI2"/>
    <mergeCell ref="AAJ1:AAK2"/>
    <mergeCell ref="AAL1:AAM2"/>
    <mergeCell ref="AAN1:AAO2"/>
    <mergeCell ref="AAP1:AAQ2"/>
    <mergeCell ref="AAR1:AAS2"/>
    <mergeCell ref="AAT1:AAU2"/>
    <mergeCell ref="XB1:XC2"/>
    <mergeCell ref="XD1:XE2"/>
    <mergeCell ref="XF1:XG2"/>
    <mergeCell ref="XH1:XI2"/>
    <mergeCell ref="XJ1:XK2"/>
    <mergeCell ref="XL1:XM2"/>
    <mergeCell ref="XN1:XO2"/>
    <mergeCell ref="XP1:XQ2"/>
    <mergeCell ref="XR1:XS2"/>
    <mergeCell ref="XT1:XU2"/>
    <mergeCell ref="XV1:XW2"/>
    <mergeCell ref="XX1:XY2"/>
    <mergeCell ref="XZ1:YA2"/>
    <mergeCell ref="YB1:YC2"/>
    <mergeCell ref="YD1:YE2"/>
    <mergeCell ref="YF1:YG2"/>
    <mergeCell ref="YH1:YI2"/>
    <mergeCell ref="YJ1:YK2"/>
    <mergeCell ref="YL1:YM2"/>
    <mergeCell ref="YN1:YO2"/>
    <mergeCell ref="YP1:YQ2"/>
    <mergeCell ref="YR1:YS2"/>
    <mergeCell ref="YT1:YU2"/>
    <mergeCell ref="YV1:YW2"/>
    <mergeCell ref="YX1:YY2"/>
    <mergeCell ref="YZ1:ZA2"/>
    <mergeCell ref="ZB1:ZC2"/>
    <mergeCell ref="ZD1:ZE2"/>
    <mergeCell ref="ZF1:ZG2"/>
    <mergeCell ref="ZH1:ZI2"/>
    <mergeCell ref="ZJ1:ZK2"/>
    <mergeCell ref="VO36:VO38"/>
    <mergeCell ref="VP36:VP38"/>
    <mergeCell ref="VQ36:VQ38"/>
    <mergeCell ref="VR36:VR38"/>
    <mergeCell ref="VS36:VS38"/>
    <mergeCell ref="VT36:VT38"/>
    <mergeCell ref="VU36:VU38"/>
    <mergeCell ref="VV36:VV38"/>
    <mergeCell ref="VW36:VW38"/>
    <mergeCell ref="VX36:VX38"/>
    <mergeCell ref="VY36:VY38"/>
    <mergeCell ref="VZ36:VZ38"/>
    <mergeCell ref="WA36:WA38"/>
    <mergeCell ref="WB36:WB38"/>
    <mergeCell ref="WC36:WC38"/>
    <mergeCell ref="WD36:WD38"/>
    <mergeCell ref="WE36:WE38"/>
    <mergeCell ref="WF36:WF38"/>
    <mergeCell ref="WG36:WG38"/>
    <mergeCell ref="WH36:WH38"/>
    <mergeCell ref="WI36:WI38"/>
    <mergeCell ref="WJ36:WJ38"/>
    <mergeCell ref="WK36:WK38"/>
    <mergeCell ref="WL36:WL38"/>
    <mergeCell ref="WM36:WM38"/>
    <mergeCell ref="WN36:WN38"/>
    <mergeCell ref="WO36:WO38"/>
    <mergeCell ref="WP36:WP38"/>
    <mergeCell ref="WQ36:WQ38"/>
    <mergeCell ref="WR36:WR38"/>
    <mergeCell ref="WS36:WS38"/>
    <mergeCell ref="WT36:WT38"/>
    <mergeCell ref="WU36:WU38"/>
    <mergeCell ref="UH36:UH38"/>
    <mergeCell ref="UI36:UI38"/>
    <mergeCell ref="UJ36:UJ38"/>
    <mergeCell ref="UK36:UK38"/>
    <mergeCell ref="UL36:UL38"/>
    <mergeCell ref="UM36:UM38"/>
    <mergeCell ref="UN36:UN38"/>
    <mergeCell ref="UO36:UO38"/>
    <mergeCell ref="UP36:UP38"/>
    <mergeCell ref="UQ36:UQ38"/>
    <mergeCell ref="UR36:UR38"/>
    <mergeCell ref="US36:US38"/>
    <mergeCell ref="UT36:UT38"/>
    <mergeCell ref="UU36:UU38"/>
    <mergeCell ref="UV36:UV38"/>
    <mergeCell ref="UW36:UW38"/>
    <mergeCell ref="UX36:UX38"/>
    <mergeCell ref="UY36:UY38"/>
    <mergeCell ref="UZ36:UZ38"/>
    <mergeCell ref="VA36:VA38"/>
    <mergeCell ref="VB36:VB38"/>
    <mergeCell ref="VC36:VC38"/>
    <mergeCell ref="VD36:VD38"/>
    <mergeCell ref="VE36:VE38"/>
    <mergeCell ref="VF36:VF38"/>
    <mergeCell ref="VG36:VG38"/>
    <mergeCell ref="VH36:VH38"/>
    <mergeCell ref="VI36:VI38"/>
    <mergeCell ref="VJ36:VJ38"/>
    <mergeCell ref="VK36:VK38"/>
    <mergeCell ref="VL36:VL38"/>
    <mergeCell ref="VM36:VM38"/>
    <mergeCell ref="VN36:VN38"/>
    <mergeCell ref="TA36:TA38"/>
    <mergeCell ref="TB36:TB38"/>
    <mergeCell ref="TC36:TC38"/>
    <mergeCell ref="TD36:TD38"/>
    <mergeCell ref="TE36:TE38"/>
    <mergeCell ref="TF36:TF38"/>
    <mergeCell ref="TG36:TG38"/>
    <mergeCell ref="TH36:TH38"/>
    <mergeCell ref="TI36:TI38"/>
    <mergeCell ref="TJ36:TJ38"/>
    <mergeCell ref="TK36:TK38"/>
    <mergeCell ref="TL36:TL38"/>
    <mergeCell ref="TM36:TM38"/>
    <mergeCell ref="TN36:TN38"/>
    <mergeCell ref="TO36:TO38"/>
    <mergeCell ref="TP36:TP38"/>
    <mergeCell ref="TQ36:TQ38"/>
    <mergeCell ref="TR36:TR38"/>
    <mergeCell ref="TS36:TS38"/>
    <mergeCell ref="TT36:TT38"/>
    <mergeCell ref="TU36:TU38"/>
    <mergeCell ref="TV36:TV38"/>
    <mergeCell ref="TW36:TW38"/>
    <mergeCell ref="TX36:TX38"/>
    <mergeCell ref="TY36:TY38"/>
    <mergeCell ref="TZ36:TZ38"/>
    <mergeCell ref="UA36:UA38"/>
    <mergeCell ref="UB36:UB38"/>
    <mergeCell ref="UC36:UC38"/>
    <mergeCell ref="UD36:UD38"/>
    <mergeCell ref="UE36:UE38"/>
    <mergeCell ref="UF36:UF38"/>
    <mergeCell ref="UG36:UG38"/>
    <mergeCell ref="RT36:RT38"/>
    <mergeCell ref="RU36:RU38"/>
    <mergeCell ref="RV36:RV38"/>
    <mergeCell ref="RW36:RW38"/>
    <mergeCell ref="RX36:RX38"/>
    <mergeCell ref="RY36:RY38"/>
    <mergeCell ref="RZ36:RZ38"/>
    <mergeCell ref="SA36:SA38"/>
    <mergeCell ref="SB36:SB38"/>
    <mergeCell ref="SC36:SC38"/>
    <mergeCell ref="SD36:SD38"/>
    <mergeCell ref="SE36:SE38"/>
    <mergeCell ref="SF36:SF38"/>
    <mergeCell ref="SG36:SG38"/>
    <mergeCell ref="SH36:SH38"/>
    <mergeCell ref="SI36:SI38"/>
    <mergeCell ref="SJ36:SJ38"/>
    <mergeCell ref="SK36:SK38"/>
    <mergeCell ref="SL36:SL38"/>
    <mergeCell ref="SM36:SM38"/>
    <mergeCell ref="SN36:SN38"/>
    <mergeCell ref="SO36:SO38"/>
    <mergeCell ref="SP36:SP38"/>
    <mergeCell ref="SQ36:SQ38"/>
    <mergeCell ref="SR36:SR38"/>
    <mergeCell ref="SS36:SS38"/>
    <mergeCell ref="ST36:ST38"/>
    <mergeCell ref="SU36:SU38"/>
    <mergeCell ref="SV36:SV38"/>
    <mergeCell ref="SW36:SW38"/>
    <mergeCell ref="SX36:SX38"/>
    <mergeCell ref="SY36:SY38"/>
    <mergeCell ref="SZ36:SZ38"/>
    <mergeCell ref="QM36:QM38"/>
    <mergeCell ref="QN36:QN38"/>
    <mergeCell ref="QO36:QO38"/>
    <mergeCell ref="QP36:QP38"/>
    <mergeCell ref="QQ36:QQ38"/>
    <mergeCell ref="QR36:QR38"/>
    <mergeCell ref="QS36:QS38"/>
    <mergeCell ref="QT36:QT38"/>
    <mergeCell ref="QU36:QU38"/>
    <mergeCell ref="QV36:QV38"/>
    <mergeCell ref="QW36:QW38"/>
    <mergeCell ref="QX36:QX38"/>
    <mergeCell ref="QY36:QY38"/>
    <mergeCell ref="QZ36:QZ38"/>
    <mergeCell ref="RA36:RA38"/>
    <mergeCell ref="RB36:RB38"/>
    <mergeCell ref="RC36:RC38"/>
    <mergeCell ref="RD36:RD38"/>
    <mergeCell ref="RE36:RE38"/>
    <mergeCell ref="RF36:RF38"/>
    <mergeCell ref="RG36:RG38"/>
    <mergeCell ref="RH36:RH38"/>
    <mergeCell ref="RI36:RI38"/>
    <mergeCell ref="RJ36:RJ38"/>
    <mergeCell ref="RK36:RK38"/>
    <mergeCell ref="RL36:RL38"/>
    <mergeCell ref="RM36:RM38"/>
    <mergeCell ref="RN36:RN38"/>
    <mergeCell ref="RO36:RO38"/>
    <mergeCell ref="RP36:RP38"/>
    <mergeCell ref="RQ36:RQ38"/>
    <mergeCell ref="RR36:RR38"/>
    <mergeCell ref="RS36:RS38"/>
    <mergeCell ref="PF36:PF38"/>
    <mergeCell ref="PG36:PG38"/>
    <mergeCell ref="PH36:PH38"/>
    <mergeCell ref="PI36:PI38"/>
    <mergeCell ref="PJ36:PJ38"/>
    <mergeCell ref="PK36:PK38"/>
    <mergeCell ref="PL36:PL38"/>
    <mergeCell ref="PM36:PM38"/>
    <mergeCell ref="PN36:PN38"/>
    <mergeCell ref="PO36:PO38"/>
    <mergeCell ref="PP36:PP38"/>
    <mergeCell ref="PQ36:PQ38"/>
    <mergeCell ref="PR36:PR38"/>
    <mergeCell ref="PS36:PS38"/>
    <mergeCell ref="PT36:PT38"/>
    <mergeCell ref="PU36:PU38"/>
    <mergeCell ref="PV36:PV38"/>
    <mergeCell ref="PW36:PW38"/>
    <mergeCell ref="PX36:PX38"/>
    <mergeCell ref="PY36:PY38"/>
    <mergeCell ref="PZ36:PZ38"/>
    <mergeCell ref="QA36:QA38"/>
    <mergeCell ref="QB36:QB38"/>
    <mergeCell ref="QC36:QC38"/>
    <mergeCell ref="QD36:QD38"/>
    <mergeCell ref="QE36:QE38"/>
    <mergeCell ref="QF36:QF38"/>
    <mergeCell ref="QG36:QG38"/>
    <mergeCell ref="QH36:QH38"/>
    <mergeCell ref="QI36:QI38"/>
    <mergeCell ref="QJ36:QJ38"/>
    <mergeCell ref="QK36:QK38"/>
    <mergeCell ref="QL36:QL38"/>
    <mergeCell ref="NY36:NY38"/>
    <mergeCell ref="NZ36:NZ38"/>
    <mergeCell ref="OA36:OA38"/>
    <mergeCell ref="OB36:OB38"/>
    <mergeCell ref="OC36:OC38"/>
    <mergeCell ref="OD36:OD38"/>
    <mergeCell ref="OE36:OE38"/>
    <mergeCell ref="OF36:OF38"/>
    <mergeCell ref="OG36:OG38"/>
    <mergeCell ref="OH36:OH38"/>
    <mergeCell ref="OI36:OI38"/>
    <mergeCell ref="OJ36:OJ38"/>
    <mergeCell ref="OK36:OK38"/>
    <mergeCell ref="OL36:OL38"/>
    <mergeCell ref="OM36:OM38"/>
    <mergeCell ref="ON36:ON38"/>
    <mergeCell ref="OO36:OO38"/>
    <mergeCell ref="OP36:OP38"/>
    <mergeCell ref="OQ36:OQ38"/>
    <mergeCell ref="OR36:OR38"/>
    <mergeCell ref="OS36:OS38"/>
    <mergeCell ref="OT36:OT38"/>
    <mergeCell ref="OU36:OU38"/>
    <mergeCell ref="OV36:OV38"/>
    <mergeCell ref="OW36:OW38"/>
    <mergeCell ref="OX36:OX38"/>
    <mergeCell ref="OY36:OY38"/>
    <mergeCell ref="OZ36:OZ38"/>
    <mergeCell ref="PA36:PA38"/>
    <mergeCell ref="PB36:PB38"/>
    <mergeCell ref="PC36:PC38"/>
    <mergeCell ref="PD36:PD38"/>
    <mergeCell ref="PE36:PE38"/>
    <mergeCell ref="MR36:MR38"/>
    <mergeCell ref="MS36:MS38"/>
    <mergeCell ref="MT36:MT38"/>
    <mergeCell ref="MU36:MU38"/>
    <mergeCell ref="MV36:MV38"/>
    <mergeCell ref="MW36:MW38"/>
    <mergeCell ref="MX36:MX38"/>
    <mergeCell ref="MY36:MY38"/>
    <mergeCell ref="MZ36:MZ38"/>
    <mergeCell ref="NA36:NA38"/>
    <mergeCell ref="NB36:NB38"/>
    <mergeCell ref="NC36:NC38"/>
    <mergeCell ref="ND36:ND38"/>
    <mergeCell ref="NE36:NE38"/>
    <mergeCell ref="NF36:NF38"/>
    <mergeCell ref="NG36:NG38"/>
    <mergeCell ref="NH36:NH38"/>
    <mergeCell ref="NI36:NI38"/>
    <mergeCell ref="NJ36:NJ38"/>
    <mergeCell ref="NK36:NK38"/>
    <mergeCell ref="NL36:NL38"/>
    <mergeCell ref="NM36:NM38"/>
    <mergeCell ref="NN36:NN38"/>
    <mergeCell ref="NO36:NO38"/>
    <mergeCell ref="NP36:NP38"/>
    <mergeCell ref="NQ36:NQ38"/>
    <mergeCell ref="NR36:NR38"/>
    <mergeCell ref="NS36:NS38"/>
    <mergeCell ref="NT36:NT38"/>
    <mergeCell ref="NU36:NU38"/>
    <mergeCell ref="NV36:NV38"/>
    <mergeCell ref="NW36:NW38"/>
    <mergeCell ref="NX36:NX38"/>
    <mergeCell ref="GA36:GA38"/>
    <mergeCell ref="GB36:GB38"/>
    <mergeCell ref="GC36:GC38"/>
    <mergeCell ref="GD36:GD38"/>
    <mergeCell ref="GE36:GE38"/>
    <mergeCell ref="GF36:GF38"/>
    <mergeCell ref="GG36:GG38"/>
    <mergeCell ref="GH36:GH38"/>
    <mergeCell ref="GI36:GI38"/>
    <mergeCell ref="GJ36:GJ38"/>
    <mergeCell ref="GK36:GK38"/>
    <mergeCell ref="GL36:GL38"/>
    <mergeCell ref="GM36:GM38"/>
    <mergeCell ref="GN36:GN38"/>
    <mergeCell ref="GO36:GO38"/>
    <mergeCell ref="GP36:GP38"/>
    <mergeCell ref="GQ36:GQ38"/>
    <mergeCell ref="GR36:GR38"/>
    <mergeCell ref="GS36:GS38"/>
    <mergeCell ref="GT36:GT38"/>
    <mergeCell ref="GU36:GU38"/>
    <mergeCell ref="GV36:GV38"/>
    <mergeCell ref="GW36:GW38"/>
    <mergeCell ref="GX36:GX38"/>
    <mergeCell ref="GY36:GY38"/>
    <mergeCell ref="GZ36:GZ38"/>
    <mergeCell ref="HA36:HA38"/>
    <mergeCell ref="ML36:ML38"/>
    <mergeCell ref="MM36:MM38"/>
    <mergeCell ref="MN36:MN38"/>
    <mergeCell ref="MO36:MO38"/>
    <mergeCell ref="MP36:MP38"/>
    <mergeCell ref="MQ36:MQ38"/>
    <mergeCell ref="AGW36:AGW38"/>
    <mergeCell ref="AGX36:AGX38"/>
    <mergeCell ref="AGY36:AGY38"/>
    <mergeCell ref="AGZ36:AGZ38"/>
    <mergeCell ref="AHA36:AHA38"/>
    <mergeCell ref="AHB36:AHB38"/>
    <mergeCell ref="AHC36:AHC38"/>
    <mergeCell ref="AHD36:AHD38"/>
    <mergeCell ref="AHE36:AHE38"/>
    <mergeCell ref="AHF36:AHF38"/>
    <mergeCell ref="AHG36:AHG38"/>
    <mergeCell ref="AHH36:AHH38"/>
    <mergeCell ref="AHI36:AHI38"/>
    <mergeCell ref="AHJ36:AHJ38"/>
    <mergeCell ref="AHK36:AHK38"/>
    <mergeCell ref="AHL36:AHL38"/>
    <mergeCell ref="AHM36:AHM38"/>
    <mergeCell ref="AHN36:AHN38"/>
    <mergeCell ref="AHO36:AHO38"/>
    <mergeCell ref="AHP36:AHP38"/>
    <mergeCell ref="AHX36:AHX38"/>
    <mergeCell ref="AHY36:AHY38"/>
    <mergeCell ref="AHZ36:AHZ38"/>
    <mergeCell ref="AIA36:AIA38"/>
    <mergeCell ref="AHQ36:AHQ38"/>
    <mergeCell ref="AHR36:AHR38"/>
    <mergeCell ref="AHS36:AHS38"/>
    <mergeCell ref="AHT36:AHT38"/>
    <mergeCell ref="AHU36:AHU38"/>
    <mergeCell ref="AHV36:AHV38"/>
    <mergeCell ref="AHW36:AHW38"/>
    <mergeCell ref="AEY36:AEY38"/>
    <mergeCell ref="AEZ36:AEZ38"/>
    <mergeCell ref="AFA36:AFA38"/>
    <mergeCell ref="AFB36:AFB38"/>
    <mergeCell ref="AFC36:AFC38"/>
    <mergeCell ref="AFD36:AFD38"/>
    <mergeCell ref="AFE36:AFE38"/>
    <mergeCell ref="AFF36:AFF38"/>
    <mergeCell ref="AFG36:AFG38"/>
    <mergeCell ref="AFH36:AFH38"/>
    <mergeCell ref="AFI36:AFI38"/>
    <mergeCell ref="AFJ36:AFJ38"/>
    <mergeCell ref="AFK36:AFK38"/>
    <mergeCell ref="AFL36:AFL38"/>
    <mergeCell ref="AFM36:AFM38"/>
    <mergeCell ref="AFN36:AFN38"/>
    <mergeCell ref="AFO36:AFO38"/>
    <mergeCell ref="AFP36:AFP38"/>
    <mergeCell ref="AFQ36:AFQ38"/>
    <mergeCell ref="AFR36:AFR38"/>
    <mergeCell ref="AFS36:AFS38"/>
    <mergeCell ref="AFT36:AFT38"/>
    <mergeCell ref="AFU36:AFU38"/>
    <mergeCell ref="AFV36:AFV38"/>
    <mergeCell ref="AFW36:AFW38"/>
    <mergeCell ref="AFX36:AFX38"/>
    <mergeCell ref="AFY36:AFY38"/>
    <mergeCell ref="AFZ36:AFZ38"/>
    <mergeCell ref="AGA36:AGA38"/>
    <mergeCell ref="AGB36:AGB38"/>
    <mergeCell ref="AGC36:AGC38"/>
    <mergeCell ref="AGD36:AGD38"/>
    <mergeCell ref="AGE36:AGE38"/>
    <mergeCell ref="ADS36:ADS38"/>
    <mergeCell ref="ADT36:ADT38"/>
    <mergeCell ref="ADU36:ADU38"/>
    <mergeCell ref="ADV36:ADV38"/>
    <mergeCell ref="ADW36:ADW38"/>
    <mergeCell ref="ADX36:ADX38"/>
    <mergeCell ref="ADY36:ADY38"/>
    <mergeCell ref="ADZ36:ADZ38"/>
    <mergeCell ref="AEA36:AEA38"/>
    <mergeCell ref="AEB36:AEB38"/>
    <mergeCell ref="AEC36:AEC38"/>
    <mergeCell ref="AED36:AED38"/>
    <mergeCell ref="AEE36:AEE38"/>
    <mergeCell ref="AEF36:AEF38"/>
    <mergeCell ref="AEG36:AEG38"/>
    <mergeCell ref="AEH36:AEH38"/>
    <mergeCell ref="AEI36:AEI38"/>
    <mergeCell ref="AEJ36:AEJ38"/>
    <mergeCell ref="AEK36:AEK38"/>
    <mergeCell ref="AEL36:AEL38"/>
    <mergeCell ref="AEM36:AEM38"/>
    <mergeCell ref="AEN36:AEN38"/>
    <mergeCell ref="AEO36:AEO38"/>
    <mergeCell ref="AEP36:AEP38"/>
    <mergeCell ref="AEQ36:AEQ38"/>
    <mergeCell ref="AER36:AER38"/>
    <mergeCell ref="AES36:AES38"/>
    <mergeCell ref="AET36:AET38"/>
    <mergeCell ref="AEU36:AEU38"/>
    <mergeCell ref="AEV36:AEV38"/>
    <mergeCell ref="AEW36:AEW38"/>
    <mergeCell ref="AEX36:AEX38"/>
    <mergeCell ref="AGV36:AGV38"/>
    <mergeCell ref="AGF36:AGF38"/>
    <mergeCell ref="AGG36:AGG38"/>
    <mergeCell ref="AGH36:AGH38"/>
    <mergeCell ref="AGI36:AGI38"/>
    <mergeCell ref="AGJ36:AGJ38"/>
    <mergeCell ref="AGK36:AGK38"/>
    <mergeCell ref="AGL36:AGL38"/>
    <mergeCell ref="AGM36:AGM38"/>
    <mergeCell ref="AGN36:AGN38"/>
    <mergeCell ref="AGO36:AGO38"/>
    <mergeCell ref="AGP36:AGP38"/>
    <mergeCell ref="AGQ36:AGQ38"/>
    <mergeCell ref="AGR36:AGR38"/>
    <mergeCell ref="AGS36:AGS38"/>
    <mergeCell ref="AGT36:AGT38"/>
    <mergeCell ref="AGU36:AGU38"/>
    <mergeCell ref="ACL36:ACL38"/>
    <mergeCell ref="ACM36:ACM38"/>
    <mergeCell ref="ACN36:ACN38"/>
    <mergeCell ref="ACO36:ACO38"/>
    <mergeCell ref="ACP36:ACP38"/>
    <mergeCell ref="ACQ36:ACQ38"/>
    <mergeCell ref="ACR36:ACR38"/>
    <mergeCell ref="ACS36:ACS38"/>
    <mergeCell ref="ACT36:ACT38"/>
    <mergeCell ref="ACU36:ACU38"/>
    <mergeCell ref="ACV36:ACV38"/>
    <mergeCell ref="ACW36:ACW38"/>
    <mergeCell ref="ACX36:ACX38"/>
    <mergeCell ref="ACY36:ACY38"/>
    <mergeCell ref="ACZ36:ACZ38"/>
    <mergeCell ref="ADA36:ADA38"/>
    <mergeCell ref="ADB36:ADB38"/>
    <mergeCell ref="ADC36:ADC38"/>
    <mergeCell ref="ADD36:ADD38"/>
    <mergeCell ref="ADE36:ADE38"/>
    <mergeCell ref="ADF36:ADF38"/>
    <mergeCell ref="ADG36:ADG38"/>
    <mergeCell ref="ADH36:ADH38"/>
    <mergeCell ref="ADI36:ADI38"/>
    <mergeCell ref="ADJ36:ADJ38"/>
    <mergeCell ref="ADK36:ADK38"/>
    <mergeCell ref="ADL36:ADL38"/>
    <mergeCell ref="ADM36:ADM38"/>
    <mergeCell ref="ADN36:ADN38"/>
    <mergeCell ref="ADO36:ADO38"/>
    <mergeCell ref="ADP36:ADP38"/>
    <mergeCell ref="ADQ36:ADQ38"/>
    <mergeCell ref="ADR36:ADR38"/>
    <mergeCell ref="ABE36:ABE38"/>
    <mergeCell ref="ABF36:ABF38"/>
    <mergeCell ref="ABG36:ABG38"/>
    <mergeCell ref="ABH36:ABH38"/>
    <mergeCell ref="ABI36:ABI38"/>
    <mergeCell ref="ABJ36:ABJ38"/>
    <mergeCell ref="ABK36:ABK38"/>
    <mergeCell ref="ABL36:ABL38"/>
    <mergeCell ref="ABM36:ABM38"/>
    <mergeCell ref="ABN36:ABN38"/>
    <mergeCell ref="ABO36:ABO38"/>
    <mergeCell ref="ABP36:ABP38"/>
    <mergeCell ref="ABQ36:ABQ38"/>
    <mergeCell ref="ABR36:ABR38"/>
    <mergeCell ref="ABS36:ABS38"/>
    <mergeCell ref="ABT36:ABT38"/>
    <mergeCell ref="ABU36:ABU38"/>
    <mergeCell ref="ABV36:ABV38"/>
    <mergeCell ref="ABW36:ABW38"/>
    <mergeCell ref="ABX36:ABX38"/>
    <mergeCell ref="ABY36:ABY38"/>
    <mergeCell ref="ABZ36:ABZ38"/>
    <mergeCell ref="ACA36:ACA38"/>
    <mergeCell ref="ACB36:ACB38"/>
    <mergeCell ref="ACC36:ACC38"/>
    <mergeCell ref="ACD36:ACD38"/>
    <mergeCell ref="ACE36:ACE38"/>
    <mergeCell ref="ACF36:ACF38"/>
    <mergeCell ref="ACG36:ACG38"/>
    <mergeCell ref="ACH36:ACH38"/>
    <mergeCell ref="ACI36:ACI38"/>
    <mergeCell ref="ACJ36:ACJ38"/>
    <mergeCell ref="ACK36:ACK38"/>
    <mergeCell ref="ZX36:ZX38"/>
    <mergeCell ref="ZY36:ZY38"/>
    <mergeCell ref="ZZ36:ZZ38"/>
    <mergeCell ref="AAA36:AAA38"/>
    <mergeCell ref="AAB36:AAB38"/>
    <mergeCell ref="AAC36:AAC38"/>
    <mergeCell ref="AAD36:AAD38"/>
    <mergeCell ref="AAE36:AAE38"/>
    <mergeCell ref="AAF36:AAF38"/>
    <mergeCell ref="AAG36:AAG38"/>
    <mergeCell ref="AAH36:AAH38"/>
    <mergeCell ref="AAI36:AAI38"/>
    <mergeCell ref="AAJ36:AAJ38"/>
    <mergeCell ref="AAK36:AAK38"/>
    <mergeCell ref="AAL36:AAL38"/>
    <mergeCell ref="AAM36:AAM38"/>
    <mergeCell ref="AAN36:AAN38"/>
    <mergeCell ref="AAO36:AAO38"/>
    <mergeCell ref="AAP36:AAP38"/>
    <mergeCell ref="AAQ36:AAQ38"/>
    <mergeCell ref="AAR36:AAR38"/>
    <mergeCell ref="AAS36:AAS38"/>
    <mergeCell ref="AAT36:AAT38"/>
    <mergeCell ref="AAU36:AAU38"/>
    <mergeCell ref="AAV36:AAV38"/>
    <mergeCell ref="AAW36:AAW38"/>
    <mergeCell ref="AAX36:AAX38"/>
    <mergeCell ref="AAY36:AAY38"/>
    <mergeCell ref="AAZ36:AAZ38"/>
    <mergeCell ref="ABA36:ABA38"/>
    <mergeCell ref="ABB36:ABB38"/>
    <mergeCell ref="ABC36:ABC38"/>
    <mergeCell ref="ABD36:ABD38"/>
    <mergeCell ref="YQ36:YQ38"/>
    <mergeCell ref="YR36:YR38"/>
    <mergeCell ref="YS36:YS38"/>
    <mergeCell ref="YT36:YT38"/>
    <mergeCell ref="YU36:YU38"/>
    <mergeCell ref="YV36:YV38"/>
    <mergeCell ref="YW36:YW38"/>
    <mergeCell ref="YX36:YX38"/>
    <mergeCell ref="YY36:YY38"/>
    <mergeCell ref="YZ36:YZ38"/>
    <mergeCell ref="ZA36:ZA38"/>
    <mergeCell ref="ZB36:ZB38"/>
    <mergeCell ref="ZC36:ZC38"/>
    <mergeCell ref="ZD36:ZD38"/>
    <mergeCell ref="ZE36:ZE38"/>
    <mergeCell ref="ZF36:ZF38"/>
    <mergeCell ref="ZG36:ZG38"/>
    <mergeCell ref="ZH36:ZH38"/>
    <mergeCell ref="ZI36:ZI38"/>
    <mergeCell ref="ZJ36:ZJ38"/>
    <mergeCell ref="ZK36:ZK38"/>
    <mergeCell ref="ZL36:ZL38"/>
    <mergeCell ref="ZM36:ZM38"/>
    <mergeCell ref="ZN36:ZN38"/>
    <mergeCell ref="ZO36:ZO38"/>
    <mergeCell ref="ZP36:ZP38"/>
    <mergeCell ref="ZQ36:ZQ38"/>
    <mergeCell ref="ZR36:ZR38"/>
    <mergeCell ref="ZS36:ZS38"/>
    <mergeCell ref="ZT36:ZT38"/>
    <mergeCell ref="ZU36:ZU38"/>
    <mergeCell ref="ZV36:ZV38"/>
    <mergeCell ref="ZW36:ZW38"/>
    <mergeCell ref="EL36:EL38"/>
    <mergeCell ref="XK36:XK38"/>
    <mergeCell ref="XL36:XL38"/>
    <mergeCell ref="XM36:XM38"/>
    <mergeCell ref="XN36:XN38"/>
    <mergeCell ref="XO36:XO38"/>
    <mergeCell ref="XP36:XP38"/>
    <mergeCell ref="XQ36:XQ38"/>
    <mergeCell ref="XR36:XR38"/>
    <mergeCell ref="XS36:XS38"/>
    <mergeCell ref="XT36:XT38"/>
    <mergeCell ref="XU36:XU38"/>
    <mergeCell ref="XV36:XV38"/>
    <mergeCell ref="XW36:XW38"/>
    <mergeCell ref="XX36:XX38"/>
    <mergeCell ref="XY36:XY38"/>
    <mergeCell ref="XZ36:XZ38"/>
    <mergeCell ref="YA36:YA38"/>
    <mergeCell ref="YB36:YB38"/>
    <mergeCell ref="YC36:YC38"/>
    <mergeCell ref="YD36:YD38"/>
    <mergeCell ref="YE36:YE38"/>
    <mergeCell ref="YF36:YF38"/>
    <mergeCell ref="YG36:YG38"/>
    <mergeCell ref="YH36:YH38"/>
    <mergeCell ref="YI36:YI38"/>
    <mergeCell ref="YJ36:YJ38"/>
    <mergeCell ref="YK36:YK38"/>
    <mergeCell ref="YL36:YL38"/>
    <mergeCell ref="YM36:YM38"/>
    <mergeCell ref="YN36:YN38"/>
    <mergeCell ref="YO36:YO38"/>
    <mergeCell ref="YP36:YP38"/>
    <mergeCell ref="EV36:EV38"/>
    <mergeCell ref="EW36:EW38"/>
    <mergeCell ref="EX36:EX38"/>
    <mergeCell ref="EY36:EY38"/>
    <mergeCell ref="EZ36:EZ38"/>
    <mergeCell ref="FA36:FA38"/>
    <mergeCell ref="FB36:FB38"/>
    <mergeCell ref="FC36:FC38"/>
    <mergeCell ref="FD36:FD38"/>
    <mergeCell ref="FE36:FE38"/>
    <mergeCell ref="FF36:FF38"/>
    <mergeCell ref="FG36:FG38"/>
    <mergeCell ref="FH36:FH38"/>
    <mergeCell ref="FI36:FI38"/>
    <mergeCell ref="FJ36:FJ38"/>
    <mergeCell ref="FK36:FK38"/>
    <mergeCell ref="FL36:FL38"/>
    <mergeCell ref="FM36:FM38"/>
    <mergeCell ref="FN36:FN38"/>
    <mergeCell ref="FO36:FO38"/>
    <mergeCell ref="FP36:FP38"/>
    <mergeCell ref="FQ36:FQ38"/>
    <mergeCell ref="FR36:FR38"/>
    <mergeCell ref="FS36:FS38"/>
    <mergeCell ref="FT36:FT38"/>
    <mergeCell ref="FU36:FU38"/>
    <mergeCell ref="FV36:FV38"/>
    <mergeCell ref="FW36:FW38"/>
    <mergeCell ref="FX36:FX38"/>
    <mergeCell ref="FY36:FY38"/>
    <mergeCell ref="FZ36:FZ38"/>
    <mergeCell ref="ZB33:ZB35"/>
    <mergeCell ref="ZC33:ZC35"/>
    <mergeCell ref="ZD33:ZD35"/>
    <mergeCell ref="ZE33:ZE35"/>
    <mergeCell ref="ZF33:ZF35"/>
    <mergeCell ref="ZG33:ZG35"/>
    <mergeCell ref="ZH33:ZH35"/>
    <mergeCell ref="ZI33:ZI35"/>
    <mergeCell ref="ZJ33:ZJ35"/>
    <mergeCell ref="ZK33:ZK35"/>
    <mergeCell ref="ZL33:ZL35"/>
    <mergeCell ref="ZM33:ZM35"/>
    <mergeCell ref="ZN33:ZN35"/>
    <mergeCell ref="ZO33:ZO35"/>
    <mergeCell ref="ZP33:ZP35"/>
    <mergeCell ref="ZQ33:ZQ35"/>
    <mergeCell ref="ZR33:ZR35"/>
    <mergeCell ref="ZS33:ZS35"/>
    <mergeCell ref="ZT33:ZT35"/>
    <mergeCell ref="ET36:ET38"/>
    <mergeCell ref="EU36:EU38"/>
    <mergeCell ref="EM36:EM38"/>
    <mergeCell ref="EN36:EN38"/>
    <mergeCell ref="EO36:EO38"/>
    <mergeCell ref="EP36:EP38"/>
    <mergeCell ref="EQ36:EQ38"/>
    <mergeCell ref="ER36:ER38"/>
    <mergeCell ref="ES36:ES38"/>
    <mergeCell ref="CN36:CN38"/>
    <mergeCell ref="CO36:CO38"/>
    <mergeCell ref="CP36:CP38"/>
    <mergeCell ref="CQ36:CQ38"/>
    <mergeCell ref="CR36:CR38"/>
    <mergeCell ref="CS36:CS38"/>
    <mergeCell ref="CT36:CT38"/>
    <mergeCell ref="CU36:CU38"/>
    <mergeCell ref="CV36:CV38"/>
    <mergeCell ref="CW36:CW38"/>
    <mergeCell ref="CX36:CX38"/>
    <mergeCell ref="CY36:CY38"/>
    <mergeCell ref="CZ36:CZ38"/>
    <mergeCell ref="DA36:DA38"/>
    <mergeCell ref="DB36:DB38"/>
    <mergeCell ref="DC36:DC38"/>
    <mergeCell ref="DF36:DF38"/>
    <mergeCell ref="DG36:DG38"/>
    <mergeCell ref="DH36:DH38"/>
    <mergeCell ref="DI36:DI38"/>
    <mergeCell ref="DJ36:DJ38"/>
    <mergeCell ref="DK36:DK38"/>
    <mergeCell ref="DL36:DL38"/>
    <mergeCell ref="DM36:DM38"/>
    <mergeCell ref="DN36:DN38"/>
    <mergeCell ref="DO36:DO38"/>
    <mergeCell ref="DP36:DP38"/>
    <mergeCell ref="DQ36:DQ38"/>
    <mergeCell ref="DV36:DV38"/>
    <mergeCell ref="DW36:DW38"/>
    <mergeCell ref="DX36:DX38"/>
    <mergeCell ref="DY36:DY38"/>
    <mergeCell ref="DZ36:DZ38"/>
    <mergeCell ref="EA36:EA38"/>
    <mergeCell ref="EB36:EB38"/>
    <mergeCell ref="EC36:EC38"/>
    <mergeCell ref="XU33:XU35"/>
    <mergeCell ref="XV33:XV35"/>
    <mergeCell ref="XW33:XW35"/>
    <mergeCell ref="XX33:XX35"/>
    <mergeCell ref="XY33:XY35"/>
    <mergeCell ref="XZ33:XZ35"/>
    <mergeCell ref="YA33:YA35"/>
    <mergeCell ref="YB33:YB35"/>
    <mergeCell ref="YC33:YC35"/>
    <mergeCell ref="YD33:YD35"/>
    <mergeCell ref="YE33:YE35"/>
    <mergeCell ref="YF33:YF35"/>
    <mergeCell ref="YG33:YG35"/>
    <mergeCell ref="YH33:YH35"/>
    <mergeCell ref="YI33:YI35"/>
    <mergeCell ref="YJ33:YJ35"/>
    <mergeCell ref="YK33:YK35"/>
    <mergeCell ref="YL33:YL35"/>
    <mergeCell ref="YM33:YM35"/>
    <mergeCell ref="YN33:YN35"/>
    <mergeCell ref="YO33:YO35"/>
    <mergeCell ref="YP33:YP35"/>
    <mergeCell ref="YQ33:YQ35"/>
    <mergeCell ref="YR33:YR35"/>
    <mergeCell ref="YS33:YS35"/>
    <mergeCell ref="YT33:YT35"/>
    <mergeCell ref="YU33:YU35"/>
    <mergeCell ref="YV33:YV35"/>
    <mergeCell ref="YW33:YW35"/>
    <mergeCell ref="YX33:YX35"/>
    <mergeCell ref="YY33:YY35"/>
    <mergeCell ref="YZ33:YZ35"/>
    <mergeCell ref="ZA33:ZA35"/>
    <mergeCell ref="WN33:WN35"/>
    <mergeCell ref="WO33:WO35"/>
    <mergeCell ref="WP33:WP35"/>
    <mergeCell ref="WQ33:WQ35"/>
    <mergeCell ref="WR33:WR35"/>
    <mergeCell ref="WS33:WS35"/>
    <mergeCell ref="WT33:WT35"/>
    <mergeCell ref="WU33:WU35"/>
    <mergeCell ref="WV33:WV35"/>
    <mergeCell ref="WW33:WW35"/>
    <mergeCell ref="WX33:WX35"/>
    <mergeCell ref="WY33:WY35"/>
    <mergeCell ref="WZ33:WZ35"/>
    <mergeCell ref="XA33:XA35"/>
    <mergeCell ref="XB33:XB35"/>
    <mergeCell ref="XC33:XC35"/>
    <mergeCell ref="XD33:XD35"/>
    <mergeCell ref="XE33:XE35"/>
    <mergeCell ref="XF33:XF35"/>
    <mergeCell ref="XG33:XG35"/>
    <mergeCell ref="XH33:XH35"/>
    <mergeCell ref="XI33:XI35"/>
    <mergeCell ref="XJ33:XJ35"/>
    <mergeCell ref="XK33:XK35"/>
    <mergeCell ref="XL33:XL35"/>
    <mergeCell ref="XM33:XM35"/>
    <mergeCell ref="XN33:XN35"/>
    <mergeCell ref="XO33:XO35"/>
    <mergeCell ref="XP33:XP35"/>
    <mergeCell ref="XQ33:XQ35"/>
    <mergeCell ref="XR33:XR35"/>
    <mergeCell ref="XS33:XS35"/>
    <mergeCell ref="XT33:XT35"/>
    <mergeCell ref="VG33:VG35"/>
    <mergeCell ref="VH33:VH35"/>
    <mergeCell ref="VI33:VI35"/>
    <mergeCell ref="VJ33:VJ35"/>
    <mergeCell ref="VK33:VK35"/>
    <mergeCell ref="VL33:VL35"/>
    <mergeCell ref="VM33:VM35"/>
    <mergeCell ref="VN33:VN35"/>
    <mergeCell ref="VO33:VO35"/>
    <mergeCell ref="VP33:VP35"/>
    <mergeCell ref="VQ33:VQ35"/>
    <mergeCell ref="VX34:VX35"/>
    <mergeCell ref="VY34:VY35"/>
    <mergeCell ref="VR33:VR35"/>
    <mergeCell ref="VS33:VS35"/>
    <mergeCell ref="VT33:VT35"/>
    <mergeCell ref="VU33:VU35"/>
    <mergeCell ref="VV33:VV35"/>
    <mergeCell ref="VW33:VW35"/>
    <mergeCell ref="VZ33:VZ35"/>
    <mergeCell ref="WA33:WA35"/>
    <mergeCell ref="WB33:WB35"/>
    <mergeCell ref="WC33:WC35"/>
    <mergeCell ref="WD33:WD35"/>
    <mergeCell ref="WE33:WE35"/>
    <mergeCell ref="WF33:WF35"/>
    <mergeCell ref="WG33:WG35"/>
    <mergeCell ref="WH33:WH35"/>
    <mergeCell ref="WI33:WI35"/>
    <mergeCell ref="WJ33:WJ35"/>
    <mergeCell ref="WK33:WK35"/>
    <mergeCell ref="WL33:WL35"/>
    <mergeCell ref="WM33:WM35"/>
    <mergeCell ref="TZ33:TZ35"/>
    <mergeCell ref="UA33:UA35"/>
    <mergeCell ref="UB33:UB35"/>
    <mergeCell ref="UC33:UC35"/>
    <mergeCell ref="UD33:UD35"/>
    <mergeCell ref="UE33:UE35"/>
    <mergeCell ref="UF33:UF35"/>
    <mergeCell ref="UG33:UG35"/>
    <mergeCell ref="UH33:UH35"/>
    <mergeCell ref="UI33:UI35"/>
    <mergeCell ref="UJ33:UJ35"/>
    <mergeCell ref="UK33:UK35"/>
    <mergeCell ref="UL33:UL35"/>
    <mergeCell ref="UM33:UM35"/>
    <mergeCell ref="UN33:UN35"/>
    <mergeCell ref="UO33:UO35"/>
    <mergeCell ref="UP33:UP35"/>
    <mergeCell ref="UQ33:UQ35"/>
    <mergeCell ref="UR33:UR35"/>
    <mergeCell ref="US33:US35"/>
    <mergeCell ref="UT33:UT35"/>
    <mergeCell ref="UU33:UU35"/>
    <mergeCell ref="UV33:UV35"/>
    <mergeCell ref="UW33:UW35"/>
    <mergeCell ref="UX33:UX35"/>
    <mergeCell ref="UY33:UY35"/>
    <mergeCell ref="UZ33:UZ35"/>
    <mergeCell ref="VA33:VA35"/>
    <mergeCell ref="VB33:VB35"/>
    <mergeCell ref="VC33:VC35"/>
    <mergeCell ref="VD33:VD35"/>
    <mergeCell ref="VE33:VE35"/>
    <mergeCell ref="VF33:VF35"/>
    <mergeCell ref="SS33:SS35"/>
    <mergeCell ref="ST33:ST35"/>
    <mergeCell ref="SU33:SU35"/>
    <mergeCell ref="SV33:SV35"/>
    <mergeCell ref="SW33:SW35"/>
    <mergeCell ref="SX33:SX35"/>
    <mergeCell ref="SY33:SY35"/>
    <mergeCell ref="SZ33:SZ35"/>
    <mergeCell ref="TA33:TA35"/>
    <mergeCell ref="TB33:TB35"/>
    <mergeCell ref="TC33:TC35"/>
    <mergeCell ref="TD33:TD35"/>
    <mergeCell ref="TE33:TE35"/>
    <mergeCell ref="TF33:TF35"/>
    <mergeCell ref="TG33:TG35"/>
    <mergeCell ref="TH33:TH35"/>
    <mergeCell ref="TI33:TI35"/>
    <mergeCell ref="TJ33:TJ35"/>
    <mergeCell ref="TK33:TK35"/>
    <mergeCell ref="TL33:TL35"/>
    <mergeCell ref="TM33:TM35"/>
    <mergeCell ref="TN33:TN35"/>
    <mergeCell ref="TO33:TO35"/>
    <mergeCell ref="TP33:TP35"/>
    <mergeCell ref="TQ33:TQ35"/>
    <mergeCell ref="TR33:TR35"/>
    <mergeCell ref="TS33:TS35"/>
    <mergeCell ref="TT33:TT35"/>
    <mergeCell ref="TU33:TU35"/>
    <mergeCell ref="TV33:TV35"/>
    <mergeCell ref="TW33:TW35"/>
    <mergeCell ref="TX33:TX35"/>
    <mergeCell ref="TY33:TY35"/>
    <mergeCell ref="RL33:RL35"/>
    <mergeCell ref="RM33:RM35"/>
    <mergeCell ref="RN33:RN35"/>
    <mergeCell ref="RO33:RO35"/>
    <mergeCell ref="RP33:RP35"/>
    <mergeCell ref="RQ33:RQ35"/>
    <mergeCell ref="RR33:RR35"/>
    <mergeCell ref="RS33:RS35"/>
    <mergeCell ref="RT33:RT35"/>
    <mergeCell ref="RU33:RU35"/>
    <mergeCell ref="RV33:RV35"/>
    <mergeCell ref="RW33:RW35"/>
    <mergeCell ref="RX33:RX35"/>
    <mergeCell ref="RY33:RY35"/>
    <mergeCell ref="RZ33:RZ35"/>
    <mergeCell ref="SA33:SA35"/>
    <mergeCell ref="SB33:SB35"/>
    <mergeCell ref="SC33:SC35"/>
    <mergeCell ref="SD33:SD35"/>
    <mergeCell ref="SE33:SE35"/>
    <mergeCell ref="SF33:SF35"/>
    <mergeCell ref="SG33:SG35"/>
    <mergeCell ref="SH33:SH35"/>
    <mergeCell ref="SI33:SI35"/>
    <mergeCell ref="SJ33:SJ35"/>
    <mergeCell ref="SK33:SK35"/>
    <mergeCell ref="SL33:SL35"/>
    <mergeCell ref="SM33:SM35"/>
    <mergeCell ref="SN33:SN35"/>
    <mergeCell ref="SO33:SO35"/>
    <mergeCell ref="SP33:SP35"/>
    <mergeCell ref="SQ33:SQ35"/>
    <mergeCell ref="SR33:SR35"/>
    <mergeCell ref="QE33:QE35"/>
    <mergeCell ref="QF33:QF35"/>
    <mergeCell ref="QG33:QG35"/>
    <mergeCell ref="QH33:QH35"/>
    <mergeCell ref="QI33:QI35"/>
    <mergeCell ref="QJ33:QJ35"/>
    <mergeCell ref="QK33:QK35"/>
    <mergeCell ref="QL33:QL35"/>
    <mergeCell ref="QM33:QM35"/>
    <mergeCell ref="QN33:QN35"/>
    <mergeCell ref="QO33:QO35"/>
    <mergeCell ref="QP33:QP35"/>
    <mergeCell ref="QQ33:QQ35"/>
    <mergeCell ref="QR33:QR35"/>
    <mergeCell ref="QS33:QS35"/>
    <mergeCell ref="QT33:QT35"/>
    <mergeCell ref="QU33:QU35"/>
    <mergeCell ref="QV33:QV35"/>
    <mergeCell ref="QW33:QW35"/>
    <mergeCell ref="QX33:QX35"/>
    <mergeCell ref="QY33:QY35"/>
    <mergeCell ref="QZ33:QZ35"/>
    <mergeCell ref="RA33:RA35"/>
    <mergeCell ref="RB33:RB35"/>
    <mergeCell ref="RC33:RC35"/>
    <mergeCell ref="RD33:RD35"/>
    <mergeCell ref="RE33:RE35"/>
    <mergeCell ref="RF33:RF35"/>
    <mergeCell ref="RG33:RG35"/>
    <mergeCell ref="RH33:RH35"/>
    <mergeCell ref="RI33:RI35"/>
    <mergeCell ref="RJ33:RJ35"/>
    <mergeCell ref="RK33:RK35"/>
    <mergeCell ref="OX33:OX35"/>
    <mergeCell ref="OY33:OY35"/>
    <mergeCell ref="OZ33:OZ35"/>
    <mergeCell ref="PA33:PA35"/>
    <mergeCell ref="PB33:PB35"/>
    <mergeCell ref="PC33:PC35"/>
    <mergeCell ref="PD33:PD35"/>
    <mergeCell ref="PE33:PE35"/>
    <mergeCell ref="PF33:PF35"/>
    <mergeCell ref="PG33:PG35"/>
    <mergeCell ref="PH33:PH35"/>
    <mergeCell ref="PI33:PI35"/>
    <mergeCell ref="PJ33:PJ35"/>
    <mergeCell ref="PK33:PK35"/>
    <mergeCell ref="PL33:PL35"/>
    <mergeCell ref="PM33:PM35"/>
    <mergeCell ref="PN33:PN35"/>
    <mergeCell ref="PO33:PO35"/>
    <mergeCell ref="PP33:PP35"/>
    <mergeCell ref="PQ33:PQ35"/>
    <mergeCell ref="PR33:PR35"/>
    <mergeCell ref="PS33:PS35"/>
    <mergeCell ref="PT33:PT35"/>
    <mergeCell ref="PU33:PU35"/>
    <mergeCell ref="PV33:PV35"/>
    <mergeCell ref="PW33:PW35"/>
    <mergeCell ref="PX33:PX35"/>
    <mergeCell ref="PY33:PY35"/>
    <mergeCell ref="PZ33:PZ35"/>
    <mergeCell ref="QA33:QA35"/>
    <mergeCell ref="QB33:QB35"/>
    <mergeCell ref="QC33:QC35"/>
    <mergeCell ref="QD33:QD35"/>
    <mergeCell ref="NQ33:NQ35"/>
    <mergeCell ref="NR33:NR35"/>
    <mergeCell ref="NS33:NS35"/>
    <mergeCell ref="NT33:NT35"/>
    <mergeCell ref="NU33:NU35"/>
    <mergeCell ref="NV33:NV35"/>
    <mergeCell ref="NW33:NW35"/>
    <mergeCell ref="NX33:NX35"/>
    <mergeCell ref="NY33:NY35"/>
    <mergeCell ref="NZ33:NZ35"/>
    <mergeCell ref="OA33:OA35"/>
    <mergeCell ref="OD34:OD35"/>
    <mergeCell ref="OE34:OE35"/>
    <mergeCell ref="OB33:OB35"/>
    <mergeCell ref="OC33:OC35"/>
    <mergeCell ref="OF33:OF35"/>
    <mergeCell ref="OG33:OG35"/>
    <mergeCell ref="OH33:OH35"/>
    <mergeCell ref="OI33:OI35"/>
    <mergeCell ref="OJ33:OJ35"/>
    <mergeCell ref="OK33:OK35"/>
    <mergeCell ref="OL33:OL35"/>
    <mergeCell ref="OM33:OM35"/>
    <mergeCell ref="ON33:ON35"/>
    <mergeCell ref="OO33:OO35"/>
    <mergeCell ref="OP33:OP35"/>
    <mergeCell ref="OQ33:OQ35"/>
    <mergeCell ref="OR33:OR35"/>
    <mergeCell ref="OS33:OS35"/>
    <mergeCell ref="OT33:OT35"/>
    <mergeCell ref="OU33:OU35"/>
    <mergeCell ref="OV33:OV35"/>
    <mergeCell ref="OW33:OW35"/>
    <mergeCell ref="AHS33:AHS35"/>
    <mergeCell ref="AHT33:AHT35"/>
    <mergeCell ref="AHU33:AHU35"/>
    <mergeCell ref="AHV33:AHV35"/>
    <mergeCell ref="AHW33:AHW35"/>
    <mergeCell ref="AHZ33:AHZ35"/>
    <mergeCell ref="AIA33:AIA35"/>
    <mergeCell ref="AHK33:AHK35"/>
    <mergeCell ref="AHL33:AHL35"/>
    <mergeCell ref="AHM33:AHM35"/>
    <mergeCell ref="AHN33:AHN35"/>
    <mergeCell ref="AHO33:AHO35"/>
    <mergeCell ref="AHP33:AHP35"/>
    <mergeCell ref="AHQ33:AHQ35"/>
    <mergeCell ref="AFN33:AFN35"/>
    <mergeCell ref="AFO33:AFO35"/>
    <mergeCell ref="AFP33:AFP35"/>
    <mergeCell ref="AFQ33:AFQ35"/>
    <mergeCell ref="AFR33:AFR35"/>
    <mergeCell ref="AFS33:AFS35"/>
    <mergeCell ref="AFT33:AFT35"/>
    <mergeCell ref="AFU33:AFU35"/>
    <mergeCell ref="AFV33:AFV35"/>
    <mergeCell ref="AFW33:AFW35"/>
    <mergeCell ref="AFX33:AFX35"/>
    <mergeCell ref="AFY33:AFY35"/>
    <mergeCell ref="AFZ33:AFZ35"/>
    <mergeCell ref="AGA33:AGA35"/>
    <mergeCell ref="AGB33:AGB35"/>
    <mergeCell ref="AGC33:AGC35"/>
    <mergeCell ref="AGD33:AGD35"/>
    <mergeCell ref="AGE33:AGE35"/>
    <mergeCell ref="AGF33:AGF35"/>
    <mergeCell ref="AGG33:AGG35"/>
    <mergeCell ref="AGH33:AGH35"/>
    <mergeCell ref="AGI33:AGI35"/>
    <mergeCell ref="AGJ33:AGJ35"/>
    <mergeCell ref="AGK33:AGK35"/>
    <mergeCell ref="AGL33:AGL35"/>
    <mergeCell ref="AGM33:AGM35"/>
    <mergeCell ref="AGN33:AGN35"/>
    <mergeCell ref="AGO33:AGO35"/>
    <mergeCell ref="AGP33:AGP35"/>
    <mergeCell ref="AGQ33:AGQ35"/>
    <mergeCell ref="AGR33:AGR35"/>
    <mergeCell ref="AGS33:AGS35"/>
    <mergeCell ref="AGT33:AGT35"/>
    <mergeCell ref="AGU33:AGU35"/>
    <mergeCell ref="AGV33:AGV35"/>
    <mergeCell ref="AGW33:AGW35"/>
    <mergeCell ref="AGX33:AGX35"/>
    <mergeCell ref="AGY33:AGY35"/>
    <mergeCell ref="AGZ33:AGZ35"/>
    <mergeCell ref="AHA33:AHA35"/>
    <mergeCell ref="AHB33:AHB35"/>
    <mergeCell ref="AHC33:AHC35"/>
    <mergeCell ref="AHD33:AHD35"/>
    <mergeCell ref="AHE33:AHE35"/>
    <mergeCell ref="AHF33:AHF35"/>
    <mergeCell ref="AHG33:AHG35"/>
    <mergeCell ref="AHH33:AHH35"/>
    <mergeCell ref="AHI33:AHI35"/>
    <mergeCell ref="AHJ33:AHJ35"/>
    <mergeCell ref="AEH33:AEH35"/>
    <mergeCell ref="AEI33:AEI35"/>
    <mergeCell ref="AEJ33:AEJ35"/>
    <mergeCell ref="AEK33:AEK35"/>
    <mergeCell ref="AEL33:AEL35"/>
    <mergeCell ref="AEM33:AEM35"/>
    <mergeCell ref="AEN33:AEN35"/>
    <mergeCell ref="AEO33:AEO35"/>
    <mergeCell ref="AEP33:AEP35"/>
    <mergeCell ref="AEQ33:AEQ35"/>
    <mergeCell ref="AER33:AER35"/>
    <mergeCell ref="AES33:AES35"/>
    <mergeCell ref="AET33:AET35"/>
    <mergeCell ref="AEU33:AEU35"/>
    <mergeCell ref="AEV33:AEV35"/>
    <mergeCell ref="AEW33:AEW35"/>
    <mergeCell ref="AEX33:AEX35"/>
    <mergeCell ref="AEY33:AEY35"/>
    <mergeCell ref="AEZ33:AEZ35"/>
    <mergeCell ref="AFA33:AFA35"/>
    <mergeCell ref="AFB33:AFB35"/>
    <mergeCell ref="AFC33:AFC35"/>
    <mergeCell ref="AFD33:AFD35"/>
    <mergeCell ref="AFE33:AFE35"/>
    <mergeCell ref="AFF33:AFF35"/>
    <mergeCell ref="AFG33:AFG35"/>
    <mergeCell ref="AFH33:AFH35"/>
    <mergeCell ref="AFI33:AFI35"/>
    <mergeCell ref="AFJ33:AFJ35"/>
    <mergeCell ref="AFK33:AFK35"/>
    <mergeCell ref="AFL33:AFL35"/>
    <mergeCell ref="AFM33:AFM35"/>
    <mergeCell ref="AHR33:AHR35"/>
    <mergeCell ref="ADA33:ADA35"/>
    <mergeCell ref="ADB33:ADB35"/>
    <mergeCell ref="ADC33:ADC35"/>
    <mergeCell ref="ADD33:ADD35"/>
    <mergeCell ref="ADE33:ADE35"/>
    <mergeCell ref="ADF33:ADF35"/>
    <mergeCell ref="ADG33:ADG35"/>
    <mergeCell ref="ADH33:ADH35"/>
    <mergeCell ref="ADI33:ADI35"/>
    <mergeCell ref="ADJ33:ADJ35"/>
    <mergeCell ref="ADK33:ADK35"/>
    <mergeCell ref="ADL33:ADL35"/>
    <mergeCell ref="ADM33:ADM35"/>
    <mergeCell ref="ADN33:ADN35"/>
    <mergeCell ref="ADO33:ADO35"/>
    <mergeCell ref="ADP33:ADP35"/>
    <mergeCell ref="ADQ33:ADQ35"/>
    <mergeCell ref="ADR33:ADR35"/>
    <mergeCell ref="ADS33:ADS35"/>
    <mergeCell ref="ADT33:ADT35"/>
    <mergeCell ref="ADU33:ADU35"/>
    <mergeCell ref="ADV33:ADV35"/>
    <mergeCell ref="ADW33:ADW35"/>
    <mergeCell ref="ADX33:ADX35"/>
    <mergeCell ref="ADY33:ADY35"/>
    <mergeCell ref="ADZ33:ADZ35"/>
    <mergeCell ref="AEA33:AEA35"/>
    <mergeCell ref="AEB33:AEB35"/>
    <mergeCell ref="AEC33:AEC35"/>
    <mergeCell ref="AED33:AED35"/>
    <mergeCell ref="AEE33:AEE35"/>
    <mergeCell ref="AEF33:AEF35"/>
    <mergeCell ref="AEG33:AEG35"/>
    <mergeCell ref="ABR33:ABR35"/>
    <mergeCell ref="ABS33:ABS35"/>
    <mergeCell ref="ABT33:ABT35"/>
    <mergeCell ref="ABU33:ABU35"/>
    <mergeCell ref="ABV33:ABV35"/>
    <mergeCell ref="ABW33:ABW35"/>
    <mergeCell ref="ABX33:ABX35"/>
    <mergeCell ref="ABY33:ABY35"/>
    <mergeCell ref="ABZ33:ABZ35"/>
    <mergeCell ref="ACA33:ACA35"/>
    <mergeCell ref="ACB33:ACB35"/>
    <mergeCell ref="ACC33:ACC35"/>
    <mergeCell ref="ACD33:ACD35"/>
    <mergeCell ref="ACE33:ACE35"/>
    <mergeCell ref="ACF33:ACF35"/>
    <mergeCell ref="ACG33:ACG35"/>
    <mergeCell ref="ACH33:ACH35"/>
    <mergeCell ref="ACI33:ACI35"/>
    <mergeCell ref="ACJ33:ACJ35"/>
    <mergeCell ref="ACK33:ACK35"/>
    <mergeCell ref="ACL33:ACL35"/>
    <mergeCell ref="ACM33:ACM35"/>
    <mergeCell ref="ACN33:ACN35"/>
    <mergeCell ref="ACO33:ACO35"/>
    <mergeCell ref="ACP33:ACP35"/>
    <mergeCell ref="ACQ33:ACQ35"/>
    <mergeCell ref="ACR33:ACR35"/>
    <mergeCell ref="ACS33:ACS35"/>
    <mergeCell ref="ACV33:ACV35"/>
    <mergeCell ref="ACW33:ACW35"/>
    <mergeCell ref="ACX33:ACX35"/>
    <mergeCell ref="ACY33:ACY35"/>
    <mergeCell ref="ACZ33:ACZ35"/>
    <mergeCell ref="AAK33:AAK35"/>
    <mergeCell ref="AAL33:AAL35"/>
    <mergeCell ref="AAM33:AAM35"/>
    <mergeCell ref="AAN33:AAN35"/>
    <mergeCell ref="AAO33:AAO35"/>
    <mergeCell ref="AAP33:AAP35"/>
    <mergeCell ref="AAQ33:AAQ35"/>
    <mergeCell ref="AAR33:AAR35"/>
    <mergeCell ref="AAS33:AAS35"/>
    <mergeCell ref="AAT33:AAT35"/>
    <mergeCell ref="AAU33:AAU35"/>
    <mergeCell ref="AAV33:AAV35"/>
    <mergeCell ref="AAW33:AAW35"/>
    <mergeCell ref="AAX33:AAX35"/>
    <mergeCell ref="AAY33:AAY35"/>
    <mergeCell ref="AAZ33:AAZ35"/>
    <mergeCell ref="ABA33:ABA35"/>
    <mergeCell ref="ABB33:ABB35"/>
    <mergeCell ref="ABC33:ABC35"/>
    <mergeCell ref="ABD33:ABD35"/>
    <mergeCell ref="ABE33:ABE35"/>
    <mergeCell ref="ABF33:ABF35"/>
    <mergeCell ref="ABG33:ABG35"/>
    <mergeCell ref="ABH33:ABH35"/>
    <mergeCell ref="ABI33:ABI35"/>
    <mergeCell ref="ABJ33:ABJ35"/>
    <mergeCell ref="ABK33:ABK35"/>
    <mergeCell ref="ABL33:ABL35"/>
    <mergeCell ref="ABM33:ABM35"/>
    <mergeCell ref="ABN33:ABN35"/>
    <mergeCell ref="ABO33:ABO35"/>
    <mergeCell ref="ABP33:ABP35"/>
    <mergeCell ref="ABQ33:ABQ35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30:A32"/>
    <mergeCell ref="B30:B32"/>
    <mergeCell ref="C30:C32"/>
    <mergeCell ref="D30:D32"/>
    <mergeCell ref="E30:E32"/>
    <mergeCell ref="F30:F32"/>
    <mergeCell ref="G30:G32"/>
    <mergeCell ref="ZU33:ZU35"/>
    <mergeCell ref="ZV33:ZV35"/>
    <mergeCell ref="ZW33:ZW35"/>
    <mergeCell ref="ZX33:ZX35"/>
    <mergeCell ref="ZY33:ZY35"/>
    <mergeCell ref="ZZ33:ZZ35"/>
    <mergeCell ref="AAA33:AAA35"/>
    <mergeCell ref="AAB33:AAB35"/>
    <mergeCell ref="AAC33:AAC35"/>
    <mergeCell ref="AAD33:AAD35"/>
    <mergeCell ref="AAE33:AAE35"/>
    <mergeCell ref="AAF33:AAF35"/>
    <mergeCell ref="AAG33:AAG35"/>
    <mergeCell ref="AAH33:AAH35"/>
    <mergeCell ref="AAI33:AAI35"/>
    <mergeCell ref="AAJ33:AAJ35"/>
    <mergeCell ref="ML33:ML35"/>
    <mergeCell ref="MM33:MM35"/>
    <mergeCell ref="MN33:MN35"/>
    <mergeCell ref="MO33:MO35"/>
    <mergeCell ref="MP33:MP35"/>
    <mergeCell ref="MQ33:MQ35"/>
    <mergeCell ref="MR33:MR35"/>
    <mergeCell ref="MS33:MS35"/>
    <mergeCell ref="MT33:MT35"/>
    <mergeCell ref="MU33:MU35"/>
    <mergeCell ref="MV33:MV35"/>
    <mergeCell ref="MW33:MW35"/>
    <mergeCell ref="MX33:MX35"/>
    <mergeCell ref="MY33:MY35"/>
    <mergeCell ref="MZ33:MZ35"/>
    <mergeCell ref="NA33:NA35"/>
    <mergeCell ref="NB33:NB35"/>
    <mergeCell ref="NC33:NC35"/>
    <mergeCell ref="ND33:ND35"/>
    <mergeCell ref="NE33:NE35"/>
    <mergeCell ref="NF33:NF35"/>
    <mergeCell ref="NG33:NG35"/>
    <mergeCell ref="NH33:NH35"/>
    <mergeCell ref="NI33:NI35"/>
    <mergeCell ref="NJ33:NJ35"/>
    <mergeCell ref="NK33:NK35"/>
    <mergeCell ref="NL33:NL35"/>
    <mergeCell ref="NM33:NM35"/>
    <mergeCell ref="NN33:NN35"/>
    <mergeCell ref="NO33:NO35"/>
    <mergeCell ref="NP33:NP35"/>
    <mergeCell ref="LD30:LD32"/>
    <mergeCell ref="LE30:LE32"/>
    <mergeCell ref="LF30:LF32"/>
    <mergeCell ref="LG30:LG32"/>
    <mergeCell ref="LH30:LH32"/>
    <mergeCell ref="LI30:LI32"/>
    <mergeCell ref="LJ30:LJ32"/>
    <mergeCell ref="LK30:LK32"/>
    <mergeCell ref="LN30:LN32"/>
    <mergeCell ref="LO30:LO32"/>
    <mergeCell ref="LP30:LP32"/>
    <mergeCell ref="LQ30:LQ32"/>
    <mergeCell ref="LR30:LR32"/>
    <mergeCell ref="LS30:LS32"/>
    <mergeCell ref="LT30:LT32"/>
    <mergeCell ref="LU30:LU32"/>
    <mergeCell ref="LV30:LV32"/>
    <mergeCell ref="LW30:LW32"/>
    <mergeCell ref="LX30:LX32"/>
    <mergeCell ref="LY30:LY32"/>
    <mergeCell ref="LZ30:LZ32"/>
    <mergeCell ref="MA30:MA32"/>
    <mergeCell ref="MB30:MB32"/>
    <mergeCell ref="MC30:MC32"/>
    <mergeCell ref="MD30:MD32"/>
    <mergeCell ref="ME30:ME32"/>
    <mergeCell ref="MF30:MF32"/>
    <mergeCell ref="MG30:MG32"/>
    <mergeCell ref="MH30:MH32"/>
    <mergeCell ref="MI30:MI32"/>
    <mergeCell ref="MJ30:MJ32"/>
    <mergeCell ref="MK30:MK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JW30:JW32"/>
    <mergeCell ref="JX30:JX32"/>
    <mergeCell ref="JY30:JY32"/>
    <mergeCell ref="JZ30:JZ32"/>
    <mergeCell ref="KA30:KA32"/>
    <mergeCell ref="KB30:KB32"/>
    <mergeCell ref="KC30:KC32"/>
    <mergeCell ref="KD30:KD32"/>
    <mergeCell ref="KE30:KE32"/>
    <mergeCell ref="KF30:KF32"/>
    <mergeCell ref="KG30:KG32"/>
    <mergeCell ref="KH30:KH32"/>
    <mergeCell ref="KI30:KI32"/>
    <mergeCell ref="KJ30:KJ32"/>
    <mergeCell ref="KK30:KK32"/>
    <mergeCell ref="KL30:KL32"/>
    <mergeCell ref="KM30:KM32"/>
    <mergeCell ref="KN30:KN32"/>
    <mergeCell ref="KO30:KO32"/>
    <mergeCell ref="KP30:KP32"/>
    <mergeCell ref="KQ30:KQ32"/>
    <mergeCell ref="KR30:KR32"/>
    <mergeCell ref="KS30:KS32"/>
    <mergeCell ref="KT30:KT32"/>
    <mergeCell ref="KU30:KU32"/>
    <mergeCell ref="KV30:KV32"/>
    <mergeCell ref="KW30:KW32"/>
    <mergeCell ref="KX30:KX32"/>
    <mergeCell ref="KY30:KY32"/>
    <mergeCell ref="KZ30:KZ32"/>
    <mergeCell ref="LA30:LA32"/>
    <mergeCell ref="LB30:LB32"/>
    <mergeCell ref="LC30:LC32"/>
    <mergeCell ref="IP30:IP32"/>
    <mergeCell ref="IQ30:IQ32"/>
    <mergeCell ref="IR30:IR32"/>
    <mergeCell ref="IS30:IS32"/>
    <mergeCell ref="IT30:IT32"/>
    <mergeCell ref="IU30:IU32"/>
    <mergeCell ref="IV30:IV32"/>
    <mergeCell ref="IW30:IW32"/>
    <mergeCell ref="IX30:IX32"/>
    <mergeCell ref="IY30:IY32"/>
    <mergeCell ref="IZ30:IZ32"/>
    <mergeCell ref="JA30:JA32"/>
    <mergeCell ref="JB30:JB32"/>
    <mergeCell ref="JC30:JC32"/>
    <mergeCell ref="JD30:JD32"/>
    <mergeCell ref="JE30:JE32"/>
    <mergeCell ref="JF30:JF32"/>
    <mergeCell ref="JG30:JG32"/>
    <mergeCell ref="JH30:JH32"/>
    <mergeCell ref="JI30:JI32"/>
    <mergeCell ref="JJ30:JJ32"/>
    <mergeCell ref="JK30:JK32"/>
    <mergeCell ref="JL30:JL32"/>
    <mergeCell ref="JM30:JM32"/>
    <mergeCell ref="JN30:JN32"/>
    <mergeCell ref="JO30:JO32"/>
    <mergeCell ref="JP30:JP32"/>
    <mergeCell ref="JQ30:JQ32"/>
    <mergeCell ref="JR30:JR32"/>
    <mergeCell ref="JS30:JS32"/>
    <mergeCell ref="JT30:JT32"/>
    <mergeCell ref="JU30:JU32"/>
    <mergeCell ref="JV30:JV32"/>
    <mergeCell ref="HH30:HH32"/>
    <mergeCell ref="HI30:HI32"/>
    <mergeCell ref="HJ30:HJ32"/>
    <mergeCell ref="HK30:HK32"/>
    <mergeCell ref="HU30:HU32"/>
    <mergeCell ref="HV30:HV32"/>
    <mergeCell ref="HW30:HW32"/>
    <mergeCell ref="HX30:HX32"/>
    <mergeCell ref="HY30:HY32"/>
    <mergeCell ref="HZ30:HZ32"/>
    <mergeCell ref="IA30:IA32"/>
    <mergeCell ref="IB30:IB32"/>
    <mergeCell ref="IC30:IC32"/>
    <mergeCell ref="ID30:ID32"/>
    <mergeCell ref="IE30:IE32"/>
    <mergeCell ref="IF30:IF32"/>
    <mergeCell ref="IG30:IG32"/>
    <mergeCell ref="IH30:IH32"/>
    <mergeCell ref="II30:II32"/>
    <mergeCell ref="IJ30:IJ32"/>
    <mergeCell ref="IK30:IK32"/>
    <mergeCell ref="IL30:IL32"/>
    <mergeCell ref="IM30:IM32"/>
    <mergeCell ref="IN30:IN32"/>
    <mergeCell ref="IO30:IO32"/>
    <mergeCell ref="HN31:HN32"/>
    <mergeCell ref="HO31:HO32"/>
    <mergeCell ref="HL30:HL32"/>
    <mergeCell ref="HM30:HM32"/>
    <mergeCell ref="HP30:HP32"/>
    <mergeCell ref="HQ30:HQ32"/>
    <mergeCell ref="HR30:HR32"/>
    <mergeCell ref="HS30:HS32"/>
    <mergeCell ref="HT30:HT32"/>
    <mergeCell ref="GA30:GA32"/>
    <mergeCell ref="GB30:GB32"/>
    <mergeCell ref="GC30:GC32"/>
    <mergeCell ref="GD30:GD32"/>
    <mergeCell ref="GE30:GE32"/>
    <mergeCell ref="GF30:GF32"/>
    <mergeCell ref="GG30:GG32"/>
    <mergeCell ref="GH30:GH32"/>
    <mergeCell ref="GI30:GI32"/>
    <mergeCell ref="GJ30:GJ32"/>
    <mergeCell ref="GK30:GK32"/>
    <mergeCell ref="GL30:GL32"/>
    <mergeCell ref="GM30:GM32"/>
    <mergeCell ref="GN30:GN32"/>
    <mergeCell ref="GO30:GO32"/>
    <mergeCell ref="GP30:GP32"/>
    <mergeCell ref="GQ30:GQ32"/>
    <mergeCell ref="GR30:GR32"/>
    <mergeCell ref="GS30:GS32"/>
    <mergeCell ref="GT30:GT32"/>
    <mergeCell ref="GU30:GU32"/>
    <mergeCell ref="GV30:GV32"/>
    <mergeCell ref="GW30:GW32"/>
    <mergeCell ref="GX30:GX32"/>
    <mergeCell ref="GY30:GY32"/>
    <mergeCell ref="GZ30:GZ32"/>
    <mergeCell ref="HA30:HA32"/>
    <mergeCell ref="HB30:HB32"/>
    <mergeCell ref="HC30:HC32"/>
    <mergeCell ref="HD30:HD32"/>
    <mergeCell ref="HE30:HE32"/>
    <mergeCell ref="HF30:HF32"/>
    <mergeCell ref="HG30:HG32"/>
    <mergeCell ref="ET30:ET32"/>
    <mergeCell ref="EU30:EU32"/>
    <mergeCell ref="EV30:EV32"/>
    <mergeCell ref="EW30:EW32"/>
    <mergeCell ref="EX30:EX32"/>
    <mergeCell ref="EY30:EY32"/>
    <mergeCell ref="EZ30:EZ32"/>
    <mergeCell ref="FA30:FA32"/>
    <mergeCell ref="FB30:FB32"/>
    <mergeCell ref="FC30:FC32"/>
    <mergeCell ref="FD30:FD32"/>
    <mergeCell ref="FE30:FE32"/>
    <mergeCell ref="FF30:FF32"/>
    <mergeCell ref="FG30:FG32"/>
    <mergeCell ref="FH30:FH32"/>
    <mergeCell ref="FI30:FI32"/>
    <mergeCell ref="FJ30:FJ32"/>
    <mergeCell ref="FK30:FK32"/>
    <mergeCell ref="FL30:FL32"/>
    <mergeCell ref="FM30:FM32"/>
    <mergeCell ref="FN30:FN32"/>
    <mergeCell ref="FO30:FO32"/>
    <mergeCell ref="FP30:FP32"/>
    <mergeCell ref="FQ30:FQ32"/>
    <mergeCell ref="FR30:FR32"/>
    <mergeCell ref="FS30:FS32"/>
    <mergeCell ref="FT30:FT32"/>
    <mergeCell ref="FU30:FU32"/>
    <mergeCell ref="FV30:FV32"/>
    <mergeCell ref="FW30:FW32"/>
    <mergeCell ref="FX30:FX32"/>
    <mergeCell ref="FY30:FY32"/>
    <mergeCell ref="FZ30:FZ32"/>
    <mergeCell ref="DL30:DL32"/>
    <mergeCell ref="DM30:DM32"/>
    <mergeCell ref="DN30:DN32"/>
    <mergeCell ref="DO30:DO32"/>
    <mergeCell ref="DY30:DY32"/>
    <mergeCell ref="DZ30:DZ32"/>
    <mergeCell ref="EA30:EA32"/>
    <mergeCell ref="EB30:EB32"/>
    <mergeCell ref="EC30:EC32"/>
    <mergeCell ref="ED30:ED32"/>
    <mergeCell ref="EE30:EE32"/>
    <mergeCell ref="EF30:EF32"/>
    <mergeCell ref="EG30:EG32"/>
    <mergeCell ref="EH30:EH32"/>
    <mergeCell ref="EI30:EI32"/>
    <mergeCell ref="EJ30:EJ32"/>
    <mergeCell ref="EK30:EK32"/>
    <mergeCell ref="EL30:EL32"/>
    <mergeCell ref="EM30:EM32"/>
    <mergeCell ref="EN30:EN32"/>
    <mergeCell ref="EO30:EO32"/>
    <mergeCell ref="EP30:EP32"/>
    <mergeCell ref="EQ30:EQ32"/>
    <mergeCell ref="ER30:ER32"/>
    <mergeCell ref="ES30:ES32"/>
    <mergeCell ref="DR30:DR32"/>
    <mergeCell ref="DS30:DS32"/>
    <mergeCell ref="DP30:DP32"/>
    <mergeCell ref="DQ30:DQ32"/>
    <mergeCell ref="DT30:DT32"/>
    <mergeCell ref="DU30:DU32"/>
    <mergeCell ref="DV30:DV32"/>
    <mergeCell ref="DW30:DW32"/>
    <mergeCell ref="DX30:DX32"/>
    <mergeCell ref="CE30:CE32"/>
    <mergeCell ref="CF30:CF32"/>
    <mergeCell ref="CG30:CG32"/>
    <mergeCell ref="CH30:CH32"/>
    <mergeCell ref="CI30:CI32"/>
    <mergeCell ref="CJ30:CJ32"/>
    <mergeCell ref="CK30:CK32"/>
    <mergeCell ref="CL30:CL32"/>
    <mergeCell ref="CM30:CM32"/>
    <mergeCell ref="CN30:CN32"/>
    <mergeCell ref="CO30:CO32"/>
    <mergeCell ref="CP30:CP32"/>
    <mergeCell ref="CQ30:CQ32"/>
    <mergeCell ref="CR30:CR32"/>
    <mergeCell ref="CS30:CS32"/>
    <mergeCell ref="CT30:CT32"/>
    <mergeCell ref="CU30:CU32"/>
    <mergeCell ref="CV30:CV32"/>
    <mergeCell ref="CW30:CW32"/>
    <mergeCell ref="CX30:CX32"/>
    <mergeCell ref="CY30:CY32"/>
    <mergeCell ref="CZ30:CZ32"/>
    <mergeCell ref="DA30:DA32"/>
    <mergeCell ref="DB30:DB32"/>
    <mergeCell ref="DC30:DC32"/>
    <mergeCell ref="DD30:DD32"/>
    <mergeCell ref="DE30:DE32"/>
    <mergeCell ref="DF30:DF32"/>
    <mergeCell ref="DG30:DG32"/>
    <mergeCell ref="DH30:DH32"/>
    <mergeCell ref="DI30:DI32"/>
    <mergeCell ref="DJ30:DJ32"/>
    <mergeCell ref="DK30:DK32"/>
    <mergeCell ref="AX30:AX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I30:BI32"/>
    <mergeCell ref="BJ30:BJ32"/>
    <mergeCell ref="BK30:BK32"/>
    <mergeCell ref="BL30:BL32"/>
    <mergeCell ref="BM30:BM32"/>
    <mergeCell ref="BN30:BN32"/>
    <mergeCell ref="BO30:BO32"/>
    <mergeCell ref="BP30:BP32"/>
    <mergeCell ref="BQ30:BQ32"/>
    <mergeCell ref="BR30:BR32"/>
    <mergeCell ref="BS30:BS32"/>
    <mergeCell ref="BT30:BT32"/>
    <mergeCell ref="BU30:BU32"/>
    <mergeCell ref="BV30:BV32"/>
    <mergeCell ref="BW30:BW32"/>
    <mergeCell ref="BX30:BX32"/>
    <mergeCell ref="BY30:BY32"/>
    <mergeCell ref="BZ30:BZ32"/>
    <mergeCell ref="CA30:CA32"/>
    <mergeCell ref="CB30:CB32"/>
    <mergeCell ref="CC30:CC32"/>
    <mergeCell ref="CD30:CD32"/>
    <mergeCell ref="ZP30:ZP32"/>
    <mergeCell ref="ZQ30:ZQ32"/>
    <mergeCell ref="ZR30:ZR32"/>
    <mergeCell ref="ZS30:ZS32"/>
    <mergeCell ref="ZT30:ZT32"/>
    <mergeCell ref="ZU30:ZU32"/>
    <mergeCell ref="ZV30:ZV32"/>
    <mergeCell ref="RP31:RP32"/>
    <mergeCell ref="RQ31:RQ32"/>
    <mergeCell ref="RJ30:RJ32"/>
    <mergeCell ref="RK30:RK32"/>
    <mergeCell ref="RN30:RN32"/>
    <mergeCell ref="RO30:RO32"/>
    <mergeCell ref="RR30:RR32"/>
    <mergeCell ref="RS30:RS32"/>
    <mergeCell ref="RT30:RT32"/>
    <mergeCell ref="QH30:QH32"/>
    <mergeCell ref="QI30:QI32"/>
    <mergeCell ref="QJ30:QJ32"/>
    <mergeCell ref="QK30:QK32"/>
    <mergeCell ref="QL30:QL32"/>
    <mergeCell ref="QM30:QM32"/>
    <mergeCell ref="QN30:QN32"/>
    <mergeCell ref="QO30:QO32"/>
    <mergeCell ref="QP30:QP32"/>
    <mergeCell ref="QQ30:QQ32"/>
    <mergeCell ref="QR30:QR32"/>
    <mergeCell ref="QS30:QS32"/>
    <mergeCell ref="QT30:QT32"/>
    <mergeCell ref="QU30:QU32"/>
    <mergeCell ref="QV30:QV32"/>
    <mergeCell ref="QW30:QW32"/>
    <mergeCell ref="QX30:QX32"/>
    <mergeCell ref="QY30:QY32"/>
    <mergeCell ref="QZ30:QZ32"/>
    <mergeCell ref="RA30:RA32"/>
    <mergeCell ref="RB30:RB32"/>
    <mergeCell ref="RC30:RC32"/>
    <mergeCell ref="RD30:RD32"/>
    <mergeCell ref="RE30:RE32"/>
    <mergeCell ref="RF30:RF32"/>
    <mergeCell ref="RG30:RG32"/>
    <mergeCell ref="RH30:RH32"/>
    <mergeCell ref="RI30:RI32"/>
    <mergeCell ref="RU30:RU32"/>
    <mergeCell ref="RV30:RV32"/>
    <mergeCell ref="RW30:RW32"/>
    <mergeCell ref="RX30:RX32"/>
    <mergeCell ref="RY30:RY32"/>
    <mergeCell ref="RZ30:RZ32"/>
    <mergeCell ref="SA30:SA32"/>
    <mergeCell ref="SB30:SB32"/>
    <mergeCell ref="SC30:SC32"/>
    <mergeCell ref="SD30:SD32"/>
    <mergeCell ref="SE30:SE32"/>
    <mergeCell ref="SF30:SF32"/>
    <mergeCell ref="SG30:SG32"/>
    <mergeCell ref="SH30:SH32"/>
    <mergeCell ref="RL31:RL32"/>
    <mergeCell ref="RM31:RM32"/>
    <mergeCell ref="YI30:YI32"/>
    <mergeCell ref="YJ30:YJ32"/>
    <mergeCell ref="YK30:YK32"/>
    <mergeCell ref="YL30:YL32"/>
    <mergeCell ref="YM30:YM32"/>
    <mergeCell ref="YN30:YN32"/>
    <mergeCell ref="YO30:YO32"/>
    <mergeCell ref="YP30:YP32"/>
    <mergeCell ref="YQ30:YQ32"/>
    <mergeCell ref="YR30:YR32"/>
    <mergeCell ref="YS30:YS32"/>
    <mergeCell ref="YT30:YT32"/>
    <mergeCell ref="YU30:YU32"/>
    <mergeCell ref="YV30:YV32"/>
    <mergeCell ref="YW30:YW32"/>
    <mergeCell ref="YX30:YX32"/>
    <mergeCell ref="YY30:YY32"/>
    <mergeCell ref="YZ30:YZ32"/>
    <mergeCell ref="ZA30:ZA32"/>
    <mergeCell ref="ZB30:ZB32"/>
    <mergeCell ref="ZC30:ZC32"/>
    <mergeCell ref="ZD30:ZD32"/>
    <mergeCell ref="ZE30:ZE32"/>
    <mergeCell ref="ZF30:ZF32"/>
    <mergeCell ref="ZG30:ZG32"/>
    <mergeCell ref="ZH30:ZH32"/>
    <mergeCell ref="ZI30:ZI32"/>
    <mergeCell ref="ZJ30:ZJ32"/>
    <mergeCell ref="ZK30:ZK32"/>
    <mergeCell ref="ZL30:ZL32"/>
    <mergeCell ref="ZM30:ZM32"/>
    <mergeCell ref="ZN30:ZN32"/>
    <mergeCell ref="ZO30:ZO32"/>
    <mergeCell ref="XB30:XB32"/>
    <mergeCell ref="XC30:XC32"/>
    <mergeCell ref="XD30:XD32"/>
    <mergeCell ref="XE30:XE32"/>
    <mergeCell ref="XF30:XF32"/>
    <mergeCell ref="XG30:XG32"/>
    <mergeCell ref="XH30:XH32"/>
    <mergeCell ref="XI30:XI32"/>
    <mergeCell ref="XJ30:XJ32"/>
    <mergeCell ref="XK30:XK32"/>
    <mergeCell ref="XL30:XL32"/>
    <mergeCell ref="XM30:XM32"/>
    <mergeCell ref="XN30:XN32"/>
    <mergeCell ref="XO30:XO32"/>
    <mergeCell ref="XP30:XP32"/>
    <mergeCell ref="XQ30:XQ32"/>
    <mergeCell ref="XR30:XR32"/>
    <mergeCell ref="XS30:XS32"/>
    <mergeCell ref="XT30:XT32"/>
    <mergeCell ref="XU30:XU32"/>
    <mergeCell ref="XV30:XV32"/>
    <mergeCell ref="XW30:XW32"/>
    <mergeCell ref="XX30:XX32"/>
    <mergeCell ref="XY30:XY32"/>
    <mergeCell ref="XZ30:XZ32"/>
    <mergeCell ref="YA30:YA32"/>
    <mergeCell ref="YB30:YB32"/>
    <mergeCell ref="YC30:YC32"/>
    <mergeCell ref="YD30:YD32"/>
    <mergeCell ref="YE30:YE32"/>
    <mergeCell ref="YF30:YF32"/>
    <mergeCell ref="YG30:YG32"/>
    <mergeCell ref="YH30:YH32"/>
    <mergeCell ref="VU30:VU32"/>
    <mergeCell ref="VV30:VV32"/>
    <mergeCell ref="VW30:VW32"/>
    <mergeCell ref="VX30:VX32"/>
    <mergeCell ref="VY30:VY32"/>
    <mergeCell ref="VZ30:VZ32"/>
    <mergeCell ref="WA30:WA32"/>
    <mergeCell ref="WB30:WB32"/>
    <mergeCell ref="WC30:WC32"/>
    <mergeCell ref="WD30:WD32"/>
    <mergeCell ref="WE30:WE32"/>
    <mergeCell ref="WF30:WF32"/>
    <mergeCell ref="WG30:WG32"/>
    <mergeCell ref="WH30:WH32"/>
    <mergeCell ref="WI30:WI32"/>
    <mergeCell ref="WJ30:WJ32"/>
    <mergeCell ref="WK30:WK32"/>
    <mergeCell ref="WL30:WL32"/>
    <mergeCell ref="WM30:WM32"/>
    <mergeCell ref="WN30:WN32"/>
    <mergeCell ref="WO30:WO32"/>
    <mergeCell ref="WP30:WP32"/>
    <mergeCell ref="WQ30:WQ32"/>
    <mergeCell ref="WR30:WR32"/>
    <mergeCell ref="WS30:WS32"/>
    <mergeCell ref="WT30:WT32"/>
    <mergeCell ref="WU30:WU32"/>
    <mergeCell ref="WV30:WV32"/>
    <mergeCell ref="WW30:WW32"/>
    <mergeCell ref="WX30:WX32"/>
    <mergeCell ref="WY30:WY32"/>
    <mergeCell ref="WZ30:WZ32"/>
    <mergeCell ref="XA30:XA32"/>
    <mergeCell ref="UN30:UN32"/>
    <mergeCell ref="UO30:UO32"/>
    <mergeCell ref="UP30:UP32"/>
    <mergeCell ref="UQ30:UQ32"/>
    <mergeCell ref="UR30:UR32"/>
    <mergeCell ref="US30:US32"/>
    <mergeCell ref="UT30:UT32"/>
    <mergeCell ref="UU30:UU32"/>
    <mergeCell ref="UV30:UV32"/>
    <mergeCell ref="UW30:UW32"/>
    <mergeCell ref="UX30:UX32"/>
    <mergeCell ref="UY30:UY32"/>
    <mergeCell ref="UZ30:UZ32"/>
    <mergeCell ref="VA30:VA32"/>
    <mergeCell ref="VB30:VB32"/>
    <mergeCell ref="VC30:VC32"/>
    <mergeCell ref="VD30:VD32"/>
    <mergeCell ref="VE30:VE32"/>
    <mergeCell ref="VF30:VF32"/>
    <mergeCell ref="VG30:VG32"/>
    <mergeCell ref="VH30:VH32"/>
    <mergeCell ref="VI30:VI32"/>
    <mergeCell ref="VJ30:VJ32"/>
    <mergeCell ref="VK30:VK32"/>
    <mergeCell ref="VL30:VL32"/>
    <mergeCell ref="VM30:VM32"/>
    <mergeCell ref="VN30:VN32"/>
    <mergeCell ref="VO30:VO32"/>
    <mergeCell ref="VP30:VP32"/>
    <mergeCell ref="VQ30:VQ32"/>
    <mergeCell ref="VR30:VR32"/>
    <mergeCell ref="VS30:VS32"/>
    <mergeCell ref="VT30:VT32"/>
    <mergeCell ref="TG30:TG32"/>
    <mergeCell ref="TH30:TH32"/>
    <mergeCell ref="TI30:TI32"/>
    <mergeCell ref="TJ30:TJ32"/>
    <mergeCell ref="TK30:TK32"/>
    <mergeCell ref="TL30:TL32"/>
    <mergeCell ref="TM30:TM32"/>
    <mergeCell ref="TN30:TN32"/>
    <mergeCell ref="TO30:TO32"/>
    <mergeCell ref="TP30:TP32"/>
    <mergeCell ref="TQ30:TQ32"/>
    <mergeCell ref="TR30:TR32"/>
    <mergeCell ref="TS30:TS32"/>
    <mergeCell ref="TT30:TT32"/>
    <mergeCell ref="TU30:TU32"/>
    <mergeCell ref="TV30:TV32"/>
    <mergeCell ref="TW30:TW32"/>
    <mergeCell ref="TX30:TX32"/>
    <mergeCell ref="TY30:TY32"/>
    <mergeCell ref="TZ30:TZ32"/>
    <mergeCell ref="UA30:UA32"/>
    <mergeCell ref="UB30:UB32"/>
    <mergeCell ref="UC30:UC32"/>
    <mergeCell ref="UD30:UD32"/>
    <mergeCell ref="UE30:UE32"/>
    <mergeCell ref="UF30:UF32"/>
    <mergeCell ref="UG30:UG32"/>
    <mergeCell ref="UH30:UH32"/>
    <mergeCell ref="UI30:UI32"/>
    <mergeCell ref="UJ30:UJ32"/>
    <mergeCell ref="UK30:UK32"/>
    <mergeCell ref="UL30:UL32"/>
    <mergeCell ref="UM30:UM32"/>
    <mergeCell ref="PY30:PY32"/>
    <mergeCell ref="PZ30:PZ32"/>
    <mergeCell ref="QA30:QA32"/>
    <mergeCell ref="QB30:QB32"/>
    <mergeCell ref="QC30:QC32"/>
    <mergeCell ref="QD30:QD32"/>
    <mergeCell ref="QE30:QE32"/>
    <mergeCell ref="QF30:QF32"/>
    <mergeCell ref="QG30:QG32"/>
    <mergeCell ref="SI30:SI32"/>
    <mergeCell ref="SJ30:SJ32"/>
    <mergeCell ref="SK30:SK32"/>
    <mergeCell ref="SL30:SL32"/>
    <mergeCell ref="SM30:SM32"/>
    <mergeCell ref="SN30:SN32"/>
    <mergeCell ref="SO30:SO32"/>
    <mergeCell ref="SP30:SP32"/>
    <mergeCell ref="SQ30:SQ32"/>
    <mergeCell ref="SR30:SR32"/>
    <mergeCell ref="SS30:SS32"/>
    <mergeCell ref="ST30:ST32"/>
    <mergeCell ref="SU30:SU32"/>
    <mergeCell ref="SV30:SV32"/>
    <mergeCell ref="SW30:SW32"/>
    <mergeCell ref="SX30:SX32"/>
    <mergeCell ref="SY30:SY32"/>
    <mergeCell ref="SZ30:SZ32"/>
    <mergeCell ref="TA30:TA32"/>
    <mergeCell ref="TB30:TB32"/>
    <mergeCell ref="TC30:TC32"/>
    <mergeCell ref="TD30:TD32"/>
    <mergeCell ref="TE30:TE32"/>
    <mergeCell ref="TF30:TF32"/>
    <mergeCell ref="AHG30:AHG32"/>
    <mergeCell ref="AHH30:AHH32"/>
    <mergeCell ref="AHI30:AHI32"/>
    <mergeCell ref="AHJ30:AHJ32"/>
    <mergeCell ref="AHK30:AHK32"/>
    <mergeCell ref="AHL30:AHL32"/>
    <mergeCell ref="ML30:ML32"/>
    <mergeCell ref="MM30:MM32"/>
    <mergeCell ref="MN30:MN32"/>
    <mergeCell ref="MO30:MO32"/>
    <mergeCell ref="MP30:MP32"/>
    <mergeCell ref="MQ30:MQ32"/>
    <mergeCell ref="MR30:MR32"/>
    <mergeCell ref="MS30:MS32"/>
    <mergeCell ref="MT30:MT32"/>
    <mergeCell ref="MU30:MU32"/>
    <mergeCell ref="MV30:MV32"/>
    <mergeCell ref="MW30:MW32"/>
    <mergeCell ref="MX30:MX32"/>
    <mergeCell ref="MY30:MY32"/>
    <mergeCell ref="MZ30:MZ32"/>
    <mergeCell ref="NA30:NA32"/>
    <mergeCell ref="NB30:NB32"/>
    <mergeCell ref="NC30:NC32"/>
    <mergeCell ref="ND30:ND32"/>
    <mergeCell ref="NE30:NE32"/>
    <mergeCell ref="NF30:NF32"/>
    <mergeCell ref="NG30:NG32"/>
    <mergeCell ref="NH30:NH32"/>
    <mergeCell ref="NI30:NI32"/>
    <mergeCell ref="NJ30:NJ32"/>
    <mergeCell ref="NK30:NK32"/>
    <mergeCell ref="NL30:NL32"/>
    <mergeCell ref="NM30:NM32"/>
    <mergeCell ref="NN30:NN32"/>
    <mergeCell ref="NO30:NO32"/>
    <mergeCell ref="NP30:NP32"/>
    <mergeCell ref="NQ30:NQ32"/>
    <mergeCell ref="NR30:NR32"/>
    <mergeCell ref="NS30:NS32"/>
    <mergeCell ref="NT30:NT32"/>
    <mergeCell ref="NU30:NU32"/>
    <mergeCell ref="NV30:NV32"/>
    <mergeCell ref="NW30:NW32"/>
    <mergeCell ref="NX30:NX32"/>
    <mergeCell ref="NY30:NY32"/>
    <mergeCell ref="NZ30:NZ32"/>
    <mergeCell ref="OA30:OA32"/>
    <mergeCell ref="OB30:OB32"/>
    <mergeCell ref="OC30:OC32"/>
    <mergeCell ref="OF30:OF32"/>
    <mergeCell ref="OG30:OG32"/>
    <mergeCell ref="OH30:OH32"/>
    <mergeCell ref="OI30:OI32"/>
    <mergeCell ref="OJ30:OJ32"/>
    <mergeCell ref="OK30:OK32"/>
    <mergeCell ref="OL30:OL32"/>
    <mergeCell ref="OM30:OM32"/>
    <mergeCell ref="ON30:ON32"/>
    <mergeCell ref="OO30:OO32"/>
    <mergeCell ref="OP30:OP32"/>
    <mergeCell ref="OQ30:OQ32"/>
    <mergeCell ref="OR30:OR32"/>
    <mergeCell ref="OS30:OS32"/>
    <mergeCell ref="AFJ30:AFJ32"/>
    <mergeCell ref="AFK30:AFK32"/>
    <mergeCell ref="AFL30:AFL32"/>
    <mergeCell ref="AFM30:AFM32"/>
    <mergeCell ref="AFN30:AFN32"/>
    <mergeCell ref="AFO30:AFO32"/>
    <mergeCell ref="AHT30:AHT32"/>
    <mergeCell ref="AHU30:AHU32"/>
    <mergeCell ref="AHV30:AHV32"/>
    <mergeCell ref="AHW30:AHW32"/>
    <mergeCell ref="AHZ30:AHZ32"/>
    <mergeCell ref="AIA30:AIA32"/>
    <mergeCell ref="AHX31:AHX32"/>
    <mergeCell ref="AHY31:AHY32"/>
    <mergeCell ref="AHM30:AHM32"/>
    <mergeCell ref="AHN30:AHN32"/>
    <mergeCell ref="AHO30:AHO32"/>
    <mergeCell ref="AHP30:AHP32"/>
    <mergeCell ref="AHQ30:AHQ32"/>
    <mergeCell ref="AHR30:AHR32"/>
    <mergeCell ref="AHS30:AHS32"/>
    <mergeCell ref="AFP30:AFP32"/>
    <mergeCell ref="AFQ30:AFQ32"/>
    <mergeCell ref="AFR30:AFR32"/>
    <mergeCell ref="AFS30:AFS32"/>
    <mergeCell ref="AFT30:AFT32"/>
    <mergeCell ref="AFU30:AFU32"/>
    <mergeCell ref="AFV30:AFV32"/>
    <mergeCell ref="AFW30:AFW32"/>
    <mergeCell ref="AFX30:AFX32"/>
    <mergeCell ref="AFY30:AFY32"/>
    <mergeCell ref="AFZ30:AFZ32"/>
    <mergeCell ref="AGA30:AGA32"/>
    <mergeCell ref="AGB30:AGB32"/>
    <mergeCell ref="AGC30:AGC32"/>
    <mergeCell ref="AGD30:AGD32"/>
    <mergeCell ref="AGE30:AGE32"/>
    <mergeCell ref="AGF30:AGF32"/>
    <mergeCell ref="AGG30:AGG32"/>
    <mergeCell ref="AGH30:AGH32"/>
    <mergeCell ref="AGI30:AGI32"/>
    <mergeCell ref="AGJ30:AGJ32"/>
    <mergeCell ref="AGK30:AGK32"/>
    <mergeCell ref="AGL30:AGL32"/>
    <mergeCell ref="AGM30:AGM32"/>
    <mergeCell ref="AGN30:AGN32"/>
    <mergeCell ref="AGO30:AGO32"/>
    <mergeCell ref="AGP30:AGP32"/>
    <mergeCell ref="AGQ30:AGQ32"/>
    <mergeCell ref="AGR30:AGR32"/>
    <mergeCell ref="AGS30:AGS32"/>
    <mergeCell ref="AGT30:AGT32"/>
    <mergeCell ref="AGU30:AGU32"/>
    <mergeCell ref="AGV30:AGV32"/>
    <mergeCell ref="AGW30:AGW32"/>
    <mergeCell ref="AGX30:AGX32"/>
    <mergeCell ref="AGY30:AGY32"/>
    <mergeCell ref="AGZ30:AGZ32"/>
    <mergeCell ref="AHA30:AHA32"/>
    <mergeCell ref="AHB30:AHB32"/>
    <mergeCell ref="AHC30:AHC32"/>
    <mergeCell ref="AHD30:AHD32"/>
    <mergeCell ref="AHE30:AHE32"/>
    <mergeCell ref="AHF30:AHF32"/>
    <mergeCell ref="AEC30:AEC32"/>
    <mergeCell ref="AED30:AED32"/>
    <mergeCell ref="AEE30:AEE32"/>
    <mergeCell ref="AEF30:AEF32"/>
    <mergeCell ref="AEG30:AEG32"/>
    <mergeCell ref="AEH30:AEH32"/>
    <mergeCell ref="AEI30:AEI32"/>
    <mergeCell ref="AEJ30:AEJ32"/>
    <mergeCell ref="AEK30:AEK32"/>
    <mergeCell ref="AEL30:AEL32"/>
    <mergeCell ref="AEM30:AEM32"/>
    <mergeCell ref="AEN30:AEN32"/>
    <mergeCell ref="AEO30:AEO32"/>
    <mergeCell ref="AEP30:AEP32"/>
    <mergeCell ref="AEQ30:AEQ32"/>
    <mergeCell ref="AER30:AER32"/>
    <mergeCell ref="AES30:AES32"/>
    <mergeCell ref="AET30:AET32"/>
    <mergeCell ref="AEU30:AEU32"/>
    <mergeCell ref="AEV30:AEV32"/>
    <mergeCell ref="AEW30:AEW32"/>
    <mergeCell ref="AEX30:AEX32"/>
    <mergeCell ref="AEY30:AEY32"/>
    <mergeCell ref="AEZ30:AEZ32"/>
    <mergeCell ref="AFA30:AFA32"/>
    <mergeCell ref="AFB30:AFB32"/>
    <mergeCell ref="AFC30:AFC32"/>
    <mergeCell ref="AFD30:AFD32"/>
    <mergeCell ref="AFE30:AFE32"/>
    <mergeCell ref="AFF30:AFF32"/>
    <mergeCell ref="AFG30:AFG32"/>
    <mergeCell ref="AFH30:AFH32"/>
    <mergeCell ref="AFI30:AFI32"/>
    <mergeCell ref="ACV30:ACV32"/>
    <mergeCell ref="ACW30:ACW32"/>
    <mergeCell ref="ACX30:ACX32"/>
    <mergeCell ref="ACY30:ACY32"/>
    <mergeCell ref="ACZ30:ACZ32"/>
    <mergeCell ref="ADA30:ADA32"/>
    <mergeCell ref="ADB30:ADB32"/>
    <mergeCell ref="ADC30:ADC32"/>
    <mergeCell ref="ADD30:ADD32"/>
    <mergeCell ref="ADE30:ADE32"/>
    <mergeCell ref="ADF30:ADF32"/>
    <mergeCell ref="ADG30:ADG32"/>
    <mergeCell ref="ADH30:ADH32"/>
    <mergeCell ref="ADI30:ADI32"/>
    <mergeCell ref="ADJ30:ADJ32"/>
    <mergeCell ref="ADK30:ADK32"/>
    <mergeCell ref="ADL30:ADL32"/>
    <mergeCell ref="ADM30:ADM32"/>
    <mergeCell ref="ADN30:ADN32"/>
    <mergeCell ref="ADO30:ADO32"/>
    <mergeCell ref="ADP30:ADP32"/>
    <mergeCell ref="ADQ30:ADQ32"/>
    <mergeCell ref="ADR30:ADR32"/>
    <mergeCell ref="ADS30:ADS32"/>
    <mergeCell ref="ADT30:ADT32"/>
    <mergeCell ref="ADU30:ADU32"/>
    <mergeCell ref="ADV30:ADV32"/>
    <mergeCell ref="ADW30:ADW32"/>
    <mergeCell ref="ADX30:ADX32"/>
    <mergeCell ref="ADY30:ADY32"/>
    <mergeCell ref="ADZ30:ADZ32"/>
    <mergeCell ref="AEA30:AEA32"/>
    <mergeCell ref="AEB30:AEB32"/>
    <mergeCell ref="ABM30:ABM32"/>
    <mergeCell ref="ABN30:ABN32"/>
    <mergeCell ref="ABO30:ABO32"/>
    <mergeCell ref="ABP30:ABP32"/>
    <mergeCell ref="ABQ30:ABQ32"/>
    <mergeCell ref="ABR30:ABR32"/>
    <mergeCell ref="ABS30:ABS32"/>
    <mergeCell ref="ABT30:ABT32"/>
    <mergeCell ref="ABU30:ABU32"/>
    <mergeCell ref="ABV30:ABV32"/>
    <mergeCell ref="ABW30:ABW32"/>
    <mergeCell ref="ABX30:ABX32"/>
    <mergeCell ref="ABY30:ABY32"/>
    <mergeCell ref="ABZ30:ABZ32"/>
    <mergeCell ref="ACA30:ACA32"/>
    <mergeCell ref="ACB30:ACB32"/>
    <mergeCell ref="ACC30:ACC32"/>
    <mergeCell ref="ACD30:ACD32"/>
    <mergeCell ref="ACE30:ACE32"/>
    <mergeCell ref="ACF30:ACF32"/>
    <mergeCell ref="ACG30:ACG32"/>
    <mergeCell ref="ACH30:ACH32"/>
    <mergeCell ref="ACI30:ACI32"/>
    <mergeCell ref="ACJ30:ACJ32"/>
    <mergeCell ref="ACK30:ACK32"/>
    <mergeCell ref="ACL30:ACL32"/>
    <mergeCell ref="ACM30:ACM32"/>
    <mergeCell ref="ACN30:ACN32"/>
    <mergeCell ref="ACO30:ACO32"/>
    <mergeCell ref="ACP30:ACP32"/>
    <mergeCell ref="ACQ30:ACQ32"/>
    <mergeCell ref="ACR30:ACR32"/>
    <mergeCell ref="ACS30:ACS32"/>
    <mergeCell ref="AAF30:AAF32"/>
    <mergeCell ref="AAG30:AAG32"/>
    <mergeCell ref="AAH30:AAH32"/>
    <mergeCell ref="AAI30:AAI32"/>
    <mergeCell ref="AAJ30:AAJ32"/>
    <mergeCell ref="AAK30:AAK32"/>
    <mergeCell ref="AAL30:AAL32"/>
    <mergeCell ref="AAM30:AAM32"/>
    <mergeCell ref="AAN30:AAN32"/>
    <mergeCell ref="AAO30:AAO32"/>
    <mergeCell ref="AAP30:AAP32"/>
    <mergeCell ref="AAQ30:AAQ32"/>
    <mergeCell ref="AAR30:AAR32"/>
    <mergeCell ref="AAS30:AAS32"/>
    <mergeCell ref="AAT30:AAT32"/>
    <mergeCell ref="AAU30:AAU32"/>
    <mergeCell ref="AAV30:AAV32"/>
    <mergeCell ref="AAW30:AAW32"/>
    <mergeCell ref="AAX30:AAX32"/>
    <mergeCell ref="AAY30:AAY32"/>
    <mergeCell ref="AAZ30:AAZ32"/>
    <mergeCell ref="ABA30:ABA32"/>
    <mergeCell ref="ABB30:ABB32"/>
    <mergeCell ref="ABC30:ABC32"/>
    <mergeCell ref="ABD30:ABD32"/>
    <mergeCell ref="ABE30:ABE32"/>
    <mergeCell ref="ABF30:ABF32"/>
    <mergeCell ref="ABG30:ABG32"/>
    <mergeCell ref="ABH30:ABH32"/>
    <mergeCell ref="ABI30:ABI32"/>
    <mergeCell ref="ABJ30:ABJ32"/>
    <mergeCell ref="ABK30:ABK32"/>
    <mergeCell ref="ABL30:ABL32"/>
    <mergeCell ref="LU33:LU35"/>
    <mergeCell ref="LV33:LV35"/>
    <mergeCell ref="LW33:LW35"/>
    <mergeCell ref="LX33:LX35"/>
    <mergeCell ref="LY33:LY35"/>
    <mergeCell ref="LZ33:LZ35"/>
    <mergeCell ref="MA33:MA35"/>
    <mergeCell ref="MB33:MB35"/>
    <mergeCell ref="MC33:MC35"/>
    <mergeCell ref="MD33:MD35"/>
    <mergeCell ref="ME33:ME35"/>
    <mergeCell ref="MF33:MF35"/>
    <mergeCell ref="MG33:MG35"/>
    <mergeCell ref="MH33:MH35"/>
    <mergeCell ref="MI33:MI35"/>
    <mergeCell ref="MJ33:MJ35"/>
    <mergeCell ref="MK33:MK35"/>
    <mergeCell ref="LH33:LH35"/>
    <mergeCell ref="LI33:LI35"/>
    <mergeCell ref="LJ33:LJ35"/>
    <mergeCell ref="LK33:LK35"/>
    <mergeCell ref="LN33:LN35"/>
    <mergeCell ref="LO33:LO35"/>
    <mergeCell ref="LP33:LP35"/>
    <mergeCell ref="ZW30:ZW32"/>
    <mergeCell ref="ZX30:ZX32"/>
    <mergeCell ref="ZY30:ZY32"/>
    <mergeCell ref="ZZ30:ZZ32"/>
    <mergeCell ref="AAA30:AAA32"/>
    <mergeCell ref="AAB30:AAB32"/>
    <mergeCell ref="AAC30:AAC32"/>
    <mergeCell ref="AAD30:AAD32"/>
    <mergeCell ref="AAE30:AAE32"/>
    <mergeCell ref="OT30:OT32"/>
    <mergeCell ref="OU30:OU32"/>
    <mergeCell ref="OV30:OV32"/>
    <mergeCell ref="OW30:OW32"/>
    <mergeCell ref="OX30:OX32"/>
    <mergeCell ref="OY30:OY32"/>
    <mergeCell ref="OZ30:OZ32"/>
    <mergeCell ref="PA30:PA32"/>
    <mergeCell ref="PB30:PB32"/>
    <mergeCell ref="PC30:PC32"/>
    <mergeCell ref="PD30:PD32"/>
    <mergeCell ref="PE30:PE32"/>
    <mergeCell ref="PF30:PF32"/>
    <mergeCell ref="PG30:PG32"/>
    <mergeCell ref="PH30:PH32"/>
    <mergeCell ref="PI30:PI32"/>
    <mergeCell ref="PJ30:PJ32"/>
    <mergeCell ref="PK30:PK32"/>
    <mergeCell ref="PL30:PL32"/>
    <mergeCell ref="PM30:PM32"/>
    <mergeCell ref="PN30:PN32"/>
    <mergeCell ref="PO30:PO32"/>
    <mergeCell ref="PP30:PP32"/>
    <mergeCell ref="PQ30:PQ32"/>
    <mergeCell ref="PR30:PR32"/>
    <mergeCell ref="PS30:PS32"/>
    <mergeCell ref="PT30:PT32"/>
    <mergeCell ref="PU30:PU32"/>
    <mergeCell ref="PV30:PV32"/>
    <mergeCell ref="PW30:PW32"/>
    <mergeCell ref="PX30:PX32"/>
    <mergeCell ref="KE33:KE35"/>
    <mergeCell ref="KF33:KF35"/>
    <mergeCell ref="KG33:KG35"/>
    <mergeCell ref="KH33:KH35"/>
    <mergeCell ref="KI33:KI35"/>
    <mergeCell ref="KJ33:KJ35"/>
    <mergeCell ref="KK33:KK35"/>
    <mergeCell ref="KL33:KL35"/>
    <mergeCell ref="JD33:JD35"/>
    <mergeCell ref="JE33:JE35"/>
    <mergeCell ref="JF33:JF35"/>
    <mergeCell ref="JG33:JG35"/>
    <mergeCell ref="JH33:JH35"/>
    <mergeCell ref="JI33:JI35"/>
    <mergeCell ref="JJ33:JJ35"/>
    <mergeCell ref="LN36:LN38"/>
    <mergeCell ref="LO36:LO38"/>
    <mergeCell ref="LP36:LP38"/>
    <mergeCell ref="LQ36:LQ38"/>
    <mergeCell ref="LR36:LR38"/>
    <mergeCell ref="LS36:LS38"/>
    <mergeCell ref="LT36:LT38"/>
    <mergeCell ref="LU36:LU38"/>
    <mergeCell ref="LV36:LV38"/>
    <mergeCell ref="LW36:LW38"/>
    <mergeCell ref="LX36:LX38"/>
    <mergeCell ref="LY36:LY38"/>
    <mergeCell ref="LZ36:LZ38"/>
    <mergeCell ref="MA36:MA38"/>
    <mergeCell ref="MI36:MI38"/>
    <mergeCell ref="MJ36:MJ38"/>
    <mergeCell ref="MK36:MK38"/>
    <mergeCell ref="MB36:MB38"/>
    <mergeCell ref="MC36:MC38"/>
    <mergeCell ref="MD36:MD38"/>
    <mergeCell ref="ME36:ME38"/>
    <mergeCell ref="MF36:MF38"/>
    <mergeCell ref="MG36:MG38"/>
    <mergeCell ref="MH36:MH38"/>
    <mergeCell ref="KM33:KM35"/>
    <mergeCell ref="KN33:KN35"/>
    <mergeCell ref="KO33:KO35"/>
    <mergeCell ref="KP33:KP35"/>
    <mergeCell ref="KQ33:KQ35"/>
    <mergeCell ref="KR33:KR35"/>
    <mergeCell ref="KS33:KS35"/>
    <mergeCell ref="KT33:KT35"/>
    <mergeCell ref="KU33:KU35"/>
    <mergeCell ref="KV33:KV35"/>
    <mergeCell ref="KW33:KW35"/>
    <mergeCell ref="KX33:KX35"/>
    <mergeCell ref="KY33:KY35"/>
    <mergeCell ref="KZ33:KZ35"/>
    <mergeCell ref="LA33:LA35"/>
    <mergeCell ref="LB33:LB35"/>
    <mergeCell ref="LC33:LC35"/>
    <mergeCell ref="LD33:LD35"/>
    <mergeCell ref="LE33:LE35"/>
    <mergeCell ref="LF33:LF35"/>
    <mergeCell ref="LG33:LG35"/>
    <mergeCell ref="LQ33:LQ35"/>
    <mergeCell ref="LR33:LR35"/>
    <mergeCell ref="LS33:LS35"/>
    <mergeCell ref="LT33:LT35"/>
    <mergeCell ref="IQ33:IQ35"/>
    <mergeCell ref="IR33:IR35"/>
    <mergeCell ref="IS33:IS35"/>
    <mergeCell ref="IT33:IT35"/>
    <mergeCell ref="IU33:IU35"/>
    <mergeCell ref="IV33:IV35"/>
    <mergeCell ref="IW33:IW35"/>
    <mergeCell ref="IX33:IX35"/>
    <mergeCell ref="IY33:IY35"/>
    <mergeCell ref="IZ33:IZ35"/>
    <mergeCell ref="JA33:JA35"/>
    <mergeCell ref="JB33:JB35"/>
    <mergeCell ref="JC33:JC35"/>
    <mergeCell ref="JK33:JK35"/>
    <mergeCell ref="JL33:JL35"/>
    <mergeCell ref="JM33:JM35"/>
    <mergeCell ref="JN33:JN35"/>
    <mergeCell ref="JO33:JO35"/>
    <mergeCell ref="JP33:JP35"/>
    <mergeCell ref="JQ33:JQ35"/>
    <mergeCell ref="JR33:JR35"/>
    <mergeCell ref="JS33:JS35"/>
    <mergeCell ref="JT33:JT35"/>
    <mergeCell ref="JU33:JU35"/>
    <mergeCell ref="JV33:JV35"/>
    <mergeCell ref="JW33:JW35"/>
    <mergeCell ref="JX33:JX35"/>
    <mergeCell ref="JY33:JY35"/>
    <mergeCell ref="JZ33:JZ35"/>
    <mergeCell ref="KA33:KA35"/>
    <mergeCell ref="KB33:KB35"/>
    <mergeCell ref="KC33:KC35"/>
    <mergeCell ref="KD33:KD35"/>
    <mergeCell ref="HQ33:HQ35"/>
    <mergeCell ref="HR33:HR35"/>
    <mergeCell ref="HS33:HS35"/>
    <mergeCell ref="HT33:HT35"/>
    <mergeCell ref="HU33:HU35"/>
    <mergeCell ref="HV33:HV35"/>
    <mergeCell ref="HW33:HW35"/>
    <mergeCell ref="HX33:HX35"/>
    <mergeCell ref="HY33:HY35"/>
    <mergeCell ref="HZ33:HZ35"/>
    <mergeCell ref="IA33:IA35"/>
    <mergeCell ref="IB33:IB35"/>
    <mergeCell ref="IC33:IC35"/>
    <mergeCell ref="ID33:ID35"/>
    <mergeCell ref="IE33:IE35"/>
    <mergeCell ref="IF33:IF35"/>
    <mergeCell ref="IG33:IG35"/>
    <mergeCell ref="IH33:IH35"/>
    <mergeCell ref="II33:II35"/>
    <mergeCell ref="IJ33:IJ35"/>
    <mergeCell ref="IK33:IK35"/>
    <mergeCell ref="IL33:IL35"/>
    <mergeCell ref="IM33:IM35"/>
    <mergeCell ref="IN33:IN35"/>
    <mergeCell ref="IO33:IO35"/>
    <mergeCell ref="GZ33:GZ35"/>
    <mergeCell ref="HA33:HA35"/>
    <mergeCell ref="HB33:HB35"/>
    <mergeCell ref="HC33:HC35"/>
    <mergeCell ref="HD33:HD35"/>
    <mergeCell ref="HE33:HE35"/>
    <mergeCell ref="HF33:HF35"/>
    <mergeCell ref="IP33:IP35"/>
    <mergeCell ref="GJ33:GJ35"/>
    <mergeCell ref="GK33:GK35"/>
    <mergeCell ref="GL33:GL35"/>
    <mergeCell ref="GM33:GM35"/>
    <mergeCell ref="GN33:GN35"/>
    <mergeCell ref="GO33:GO35"/>
    <mergeCell ref="GP33:GP35"/>
    <mergeCell ref="GQ33:GQ35"/>
    <mergeCell ref="GR33:GR35"/>
    <mergeCell ref="EV33:EV35"/>
    <mergeCell ref="EW33:EW35"/>
    <mergeCell ref="EX33:EX35"/>
    <mergeCell ref="EY33:EY35"/>
    <mergeCell ref="EZ33:EZ35"/>
    <mergeCell ref="FA33:FA35"/>
    <mergeCell ref="FB33:FB35"/>
    <mergeCell ref="GS33:GS35"/>
    <mergeCell ref="GT33:GT35"/>
    <mergeCell ref="GU33:GU35"/>
    <mergeCell ref="GV33:GV35"/>
    <mergeCell ref="GW33:GW35"/>
    <mergeCell ref="GX33:GX35"/>
    <mergeCell ref="GY33:GY35"/>
    <mergeCell ref="HG33:HG35"/>
    <mergeCell ref="HH33:HH35"/>
    <mergeCell ref="HI33:HI35"/>
    <mergeCell ref="HJ33:HJ35"/>
    <mergeCell ref="HK33:HK35"/>
    <mergeCell ref="HL33:HL35"/>
    <mergeCell ref="HM33:HM35"/>
    <mergeCell ref="HN33:HN35"/>
    <mergeCell ref="HO33:HO35"/>
    <mergeCell ref="HP33:HP35"/>
    <mergeCell ref="FC33:FC35"/>
    <mergeCell ref="FD33:FD35"/>
    <mergeCell ref="FE33:FE35"/>
    <mergeCell ref="FF33:FF35"/>
    <mergeCell ref="FG33:FG35"/>
    <mergeCell ref="FH33:FH35"/>
    <mergeCell ref="FI33:FI35"/>
    <mergeCell ref="FJ33:FJ35"/>
    <mergeCell ref="FK33:FK35"/>
    <mergeCell ref="FL33:FL35"/>
    <mergeCell ref="FM33:FM35"/>
    <mergeCell ref="FN33:FN35"/>
    <mergeCell ref="FO33:FO35"/>
    <mergeCell ref="FP33:FP35"/>
    <mergeCell ref="FQ33:FQ35"/>
    <mergeCell ref="FR33:FR35"/>
    <mergeCell ref="FS33:FS35"/>
    <mergeCell ref="FT33:FT35"/>
    <mergeCell ref="FU33:FU35"/>
    <mergeCell ref="FV33:FV35"/>
    <mergeCell ref="FW33:FW35"/>
    <mergeCell ref="FX33:FX35"/>
    <mergeCell ref="FY33:FY35"/>
    <mergeCell ref="FZ33:FZ35"/>
    <mergeCell ref="GA33:GA35"/>
    <mergeCell ref="GB33:GB35"/>
    <mergeCell ref="GC33:GC35"/>
    <mergeCell ref="GD33:GD35"/>
    <mergeCell ref="GE33:GE35"/>
    <mergeCell ref="GF33:GF35"/>
    <mergeCell ref="GG33:GG35"/>
    <mergeCell ref="GH33:GH35"/>
    <mergeCell ref="GI33:GI35"/>
    <mergeCell ref="EU33:EU35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AZ36:AZ38"/>
    <mergeCell ref="BA36:BA38"/>
    <mergeCell ref="BB36:BB38"/>
    <mergeCell ref="BC36:BC38"/>
    <mergeCell ref="BD36:BD38"/>
    <mergeCell ref="BE36:BE38"/>
    <mergeCell ref="BF36:BF38"/>
    <mergeCell ref="BG36:BG38"/>
    <mergeCell ref="BH36:BH38"/>
    <mergeCell ref="BI36:BI38"/>
    <mergeCell ref="BJ36:BJ38"/>
    <mergeCell ref="BK36:BK38"/>
    <mergeCell ref="BL36:BL38"/>
    <mergeCell ref="BM36:BM38"/>
    <mergeCell ref="BN36:BN38"/>
    <mergeCell ref="BO36:BO38"/>
    <mergeCell ref="BP36:BP38"/>
    <mergeCell ref="BQ36:BQ38"/>
    <mergeCell ref="BR36:BR38"/>
    <mergeCell ref="BS36:BS38"/>
    <mergeCell ref="BT36:BT38"/>
    <mergeCell ref="BU36:BU38"/>
    <mergeCell ref="BV36:BV38"/>
    <mergeCell ref="BW36:BW38"/>
    <mergeCell ref="BX36:BX38"/>
    <mergeCell ref="BY36:BY38"/>
    <mergeCell ref="BZ36:BZ38"/>
    <mergeCell ref="CA36:CA38"/>
    <mergeCell ref="CB36:CB38"/>
    <mergeCell ref="CC36:CC38"/>
    <mergeCell ref="CD36:CD38"/>
    <mergeCell ref="CE36:CE38"/>
    <mergeCell ref="CF36:CF38"/>
    <mergeCell ref="DD36:DD38"/>
    <mergeCell ref="DE36:DE38"/>
    <mergeCell ref="DT36:DT38"/>
    <mergeCell ref="DU36:DU38"/>
    <mergeCell ref="DR36:DR38"/>
    <mergeCell ref="DS36:DS38"/>
    <mergeCell ref="CG36:CG38"/>
    <mergeCell ref="CH36:CH38"/>
    <mergeCell ref="CI36:CI38"/>
    <mergeCell ref="CJ36:CJ38"/>
    <mergeCell ref="CK36:CK38"/>
    <mergeCell ref="CL36:CL38"/>
    <mergeCell ref="CM36:CM38"/>
    <mergeCell ref="ED36:ED38"/>
    <mergeCell ref="EE36:EE38"/>
    <mergeCell ref="EF36:EF38"/>
    <mergeCell ref="EG36:EG38"/>
    <mergeCell ref="EH36:EH38"/>
    <mergeCell ref="EI36:EI38"/>
    <mergeCell ref="EJ36:EJ38"/>
    <mergeCell ref="EK36:EK38"/>
    <mergeCell ref="DN33:DN35"/>
    <mergeCell ref="DO33:DO35"/>
    <mergeCell ref="DP33:DP35"/>
    <mergeCell ref="DQ33:DQ35"/>
    <mergeCell ref="DR33:DR35"/>
    <mergeCell ref="DT33:DT35"/>
    <mergeCell ref="DU33:DU35"/>
    <mergeCell ref="DV33:DV35"/>
    <mergeCell ref="DW33:DW35"/>
    <mergeCell ref="DX33:DX35"/>
    <mergeCell ref="DY33:DY35"/>
    <mergeCell ref="DZ33:DZ35"/>
    <mergeCell ref="DS33:DS35"/>
    <mergeCell ref="EA33:EA35"/>
    <mergeCell ref="EB33:EB35"/>
    <mergeCell ref="EC33:EC35"/>
    <mergeCell ref="ED33:ED35"/>
    <mergeCell ref="EE33:EE35"/>
    <mergeCell ref="EF33:EF35"/>
    <mergeCell ref="EG33:EG35"/>
    <mergeCell ref="EH33:EH35"/>
    <mergeCell ref="EI33:EI35"/>
    <mergeCell ref="EJ33:EJ35"/>
    <mergeCell ref="EK33:EK35"/>
    <mergeCell ref="EL33:EL35"/>
    <mergeCell ref="EM33:EM35"/>
    <mergeCell ref="EN33:EN35"/>
    <mergeCell ref="EO33:EO35"/>
    <mergeCell ref="EP33:EP35"/>
    <mergeCell ref="EQ33:EQ35"/>
    <mergeCell ref="ER33:ER35"/>
    <mergeCell ref="ES33:ES35"/>
    <mergeCell ref="ET33:ET35"/>
    <mergeCell ref="CG33:CG35"/>
    <mergeCell ref="CH33:CH35"/>
    <mergeCell ref="CI33:CI35"/>
    <mergeCell ref="CJ33:CJ35"/>
    <mergeCell ref="CK33:CK35"/>
    <mergeCell ref="CL33:CL35"/>
    <mergeCell ref="CM33:CM35"/>
    <mergeCell ref="CN33:CN35"/>
    <mergeCell ref="CO33:CO35"/>
    <mergeCell ref="CP33:CP35"/>
    <mergeCell ref="CQ33:CQ35"/>
    <mergeCell ref="CR33:CR35"/>
    <mergeCell ref="CS33:CS35"/>
    <mergeCell ref="CT33:CT35"/>
    <mergeCell ref="CU33:CU35"/>
    <mergeCell ref="CV33:CV35"/>
    <mergeCell ref="CW33:CW35"/>
    <mergeCell ref="CX33:CX35"/>
    <mergeCell ref="CY33:CY35"/>
    <mergeCell ref="CZ33:CZ35"/>
    <mergeCell ref="DA33:DA35"/>
    <mergeCell ref="DB33:DB35"/>
    <mergeCell ref="DC33:DC35"/>
    <mergeCell ref="DD33:DD35"/>
    <mergeCell ref="DE33:DE35"/>
    <mergeCell ref="DF33:DF35"/>
    <mergeCell ref="DG33:DG35"/>
    <mergeCell ref="DH33:DH35"/>
    <mergeCell ref="DI33:DI35"/>
    <mergeCell ref="DJ33:DJ35"/>
    <mergeCell ref="DK33:DK35"/>
    <mergeCell ref="DL33:DL35"/>
    <mergeCell ref="DM33:DM35"/>
    <mergeCell ref="AZ33:AZ35"/>
    <mergeCell ref="BA33:BA35"/>
    <mergeCell ref="BB33:BB35"/>
    <mergeCell ref="BC33:BC35"/>
    <mergeCell ref="BD33:BD35"/>
    <mergeCell ref="BE33:BE35"/>
    <mergeCell ref="BF33:BF35"/>
    <mergeCell ref="BG33:BG35"/>
    <mergeCell ref="BH33:BH35"/>
    <mergeCell ref="BI33:BI35"/>
    <mergeCell ref="BJ33:BJ35"/>
    <mergeCell ref="BK33:BK35"/>
    <mergeCell ref="BL33:BL35"/>
    <mergeCell ref="BM33:BM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V33:BV35"/>
    <mergeCell ref="BW33:BW35"/>
    <mergeCell ref="BX33:BX35"/>
    <mergeCell ref="BY33:BY35"/>
    <mergeCell ref="BZ33:BZ35"/>
    <mergeCell ref="CA33:CA35"/>
    <mergeCell ref="CB33:CB35"/>
    <mergeCell ref="CC33:CC35"/>
    <mergeCell ref="CD33:CD35"/>
    <mergeCell ref="CE33:CE35"/>
    <mergeCell ref="CF33:CF35"/>
    <mergeCell ref="IU36:IU38"/>
    <mergeCell ref="IV36:IV38"/>
    <mergeCell ref="IW36:IW38"/>
    <mergeCell ref="IX36:IX38"/>
    <mergeCell ref="LL36:LL38"/>
    <mergeCell ref="LM36:LM38"/>
    <mergeCell ref="LE36:LE38"/>
    <mergeCell ref="LF36:LF38"/>
    <mergeCell ref="LG36:LG38"/>
    <mergeCell ref="LH36:LH38"/>
    <mergeCell ref="LI36:LI38"/>
    <mergeCell ref="LJ36:LJ38"/>
    <mergeCell ref="LK36:LK38"/>
    <mergeCell ref="JH36:JH38"/>
    <mergeCell ref="JI36:JI38"/>
    <mergeCell ref="JJ36:JJ38"/>
    <mergeCell ref="JK36:JK38"/>
    <mergeCell ref="JL36:JL38"/>
    <mergeCell ref="JM36:JM38"/>
    <mergeCell ref="JN36:JN38"/>
    <mergeCell ref="JO36:JO38"/>
    <mergeCell ref="JP36:JP38"/>
    <mergeCell ref="JQ36:JQ38"/>
    <mergeCell ref="JR36:JR38"/>
    <mergeCell ref="JS36:JS38"/>
    <mergeCell ref="JT36:JT38"/>
    <mergeCell ref="JU36:JU38"/>
    <mergeCell ref="JV36:JV38"/>
    <mergeCell ref="JW36:JW38"/>
    <mergeCell ref="JX36:JX38"/>
    <mergeCell ref="JY36:JY38"/>
    <mergeCell ref="JZ36:JZ38"/>
    <mergeCell ref="KA36:KA38"/>
    <mergeCell ref="KB36:KB38"/>
    <mergeCell ref="KC36:KC38"/>
    <mergeCell ref="KD36:KD38"/>
    <mergeCell ref="KE36:KE38"/>
    <mergeCell ref="KF36:KF38"/>
    <mergeCell ref="KG36:KG38"/>
    <mergeCell ref="KH36:KH38"/>
    <mergeCell ref="KI36:KI38"/>
    <mergeCell ref="KJ36:KJ38"/>
    <mergeCell ref="KK36:KK38"/>
    <mergeCell ref="KL36:KL38"/>
    <mergeCell ref="KM36:KM38"/>
    <mergeCell ref="KN36:KN38"/>
    <mergeCell ref="KO36:KO38"/>
    <mergeCell ref="KP36:KP38"/>
    <mergeCell ref="KQ36:KQ38"/>
    <mergeCell ref="KR36:KR38"/>
    <mergeCell ref="KS36:KS38"/>
    <mergeCell ref="KT36:KT38"/>
    <mergeCell ref="KU36:KU38"/>
    <mergeCell ref="KV36:KV38"/>
    <mergeCell ref="KW36:KW38"/>
    <mergeCell ref="KX36:KX38"/>
    <mergeCell ref="KY36:KY38"/>
    <mergeCell ref="KZ36:KZ38"/>
    <mergeCell ref="LA36:LA38"/>
    <mergeCell ref="LB36:LB38"/>
    <mergeCell ref="LC36:LC38"/>
    <mergeCell ref="LD36:LD38"/>
    <mergeCell ref="AW36:AW38"/>
    <mergeCell ref="AX36:AX38"/>
    <mergeCell ref="AY36:AY38"/>
    <mergeCell ref="AS33:AS35"/>
    <mergeCell ref="AT33:AT35"/>
    <mergeCell ref="AU33:AU35"/>
    <mergeCell ref="AV33:AV35"/>
    <mergeCell ref="AW33:AW35"/>
    <mergeCell ref="AX33:AX35"/>
    <mergeCell ref="AY33:AY35"/>
    <mergeCell ref="JF36:JF38"/>
    <mergeCell ref="JG36:JG38"/>
    <mergeCell ref="IY36:IY38"/>
    <mergeCell ref="IZ36:IZ38"/>
    <mergeCell ref="JA36:JA38"/>
    <mergeCell ref="JB36:JB38"/>
    <mergeCell ref="JC36:JC38"/>
    <mergeCell ref="JD36:JD38"/>
    <mergeCell ref="JE36:JE38"/>
    <mergeCell ref="HB36:HB38"/>
    <mergeCell ref="HC36:HC38"/>
    <mergeCell ref="HD36:HD38"/>
    <mergeCell ref="HE36:HE38"/>
    <mergeCell ref="HF36:HF38"/>
    <mergeCell ref="HG36:HG38"/>
    <mergeCell ref="HH36:HH38"/>
    <mergeCell ref="HI36:HI38"/>
    <mergeCell ref="HJ36:HJ38"/>
    <mergeCell ref="HK36:HK38"/>
    <mergeCell ref="HL36:HL38"/>
    <mergeCell ref="HM36:HM38"/>
    <mergeCell ref="HN36:HN38"/>
    <mergeCell ref="HO36:HO38"/>
    <mergeCell ref="HP36:HP38"/>
    <mergeCell ref="HQ36:HQ38"/>
    <mergeCell ref="HR36:HR38"/>
    <mergeCell ref="HS36:HS38"/>
    <mergeCell ref="HT36:HT38"/>
    <mergeCell ref="HU36:HU38"/>
    <mergeCell ref="HV36:HV38"/>
    <mergeCell ref="HW36:HW38"/>
    <mergeCell ref="HX36:HX38"/>
    <mergeCell ref="HY36:HY38"/>
    <mergeCell ref="HZ36:HZ38"/>
    <mergeCell ref="IA36:IA38"/>
    <mergeCell ref="IB36:IB38"/>
    <mergeCell ref="IC36:IC38"/>
    <mergeCell ref="ID36:ID38"/>
    <mergeCell ref="IE36:IE38"/>
    <mergeCell ref="IF36:IF38"/>
    <mergeCell ref="IG36:IG38"/>
    <mergeCell ref="IH36:IH38"/>
    <mergeCell ref="II36:II38"/>
    <mergeCell ref="IJ36:IJ38"/>
    <mergeCell ref="IK36:IK38"/>
    <mergeCell ref="IL36:IL38"/>
    <mergeCell ref="IM36:IM38"/>
    <mergeCell ref="IN36:IN38"/>
    <mergeCell ref="IO36:IO38"/>
    <mergeCell ref="IP36:IP38"/>
    <mergeCell ref="IQ36:IQ38"/>
    <mergeCell ref="IR36:IR38"/>
    <mergeCell ref="IS36:IS38"/>
    <mergeCell ref="IT36:IT38"/>
    <mergeCell ref="AV36:AV38"/>
    <mergeCell ref="AN36:AN38"/>
    <mergeCell ref="AO36:AO38"/>
    <mergeCell ref="AP36:AP38"/>
    <mergeCell ref="AQ36:AQ38"/>
    <mergeCell ref="AR36:AR38"/>
    <mergeCell ref="AS36:AS38"/>
    <mergeCell ref="AT36:AT38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N33:AN35"/>
    <mergeCell ref="AO33:AO35"/>
    <mergeCell ref="AP33:AP35"/>
    <mergeCell ref="AQ33:AQ35"/>
    <mergeCell ref="AR33:AR35"/>
    <mergeCell ref="A36:A38"/>
    <mergeCell ref="B36:B38"/>
    <mergeCell ref="C36:C38"/>
    <mergeCell ref="D36:D38"/>
    <mergeCell ref="E36:E38"/>
    <mergeCell ref="F36:F38"/>
    <mergeCell ref="G36:G38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L34:AL35"/>
    <mergeCell ref="AM34:AM35"/>
    <mergeCell ref="AI36:AI38"/>
    <mergeCell ref="AJ36:AJ38"/>
    <mergeCell ref="AK36:AK38"/>
    <mergeCell ref="AL36:AL38"/>
    <mergeCell ref="AM36:AM38"/>
    <mergeCell ref="H33:H35"/>
    <mergeCell ref="I33:I35"/>
    <mergeCell ref="J33:J35"/>
    <mergeCell ref="K33:K35"/>
    <mergeCell ref="L33:L35"/>
    <mergeCell ref="M33:M35"/>
    <mergeCell ref="N33:N35"/>
    <mergeCell ref="A33:A35"/>
    <mergeCell ref="B33:B35"/>
    <mergeCell ref="C33:C35"/>
    <mergeCell ref="D33:D35"/>
    <mergeCell ref="E33:E35"/>
    <mergeCell ref="F33:F35"/>
    <mergeCell ref="G33:G35"/>
    <mergeCell ref="X36:X38"/>
    <mergeCell ref="Y36:Y38"/>
    <mergeCell ref="Q36:Q38"/>
    <mergeCell ref="R36:R38"/>
    <mergeCell ref="S36:S38"/>
    <mergeCell ref="T36:T38"/>
    <mergeCell ref="U36:U38"/>
    <mergeCell ref="V36:V38"/>
    <mergeCell ref="W36:W38"/>
    <mergeCell ref="AG36:AG38"/>
    <mergeCell ref="AH36:AH38"/>
    <mergeCell ref="Z36:Z38"/>
    <mergeCell ref="AA36:AA38"/>
    <mergeCell ref="AB36:AB38"/>
    <mergeCell ref="AC36:AC38"/>
    <mergeCell ref="AD36:AD38"/>
    <mergeCell ref="AE36:AE38"/>
    <mergeCell ref="AF36:AF38"/>
    <mergeCell ref="AU36:AU38"/>
  </mergeCells>
  <conditionalFormatting sqref="A1:AIA38">
    <cfRule type="cellIs" dxfId="29" priority="1" operator="equal">
      <formula>"Monday"</formula>
    </cfRule>
    <cfRule type="cellIs" dxfId="28" priority="2" operator="equal">
      <formula>"Tuesday"</formula>
    </cfRule>
    <cfRule type="cellIs" dxfId="27" priority="3" operator="equal">
      <formula>"Wednesday"</formula>
    </cfRule>
    <cfRule type="cellIs" dxfId="26" priority="4" operator="equal">
      <formula>"Thursday"</formula>
    </cfRule>
    <cfRule type="cellIs" dxfId="25" priority="5" operator="equal">
      <formula>"Friday"</formula>
    </cfRule>
    <cfRule type="cellIs" dxfId="24" priority="6" operator="equal">
      <formula>"Saturday"</formula>
    </cfRule>
  </conditionalFormatting>
  <hyperlinks>
    <hyperlink ref="LL3" r:id="rId1" display="https://warthunder.com/en/news/30/current" xr:uid="{00000000-0004-0000-0A00-000000000000}"/>
    <hyperlink ref="AEB3" r:id="rId2" display="https://warthunder.com/en/news/63/current" xr:uid="{00000000-0004-0000-0A00-000001000000}"/>
    <hyperlink ref="BF4" r:id="rId3" display="https://warthunder.com/en/news/78/current" xr:uid="{00000000-0004-0000-0A00-000002000000}"/>
    <hyperlink ref="CN4" r:id="rId4" display="https://warthunder.com/en/news/82/current" xr:uid="{00000000-0004-0000-0A00-000003000000}"/>
    <hyperlink ref="DT4" r:id="rId5" display="https://warthunder.com/en/news/86/current" xr:uid="{00000000-0004-0000-0A00-000004000000}"/>
    <hyperlink ref="EL4" r:id="rId6" display="https://warthunder.com/en/news/90/current" xr:uid="{00000000-0004-0000-0A00-000005000000}"/>
    <hyperlink ref="GH4" r:id="rId7" display="https://warthunder.com/en/news/104/current" xr:uid="{00000000-0004-0000-0A00-000006000000}"/>
    <hyperlink ref="GN4" r:id="rId8" display="https://warthunder.com/en/news/105/current" xr:uid="{00000000-0004-0000-0A00-000007000000}"/>
    <hyperlink ref="HN4" r:id="rId9" display="https://warthunder.com/en/news/109/current" xr:uid="{00000000-0004-0000-0A00-000008000000}"/>
    <hyperlink ref="JF4" r:id="rId10" display="https://warthunder.com/en/news/130/current" xr:uid="{00000000-0004-0000-0A00-000009000000}"/>
    <hyperlink ref="KF4" r:id="rId11" display="https://warthunder.com/en/news/135/current" xr:uid="{00000000-0004-0000-0A00-00000A000000}"/>
    <hyperlink ref="LL4" r:id="rId12" display="https://warthunder.com/en/news/3079/current" xr:uid="{00000000-0004-0000-0A00-00000B000000}"/>
    <hyperlink ref="MV4" r:id="rId13" display="https://warthunder.com/en/news/156/current" xr:uid="{00000000-0004-0000-0A00-00000C000000}"/>
    <hyperlink ref="ND4" r:id="rId14" display="https://warthunder.com/en/news/157/current" xr:uid="{00000000-0004-0000-0A00-00000D000000}"/>
    <hyperlink ref="NZ4" r:id="rId15" display="https://warthunder.com/en/news/164/current" xr:uid="{00000000-0004-0000-0A00-00000E000000}"/>
    <hyperlink ref="OD4" r:id="rId16" display="https://warthunder.com/en/news/165/current" xr:uid="{00000000-0004-0000-0A00-00000F000000}"/>
    <hyperlink ref="OF4" r:id="rId17" display="https://warthunder.com/en/news/167/current" xr:uid="{00000000-0004-0000-0A00-000010000000}"/>
    <hyperlink ref="OP4" r:id="rId18" display="https://warthunder.com/en/news/170/current" xr:uid="{00000000-0004-0000-0A00-000011000000}"/>
    <hyperlink ref="QF4" r:id="rId19" display="https://warthunder.com/en/news/183/current" xr:uid="{00000000-0004-0000-0A00-000012000000}"/>
    <hyperlink ref="RJ4" r:id="rId20" display="https://warthunder.com/en/news/196/current" xr:uid="{00000000-0004-0000-0A00-000013000000}"/>
    <hyperlink ref="RP4" r:id="rId21" display="https://warthunder.com/en/news/206/current" xr:uid="{00000000-0004-0000-0A00-000014000000}"/>
    <hyperlink ref="SD4" r:id="rId22" display="https://warthunder.com/en/news/207/current" xr:uid="{00000000-0004-0000-0A00-000015000000}"/>
    <hyperlink ref="ST4" r:id="rId23" display="https://warthunder.com/en/news/211/current" xr:uid="{00000000-0004-0000-0A00-000016000000}"/>
    <hyperlink ref="SV4" r:id="rId24" display="https://warthunder.com/en/news/212/current" xr:uid="{00000000-0004-0000-0A00-000017000000}"/>
    <hyperlink ref="UF4" r:id="rId25" display="https://warthunder.com/en/news/223/current" xr:uid="{00000000-0004-0000-0A00-000018000000}"/>
    <hyperlink ref="UN4" r:id="rId26" display="https://warthunder.com/en/news/231/current" xr:uid="{00000000-0004-0000-0A00-000019000000}"/>
    <hyperlink ref="UR4" r:id="rId27" display="https://warthunder.com/en/news/232/current" xr:uid="{00000000-0004-0000-0A00-00001A000000}"/>
    <hyperlink ref="WL4" r:id="rId28" display="https://warthunder.com/en/news/250/current" xr:uid="{00000000-0004-0000-0A00-00001B000000}"/>
    <hyperlink ref="WX4" r:id="rId29" display="https://warthunder.com/en/news/253/current" xr:uid="{00000000-0004-0000-0A00-00001C000000}"/>
    <hyperlink ref="XH4" r:id="rId30" display="https://warthunder.com/en/news/251/current" xr:uid="{00000000-0004-0000-0A00-00001D000000}"/>
    <hyperlink ref="XJ4" r:id="rId31" display="https://warthunder.com/en/news/255/current" xr:uid="{00000000-0004-0000-0A00-00001E000000}"/>
    <hyperlink ref="XP4" r:id="rId32" display="https://warthunder.com/en/news/262/current" xr:uid="{00000000-0004-0000-0A00-00001F000000}"/>
    <hyperlink ref="XV4" r:id="rId33" display="https://warthunder.com/en/news/263/current" xr:uid="{00000000-0004-0000-0A00-000020000000}"/>
    <hyperlink ref="YJ4" r:id="rId34" display="https://warthunder.com/en/news/268/current" xr:uid="{00000000-0004-0000-0A00-000021000000}"/>
    <hyperlink ref="YX4" r:id="rId35" display="https://warthunder.com/en/news/273/current" xr:uid="{00000000-0004-0000-0A00-000022000000}"/>
    <hyperlink ref="ZD4" r:id="rId36" display="https://warthunder.com/en/news/278/current" xr:uid="{00000000-0004-0000-0A00-000023000000}"/>
    <hyperlink ref="ZJ4" r:id="rId37" display="https://warthunder.com/en/news/280/current" xr:uid="{00000000-0004-0000-0A00-000024000000}"/>
    <hyperlink ref="ZL4" r:id="rId38" display="https://warthunder.com/en/news/284/current" xr:uid="{00000000-0004-0000-0A00-000025000000}"/>
    <hyperlink ref="ZR4" r:id="rId39" display="https://warthunder.com/en/news/286/current" xr:uid="{00000000-0004-0000-0A00-000026000000}"/>
    <hyperlink ref="AAT4" r:id="rId40" display="https://warthunder.com/en/news/297/current" xr:uid="{00000000-0004-0000-0A00-000027000000}"/>
    <hyperlink ref="AAX4" r:id="rId41" display="https://warthunder.com/en/news/299/current" xr:uid="{00000000-0004-0000-0A00-000028000000}"/>
    <hyperlink ref="ABF4" r:id="rId42" display="https://warthunder.com/en/news/302/current" xr:uid="{00000000-0004-0000-0A00-000029000000}"/>
    <hyperlink ref="ABN4" r:id="rId43" display="https://warthunder.com/en/news/305/current" xr:uid="{00000000-0004-0000-0A00-00002A000000}"/>
    <hyperlink ref="ABP4" r:id="rId44" display="https://warthunder.com/en/news/306/current" xr:uid="{00000000-0004-0000-0A00-00002B000000}"/>
    <hyperlink ref="ABV4" r:id="rId45" display="https://warthunder.com/en/news/307/current" xr:uid="{00000000-0004-0000-0A00-00002C000000}"/>
    <hyperlink ref="ACJ4" r:id="rId46" display="https://warthunder.com/en/news/316/current" xr:uid="{00000000-0004-0000-0A00-00002D000000}"/>
    <hyperlink ref="ACL4" r:id="rId47" display="https://warthunder.com/en/news/318/current" xr:uid="{00000000-0004-0000-0A00-00002E000000}"/>
    <hyperlink ref="ACN4" r:id="rId48" display="https://warthunder.com/en/news/321/current" xr:uid="{00000000-0004-0000-0A00-00002F000000}"/>
    <hyperlink ref="ACT4" r:id="rId49" display="https://warthunder.com/en/news/323/current" xr:uid="{00000000-0004-0000-0A00-000030000000}"/>
    <hyperlink ref="ACX4" r:id="rId50" display="https://warthunder.com/en/news/330/current" xr:uid="{00000000-0004-0000-0A00-000031000000}"/>
    <hyperlink ref="ADJ4" r:id="rId51" display="https://warthunder.com/en/news/335/current" xr:uid="{00000000-0004-0000-0A00-000032000000}"/>
    <hyperlink ref="ADT4" r:id="rId52" display="https://warthunder.com/en/news/340/current" xr:uid="{00000000-0004-0000-0A00-000033000000}"/>
    <hyperlink ref="AEB4" r:id="rId53" display="https://warthunder.com/en/news/344/current" xr:uid="{00000000-0004-0000-0A00-000034000000}"/>
    <hyperlink ref="AER4" r:id="rId54" display="https://warthunder.com/en/news/351/current" xr:uid="{00000000-0004-0000-0A00-000035000000}"/>
    <hyperlink ref="AFD4" r:id="rId55" display="https://warthunder.com/en/news/357/current" xr:uid="{00000000-0004-0000-0A00-000036000000}"/>
    <hyperlink ref="AFN4" r:id="rId56" display="https://warthunder.com/en/news/358/current" xr:uid="{00000000-0004-0000-0A00-000037000000}"/>
    <hyperlink ref="AFR4" r:id="rId57" display="https://warthunder.com/en/news/359/current" xr:uid="{00000000-0004-0000-0A00-000038000000}"/>
    <hyperlink ref="AFV4" r:id="rId58" display="https://warthunder.com/en/news/360/current" xr:uid="{00000000-0004-0000-0A00-000039000000}"/>
    <hyperlink ref="AGD4" r:id="rId59" display="https://warthunder.com/en/news/362/current" xr:uid="{00000000-0004-0000-0A00-00003A000000}"/>
    <hyperlink ref="AGJ4" r:id="rId60" display="https://warthunder.com/en/news/365/current" xr:uid="{00000000-0004-0000-0A00-00003B000000}"/>
    <hyperlink ref="AGP4" r:id="rId61" display="https://warthunder.com/en/news/366/current" xr:uid="{00000000-0004-0000-0A00-00003C000000}"/>
    <hyperlink ref="AGR4" r:id="rId62" display="https://warthunder.com/en/news/367/current" xr:uid="{00000000-0004-0000-0A00-00003D000000}"/>
    <hyperlink ref="AHH4" r:id="rId63" display="https://warthunder.com/en/news/383/current" xr:uid="{00000000-0004-0000-0A00-00003E000000}"/>
    <hyperlink ref="AHT4" r:id="rId64" display="https://warthunder.com/en/news/568/current" xr:uid="{00000000-0004-0000-0A00-00003F000000}"/>
    <hyperlink ref="AHZ4" r:id="rId65" display="https://warthunder.com/en/news/395/current" xr:uid="{00000000-0004-0000-0A00-000040000000}"/>
    <hyperlink ref="F5" r:id="rId66" display="https://warthunder.com/en/news/399/current" xr:uid="{00000000-0004-0000-0A00-000041000000}"/>
    <hyperlink ref="V5" r:id="rId67" display="https://warthunder.com/en/news/403/current" xr:uid="{00000000-0004-0000-0A00-000042000000}"/>
    <hyperlink ref="AB5" r:id="rId68" display="https://warthunder.com/en/news/407/current" xr:uid="{00000000-0004-0000-0A00-000043000000}"/>
    <hyperlink ref="AD5" r:id="rId69" display="https://warthunder.com/en/news/409/current" xr:uid="{00000000-0004-0000-0A00-000044000000}"/>
    <hyperlink ref="AH5" r:id="rId70" display="https://warthunder.com/en/news/418/current" xr:uid="{00000000-0004-0000-0A00-000045000000}"/>
    <hyperlink ref="AJ5" r:id="rId71" display="https://warthunder.com/en/news/421/current" xr:uid="{00000000-0004-0000-0A00-000046000000}"/>
    <hyperlink ref="AL5" r:id="rId72" display="https://warthunder.com/en/news/424/current" xr:uid="{00000000-0004-0000-0A00-000047000000}"/>
    <hyperlink ref="AV5" r:id="rId73" display="https://warthunder.com/en/news/426/current" xr:uid="{00000000-0004-0000-0A00-000048000000}"/>
    <hyperlink ref="AZ5" r:id="rId74" display="https://warthunder.com/en/news/429/current" xr:uid="{00000000-0004-0000-0A00-000049000000}"/>
    <hyperlink ref="BL5" r:id="rId75" display="https://warthunder.com/en/news/436/current" xr:uid="{00000000-0004-0000-0A00-00004A000000}"/>
    <hyperlink ref="BR5" r:id="rId76" display="https://warthunder.com/en/news/437/current" xr:uid="{00000000-0004-0000-0A00-00004B000000}"/>
    <hyperlink ref="BV5" r:id="rId77" display="https://warthunder.com/en/news/439/current" xr:uid="{00000000-0004-0000-0A00-00004C000000}"/>
    <hyperlink ref="CF5" r:id="rId78" display="https://warthunder.com/en/news/446/current" xr:uid="{00000000-0004-0000-0A00-00004D000000}"/>
    <hyperlink ref="CL5" r:id="rId79" display="https://warthunder.com/en/news/450/current" xr:uid="{00000000-0004-0000-0A00-00004E000000}"/>
    <hyperlink ref="CN5" r:id="rId80" display="https://warthunder.com/en/news/452/current" xr:uid="{00000000-0004-0000-0A00-00004F000000}"/>
    <hyperlink ref="CT5" r:id="rId81" display="https://warthunder.com/en/news/454/current" xr:uid="{00000000-0004-0000-0A00-000050000000}"/>
    <hyperlink ref="DF5" r:id="rId82" display="https://warthunder.com/en/news/458/current" xr:uid="{00000000-0004-0000-0A00-000051000000}"/>
    <hyperlink ref="DL5" r:id="rId83" display="https://warthunder.com/en/news/461/current" xr:uid="{00000000-0004-0000-0A00-000052000000}"/>
    <hyperlink ref="DN5" r:id="rId84" display="https://warthunder.com/en/news/462/current" xr:uid="{00000000-0004-0000-0A00-000053000000}"/>
    <hyperlink ref="DX5" r:id="rId85" display="https://warthunder.com/en/news/464/current" xr:uid="{00000000-0004-0000-0A00-000054000000}"/>
    <hyperlink ref="EB5" r:id="rId86" display="https://warthunder.com/en/news/465/current" xr:uid="{00000000-0004-0000-0A00-000055000000}"/>
    <hyperlink ref="ED5" r:id="rId87" display="https://warthunder.com/en/news/467/current" xr:uid="{00000000-0004-0000-0A00-000056000000}"/>
    <hyperlink ref="EH5" r:id="rId88" display="https://warthunder.com/en/news/469/current" xr:uid="{00000000-0004-0000-0A00-000057000000}"/>
    <hyperlink ref="EZ5" r:id="rId89" display="https://warthunder.com/en/news/479/current" xr:uid="{00000000-0004-0000-0A00-000058000000}"/>
    <hyperlink ref="FB5" r:id="rId90" display="https://warthunder.com/en/news/481/current" xr:uid="{00000000-0004-0000-0A00-000059000000}"/>
    <hyperlink ref="FH5" r:id="rId91" display="https://warthunder.com/en/news/482/current" xr:uid="{00000000-0004-0000-0A00-00005A000000}"/>
    <hyperlink ref="FL5" r:id="rId92" display="https://warthunder.com/en/news/487/current" xr:uid="{00000000-0004-0000-0A00-00005B000000}"/>
    <hyperlink ref="FP5" r:id="rId93" display="https://warthunder.com/en/news/489/current" xr:uid="{00000000-0004-0000-0A00-00005C000000}"/>
    <hyperlink ref="FV5" r:id="rId94" display="https://warthunder.com/en/news/491/current" xr:uid="{00000000-0004-0000-0A00-00005D000000}"/>
    <hyperlink ref="GD5" r:id="rId95" display="https://warthunder.com/en/news/495/current" xr:uid="{00000000-0004-0000-0A00-00005E000000}"/>
    <hyperlink ref="GH5" r:id="rId96" display="https://warthunder.com/en/news/492/current" xr:uid="{00000000-0004-0000-0A00-00005F000000}"/>
    <hyperlink ref="GJ5" r:id="rId97" display="https://warthunder.com/en/news/497/current" xr:uid="{00000000-0004-0000-0A00-000060000000}"/>
    <hyperlink ref="GT5" r:id="rId98" display="https://warthunder.com/en/news/501/current" xr:uid="{00000000-0004-0000-0A00-000061000000}"/>
    <hyperlink ref="GV5" r:id="rId99" display="https://warthunder.com/en/news/503/current" xr:uid="{00000000-0004-0000-0A00-000062000000}"/>
    <hyperlink ref="HB5" r:id="rId100" display="https://warthunder.com/en/news/510/current" xr:uid="{00000000-0004-0000-0A00-000063000000}"/>
    <hyperlink ref="HL5" r:id="rId101" display="https://warthunder.com/en/news/511/current" xr:uid="{00000000-0004-0000-0A00-000064000000}"/>
    <hyperlink ref="HN5" r:id="rId102" display="https://warthunder.com/en/news/514/current" xr:uid="{00000000-0004-0000-0A00-000065000000}"/>
    <hyperlink ref="HP5" r:id="rId103" display="https://warthunder.com/en/news/515/current" xr:uid="{00000000-0004-0000-0A00-000066000000}"/>
    <hyperlink ref="HX5" r:id="rId104" display="https://warthunder.com/en/news/520/current" xr:uid="{00000000-0004-0000-0A00-000067000000}"/>
    <hyperlink ref="ID5" r:id="rId105" display="https://warthunder.com/en/news/522/current" xr:uid="{00000000-0004-0000-0A00-000068000000}"/>
    <hyperlink ref="IF5" r:id="rId106" display="https://warthunder.com/en/news/524/current" xr:uid="{00000000-0004-0000-0A00-000069000000}"/>
    <hyperlink ref="IJ5" r:id="rId107" display="https://warthunder.com/en/news/525/current" xr:uid="{00000000-0004-0000-0A00-00006A000000}"/>
    <hyperlink ref="IL5" r:id="rId108" display="https://warthunder.com/en/news/533/current" xr:uid="{00000000-0004-0000-0A00-00006B000000}"/>
    <hyperlink ref="IP5" r:id="rId109" display="https://warthunder.com/en/news/534/current" xr:uid="{00000000-0004-0000-0A00-00006C000000}"/>
    <hyperlink ref="IZ5" r:id="rId110" display="https://warthunder.com/en/news/546/current" xr:uid="{00000000-0004-0000-0A00-00006D000000}"/>
    <hyperlink ref="JL5" r:id="rId111" display="https://warthunder.com/en/news/552/current" xr:uid="{00000000-0004-0000-0A00-00006E000000}"/>
    <hyperlink ref="KB5" r:id="rId112" display="https://warthunder.com/en/news/560/current" xr:uid="{00000000-0004-0000-0A00-00006F000000}"/>
    <hyperlink ref="KD5" r:id="rId113" display="https://warthunder.com/en/news/562/current" xr:uid="{00000000-0004-0000-0A00-000070000000}"/>
    <hyperlink ref="KR5" r:id="rId114" display="https://warthunder.com/en/news/565/current" xr:uid="{00000000-0004-0000-0A00-000071000000}"/>
    <hyperlink ref="LD5" r:id="rId115" display="https://warthunder.com/en/news/569/current" xr:uid="{00000000-0004-0000-0A00-000072000000}"/>
    <hyperlink ref="LF5" r:id="rId116" display="https://warthunder.com/en/news/573/current" xr:uid="{00000000-0004-0000-0A00-000073000000}"/>
    <hyperlink ref="LL5" r:id="rId117" display="https://warthunder.com/en/news/574/current" xr:uid="{00000000-0004-0000-0A00-000074000000}"/>
    <hyperlink ref="LN5" r:id="rId118" display="https://warthunder.com/en/news/578/current" xr:uid="{00000000-0004-0000-0A00-000075000000}"/>
    <hyperlink ref="LV5" r:id="rId119" display="https://warthunder.com/en/news/582/current" xr:uid="{00000000-0004-0000-0A00-000076000000}"/>
    <hyperlink ref="LX5" r:id="rId120" display="https://warthunder.com/en/news/585/current" xr:uid="{00000000-0004-0000-0A00-000077000000}"/>
    <hyperlink ref="MB5" r:id="rId121" display="https://warthunder.com/en/news/591/current" xr:uid="{00000000-0004-0000-0A00-000078000000}"/>
    <hyperlink ref="ML5" r:id="rId122" display="https://warthunder.com/en/news/596/current" xr:uid="{00000000-0004-0000-0A00-000079000000}"/>
    <hyperlink ref="MN5" r:id="rId123" display="https://warthunder.com/en/news/604/current" xr:uid="{00000000-0004-0000-0A00-00007A000000}"/>
    <hyperlink ref="ND5" r:id="rId124" display="https://warthunder.com/en/news/608/current" xr:uid="{00000000-0004-0000-0A00-00007B000000}"/>
    <hyperlink ref="NL5" r:id="rId125" display="https://warthunder.com/en/news/614/current" xr:uid="{00000000-0004-0000-0A00-00007C000000}"/>
    <hyperlink ref="NP5" r:id="rId126" display="https://warthunder.com/en/news/618/current" xr:uid="{00000000-0004-0000-0A00-00007D000000}"/>
    <hyperlink ref="NZ5" r:id="rId127" display="https://warthunder.com/en/news/636/current" xr:uid="{00000000-0004-0000-0A00-00007E000000}"/>
    <hyperlink ref="OD5" r:id="rId128" display="https://warthunder.com/en/news/641/current" xr:uid="{00000000-0004-0000-0A00-00007F000000}"/>
    <hyperlink ref="OF5" r:id="rId129" display="https://warthunder.com/en/news/648/current" xr:uid="{00000000-0004-0000-0A00-000080000000}"/>
    <hyperlink ref="OH5" r:id="rId130" display="https://warthunder.com/en/news/648/current" xr:uid="{00000000-0004-0000-0A00-000081000000}"/>
    <hyperlink ref="OV5" r:id="rId131" display="https://warthunder.com/en/news/662/current" xr:uid="{00000000-0004-0000-0A00-000082000000}"/>
    <hyperlink ref="QN5" r:id="rId132" display="https://warthunder.com/en/news/681/current" xr:uid="{00000000-0004-0000-0A00-000083000000}"/>
    <hyperlink ref="QT5" r:id="rId133" display="https://warthunder.com/en/news/678/current" xr:uid="{00000000-0004-0000-0A00-000084000000}"/>
    <hyperlink ref="RJ5" r:id="rId134" display="https://warthunder.com/en/news/695/current" xr:uid="{00000000-0004-0000-0A00-000085000000}"/>
    <hyperlink ref="RL5" r:id="rId135" display="https://warthunder.com/en/news/700/current" xr:uid="{00000000-0004-0000-0A00-000086000000}"/>
    <hyperlink ref="RZ5" r:id="rId136" display="https://warthunder.com/en/news/707/current" xr:uid="{00000000-0004-0000-0A00-000087000000}"/>
    <hyperlink ref="SD5" r:id="rId137" display="https://warthunder.com/en/news/708/current" xr:uid="{00000000-0004-0000-0A00-000088000000}"/>
    <hyperlink ref="SJ5" r:id="rId138" display="https://warthunder.com/en/news/712/current" xr:uid="{00000000-0004-0000-0A00-000089000000}"/>
    <hyperlink ref="SN5" r:id="rId139" display="https://warthunder.com/en/news/718/current" xr:uid="{00000000-0004-0000-0A00-00008A000000}"/>
    <hyperlink ref="SP5" r:id="rId140" display="https://warthunder.com/en/news/721/current" xr:uid="{00000000-0004-0000-0A00-00008B000000}"/>
    <hyperlink ref="TH5" r:id="rId141" display="https://warthunder.com/en/news/739/current" xr:uid="{00000000-0004-0000-0A00-00008C000000}"/>
    <hyperlink ref="TJ5" r:id="rId142" display="https://warthunder.com/en/news/744/current" xr:uid="{00000000-0004-0000-0A00-00008D000000}"/>
    <hyperlink ref="UF5" r:id="rId143" display="https://warthunder.com/en/news/757/current" xr:uid="{00000000-0004-0000-0A00-00008E000000}"/>
    <hyperlink ref="UH5" r:id="rId144" display="https://warthunder.com/en/news/762/current" xr:uid="{00000000-0004-0000-0A00-00008F000000}"/>
    <hyperlink ref="UN5" r:id="rId145" display="https://warthunder.com/en/news/775/current" xr:uid="{00000000-0004-0000-0A00-000090000000}"/>
    <hyperlink ref="UV5" r:id="rId146" display="https://warthunder.com/en/news/789/current" xr:uid="{00000000-0004-0000-0A00-000091000000}"/>
    <hyperlink ref="VF5" r:id="rId147" display="https://warthunder.com/en/news/790/current" xr:uid="{00000000-0004-0000-0A00-000092000000}"/>
    <hyperlink ref="VH5" r:id="rId148" display="https://warthunder.com/en/news/792/current" xr:uid="{00000000-0004-0000-0A00-000093000000}"/>
    <hyperlink ref="WN5" r:id="rId149" display="https://warthunder.com/en/news/810/current" xr:uid="{00000000-0004-0000-0A00-000094000000}"/>
    <hyperlink ref="WP5" r:id="rId150" display="https://warthunder.com/en/news/814/current" xr:uid="{00000000-0004-0000-0A00-000095000000}"/>
    <hyperlink ref="WR5" r:id="rId151" display="https://warthunder.com/en/news/820/current" xr:uid="{00000000-0004-0000-0A00-000096000000}"/>
    <hyperlink ref="WT5" r:id="rId152" display="https://warthunder.com/en/news/822/current" xr:uid="{00000000-0004-0000-0A00-000097000000}"/>
    <hyperlink ref="XJ5" r:id="rId153" display="https://warthunder.com/en/news/833/current" xr:uid="{00000000-0004-0000-0A00-000098000000}"/>
    <hyperlink ref="XL5" r:id="rId154" display="https://warthunder.com/en/news/838/current" xr:uid="{00000000-0004-0000-0A00-000099000000}"/>
    <hyperlink ref="XV5" r:id="rId155" display="https://warthunder.com/en/news/846/current" xr:uid="{00000000-0004-0000-0A00-00009A000000}"/>
    <hyperlink ref="XZ5" r:id="rId156" display="https://warthunder.com/en/news/849/current" xr:uid="{00000000-0004-0000-0A00-00009B000000}"/>
    <hyperlink ref="YF5" r:id="rId157" display="https://warthunder.com/en/news/852/current" xr:uid="{00000000-0004-0000-0A00-00009C000000}"/>
    <hyperlink ref="YL5" r:id="rId158" display="https://warthunder.com/en/news/855/current" xr:uid="{00000000-0004-0000-0A00-00009D000000}"/>
    <hyperlink ref="YX5" r:id="rId159" display="https://warthunder.com/en/news/861/current" xr:uid="{00000000-0004-0000-0A00-00009E000000}"/>
    <hyperlink ref="YZ5" r:id="rId160" display="https://warthunder.com/en/news/863/current" xr:uid="{00000000-0004-0000-0A00-00009F000000}"/>
    <hyperlink ref="ZL5" r:id="rId161" display="https://warthunder.com/en/news/875/current" xr:uid="{00000000-0004-0000-0A00-0000A0000000}"/>
    <hyperlink ref="ZR5" r:id="rId162" display="https://warthunder.com/en/news/877/current" xr:uid="{00000000-0004-0000-0A00-0000A1000000}"/>
    <hyperlink ref="ZT5" r:id="rId163" display="https://warthunder.com/en/news/876/current" xr:uid="{00000000-0004-0000-0A00-0000A2000000}"/>
    <hyperlink ref="ZX5" r:id="rId164" display="https://warthunder.com/en/news/878/current" xr:uid="{00000000-0004-0000-0A00-0000A3000000}"/>
    <hyperlink ref="AAH5" r:id="rId165" display="https://warthunder.com/en/news/890/current" xr:uid="{00000000-0004-0000-0A00-0000A4000000}"/>
    <hyperlink ref="AAV5" r:id="rId166" display="https://warthunder.com/en/news/892/current" xr:uid="{00000000-0004-0000-0A00-0000A5000000}"/>
    <hyperlink ref="ABD5" r:id="rId167" display="https://warthunder.com/en/news/903/current" xr:uid="{00000000-0004-0000-0A00-0000A6000000}"/>
    <hyperlink ref="ABN5" r:id="rId168" display="https://warthunder.com/en/news/909/current" xr:uid="{00000000-0004-0000-0A00-0000A7000000}"/>
    <hyperlink ref="ABX5" r:id="rId169" display="https://warthunder.com/en/news/913/current" xr:uid="{00000000-0004-0000-0A00-0000A8000000}"/>
    <hyperlink ref="ABZ5" r:id="rId170" display="https://warthunder.com/en/news/914/current" xr:uid="{00000000-0004-0000-0A00-0000A9000000}"/>
    <hyperlink ref="ACL5" r:id="rId171" display="https://warthunder.com/en/news/473/current" xr:uid="{00000000-0004-0000-0A00-0000AA000000}"/>
    <hyperlink ref="ACN5" r:id="rId172" display="https://warthunder.com/en/news/2595--en" xr:uid="{00000000-0004-0000-0A00-0000AB000000}"/>
    <hyperlink ref="ACT5" r:id="rId173" display="https://warthunder.com/en/news/2597/current" xr:uid="{00000000-0004-0000-0A00-0000AC000000}"/>
    <hyperlink ref="ACX5" r:id="rId174" display="https://warthunder.com/en/news/2611/current" xr:uid="{00000000-0004-0000-0A00-0000AD000000}"/>
    <hyperlink ref="ADH5" r:id="rId175" display="https://warthunder.com/en/news/2615/current" xr:uid="{00000000-0004-0000-0A00-0000AE000000}"/>
    <hyperlink ref="ADJ5" r:id="rId176" display="https://warthunder.com/en/news/2618/current" xr:uid="{00000000-0004-0000-0A00-0000AF000000}"/>
    <hyperlink ref="ADL5" r:id="rId177" display="https://warthunder.com/en/news/2616/current" xr:uid="{00000000-0004-0000-0A00-0000B0000000}"/>
    <hyperlink ref="ADR5" r:id="rId178" display="https://warthunder.com/en/news/2623/current" xr:uid="{00000000-0004-0000-0A00-0000B1000000}"/>
    <hyperlink ref="ADT5" r:id="rId179" display="https://warthunder.com/en/news/2603/current" xr:uid="{00000000-0004-0000-0A00-0000B2000000}"/>
    <hyperlink ref="AEB5" r:id="rId180" display="https://warthunder.com/en/news/2633/current" xr:uid="{00000000-0004-0000-0A00-0000B3000000}"/>
    <hyperlink ref="AED5" r:id="rId181" display="https://warthunder.com/en/news/2642/current" xr:uid="{00000000-0004-0000-0A00-0000B4000000}"/>
    <hyperlink ref="AEN5" r:id="rId182" display="https://warthunder.com/en/news/2655/current" xr:uid="{00000000-0004-0000-0A00-0000B5000000}"/>
    <hyperlink ref="AER5" r:id="rId183" display="https://warthunder.com/en/news/2646/current" xr:uid="{00000000-0004-0000-0A00-0000B6000000}"/>
    <hyperlink ref="AET5" r:id="rId184" display="https://warthunder.com/en/news/2660/current" xr:uid="{00000000-0004-0000-0A00-0000B7000000}"/>
    <hyperlink ref="AEV5" r:id="rId185" display="https://warthunder.com/en/news/2649/current" xr:uid="{00000000-0004-0000-0A00-0000B8000000}"/>
    <hyperlink ref="AFD5" r:id="rId186" display="https://warthunder.com/en/news/2650/current" xr:uid="{00000000-0004-0000-0A00-0000B9000000}"/>
    <hyperlink ref="AFF5" r:id="rId187" display="https://warthunder.com/en/news/2680/current" xr:uid="{00000000-0004-0000-0A00-0000BA000000}"/>
    <hyperlink ref="AFH5" r:id="rId188" display="https://warthunder.com/en/news/2681/current" xr:uid="{00000000-0004-0000-0A00-0000BB000000}"/>
    <hyperlink ref="AFR5" r:id="rId189" display="https://warthunder.com/en/news/2684/current" xr:uid="{00000000-0004-0000-0A00-0000BC000000}"/>
    <hyperlink ref="AGP5" r:id="rId190" display="https://warthunder.com/en/news/428/current" xr:uid="{00000000-0004-0000-0A00-0000BD000000}"/>
    <hyperlink ref="AGV5" r:id="rId191" display="https://warthunder.com/en/news/2716/current" xr:uid="{00000000-0004-0000-0A00-0000BE000000}"/>
    <hyperlink ref="AHH5" r:id="rId192" display="https://warthunder.com/en/news/2723/current" xr:uid="{00000000-0004-0000-0A00-0000BF000000}"/>
    <hyperlink ref="AHV5" r:id="rId193" display="https://warthunder.com/en/news/2749--en" xr:uid="{00000000-0004-0000-0A00-0000C0000000}"/>
    <hyperlink ref="AHX5" r:id="rId194" display="https://warthunder.com/en/news/2749--en" xr:uid="{00000000-0004-0000-0A00-0000C1000000}"/>
    <hyperlink ref="AHZ5" r:id="rId195" display="https://warthunder.com/en/news/2750/current" xr:uid="{00000000-0004-0000-0A00-0000C2000000}"/>
    <hyperlink ref="AH6" r:id="rId196" display="https://warthunder.com/en/news/659--en" xr:uid="{00000000-0004-0000-0A00-0000C3000000}"/>
    <hyperlink ref="BR6" r:id="rId197" display="https://warthunder.com/en/news/870/current" xr:uid="{00000000-0004-0000-0A00-0000C4000000}"/>
    <hyperlink ref="CL6" r:id="rId198" display="https://warthunder.com/en/news/843/current" xr:uid="{00000000-0004-0000-0A00-0000C5000000}"/>
    <hyperlink ref="DF6" r:id="rId199" display="https://warthunder.com/en/news/505/current" xr:uid="{00000000-0004-0000-0A00-0000C6000000}"/>
    <hyperlink ref="DL6" r:id="rId200" display="https://warthunder.com/en/news/856/current" xr:uid="{00000000-0004-0000-0A00-0000C7000000}"/>
    <hyperlink ref="ACL6" r:id="rId201" display="https://warthunder.com/en/news/577/current" xr:uid="{00000000-0004-0000-0A00-0000C8000000}"/>
    <hyperlink ref="ACT6" r:id="rId202" display="https://warthunder.com/en/news/2598/current" xr:uid="{00000000-0004-0000-0A00-0000C9000000}"/>
    <hyperlink ref="P8" r:id="rId203" display="https://warthunder.com/en/news/2756/current" xr:uid="{00000000-0004-0000-0A00-0000CA000000}"/>
    <hyperlink ref="R8" r:id="rId204" display="https://warthunder.com/en/news/2764/current" xr:uid="{00000000-0004-0000-0A00-0000CB000000}"/>
    <hyperlink ref="AH8" r:id="rId205" display="https://warthunder.com/en/news/3225/current" xr:uid="{00000000-0004-0000-0A00-0000CC000000}"/>
    <hyperlink ref="BB8" r:id="rId206" display="https://warthunder.com/en/news/2812/current" xr:uid="{00000000-0004-0000-0A00-0000CD000000}"/>
    <hyperlink ref="BF8" r:id="rId207" display="https://warthunder.com/en/news/2821/current" xr:uid="{00000000-0004-0000-0A00-0000CE000000}"/>
    <hyperlink ref="BR8" r:id="rId208" display="https://warthunder.com/en/news/3354/current" xr:uid="{00000000-0004-0000-0A00-0000CF000000}"/>
    <hyperlink ref="BX8" r:id="rId209" display="https://warthunder.com/en/news/2835/current" xr:uid="{00000000-0004-0000-0A00-0000D0000000}"/>
    <hyperlink ref="CN8" r:id="rId210" display="https://warthunder.com/en/news/2853/current" xr:uid="{00000000-0004-0000-0A00-0000D1000000}"/>
    <hyperlink ref="CX8" r:id="rId211" display="https://warthunder.com/en/news/2859/current" xr:uid="{00000000-0004-0000-0A00-0000D2000000}"/>
    <hyperlink ref="DF8" r:id="rId212" display="https://warthunder.com/en/news/2875/current" xr:uid="{00000000-0004-0000-0A00-0000D3000000}"/>
    <hyperlink ref="DP8" r:id="rId213" display="https://warthunder.com/en/news/2870/current" xr:uid="{00000000-0004-0000-0A00-0000D4000000}"/>
    <hyperlink ref="EL8" r:id="rId214" display="https://warthunder.com/en/news/3418/current" xr:uid="{00000000-0004-0000-0A00-0000D5000000}"/>
    <hyperlink ref="EZ8" r:id="rId215" display="https://warthunder.com/en/news/2914/current" xr:uid="{00000000-0004-0000-0A00-0000D6000000}"/>
    <hyperlink ref="FV8" r:id="rId216" display="https://warthunder.com/en/news/2937/current" xr:uid="{00000000-0004-0000-0A00-0000D7000000}"/>
    <hyperlink ref="GF8" r:id="rId217" display="https://warthunder.com/en/news/2944/current" xr:uid="{00000000-0004-0000-0A00-0000D8000000}"/>
    <hyperlink ref="GH8" r:id="rId218" display="https://warthunder.com/en/news/2912/current" xr:uid="{00000000-0004-0000-0A00-0000D9000000}"/>
    <hyperlink ref="HH8" r:id="rId219" display="https://warthunder.com/en/news/2966/current" xr:uid="{00000000-0004-0000-0A00-0000DA000000}"/>
    <hyperlink ref="HN8" r:id="rId220" display="https://warthunder.com/en/news/2974/current" xr:uid="{00000000-0004-0000-0A00-0000DB000000}"/>
    <hyperlink ref="IZ8" r:id="rId221" display="https://warthunder.com/en/news/2984/current" xr:uid="{00000000-0004-0000-0A00-0000DC000000}"/>
    <hyperlink ref="JP8" r:id="rId222" display="https://warthunder.com/en/news/3040/current" xr:uid="{00000000-0004-0000-0A00-0000DD000000}"/>
    <hyperlink ref="KD8" r:id="rId223" display="https://warthunder.com/en/news/3072/current" xr:uid="{00000000-0004-0000-0A00-0000DE000000}"/>
    <hyperlink ref="LJ8" r:id="rId224" display="https://warthunder.com/en/news/3091/current" xr:uid="{00000000-0004-0000-0A00-0000DF000000}"/>
    <hyperlink ref="LL8" r:id="rId225" display="https://warthunder.com/en/news/3092/current" xr:uid="{00000000-0004-0000-0A00-0000E0000000}"/>
    <hyperlink ref="LZ8" r:id="rId226" display="https://warthunder.com/en/news/3103/current" xr:uid="{00000000-0004-0000-0A00-0000E1000000}"/>
    <hyperlink ref="MV8" r:id="rId227" display="https://warthunder.com/en/news/3119/current" xr:uid="{00000000-0004-0000-0A00-0000E2000000}"/>
    <hyperlink ref="ND8" r:id="rId228" display="https://warthunder.com/en/news/3125/current" xr:uid="{00000000-0004-0000-0A00-0000E3000000}"/>
    <hyperlink ref="NF8" r:id="rId229" display="https://warthunder.com/en/news/3129/current" xr:uid="{00000000-0004-0000-0A00-0000E4000000}"/>
    <hyperlink ref="NP8" r:id="rId230" display="https://warthunder.com/en/news/2981/current" xr:uid="{00000000-0004-0000-0A00-0000E5000000}"/>
    <hyperlink ref="NR8" r:id="rId231" display="https://warthunder.com/en/news/3137/current" xr:uid="{00000000-0004-0000-0A00-0000E6000000}"/>
    <hyperlink ref="OD8" r:id="rId232" display="https://warthunder.com/en/news/3145/current" xr:uid="{00000000-0004-0000-0A00-0000E7000000}"/>
    <hyperlink ref="OP8" r:id="rId233" display="https://warthunder.com/en/news/3157/current" xr:uid="{00000000-0004-0000-0A00-0000E8000000}"/>
    <hyperlink ref="OR8" r:id="rId234" display="https://warthunder.com/en/news/3156/current" xr:uid="{00000000-0004-0000-0A00-0000E9000000}"/>
    <hyperlink ref="PH8" r:id="rId235" display="https://warthunder.com/en/news/3170/current" xr:uid="{00000000-0004-0000-0A00-0000EA000000}"/>
    <hyperlink ref="PJ8" r:id="rId236" display="https://warthunder.com/en/news/3171/current" xr:uid="{00000000-0004-0000-0A00-0000EB000000}"/>
    <hyperlink ref="PL8" r:id="rId237" display="https://warthunder.com/en/news/3172/current" xr:uid="{00000000-0004-0000-0A00-0000EC000000}"/>
    <hyperlink ref="PP8" r:id="rId238" display="https://warthunder.com/en/news/3175/current" xr:uid="{00000000-0004-0000-0A00-0000ED000000}"/>
    <hyperlink ref="QF8" r:id="rId239" display="https://warthunder.com/en/news/3240/current" xr:uid="{00000000-0004-0000-0A00-0000EE000000}"/>
    <hyperlink ref="QH8" r:id="rId240" display="https://warthunder.com/en/news/3188/current" xr:uid="{00000000-0004-0000-0A00-0000EF000000}"/>
    <hyperlink ref="RJ8" r:id="rId241" display="https://warthunder.com/en/news/3206/current" xr:uid="{00000000-0004-0000-0A00-0000F0000000}"/>
    <hyperlink ref="RL8" r:id="rId242" display="https://warthunder.com/en/news/3204/current" xr:uid="{00000000-0004-0000-0A00-0000F1000000}"/>
    <hyperlink ref="RZ8" r:id="rId243" display="https://warthunder.com/en/news/3215/current" xr:uid="{00000000-0004-0000-0A00-0000F2000000}"/>
    <hyperlink ref="SP8" r:id="rId244" display="https://warthunder.com/en/news/3226/current" xr:uid="{00000000-0004-0000-0A00-0000F3000000}"/>
    <hyperlink ref="SR8" r:id="rId245" display="https://warthunder.com/en/news/3222/current" xr:uid="{00000000-0004-0000-0A00-0000F4000000}"/>
    <hyperlink ref="TD8" r:id="rId246" display="https://warthunder.com/en/news/3231/current" xr:uid="{00000000-0004-0000-0A00-0000F5000000}"/>
    <hyperlink ref="UN8" r:id="rId247" display="https://warthunder.com/en/news/3258/current" xr:uid="{00000000-0004-0000-0A00-0000F6000000}"/>
    <hyperlink ref="VF8" r:id="rId248" display="https://warthunder.com/en/news/3266/current" xr:uid="{00000000-0004-0000-0A00-0000F7000000}"/>
    <hyperlink ref="VJ8" r:id="rId249" display="https://warthunder.com/en/news/3273/current" xr:uid="{00000000-0004-0000-0A00-0000F8000000}"/>
    <hyperlink ref="VZ8" r:id="rId250" display="https://warthunder.com/en/news/3281/current" xr:uid="{00000000-0004-0000-0A00-0000F9000000}"/>
    <hyperlink ref="WL8" r:id="rId251" display="https://warthunder.com/en/news/3290/current" xr:uid="{00000000-0004-0000-0A00-0000FA000000}"/>
    <hyperlink ref="WX8" r:id="rId252" display="https://warthunder.com/en/news/3309/current" xr:uid="{00000000-0004-0000-0A00-0000FB000000}"/>
    <hyperlink ref="XB8" r:id="rId253" display="https://warthunder.com/en/news/3303/current" xr:uid="{00000000-0004-0000-0A00-0000FC000000}"/>
    <hyperlink ref="XV8" r:id="rId254" display="https://warthunder.com/en/news/3317/current" xr:uid="{00000000-0004-0000-0A00-0000FD000000}"/>
    <hyperlink ref="YF8" r:id="rId255" display="https://warthunder.com/en/news/3323/current" xr:uid="{00000000-0004-0000-0A00-0000FE000000}"/>
    <hyperlink ref="ZB8" r:id="rId256" display="https://warthunder.com/en/news/3336/current" xr:uid="{00000000-0004-0000-0A00-0000FF000000}"/>
    <hyperlink ref="ZR8" r:id="rId257" display="https://warthunder.com/en/news/3348/current" xr:uid="{00000000-0004-0000-0A00-000000010000}"/>
    <hyperlink ref="AAD8" r:id="rId258" display="https://warthunder.com/en/news/3360/current" xr:uid="{00000000-0004-0000-0A00-000001010000}"/>
    <hyperlink ref="ABD8" r:id="rId259" display="https://warthunder.com/en/news/3229/current" xr:uid="{00000000-0004-0000-0A00-000002010000}"/>
    <hyperlink ref="ACN8" r:id="rId260" display="https://warthunder.com/en/news/3393/current" xr:uid="{00000000-0004-0000-0A00-000003010000}"/>
    <hyperlink ref="ACT8" r:id="rId261" display="https://warthunder.com/en/news/3397/current" xr:uid="{00000000-0004-0000-0A00-000004010000}"/>
    <hyperlink ref="AEF8" r:id="rId262" display="https://warthunder.com/en/news/3434/current" xr:uid="{00000000-0004-0000-0A00-000005010000}"/>
    <hyperlink ref="AFJ8" r:id="rId263" display="https://warthunder.com/en/news/3455/current" xr:uid="{00000000-0004-0000-0A00-000006010000}"/>
    <hyperlink ref="AFN8" r:id="rId264" display="https://warthunder.com/en/news/2752/current" xr:uid="{00000000-0004-0000-0A00-000007010000}"/>
    <hyperlink ref="AFR8" r:id="rId265" display="https://warthunder.com/en/news/3459/current" xr:uid="{00000000-0004-0000-0A00-000008010000}"/>
    <hyperlink ref="AFZ8" r:id="rId266" display="https://warthunder.com/en/news/3441/current" xr:uid="{00000000-0004-0000-0A00-000009010000}"/>
    <hyperlink ref="AGF8" r:id="rId267" display="https://warthunder.com/en/news/3467/current" xr:uid="{00000000-0004-0000-0A00-00000A010000}"/>
    <hyperlink ref="AGV8" r:id="rId268" display="https://warthunder.com/en/news/2779/current" xr:uid="{00000000-0004-0000-0A00-00000B010000}"/>
    <hyperlink ref="AHJ8" r:id="rId269" display="https://warthunder.com/en/news/3492/current" xr:uid="{00000000-0004-0000-0A00-00000C010000}"/>
    <hyperlink ref="AHV8" r:id="rId270" display="https://warthunder.com/en/news/3477/current" xr:uid="{00000000-0004-0000-0A00-00000D010000}"/>
    <hyperlink ref="AHX8" r:id="rId271" display="https://warthunder.com/en/news/3485--en" xr:uid="{00000000-0004-0000-0A00-00000E010000}"/>
    <hyperlink ref="AHZ8" r:id="rId272" display="https://warthunder.com/en/news/3496/current" xr:uid="{00000000-0004-0000-0A00-00000F010000}"/>
    <hyperlink ref="AH9" r:id="rId273" display="https://warthunder.com/en/news/3412/current" xr:uid="{00000000-0004-0000-0A00-000010010000}"/>
    <hyperlink ref="GH9" r:id="rId274" display="https://warthunder.com/en/news/2911/current" xr:uid="{00000000-0004-0000-0A00-000011010000}"/>
    <hyperlink ref="HN9" r:id="rId275" display="https://warthunder.com/en/news/2975/current" xr:uid="{00000000-0004-0000-0A00-000012010000}"/>
    <hyperlink ref="NF9" r:id="rId276" display="https://warthunder.com/en/news/3466/current" xr:uid="{00000000-0004-0000-0A00-000013010000}"/>
    <hyperlink ref="WL9" r:id="rId277" display="https://warthunder.com/en/news/3295/current" xr:uid="{00000000-0004-0000-0A00-000014010000}"/>
    <hyperlink ref="ACT9" r:id="rId278" display="https://warthunder.com/en/news/3396--en" xr:uid="{00000000-0004-0000-0A00-000015010000}"/>
    <hyperlink ref="AGV9" r:id="rId279" display="https://warthunder.com/en/news/2987/current" xr:uid="{00000000-0004-0000-0A00-000016010000}"/>
    <hyperlink ref="P10" r:id="rId280" display="https://warthunder.com/en/news/3504/current" xr:uid="{00000000-0004-0000-0A00-000017010000}"/>
    <hyperlink ref="R10" r:id="rId281" display="https://warthunder.com/en/news/3502/current" xr:uid="{00000000-0004-0000-0A00-000018010000}"/>
    <hyperlink ref="AH10" r:id="rId282" display="https://warthunder.com/en/news/3722-event-rapid-fire-and-floats-en" xr:uid="{00000000-0004-0000-0A00-000019010000}"/>
    <hyperlink ref="BR10" r:id="rId283" display="https://warthunder.com/en/news/3676-event-large-calibres-event-en" xr:uid="{00000000-0004-0000-0A00-00001A010000}"/>
    <hyperlink ref="BV10" r:id="rId284" display="https://warthunder.com/en/news/3509/current" xr:uid="{00000000-0004-0000-0A00-00001B010000}"/>
    <hyperlink ref="CN10" r:id="rId285" display="https://warthunder.com/en/news/3562-special-valentine-s-day-in-war-thunder-en" xr:uid="{00000000-0004-0000-0A00-00001C010000}"/>
    <hyperlink ref="DF10" r:id="rId286" display="https://warthunder.com/en/news/4329-event-battle-of-iwo-jima-en" xr:uid="{00000000-0004-0000-0A00-00001D010000}"/>
    <hyperlink ref="DT10" r:id="rId287" display="https://warthunder.com/en/news/3579-tournament-defender-combined-battles-en" xr:uid="{00000000-0004-0000-0A00-00001E010000}"/>
    <hyperlink ref="ET10" r:id="rId288" display="https://warthunder.com/en/news/3610-special-team-deathmatch-win-rare-vehicles-en" xr:uid="{00000000-0004-0000-0A00-00001F010000}"/>
    <hyperlink ref="FD10" r:id="rId289" display="https://warthunder.com/en/news/3619-special-500k-facebook-mastermind-quiz-en" xr:uid="{00000000-0004-0000-0A00-000020010000}"/>
    <hyperlink ref="FV10" r:id="rId290" display="https://warthunder.com/en/news/3639-special-st-patricks-day-en" xr:uid="{00000000-0004-0000-0A00-000021010000}"/>
    <hyperlink ref="FX10" r:id="rId291" display="https://warthunder.com/en/news/3641-special-v-for-victory-en" xr:uid="{00000000-0004-0000-0A00-000022010000}"/>
    <hyperlink ref="GF10" r:id="rId292" display="https://warthunder.com/en/news/4262-event-airfield-assault-and-defense-stalingrad-en" xr:uid="{00000000-0004-0000-0A00-000023010000}"/>
    <hyperlink ref="HN10" r:id="rId293" display="https://warthunder.com/en/news/3666-development-the-april-fools-event-is-over-en" xr:uid="{00000000-0004-0000-0A00-000024010000}"/>
    <hyperlink ref="IL10" r:id="rId294" display="https://warthunder.com/en/news/3680-special-day-of-cosmonautics-en" xr:uid="{00000000-0004-0000-0A00-000025010000}"/>
    <hyperlink ref="LJ10" r:id="rId295" display="https://warthunder.com/en/news/3709-event-victory-hour-capture-of-berlin-pve-event-en" xr:uid="{00000000-0004-0000-0A00-000026010000}"/>
    <hyperlink ref="LL10" r:id="rId296" display="https://warthunder.com/en/news/3712-special-victory-day-specials-in-war-thunder-en" xr:uid="{00000000-0004-0000-0A00-000027010000}"/>
    <hyperlink ref="LZ10" r:id="rId297" display="https://warthunder.com/en/news/4278-event-night-events-rb-guardian-angel-and-operation-chastise-en" xr:uid="{00000000-0004-0000-0A00-000028010000}"/>
    <hyperlink ref="NF10" r:id="rId298" display="https://warthunder.com/en/news/3503/current" xr:uid="{00000000-0004-0000-0A00-000029010000}"/>
    <hyperlink ref="OD10" r:id="rId299" display="https://old-forum.warthunder.com/index.php?/topic/316493-shop-d-day-bundle-at-30-off33/" xr:uid="{00000000-0004-0000-0A00-00002A010000}"/>
    <hyperlink ref="OP10" r:id="rId300" display="https://old-forum.warthunder.com/index.php?/topic/317378-shop-russia-day-bundle-at-30-off/" xr:uid="{00000000-0004-0000-0A00-00002B010000}"/>
    <hyperlink ref="QF10" r:id="rId301" display="https://warthunder.com/en/news/3784-event-beginning-of-the-korean-war-en" xr:uid="{00000000-0004-0000-0A00-00002C010000}"/>
    <hyperlink ref="QJ10" r:id="rId302" display="https://warthunder.com/en/news/3790-news-petlyakov-chronicle-of-a-dive-bomber-en" xr:uid="{00000000-0004-0000-0A00-00002D010000}"/>
    <hyperlink ref="QV10" r:id="rId303" display="https://warthunder.com/en/news/3793-event-the-road-for-the-brave-en" xr:uid="{00000000-0004-0000-0A00-00002E010000}"/>
    <hyperlink ref="RJ10" r:id="rId304" display="https://warthunder.com/en/news/3802-event-independence-day-air-battles-over-the-ardennes-en" xr:uid="{00000000-0004-0000-0A00-00002F010000}"/>
    <hyperlink ref="RL10" r:id="rId305" display="https://warthunder.com/en/news/3805-event-the-battle-of-kursk-en" xr:uid="{00000000-0004-0000-0A00-000030010000}"/>
    <hyperlink ref="RV10" r:id="rId306" display="https://warthunder.com/en/news/3809-event-boulogne-sur-mer-en" xr:uid="{00000000-0004-0000-0A00-000031010000}"/>
    <hyperlink ref="TT10" r:id="rId307" display="https://warthunder.com/en/news/4174-event-new-missions-en" xr:uid="{00000000-0004-0000-0A00-000032010000}"/>
    <hyperlink ref="UN10" r:id="rId308" display="https://warthunder.com/en/news/4188-special-day-of-the-russian-air-force-en" xr:uid="{00000000-0004-0000-0A00-000033010000}"/>
    <hyperlink ref="UZ10" r:id="rId309" display="https://warthunder.com/en/news/4197-gamescom2016-tactical-landing-updated-with-winners-list-en" xr:uid="{00000000-0004-0000-0A00-000034010000}"/>
    <hyperlink ref="VJ10" r:id="rId310" display="https://warthunder.com/en/news/4217-special-under-the-black-flag-en" xr:uid="{00000000-0004-0000-0A00-000035010000}"/>
    <hyperlink ref="WX10" r:id="rId311" display="https://warthunder.com/en/news/4232-special-tanker-s-day-specials-en" xr:uid="{00000000-0004-0000-0A00-000036010000}"/>
    <hyperlink ref="XV10" r:id="rId312" display="https://warthunder.com/en/news/4246-special-battle-of-britain-en" xr:uid="{00000000-0004-0000-0A00-000037010000}"/>
    <hyperlink ref="YT10" r:id="rId313" display="https://warthunder.com/en/news/4262-event-airfield-assault-and-defense-stalingrad-en" xr:uid="{00000000-0004-0000-0A00-000038010000}"/>
    <hyperlink ref="AAD10" r:id="rId314" display="https://warthunder.com/en/news/3681-special-event-series-chronicles-of-world-war-ii-day-28-faq-added-en" xr:uid="{00000000-0004-0000-0A00-000039010000}"/>
    <hyperlink ref="ABD10" r:id="rId315" display="https://warthunder.com/en/news/3552-event-rapid-fire-en" xr:uid="{00000000-0004-0000-0A00-00003A010000}"/>
    <hyperlink ref="ABF10" r:id="rId316" display="https://warthunder.com/en/news/4278-event-night-events-rb-guardian-angel-and-operation-chastise-en" xr:uid="{00000000-0004-0000-0A00-00003B010000}"/>
    <hyperlink ref="ACN10" r:id="rId317" display="https://warthunder.com/en/news/4305-event-halloween-mischief-updated-01-11-2016-en" xr:uid="{00000000-0004-0000-0A00-00003C010000}"/>
    <hyperlink ref="ACT10" r:id="rId318" display="https://warthunder.com/en/news/4304-war-thunder-four-years-and-still-going-strong-en" xr:uid="{00000000-0004-0000-0A00-00003D010000}"/>
    <hyperlink ref="ADJ10" r:id="rId319" display="https://warthunder.com/en/news/4332-armistice-day-en" xr:uid="{00000000-0004-0000-0A00-00003E010000}"/>
    <hyperlink ref="ADX10" r:id="rId320" display="https://warthunder.com/en/news/4337-event-celebrate-panfilov-s-28-movie-premiere-en" xr:uid="{00000000-0004-0000-0A00-00003F010000}"/>
    <hyperlink ref="AEF10" r:id="rId321" display="https://warthunder.com/en/news/4183-event-team-deathmatch-and-historical-enduring-confrontation-en" xr:uid="{00000000-0004-0000-0A00-000040010000}"/>
    <hyperlink ref="AEH10" r:id="rId322" display="https://warthunder.com/en/news/4355-shop-black-friday-thanksgiving-discounts-have-ended-en" xr:uid="{00000000-0004-0000-0A00-000041010000}"/>
    <hyperlink ref="AER10" r:id="rId323" display="https://warthunder.com/en/news/4355-shop-black-friday-thanksgiving-discounts-have-ended-en" xr:uid="{00000000-0004-0000-0A00-000042010000}"/>
    <hyperlink ref="AEX10" r:id="rId324" display="https://warthunder.com/en/news/4362-news-st-andrew-s-day-en" xr:uid="{00000000-0004-0000-0A00-000043010000}"/>
    <hyperlink ref="AFN10" r:id="rId325" display="https://warthunder.com/en/news/4354-event-battle-of-moscow-en" xr:uid="{00000000-0004-0000-0A00-000044010000}"/>
    <hyperlink ref="AFR10" r:id="rId326" display="https://old-forum.warthunder.com/index.php?/topic/341232-attack-on-the-pearl-harbor/" xr:uid="{00000000-0004-0000-0A00-000045010000}"/>
    <hyperlink ref="AFT10" r:id="rId327" display="https://warthunder.com/en/news/4382-event-still-waters-en" xr:uid="{00000000-0004-0000-0A00-000046010000}"/>
    <hyperlink ref="AFZ10" r:id="rId328" display="https://warthunder.com/en/news/4286-event-large-calibres-and-rocket-science-en" xr:uid="{00000000-0004-0000-0A00-000047010000}"/>
    <hyperlink ref="AGP10" r:id="rId329" display="https://warthunder.com/en/news/4389-event-battles-in-ardennes-en" xr:uid="{00000000-0004-0000-0A00-000048010000}"/>
    <hyperlink ref="AGV10" r:id="rId330" display="https://warthunder.com/en/news/4414/current/direct/https:/warthunder.com/en/news/4414/current/direct/" xr:uid="{00000000-0004-0000-0A00-000049010000}"/>
    <hyperlink ref="AHB10" r:id="rId331" display="https://warthunder.com/en/news/4412-war-thunder-is-now-released-en" xr:uid="{00000000-0004-0000-0A00-00004A010000}"/>
    <hyperlink ref="AHV10" r:id="rId332" display="https://warthunder.com/en/news/4418-special-collect-a-premium-type-95-ha-go-commander-for-christmas-en" xr:uid="{00000000-0004-0000-0A00-00004B010000}"/>
    <hyperlink ref="AHX10" r:id="rId333" display="https://warthunder.com/en/news/4417-special-seasonal-discounts-en" xr:uid="{00000000-0004-0000-0A00-00004C010000}"/>
    <hyperlink ref="AH11" r:id="rId334" display="https://warthunder.com/en/news/4166-event-rapid-fire-and-floats-en" xr:uid="{00000000-0004-0000-0A00-00004D010000}"/>
    <hyperlink ref="BR11" r:id="rId335" display="https://warthunder.com/en/news/4286-event-large-calibres-and-rocket-science-en" xr:uid="{00000000-0004-0000-0A00-00004E010000}"/>
    <hyperlink ref="NF11" r:id="rId336" display="https://warthunder.com/en/news/4315-event-war-in-mid-air-en" xr:uid="{00000000-0004-0000-0A00-00004F010000}"/>
    <hyperlink ref="QV11" r:id="rId337" display="https://warthunder.com/en/news/4298-event-the-road-for-the-brave-en" xr:uid="{00000000-0004-0000-0A00-000050010000}"/>
    <hyperlink ref="ABD11" r:id="rId338" display="https://warthunder.com/en/news/3722-event-rapid-fire-and-floats-en" xr:uid="{00000000-0004-0000-0A00-000051010000}"/>
    <hyperlink ref="ACT11" r:id="rId339" display="http://web.archive.org/web/20161031014851/https:/warthunder.com/en/news/4308-shop-clearance-sale-in-the-store-50-discount-en/" xr:uid="{00000000-0004-0000-0A00-000052010000}"/>
    <hyperlink ref="AEF11" r:id="rId340" display="https://warthunder.com/en/news/4404-event-team-deathmatch-and-enduring-confrontation-en" xr:uid="{00000000-0004-0000-0A00-000053010000}"/>
    <hyperlink ref="AFN11" r:id="rId341" display="https://warthunder.com/en/news/4370-event-battle-for-moscow-en" xr:uid="{00000000-0004-0000-0A00-000054010000}"/>
    <hyperlink ref="AHX11" r:id="rId342" display="https://warthunder.com/en/news/4422-special-mega-bundles-at-70-off-en" xr:uid="{00000000-0004-0000-0A00-000055010000}"/>
    <hyperlink ref="AH12" r:id="rId343" display="https://warthunder.com/en/news/4269-event-floats-en" xr:uid="{00000000-0004-0000-0A00-000056010000}"/>
    <hyperlink ref="ABD12" r:id="rId344" display="https://warthunder.com/en/news/4166-event-rapid-fire-and-floats-en" xr:uid="{00000000-0004-0000-0A00-000057010000}"/>
    <hyperlink ref="AH13" r:id="rId345" display="https://warthunder.com/en/news/4702-event-floats-en" xr:uid="{00000000-0004-0000-0A00-000058010000}"/>
    <hyperlink ref="BF13" r:id="rId346" display="https://warthunder.com/en/news/4529-event-battle-of-stalingrad-en" xr:uid="{00000000-0004-0000-0A00-000059010000}"/>
    <hyperlink ref="BV13" r:id="rId347" display="https://warthunder.com/en/news/4475-event-winter-games-biathlon-curling-and-races-en" xr:uid="{00000000-0004-0000-0A00-00005A010000}"/>
    <hyperlink ref="CN13" r:id="rId348" display="https://warthunder.com/en/news/4508-special-valentine-s-day-en" xr:uid="{00000000-0004-0000-0A00-00005B010000}"/>
    <hyperlink ref="CZ13" r:id="rId349" display="https://warthunder.com/en/news/4521-event-rescue-operation-en" xr:uid="{00000000-0004-0000-0A00-00005C010000}"/>
    <hyperlink ref="DT13" r:id="rId350" display="https://warthunder.com/en/news/4527-shop-special-discounts-en" xr:uid="{00000000-0004-0000-0A00-00005D010000}"/>
    <hyperlink ref="DZ13" r:id="rId351" display="https://warthunder.com/en/news/4534-test-pacific-war-events-en" xr:uid="{00000000-0004-0000-0A00-00005E010000}"/>
    <hyperlink ref="ER13" r:id="rId352" display="https://warthunder.com/en/news/4554-event-spitfire-day-in-honor-of-the-first-flight-en" xr:uid="{00000000-0004-0000-0A00-00005F010000}"/>
    <hyperlink ref="EZ13" r:id="rId353" display="https://warthunder.com/en/news/4561-event-day-of-the-kindest-cute-beautiful-responsive-smiling-en" xr:uid="{00000000-0004-0000-0A00-000060010000}"/>
    <hyperlink ref="FV13" r:id="rId354" display="https://warthunder.com/en/news/4588-event-st-patrick-s-day-en" xr:uid="{00000000-0004-0000-0A00-000061010000}"/>
    <hyperlink ref="GF13" r:id="rId355" display="https://warthunder.com/en/news/4464-event-airfield-assault-and-defense-stalingrad-enduring-confrontation-english-channel-en" xr:uid="{00000000-0004-0000-0A00-000062010000}"/>
    <hyperlink ref="GT13" r:id="rId356" display="https://warthunder.com/en/news/4601-event-rhine-operation-plunder-en" xr:uid="{00000000-0004-0000-0A00-000063010000}"/>
    <hyperlink ref="HN13" r:id="rId357" display="https://warthunder.com/en/news/4618-news-modern-tanks-and-helicopters-arrive-on-war-thunder-s-frontlines-en" xr:uid="{00000000-0004-0000-0A00-000064010000}"/>
    <hyperlink ref="IL13" r:id="rId358" display="https://warthunder.com/en/news/4643-event-cosmonautics-day-en" xr:uid="{00000000-0004-0000-0A00-000065010000}"/>
    <hyperlink ref="LL13" r:id="rId359" display="https://warthunder.com/en/news/4693-vday-happy-victory-day-en" xr:uid="{00000000-0004-0000-0A00-000066010000}"/>
    <hyperlink ref="MX13" r:id="rId360" display="https://warthunder.com/en/news/4741-special-air-race-in-the-guiana-highlands-en" xr:uid="{00000000-0004-0000-0A00-000067010000}"/>
    <hyperlink ref="NF13" r:id="rId361" display="https://warthunder.com/en/news/4853-event-war-in-mid-air-en" xr:uid="{00000000-0004-0000-0A00-000068010000}"/>
    <hyperlink ref="NR13" r:id="rId362" display="https://warthunder.com/en/news/5002-tournament-corsair-battle-en" xr:uid="{00000000-0004-0000-0A00-000069010000}"/>
    <hyperlink ref="OD13" r:id="rId363" display="https://warthunder.com/en/news/4754-event-invasion-of-normandy-en" xr:uid="{00000000-0004-0000-0A00-00006A010000}"/>
    <hyperlink ref="PD13" r:id="rId364" display="https://warthunder.com/en/news/4794-event-ctf-flag-raiser-en" xr:uid="{00000000-0004-0000-0A00-00006B010000}"/>
    <hyperlink ref="PH13" r:id="rId365" display="https://warthunder.com/en/news/4798-shop-summer-sale-ended-en" xr:uid="{00000000-0004-0000-0A00-00006C010000}"/>
    <hyperlink ref="PT13" r:id="rId366" display="https://warthunder.com/en/news/4799-event-battleroyal-en" xr:uid="{00000000-0004-0000-0A00-00006D010000}"/>
    <hyperlink ref="QV13" r:id="rId367" display="https://warthunder.com/en/news/4639-event-the-road-for-the-brave-and-airfield-assault-en" xr:uid="{00000000-0004-0000-0A00-00006E010000}"/>
    <hyperlink ref="RJ13" r:id="rId368" display="https://warthunder.com/en/news/4819-news-independence-day-en" xr:uid="{00000000-0004-0000-0A00-00006F010000}"/>
    <hyperlink ref="RL13" r:id="rId369" display="https://warthunder.com/en/news/4822-event-the-battle-of-kursk-en" xr:uid="{00000000-0004-0000-0A00-000070010000}"/>
    <hyperlink ref="RT13" r:id="rId370" display="https://warthunder.com/en/news/4826-event-total-domination-en" xr:uid="{00000000-0004-0000-0A00-000071010000}"/>
    <hyperlink ref="TZ13" r:id="rId371" display="https://warthunder.com/en/news/4883-race-fast-lions-challenge-en" xr:uid="{00000000-0004-0000-0A00-000072010000}"/>
    <hyperlink ref="UN13" r:id="rId372" display="https://warthunder.com/en/news/4892-special-russian-air-force-105th-anniversary-en" xr:uid="{00000000-0004-0000-0A00-000073010000}"/>
    <hyperlink ref="VN13" r:id="rId373" display="https://warthunder.com/en/news/4920-gamescom-war-thunder-quiz-en" xr:uid="{00000000-0004-0000-0A00-000074010000}"/>
    <hyperlink ref="WF13" r:id="rId374" display="https://warthunder.com/en/news/4941-event-wingball-en" xr:uid="{00000000-0004-0000-0A00-000075010000}"/>
    <hyperlink ref="WX13" r:id="rId375" display="https://warthunder.com/en/news/4954-event-happy-tanker-s-day-en" xr:uid="{00000000-0004-0000-0A00-000076010000}"/>
    <hyperlink ref="XJ13" r:id="rId376" display="https://warthunder.com/en/news/4961-special-the-la-174-is-back-en" xr:uid="{00000000-0004-0000-0A00-000077010000}"/>
    <hyperlink ref="XV13" r:id="rId377" display="https://warthunder.com/en/news/4970-event-battle-of-britain-en" xr:uid="{00000000-0004-0000-0A00-000078010000}"/>
    <hyperlink ref="YF13" r:id="rId378" display="https://warthunder.com/en/news/4973-news-happy-birthday-us-air-force-en" xr:uid="{00000000-0004-0000-0A00-000079010000}"/>
    <hyperlink ref="YT13" r:id="rId379" display="https://warthunder.com/en/news/4464-event-airfield-assault-and-defense-stalingrad-enduring-confrontation-english-channel-en" xr:uid="{00000000-0004-0000-0A00-00007A010000}"/>
    <hyperlink ref="ZR13" r:id="rId380" display="https://warthunder.com/en/news/4994-special-german-unity-day-en" xr:uid="{00000000-0004-0000-0A00-00007B010000}"/>
    <hyperlink ref="ACN13" r:id="rId381" display="https://warthunder.com/en/news/5062-special-halloween-update-winners-list-en" xr:uid="{00000000-0004-0000-0A00-00007C010000}"/>
    <hyperlink ref="ACT13" r:id="rId382" display="https://warthunder.com/en/news/5066-special-war-thunder-5-years-en" xr:uid="{00000000-0004-0000-0A00-00007D010000}"/>
    <hyperlink ref="AEF13" r:id="rId383" display="https://warthunder.com/en/news/4768-event-100-en" xr:uid="{00000000-0004-0000-0A00-00007E010000}"/>
    <hyperlink ref="AEH13" r:id="rId384" display="https://warthunder.com/en/news/5132-shop-take-advantage-of-special-black-friday-en" xr:uid="{00000000-0004-0000-0A00-00007F010000}"/>
    <hyperlink ref="AFD13" r:id="rId385" display="https://warthunder.com/en/news/5139-special-75th-anniversary-of-the-normandie-niemen-en" xr:uid="{00000000-0004-0000-0A00-000080010000}"/>
    <hyperlink ref="AFT13" r:id="rId386" display="https://warthunder.com/en/news/5037-event-still-waters-en" xr:uid="{00000000-0004-0000-0A00-000081010000}"/>
    <hyperlink ref="AGJ13" r:id="rId387" display="https://warthunder.com/en/news/5020-special-friday-the-13th-true-slasher-en" xr:uid="{00000000-0004-0000-0A00-000082010000}"/>
    <hyperlink ref="AGT13" r:id="rId388" display="https://warthunder.com/en/news/5158-giveaway-advent-in-war-thunder-en" xr:uid="{00000000-0004-0000-0A00-000083010000}"/>
    <hyperlink ref="AGV13" r:id="rId389" display="https://warthunder.com/en/news/4648-special-war-thunder-chronicles-en" xr:uid="{00000000-0004-0000-0A00-000084010000}"/>
    <hyperlink ref="AHH13" r:id="rId390" display="https://warthunder.com/en/news/5226-special-festivities-in-war-thunder-en" xr:uid="{00000000-0004-0000-0A00-000085010000}"/>
    <hyperlink ref="AHV13" r:id="rId391" display="https://warthunder.com/en/news/5226-special-festivities-in-war-thunder-en" xr:uid="{00000000-0004-0000-0A00-000086010000}"/>
    <hyperlink ref="AHX13" r:id="rId392" display="https://warthunder.com/en/news/5226-special-festivities-in-war-thunder-en" xr:uid="{00000000-0004-0000-0A00-000087010000}"/>
    <hyperlink ref="AHZ13" r:id="rId393" display="https://warthunder.com/en/news/5239-special-festive-events-en" xr:uid="{00000000-0004-0000-0A00-000088010000}"/>
    <hyperlink ref="AH14" r:id="rId394" display="https://warthunder.com/en/news/5183-event-floats-en" xr:uid="{00000000-0004-0000-0A00-000089010000}"/>
    <hyperlink ref="GF14" r:id="rId395" display="https://warthunder.com/en/news/4639-event-the-road-for-the-brave-and-airfield-assault-en" xr:uid="{00000000-0004-0000-0A00-00008A010000}"/>
    <hyperlink ref="PD14" r:id="rId396" display="https://warthunder.com/en/news/4842-event-ctf-classic-mode-survey-is-over-en" xr:uid="{00000000-0004-0000-0A00-00008B010000}"/>
    <hyperlink ref="PT14" r:id="rId397" display="https://warthunder.com/en/news/4890-event-battle-royale-en" xr:uid="{00000000-0004-0000-0A00-00008C010000}"/>
    <hyperlink ref="YF14" r:id="rId398" display="https://warthunder.com/en/news/4978-special-us-air-force-day-get-the-xf5f-skyrocket-en" xr:uid="{00000000-0004-0000-0A00-00008D010000}"/>
    <hyperlink ref="ACT14" r:id="rId399" display="https://warthunder.com/en/news/5079-special-hurry-up-and-get-rare-packs-en" xr:uid="{00000000-0004-0000-0A00-00008E010000}"/>
    <hyperlink ref="AEF14" r:id="rId400" display="https://warthunder.com/en/news/5109-event-team-deathmatch-100-en" xr:uid="{00000000-0004-0000-0A00-00008F010000}"/>
    <hyperlink ref="AHX14" r:id="rId401" display="https://warthunder.com/en/news/5232-shop-winter-sales-special-bundle-and-gift-certificates-en" xr:uid="{00000000-0004-0000-0A00-000090010000}"/>
    <hyperlink ref="AHZ14" r:id="rId402" display="https://warthunder.com/en/news/5242-happy-new-year-en" xr:uid="{00000000-0004-0000-0A00-000091010000}"/>
    <hyperlink ref="PD15" r:id="rId403" display="https://warthunder.com/en/news/5148-event-ctf-classic-mode-en" xr:uid="{00000000-0004-0000-0A00-000092010000}"/>
    <hyperlink ref="PT15" r:id="rId404" display="https://warthunder.com/en/news/4993-event-battle-royale-and-enduring-confrontation-en" xr:uid="{00000000-0004-0000-0A00-000093010000}"/>
    <hyperlink ref="AH16" r:id="rId405" display="https://warthunder.com/en/news/5332-event-enduring-confrontation-in-rb-floats-ctf-en" xr:uid="{00000000-0004-0000-0A00-000094010000}"/>
    <hyperlink ref="BF16" r:id="rId406" display="https://warthunder.com/en/news/5295-event-battle-for-stalingrad-en" xr:uid="{00000000-0004-0000-0A00-000095010000}"/>
    <hyperlink ref="BR16" r:id="rId407" display="https://warthunder.com/en/news/5410-event-large-calibres-and-enduring-confrontation-en" xr:uid="{00000000-0004-0000-0A00-000096010000}"/>
    <hyperlink ref="BV16" r:id="rId408" display="https://warthunder.com/en/news/5315-event-winter-games-en" xr:uid="{00000000-0004-0000-0A00-000097010000}"/>
    <hyperlink ref="CN16" r:id="rId409" display="https://warthunder.com/en/news/5317-special-valentine-s-day-with-war-thunder-en" xr:uid="{00000000-0004-0000-0A00-000098010000}"/>
    <hyperlink ref="DT16" r:id="rId410" display="https://warthunder.com/en/news/5345-special-defender-of-the-fatherland-en" xr:uid="{00000000-0004-0000-0A00-000099010000}"/>
    <hyperlink ref="EZ16" r:id="rId411" display="https://warthunder.com/en/news/5372-special-winter-is-over-welcome-to-spring-en" xr:uid="{00000000-0004-0000-0A00-00009A010000}"/>
    <hyperlink ref="FV16" r:id="rId412" display="https://warthunder.com/en/news/5391-event-st-patrick-s-day-en" xr:uid="{00000000-0004-0000-0A00-00009B010000}"/>
    <hyperlink ref="GH16" r:id="rId413" display="https://warthunder.com/en/news/5405-news-birthday-of-alexander-pokryshkin-en" xr:uid="{00000000-0004-0000-0A00-00009C010000}"/>
    <hyperlink ref="HN16" r:id="rId414" display="https://warthunder.com/en/news/5419-silent-thunder-the-first-test-of-the-new-game-en" xr:uid="{00000000-0004-0000-0A00-00009D010000}"/>
    <hyperlink ref="HP16" r:id="rId415" display="https://warthunder.com/en/news/5438-raf-100-royal-air-force-centenary-en" xr:uid="{00000000-0004-0000-0A00-00009E010000}"/>
    <hyperlink ref="IL16" r:id="rId416" display="https://warthunder.com/en/news/5449-special-cosmonautics-day-en" xr:uid="{00000000-0004-0000-0A00-00009F010000}"/>
    <hyperlink ref="LL16" r:id="rId417" display="https://warthunder.com/en/news/5494-victory-day-with-war-thunder-en" xr:uid="{00000000-0004-0000-0A00-0000A0010000}"/>
    <hyperlink ref="PD16" r:id="rId418" display="https://warthunder.com/en/news/5332-event-enduring-confrontation-in-rb-floats-ctf-en" xr:uid="{00000000-0004-0000-0A00-0000A1010000}"/>
    <hyperlink ref="PH16" r:id="rId419" display="https://warthunder.com/en/news/5608-shop-summer-sale-independence-day-en" xr:uid="{00000000-0004-0000-0A00-0000A2010000}"/>
    <hyperlink ref="PT16" r:id="rId420" display="https://warthunder.com/en/news/5283-event-battle-royale-en" xr:uid="{00000000-0004-0000-0A00-0000A3010000}"/>
    <hyperlink ref="PV16" r:id="rId421" display="https://warthunder.com/en/news/5600-special-spot-the-ball-updated-en" xr:uid="{00000000-0004-0000-0A00-0000A4010000}"/>
    <hyperlink ref="RJ16" r:id="rId422" display="https://warthunder.com/en/news/5620-news-independence-day-en" xr:uid="{00000000-0004-0000-0A00-0000A5010000}"/>
    <hyperlink ref="RL16" r:id="rId423" display="https://warthunder.com/en/news/5716-event-the-75th-anniversary-of-the-end-of-the-battle-of-kursk-en" xr:uid="{00000000-0004-0000-0A00-0000A6010000}"/>
    <hyperlink ref="RN16" r:id="rId424" display="https://warthunder.com/en/news/5624-event-a-fiery-ball-football-competition-for-tanks-update-en" xr:uid="{00000000-0004-0000-0A00-0000A7010000}"/>
    <hyperlink ref="RT16" r:id="rId425" display="https://warthunder.com/en/news/5363-event-total-domination-and-enduring-confrontation-en" xr:uid="{00000000-0004-0000-0A00-0000A8010000}"/>
    <hyperlink ref="TV16" r:id="rId426" display="https://warthunder.com/en/news/5673-event-russia-airborne-forces-day-en" xr:uid="{00000000-0004-0000-0A00-0000A9010000}"/>
    <hyperlink ref="WX16" r:id="rId427" display="https://warthunder.com/en/news/5757-event-tanker-day-of-russia-en" xr:uid="{00000000-0004-0000-0A00-0000AA010000}"/>
    <hyperlink ref="XV16" r:id="rId428" display="https://warthunder.com/en/news/5771-event-participate-in-the-battle-of-britain-en" xr:uid="{00000000-0004-0000-0A00-0000AB010000}"/>
    <hyperlink ref="ZR16" r:id="rId429" display="https://warthunder.com/en/news/5797-shop-german-unity-day-bundles-en" xr:uid="{00000000-0004-0000-0A00-0000AC010000}"/>
    <hyperlink ref="ACN16" r:id="rId430" display="https://warthunder.com/en/news/5856-event-halloween-in-war-thunder-en" xr:uid="{00000000-0004-0000-0A00-0000AD010000}"/>
    <hyperlink ref="ACT16" r:id="rId431" display="https://warthunder.com/en/news/5852-special-news-war-thunder-s-birthday-discounts-and-gifts-en" xr:uid="{00000000-0004-0000-0A00-0000AE010000}"/>
    <hyperlink ref="ADJ16" r:id="rId432" display="https://old-forum.warthunder.com/index.php?/topic/432543-remembrance-sunday-lest-we-forget-1111/" xr:uid="{00000000-0004-0000-0A00-0000AF010000}"/>
    <hyperlink ref="ADL16" r:id="rId433" display="https://warthunder.com/en/news/5872-special-a-centenary-of-poland-regaining-independence-en" xr:uid="{00000000-0004-0000-0A00-0000B0010000}"/>
    <hyperlink ref="ADV16" r:id="rId434" display="https://warthunder.com/en/news/5880-special-fleet-minefield-ahead-try-out-the-vs-8-en" xr:uid="{00000000-0004-0000-0A00-0000B1010000}"/>
    <hyperlink ref="AGJ16" r:id="rId435" display="https://warthunder.com/en/news/5452-weekend-special-friday-the-13th-chainsaw-massacre-en" xr:uid="{00000000-0004-0000-0A00-0000B2010000}"/>
    <hyperlink ref="AGV16" r:id="rId436" display="https://warthunder.com/en/news/5453-special-chronicles-of-world-war-ii-in-war-thunder-en" xr:uid="{00000000-0004-0000-0A00-0000B3010000}"/>
    <hyperlink ref="AHH16" r:id="rId437" display="https://warthunder.com/en/news/5972-merry-christmas-en" xr:uid="{00000000-0004-0000-0A00-0000B4010000}"/>
    <hyperlink ref="AHJ16" r:id="rId438" display="https://warthunder.com/en/news/5437-event-new-and-improved-racing-en" xr:uid="{00000000-0004-0000-0A00-0000B5010000}"/>
    <hyperlink ref="AHV16" r:id="rId439" display="https://warthunder.com/en/news/5967-news-festivities-in-war-thunder-en" xr:uid="{00000000-0004-0000-0A00-0000B6010000}"/>
    <hyperlink ref="AHX16" r:id="rId440" display="https://warthunder.com/en/news/5967-news-festivities-in-war-thunder-en" xr:uid="{00000000-0004-0000-0A00-0000B7010000}"/>
    <hyperlink ref="AHZ16" r:id="rId441" display="https://warthunder.com/en/news/5985-news-year-2018-in-war-thunder-en" xr:uid="{00000000-0004-0000-0A00-0000B8010000}"/>
    <hyperlink ref="HN17" r:id="rId442" display="https://warthunder.com/en/news/5424-event-flying-serpent-crouching-tiger-en" xr:uid="{00000000-0004-0000-0A00-0000B9010000}"/>
    <hyperlink ref="ACT17" r:id="rId443" display="https://web.archive.org/web/20181106230133/https:/warthunder.com/en/news/5861-special-big-war-thunder-birthday-sale-en" xr:uid="{00000000-0004-0000-0A00-0000BA010000}"/>
    <hyperlink ref="AGJ17" r:id="rId444" display="https://warthunder.com/en/news/5638-event-friday-july-13th-bad-turn-en" xr:uid="{00000000-0004-0000-0A00-0000BB010000}"/>
    <hyperlink ref="AHX17" r:id="rId445" display="https://warthunder.com/en/news/5976-special-shop-war-thunder-winter-sale-en" xr:uid="{00000000-0004-0000-0A00-0000BC010000}"/>
    <hyperlink ref="HN18" r:id="rId446" display="https://warthunder.com/en/news/5426-event-hats-off-to-you-en" xr:uid="{00000000-0004-0000-0A00-0000BD010000}"/>
    <hyperlink ref="AL19" r:id="rId447" display="https://warthunder.com/en/news/6003-event-the-liberation-of-leningrad-75th-anniversary-en" xr:uid="{00000000-0004-0000-0A00-0000BE010000}"/>
    <hyperlink ref="BT19" r:id="rId448" display="https://warthunder.com/en/news/6019-news-the-lunar-new-year-in-war-thunder-en" xr:uid="{00000000-0004-0000-0A00-0000BF010000}"/>
    <hyperlink ref="CN19" r:id="rId449" display="https://warthunder.com/en/news/6032-special-valentine-s-day-with-war-thunder-en" xr:uid="{00000000-0004-0000-0A00-0000C0010000}"/>
    <hyperlink ref="DB19" r:id="rId450" display="https://warthunder.com/en/news/6037-event-sea-voyage-en" xr:uid="{00000000-0004-0000-0A00-0000C1010000}"/>
    <hyperlink ref="DT19" r:id="rId451" display="https://warthunder.com/en/news/6048-event-defender-of-the-fatherland-en" xr:uid="{00000000-0004-0000-0A00-0000C2010000}"/>
    <hyperlink ref="EZ19" r:id="rId452" display="https://warthunder.com/en/news/6090-news-international-women-s-day-en" xr:uid="{00000000-0004-0000-0A00-0000C3010000}"/>
    <hyperlink ref="GH19" r:id="rId453" display="https://warthunder.com/en/news/6108-news-birthday-of-alexander-pokryshkin-en" xr:uid="{00000000-0004-0000-0A00-0000C4010000}"/>
    <hyperlink ref="HN19" r:id="rId454" display="https://warthunder.com/en/news/6128-special-earth-thunder-we-are-not-their-playthings-en" xr:uid="{00000000-0004-0000-0A00-0000C5010000}"/>
    <hyperlink ref="LL19" r:id="rId455" display="https://warthunder.com/en/news/6170-special-victory-day-en" xr:uid="{00000000-0004-0000-0A00-0000C6010000}"/>
    <hyperlink ref="LT19" r:id="rId456" display="https://warthunder.com/en/news/6179-video-world-war-has-begun-soldiers-mobilization-en" xr:uid="{00000000-0004-0000-0A00-0000C7010000}"/>
    <hyperlink ref="OD19" r:id="rId457" display="https://warthunder.com/en/news/6232-event-d-day-75th-anniversary-normandy-landings-en" xr:uid="{00000000-0004-0000-0A00-0000C8010000}"/>
    <hyperlink ref="OP19" r:id="rId458" display="https://warthunder.com/en/news/6241-event-russia-day-en" xr:uid="{00000000-0004-0000-0A00-0000C9010000}"/>
    <hyperlink ref="PH19" r:id="rId459" display="https://warthunder.com/en/news/6256-special-meltdown-discounts-en" xr:uid="{00000000-0004-0000-0A00-0000CA010000}"/>
    <hyperlink ref="PR19" r:id="rId460" display="https://warthunder.com/en/news/6253-event-maginot-line-en" xr:uid="{00000000-0004-0000-0A00-0000CB010000}"/>
    <hyperlink ref="PT19" r:id="rId461" display="https://warthunder.com/en/news/6245-event-battle-royale-the-training-en" xr:uid="{00000000-0004-0000-0A00-0000CC010000}"/>
    <hyperlink ref="QF19" r:id="rId462" display="https://warthunder.com/en/news/6284-event-korean-war-en" xr:uid="{00000000-0004-0000-0A00-0000CD010000}"/>
    <hyperlink ref="RJ19" r:id="rId463" display="https://warthunder.com/en/news/6267-news-independence-day-usa-en" xr:uid="{00000000-0004-0000-0A00-0000CE010000}"/>
    <hyperlink ref="RL19" r:id="rId464" display="https://warthunder.com/en/news/6337-event-the-battle-of-kursk-en" xr:uid="{00000000-0004-0000-0A00-0000CF010000}"/>
    <hyperlink ref="RN19" r:id="rId465" display="https://warthunder.com/en/news/6114-event-tank-football-friendly-matches-en" xr:uid="{00000000-0004-0000-0A00-0000D0010000}"/>
    <hyperlink ref="RP19" r:id="rId466" display="https://warthunder.com/en/news/6269-event-sicilian-campaign-en" xr:uid="{00000000-0004-0000-0A00-0000D1010000}"/>
    <hyperlink ref="SP19" r:id="rId467" display="https://warthunder.com/en/news/6313-event-battle-for-stalingrad-en" xr:uid="{00000000-0004-0000-0A00-0000D2010000}"/>
    <hyperlink ref="SR19" r:id="rId468" display="https://warthunder.com/en/news/6277-news-bastille-day-special-vive-la-france-en" xr:uid="{00000000-0004-0000-0A00-0000D3010000}"/>
    <hyperlink ref="TJ19" r:id="rId469" display="https://warthunder.com/en/news/6291-event-russian-navy-day-en" xr:uid="{00000000-0004-0000-0A00-0000D4010000}"/>
    <hyperlink ref="UN19" r:id="rId470" display="https://warthunder.com/en/news/6315-event-russian-air-force-day-en" xr:uid="{00000000-0004-0000-0A00-0000D5010000}"/>
    <hyperlink ref="WX19" r:id="rId471" display="https://warthunder.com/en/news/6368-special-tankers-day-celebrate-with-us-en" xr:uid="{00000000-0004-0000-0A00-0000D6010000}"/>
    <hyperlink ref="XR19" r:id="rId472" display="https://old-forum.warthunder.com/index.php?/topic/463012-event-%E2%80%9Cnight-battles%E2%80%9D/" xr:uid="{00000000-0004-0000-0A00-0000D7010000}"/>
    <hyperlink ref="XV19" r:id="rId473" display="https://warthunder.com/en/news/6383-event-battle-of-britain-en" xr:uid="{00000000-0004-0000-0A00-0000D8010000}"/>
    <hyperlink ref="YF19" r:id="rId474" display="https://warthunder.com/en/news/page/39" xr:uid="{00000000-0004-0000-0A00-0000D9010000}"/>
    <hyperlink ref="ZN19" r:id="rId475" display="https://warthunder.com/en/news/6406-people-s-republic-of-china-70th-anniversary-en" xr:uid="{00000000-0004-0000-0A00-0000DA010000}"/>
    <hyperlink ref="ZR19" r:id="rId476" display="https://warthunder.com/en/news/6412-special-german-unity-day-en" xr:uid="{00000000-0004-0000-0A00-0000DB010000}"/>
    <hyperlink ref="ACN19" r:id="rId477" display="https://warthunder.com/en/news/6460-event-halloween-in-war-thunder-en" xr:uid="{00000000-0004-0000-0A00-0000DC010000}"/>
    <hyperlink ref="ACT19" r:id="rId478" display="https://warthunder.com/en/news/6442-special-war-thunder-reaches-its-7th-year-en" xr:uid="{00000000-0004-0000-0A00-0000DD010000}"/>
    <hyperlink ref="ADL19" r:id="rId479" display="https://warthunder.com/en/news/6475-news-101st-anniversary-of-poland-regaining-independence-en" xr:uid="{00000000-0004-0000-0A00-0000DE010000}"/>
    <hyperlink ref="AEH19" r:id="rId480" display="https://warthunder.com/en/news/6488-shop-black-friday-sale-en" xr:uid="{00000000-0004-0000-0A00-0000DF010000}"/>
    <hyperlink ref="AHH19" r:id="rId481" display="https://warthunder.com/en/news/6541-christmas-wishes-en" xr:uid="{00000000-0004-0000-0A00-0000E0010000}"/>
    <hyperlink ref="AHV19" r:id="rId482" display="https://warthunder.com/en/news/6536-new-year-in-war-thunder-en" xr:uid="{00000000-0004-0000-0A00-0000E1010000}"/>
    <hyperlink ref="AHX19" r:id="rId483" display="https://warthunder.com/en/news/6536-new-year-in-war-thunder-en" xr:uid="{00000000-0004-0000-0A00-0000E2010000}"/>
    <hyperlink ref="AHZ19" r:id="rId484" display="https://old-forum.warthunder.com/index.php?/topic/473653-happy-new-year/" xr:uid="{00000000-0004-0000-0A00-0000E3010000}"/>
    <hyperlink ref="HN20" r:id="rId485" display="https://warthunder.com/en/news/6130-development-alien-combat-vehicles-from-green-hills-en" xr:uid="{00000000-0004-0000-0A00-0000E4010000}"/>
    <hyperlink ref="PH20" r:id="rId486" display="https://warthunder.com/en/news/6263-shop-war-thunder-summer-sale-en" xr:uid="{00000000-0004-0000-0A00-0000E5010000}"/>
    <hyperlink ref="PT20" r:id="rId487" display="https://warthunder.com/en/news/6278-event-tournament-king-of-the-hill-en" xr:uid="{00000000-0004-0000-0A00-0000E6010000}"/>
    <hyperlink ref="ACT20" r:id="rId488" display="https://warthunder.com/en/news/6464-shop-war-thunder-birthday-sale-en" xr:uid="{00000000-0004-0000-0A00-0000E7010000}"/>
    <hyperlink ref="AHX20" r:id="rId489" display="https://warthunder.com/en/news/6542-shop-the-new-year-sale-en" xr:uid="{00000000-0004-0000-0A00-0000E8010000}"/>
    <hyperlink ref="BT22" r:id="rId490" display="https://warthunder.com/en/news/6562-shop-the-lunar-new-year-2020-en" xr:uid="{00000000-0004-0000-0A00-0000E9010000}"/>
    <hyperlink ref="CN22" r:id="rId491" display="https://warthunder.com/en/news/6583-special-valentine-s-day-en" xr:uid="{00000000-0004-0000-0A00-0000EA010000}"/>
    <hyperlink ref="DT22" r:id="rId492" display="https://warthunder.com/en/news/6588-event-defender-of-the-fatherland-en" xr:uid="{00000000-0004-0000-0A00-0000EB010000}"/>
    <hyperlink ref="EZ22" r:id="rId493" display="https://warthunder.com/en/news/6628-event-happy-international-women-s-day-en" xr:uid="{00000000-0004-0000-0A00-0000EC010000}"/>
    <hyperlink ref="GB22" r:id="rId494" display="https://warthunder.com/en/news/6650-shop-stay-home-and-stay-safe-offer-en" xr:uid="{00000000-0004-0000-0A00-0000ED010000}"/>
    <hyperlink ref="GH22" r:id="rId495" display="https://warthunder.com/en/news/6648-news-alexander-pokryshkin-s-birthday-en" xr:uid="{00000000-0004-0000-0A00-0000EE010000}"/>
    <hyperlink ref="HN22" r:id="rId496" display="https://warthunder.com/en/news/6668-special-space-thunder-en" xr:uid="{00000000-0004-0000-0A00-0000EF010000}"/>
    <hyperlink ref="IL22" r:id="rId497" display="https://warthunder.com/en/news/6680-happy-cosmonautic-day-en" xr:uid="{00000000-0004-0000-0A00-0000F0010000}"/>
    <hyperlink ref="KH22" r:id="rId498" display="https://warthunder.com/en/news/6698-event-quarantine-maneuvers-in-war-thunder-en" xr:uid="{00000000-0004-0000-0A00-0000F1010000}"/>
    <hyperlink ref="LL22" r:id="rId499" display="https://warthunder.com/en/news/6694-shop-may-sale-in-war-thunder-en" xr:uid="{00000000-0004-0000-0A00-0000F2010000}"/>
    <hyperlink ref="LT22" r:id="rId500" display="https://warthunder.com/en/news/6565-event-world-war-season-attack-from-the-sea-en" xr:uid="{00000000-0004-0000-0A00-0000F3010000}"/>
    <hyperlink ref="OD22" r:id="rId501" display="https://warthunder.com/en/news/6759-special-d-day-en" xr:uid="{00000000-0004-0000-0A00-0000F4010000}"/>
    <hyperlink ref="OP22" r:id="rId502" display="https://warthunder.com/en/news/6764-special-russia-day-en" xr:uid="{00000000-0004-0000-0A00-0000F5010000}"/>
    <hyperlink ref="PH22" r:id="rId503" display="https://warthunder.com/en/news/6772-shop-summer-sale-en" xr:uid="{00000000-0004-0000-0A00-0000F6010000}"/>
    <hyperlink ref="RJ22" r:id="rId504" display="https://warthunder.com/en/news/6787-news-independence-day-en" xr:uid="{00000000-0004-0000-0A00-0000F7010000}"/>
    <hyperlink ref="RN22" r:id="rId505" display="https://warthunder.com/en/news/7014-esport-winter-football-friendly-matches-and-new-year-tournaments-en" xr:uid="{00000000-0004-0000-0A00-0000F8010000}"/>
    <hyperlink ref="SR22" r:id="rId506" display="https://warthunder.com/en/news/6796-special-happy-bastille-day-en" xr:uid="{00000000-0004-0000-0A00-0000F9010000}"/>
    <hyperlink ref="TJ22" r:id="rId507" display="https://warthunder.com/en/news/6800-event-russian-navy-day-with-war-thunder-en" xr:uid="{00000000-0004-0000-0A00-0000FA010000}"/>
    <hyperlink ref="TV22" r:id="rId508" display="https://warthunder.com/en/news/6816-event-russian-airborne-forces-day-en" xr:uid="{00000000-0004-0000-0A00-0000FB010000}"/>
    <hyperlink ref="UN22" r:id="rId509" display="https://warthunder.com/en/news/6823-event-russian-aerospace-forces-day-en" xr:uid="{00000000-0004-0000-0A00-0000FC010000}"/>
    <hyperlink ref="VP22" r:id="rId510" display="https://web.archive.org/web/20211101000000*/https:/warthunder.com/en/news/6838-event-tank-biathlon-and-sea-biathlon-en" xr:uid="{00000000-0004-0000-0A00-0000FD010000}"/>
    <hyperlink ref="WX22" r:id="rId511" display="https://warthunder.com/en/news/6862-special-happy-tankers-day-en" xr:uid="{00000000-0004-0000-0A00-0000FE010000}"/>
    <hyperlink ref="XV22" r:id="rId512" display="https://warthunder.com/en/news/6866-special-80-year-anniversary-of-battle-of-britain-en" xr:uid="{00000000-0004-0000-0A00-0000FF010000}"/>
    <hyperlink ref="ZR22" r:id="rId513" display="https://warthunder.com/en/news/6885-special-german-unity-day-en" xr:uid="{00000000-0004-0000-0A00-000000020000}"/>
    <hyperlink ref="AAN22" r:id="rId514" display="https://warthunder.com/en/news/6894-birthday-of-the-united-states-navy-en" xr:uid="{00000000-0004-0000-0A00-000001020000}"/>
    <hyperlink ref="ACN22" r:id="rId515" display="https://warthunder.com/en/news/6920-event-halloween-in-war-thunder-en" xr:uid="{00000000-0004-0000-0A00-000002020000}"/>
    <hyperlink ref="ACT22" r:id="rId516" display="https://warthunder.com/en/news/6907-special-8th-anniversary-of-war-thunder-en" xr:uid="{00000000-0004-0000-0A00-000003020000}"/>
    <hyperlink ref="ADL22" r:id="rId517" display="https://warthunder.com/en/news/6938-event-102-year-anniversary-of-poland-regaining-independence-en" xr:uid="{00000000-0004-0000-0A00-000004020000}"/>
    <hyperlink ref="AEH22" r:id="rId518" display="https://warthunder.com/en/news/6957-shop-black-friday-bundle-en" xr:uid="{00000000-0004-0000-0A00-000005020000}"/>
    <hyperlink ref="AGT22" r:id="rId519" display="https://warthunder.com/en/news/6965-giveaway-get-roccat-horde-aimo-keyboards-and-somua-sm-packs-en" xr:uid="{00000000-0004-0000-0A00-000006020000}"/>
    <hyperlink ref="AHH22" r:id="rId520" display="https://warthunder.com/en/news/7009-christmas-wishes-en" xr:uid="{00000000-0004-0000-0A00-000007020000}"/>
    <hyperlink ref="AHX22" r:id="rId521" display="https://warthunder.com/en/news/7008-special-new-year-in-war-thunder-en" xr:uid="{00000000-0004-0000-0A00-000008020000}"/>
    <hyperlink ref="LL23" r:id="rId522" display="https://warthunder.com/en/news/6703-event-winner-vehicles-for-the-victory-anniversary-en" xr:uid="{00000000-0004-0000-0A00-000009020000}"/>
    <hyperlink ref="LT23" r:id="rId523" display="https://warthunder.com/en/news/6782-event-world-war-season-road-to-the-west-en" xr:uid="{00000000-0004-0000-0A00-00000A020000}"/>
    <hyperlink ref="ACT23" r:id="rId524" display="https://warthunder.com/en/news/6924-shop-war-thunder-birthday-sale-in-gaijin-net-store-en" xr:uid="{00000000-0004-0000-0A00-00000B020000}"/>
    <hyperlink ref="AHX23" r:id="rId525" display="https://warthunder.com/en/news/7013-shop-new-year-sale-en" xr:uid="{00000000-0004-0000-0A00-00000C020000}"/>
    <hyperlink ref="BT24" r:id="rId526" display="https://warthunder.com/en/news/7042-special-lunar-new-year-and-valentine-s-day-en" xr:uid="{00000000-0004-0000-0A00-00000D020000}"/>
    <hyperlink ref="CN24" r:id="rId527" display="https://warthunder.com/en/news/7042-special-lunar-new-year-and-valentine-s-day-en" xr:uid="{00000000-0004-0000-0A00-00000E020000}"/>
    <hyperlink ref="DT24" r:id="rId528" display="https://warthunder.com/en/news/7054-event-defender-of-the-fatherland-en" xr:uid="{00000000-0004-0000-0A00-00000F020000}"/>
    <hyperlink ref="EZ24" r:id="rId529" display="https://warthunder.com/en/news/7076-event-happy-international-women-s-day-en" xr:uid="{00000000-0004-0000-0A00-000010020000}"/>
    <hyperlink ref="FV24" r:id="rId530" display="https://warthunder.com/en/news/7094-event-st-patrick-s-day-en" xr:uid="{00000000-0004-0000-0A00-000011020000}"/>
    <hyperlink ref="GH24" r:id="rId531" display="https://warthunder.com/en/news/7097-p39n-0-for-alexander-pokryshkin-s-birthday-en" xr:uid="{00000000-0004-0000-0A00-000012020000}"/>
    <hyperlink ref="HN24" r:id="rId532" display="https://warthunder.com/en/news/7113-event-warfare-2077-in-war-thunder-en" xr:uid="{00000000-0004-0000-0A00-000013020000}"/>
    <hyperlink ref="HR24" r:id="rId533" display="https://warthunder.com/en/news/7112-event-tailspin-a-new-milestone-in-the-development-of-the-game-en" xr:uid="{00000000-0004-0000-0A00-000014020000}"/>
    <hyperlink ref="IL24" r:id="rId534" display="https://warthunder.com/en/news/7121-event-60-year-anniversary-of-the-first-manned-flight-into-space-en" xr:uid="{00000000-0004-0000-0A00-000015020000}"/>
    <hyperlink ref="IZ24" r:id="rId535" display="https://old-forum.warthunder.com/index.php?/topic/520932-happy-easter/" xr:uid="{00000000-0004-0000-0A00-000016020000}"/>
    <hyperlink ref="LL24" r:id="rId536" display="https://warthunder.com/en/news/7142-shop-may-sale-in-war-thunder-en" xr:uid="{00000000-0004-0000-0A00-000017020000}"/>
    <hyperlink ref="OD24" r:id="rId537" display="https://warthunder.com/en/news/7205-shop-d-day-bundles-en" xr:uid="{00000000-0004-0000-0A00-000018020000}"/>
    <hyperlink ref="OP24" r:id="rId538" display="https://warthunder.com/en/news/7212-special-russia-day-en" xr:uid="{00000000-0004-0000-0A00-000019020000}"/>
    <hyperlink ref="PH24" r:id="rId539" display="https://warthunder.com/en/news/7222-shop-summer-sale-in-the-gaijin-store-en" xr:uid="{00000000-0004-0000-0A00-00001A020000}"/>
    <hyperlink ref="QX24" r:id="rId540" display="https://warthunder.com/en/news/7230-special-canada-day-en" xr:uid="{00000000-0004-0000-0A00-00001B020000}"/>
    <hyperlink ref="RJ24" r:id="rId541" display="https://warthunder.com/en/news/7231-special-independence-day-usa-en" xr:uid="{00000000-0004-0000-0A00-00001C020000}"/>
    <hyperlink ref="SR24" r:id="rId542" display="https://warthunder.com/en/news/7242-special-happy-bastille-day-en" xr:uid="{00000000-0004-0000-0A00-00001D020000}"/>
    <hyperlink ref="TJ24" r:id="rId543" display="https://warthunder.com/en/news/7251-special-russian-navy-325th-anniversary-en" xr:uid="{00000000-0004-0000-0A00-00001E020000}"/>
    <hyperlink ref="TP24" r:id="rId544" display="https://warthunder.com/en/news/7269-special-day-of-chinese-people-s-liberation-army-en" xr:uid="{00000000-0004-0000-0A00-00001F020000}"/>
    <hyperlink ref="TV24" r:id="rId545" display="https://warthunder.com/en/news/7271-event-russian-airborne-forces-day-en" xr:uid="{00000000-0004-0000-0A00-000020020000}"/>
    <hyperlink ref="UN24" r:id="rId546" display="https://warthunder.com/en/news/7279-special-day-of-the-russian-aerospace-forces-en" xr:uid="{00000000-0004-0000-0A00-000021020000}"/>
    <hyperlink ref="WX24" r:id="rId547" display="https://warthunder.com/en/news/7333-special-happy-tankers-day-en" xr:uid="{00000000-0004-0000-0A00-000022020000}"/>
    <hyperlink ref="XV24" r:id="rId548" display="https://warthunder.com/en/news/7338-special-battle-of-britain-day-en" xr:uid="{00000000-0004-0000-0A00-000023020000}"/>
    <hyperlink ref="YF24" r:id="rId549" display="https://warthunder.com/en/news/7344-special-us-air-force-day-en" xr:uid="{00000000-0004-0000-0A00-000024020000}"/>
    <hyperlink ref="ZN24" r:id="rId550" display="https://warthunder.com/en/news/7359-special-national-day-of-the-people-s-republic-of-china-en" xr:uid="{00000000-0004-0000-0A00-000025020000}"/>
    <hyperlink ref="ZR24" r:id="rId551" display="https://warthunder.com/en/news/7358-special-german-unity-day-en" xr:uid="{00000000-0004-0000-0A00-000026020000}"/>
    <hyperlink ref="AAN24" r:id="rId552" display="https://warthunder.com/en/news/7372-special-us-navy-day-en" xr:uid="{00000000-0004-0000-0A00-000027020000}"/>
    <hyperlink ref="ACN24" r:id="rId553" display="https://warthunder.com/en/news/7397-event-halloween-in-war-thunder-en" xr:uid="{00000000-0004-0000-0A00-000028020000}"/>
    <hyperlink ref="ACR24" r:id="rId554" display="https://warthunder.com/en/news/7413-special-italian-national-unity-and-armed-forces-day-en" xr:uid="{00000000-0004-0000-0A00-000029020000}"/>
    <hyperlink ref="ACT24" r:id="rId555" display="https://warthunder.com/en/news/7408-news-happy-birthday-war-thunder-en" xr:uid="{00000000-0004-0000-0A00-00002A020000}"/>
    <hyperlink ref="ADJ24" r:id="rId556" display="https://old-forum.warthunder.com/index.php?/topic/540483-remembrance-sunday/" xr:uid="{00000000-0004-0000-0A00-00002B020000}"/>
    <hyperlink ref="ADL24" r:id="rId557" display="https://warthunder.com/en/news/7419-special-103-year-anniversary-of-poland-regaining-independence-en" xr:uid="{00000000-0004-0000-0A00-00002C020000}"/>
    <hyperlink ref="ADN24" r:id="rId558" display="https://warthunder.com/en/news/7421-special-founding-of-the-people-s-liberation-army-air-force-en" xr:uid="{00000000-0004-0000-0A00-00002D020000}"/>
    <hyperlink ref="AEB24" r:id="rId559" display="https://warthunder.com/en/news/7428-special-soviet-offensive-at-stalingrad-en" xr:uid="{00000000-0004-0000-0A00-00002E020000}"/>
    <hyperlink ref="AEH24" r:id="rId560" display="https://warthunder.com/en/news/7431-shop-black-friday-bundle-en" xr:uid="{00000000-0004-0000-0A00-00002F020000}"/>
    <hyperlink ref="AEJ24" r:id="rId561" display="https://warthunder.com/en/news/7433-special-mosquito-first-flight-en" xr:uid="{00000000-0004-0000-0A00-000030020000}"/>
    <hyperlink ref="AEL24" r:id="rId562" display="https://warthunder.com/en/news/7435-special-naval-infantry-day-en" xr:uid="{00000000-0004-0000-0A00-000031020000}"/>
    <hyperlink ref="AFN24" r:id="rId563" display="https://warthunder.com/en/news/7447-special-80th-anniversary-of-the-battle-of-moscow-en" xr:uid="{00000000-0004-0000-0A00-000032020000}"/>
    <hyperlink ref="AFR24" r:id="rId564" display="https://warthunder.com/en/news/7459-special-attack-on-pearl-harbor-en" xr:uid="{00000000-0004-0000-0A00-000033020000}"/>
    <hyperlink ref="AFX24" r:id="rId565" display="https://warthunder.com/en/news/7465-special-attack-on-nibeiwa-en" xr:uid="{00000000-0004-0000-0A00-000034020000}"/>
    <hyperlink ref="AGP24" r:id="rId566" display="https://warthunder.com/en/news/7488-special-the-ardennes-offensive-en" xr:uid="{00000000-0004-0000-0A00-000035020000}"/>
    <hyperlink ref="AGT24" r:id="rId567" display="https://warthunder.com/en/news/7478-giveaway-end-of-the-year-giveaway-week-1-en" xr:uid="{00000000-0004-0000-0A00-000036020000}"/>
    <hyperlink ref="AGZ24" r:id="rId568" display="https://warthunder.com/en/news/7493-special-the-first-combat-mission-of-the-flying-tigers-en" xr:uid="{00000000-0004-0000-0A00-000037020000}"/>
    <hyperlink ref="AHH24" r:id="rId569" display="https://warthunder.com/en/news/7499-video-christmas-video-en" xr:uid="{00000000-0004-0000-0A00-000038020000}"/>
    <hyperlink ref="AHL24" r:id="rId570" display="https://warthunder.com/en/news/7503-special-battle-of-the-kerch-peninsula-en" xr:uid="{00000000-0004-0000-0A00-000039020000}"/>
    <hyperlink ref="AHX24" r:id="rId571" display="https://warthunder.com/en/news/7497-christmas-in-war-thunder-en" xr:uid="{00000000-0004-0000-0A00-00003A020000}"/>
    <hyperlink ref="HN25" r:id="rId572" display="https://warthunder.com/en/news/7112-event-tailspin-a-new-milestone-in-the-development-of-the-game-en" xr:uid="{00000000-0004-0000-0A00-00003B020000}"/>
    <hyperlink ref="LL25" r:id="rId573" display="https://warthunder.com/en/news/7153-special-happy-victory-day-en" xr:uid="{00000000-0004-0000-0A00-00003C020000}"/>
    <hyperlink ref="ACT25" r:id="rId574" display="https://warthunder.com/en/news/7417-shop-war-thunder-birthday-sale-in-gaijin-net-store-en" xr:uid="{00000000-0004-0000-0A00-00003D020000}"/>
    <hyperlink ref="AHX25" r:id="rId575" display="https://warthunder.com/en/news/7502-shop-the-new-year-sale-en" xr:uid="{00000000-0004-0000-0A00-00003E020000}"/>
    <hyperlink ref="LL26" r:id="rId576" display="https://warthunder.com/en/news/7154-shop-may-sale-in-the-gaijin-store-en" xr:uid="{00000000-0004-0000-0A00-00003F020000}"/>
    <hyperlink ref="D27" r:id="rId577" display="https://warthunder.com/en/news/7504-special-operation-bolo-en" xr:uid="{00000000-0004-0000-0A00-000040020000}"/>
    <hyperlink ref="N27" r:id="rId578" display="https://warthunder.com/en/news/7512-special-vistula-oder-offensive-en" xr:uid="{00000000-0004-0000-0A00-000041020000}"/>
    <hyperlink ref="Z27" r:id="rId579" display="https://warthunder.com/en/news/7516-special-birthday-of-the-mig-17-en" xr:uid="{00000000-0004-0000-0A00-000042020000}"/>
    <hyperlink ref="AF27" r:id="rId580" display="https://warthunder.com/en/news/7525-special-battle-of-anzio-en" xr:uid="{00000000-0004-0000-0A00-000043020000}"/>
    <hyperlink ref="AT27" r:id="rId581" display="https://warthunder.com/en/news/7532-special-australia-day-en" xr:uid="{00000000-0004-0000-0A00-000044020000}"/>
    <hyperlink ref="BF27" r:id="rId582" display="https://warthunder.com/en/news/7541-special-end-of-the-battle-of-stalingrad-en" xr:uid="{00000000-0004-0000-0A00-000045020000}"/>
    <hyperlink ref="BT27" r:id="rId583" display="https://warthunder.com/en/news/7534-special-lunar-new-year-en" xr:uid="{00000000-0004-0000-0A00-000046020000}"/>
    <hyperlink ref="BZ27" r:id="rId584" display="https://warthunder.com/en/news/7546-special-operation-veritable-en" xr:uid="{00000000-0004-0000-0A00-000047020000}"/>
    <hyperlink ref="CH27" r:id="rId585" display="https://warthunder.com/en/news/7549-special-national-foundation-day-in-japan-en" xr:uid="{00000000-0004-0000-0A00-000048020000}"/>
    <hyperlink ref="CJ27" r:id="rId586" display="https://warthunder.com/en/news/7552-special-channel-dash-en" xr:uid="{00000000-0004-0000-0A00-000049020000}"/>
    <hyperlink ref="CN27" r:id="rId587" display="https://warthunder.com/en/news/7555-special-happy-valentine-s-day-en" xr:uid="{00000000-0004-0000-0A00-00004A020000}"/>
    <hyperlink ref="DD27" r:id="rId588" display="https://warthunder.com/en/news/7564-shop-day-of-the-south-african-armed-forces-en" xr:uid="{00000000-0004-0000-0A00-00004B020000}"/>
    <hyperlink ref="DF27" r:id="rId589" display="https://warthunder.com/en/news/7562-special-battle-of-iwo-jima-en" xr:uid="{00000000-0004-0000-0A00-00004C020000}"/>
    <hyperlink ref="DT27" r:id="rId590" display="https://warthunder.com/en/news/7568-special-esport-defender-tournament-and-gaijin-store-sale-en" xr:uid="{00000000-0004-0000-0A00-00004D020000}"/>
    <hyperlink ref="EL27" r:id="rId591" display="https://warthunder.com/en/news/7926-event-pages-of-history-november-en" xr:uid="{00000000-0004-0000-0A00-00004E020000}"/>
    <hyperlink ref="ER27" r:id="rId592" display="https://warthunder.com/en/news/7575-special-spitfire-mk-ix-first-flight-en" xr:uid="{00000000-0004-0000-0A00-00004F020000}"/>
    <hyperlink ref="EZ27" r:id="rId593" display="https://warthunder.com/en/news/7581-special-happy-international-women-s-day-en" xr:uid="{00000000-0004-0000-0A00-000050020000}"/>
    <hyperlink ref="HN27" r:id="rId594" display="https://warthunder.com/en/news/7632-event-children-of-arachis-desert-cinnamon-and-giant-worms-en" xr:uid="{00000000-0004-0000-0A00-000051020000}"/>
    <hyperlink ref="HR27" r:id="rId595" display="https://warthunder.com/en/news/7582-event-the-tailspin-is-back-en" xr:uid="{00000000-0004-0000-0A00-000052020000}"/>
    <hyperlink ref="HT27" r:id="rId596" display="https://warthunder.com/en/news/7629-event-pages-of-history-april-en" xr:uid="{00000000-0004-0000-0A00-000053020000}"/>
    <hyperlink ref="HZ27" r:id="rId597" display="https://warthunder.com/en/news/7629-event-pages-of-history-april-en" xr:uid="{00000000-0004-0000-0A00-000054020000}"/>
    <hyperlink ref="IH27" r:id="rId598" display="https://warthunder.com/en/news/7629-event-pages-of-history-april-en" xr:uid="{00000000-0004-0000-0A00-000055020000}"/>
    <hyperlink ref="IL27" r:id="rId599" display="https://warthunder.com/en/news/7643-special-happy-cosmonautics-day-en" xr:uid="{00000000-0004-0000-0A00-000056020000}"/>
    <hyperlink ref="IN27" r:id="rId600" display="https://warthunder.com/en/news/7629-event-pages-of-history-april-en" xr:uid="{00000000-0004-0000-0A00-000057020000}"/>
    <hyperlink ref="IV27" r:id="rId601" display="https://warthunder.com/en/news/7629-event-pages-of-history-april-en" xr:uid="{00000000-0004-0000-0A00-000058020000}"/>
    <hyperlink ref="JB27" r:id="rId602" display="https://warthunder.com/en/news/7629-event-pages-of-history-april-en" xr:uid="{00000000-0004-0000-0A00-000059020000}"/>
    <hyperlink ref="JJ27" r:id="rId603" display="https://warthunder.com/en/news/7629-event-pages-of-history-april-en" xr:uid="{00000000-0004-0000-0A00-00005A020000}"/>
    <hyperlink ref="JT27" r:id="rId604" display="https://warthunder.com/en/news/7629-event-pages-of-history-april-en" xr:uid="{00000000-0004-0000-0A00-00005B020000}"/>
    <hyperlink ref="KJ27" r:id="rId605" display="https://warthunder.com/en/news/7664-event-pages-of-history-may-en" xr:uid="{00000000-0004-0000-0A00-00005C020000}"/>
    <hyperlink ref="KP27" r:id="rId606" display="https://warthunder.com/en/news/7667-special-polish-constitution-day-en" xr:uid="{00000000-0004-0000-0A00-00005D020000}"/>
    <hyperlink ref="KT27" r:id="rId607" display="https://warthunder.com/en/news/7668-special-japanese-constitution-day-en" xr:uid="{00000000-0004-0000-0A00-00005E020000}"/>
    <hyperlink ref="KV27" r:id="rId608" display="https://warthunder.com/en/news/7664-event-pages-of-history-may-en" xr:uid="{00000000-0004-0000-0A00-00005F020000}"/>
    <hyperlink ref="KX27" r:id="rId609" display="https://warthunder.com/en/news/7671-special-italian-army-day-en" xr:uid="{00000000-0004-0000-0A00-000060020000}"/>
    <hyperlink ref="KZ27" r:id="rId610" display="https://warthunder.com/en/news/7670-special-israel-independence-day-en" xr:uid="{00000000-0004-0000-0A00-000061020000}"/>
    <hyperlink ref="LH27" r:id="rId611" display="https://warthunder.com/en/news/7664-event-pages-of-history-may-en" xr:uid="{00000000-0004-0000-0A00-000062020000}"/>
    <hyperlink ref="LL27" r:id="rId612" display="https://warthunder.com/en/news/7674-shop-may-sale-en" xr:uid="{00000000-0004-0000-0A00-000063020000}"/>
    <hyperlink ref="LP27" r:id="rId613" display="https://warthunder.com/en/news/7664-event-pages-of-history-may-en" xr:uid="{00000000-0004-0000-0A00-000064020000}"/>
    <hyperlink ref="LR27" r:id="rId614" display="https://warthunder.com/en/news/7664-event-pages-of-history-may-en" xr:uid="{00000000-0004-0000-0A00-000065020000}"/>
    <hyperlink ref="LT27" r:id="rId615" display="https://warthunder.com/en/news/7969-world-war-news-en" xr:uid="{00000000-0004-0000-0A00-000066020000}"/>
    <hyperlink ref="MD27" r:id="rId616" display="https://warthunder.com/en/news/7664-event-pages-of-history-may-en" xr:uid="{00000000-0004-0000-0A00-000067020000}"/>
    <hyperlink ref="MP27" r:id="rId617" display="https://warthunder.com/en/news/7664-event-pages-of-history-may-en" xr:uid="{00000000-0004-0000-0A00-000068020000}"/>
    <hyperlink ref="MZ27" r:id="rId618" display="https://warthunder.com/en/news/7702-event-the-advance-event-en" xr:uid="{00000000-0004-0000-0A00-000069020000}"/>
    <hyperlink ref="NH27" r:id="rId619" display="https://warthunder.com/en/news/7706-special-home-guard-swedish-national-security-forces-day-en" xr:uid="{00000000-0004-0000-0A00-00006A020000}"/>
    <hyperlink ref="NL27" r:id="rId620" display="https://warthunder.com/en/news/7710-special-maiden-flight-of-the-bf-109-en" xr:uid="{00000000-0004-0000-0A00-00006B020000}"/>
    <hyperlink ref="NZ27" r:id="rId621" display="https://warthunder.com/en/news/7689-event-pages-of-history-june-en" xr:uid="{00000000-0004-0000-0A00-00006C020000}"/>
    <hyperlink ref="OD27" r:id="rId622" display="https://warthunder.com/en/news/7725-shop-d-day-2022-bundle-50-en" xr:uid="{00000000-0004-0000-0A00-00006D020000}"/>
    <hyperlink ref="OJ27" r:id="rId623" display="https://warthunder.com/en/news/7689-event-pages-of-history-june-en" xr:uid="{00000000-0004-0000-0A00-00006E020000}"/>
    <hyperlink ref="ON27" r:id="rId624" display="https://warthunder.com/en/news/7733-special-italian-navy-day-en" xr:uid="{00000000-0004-0000-0A00-00006F020000}"/>
    <hyperlink ref="OP27" r:id="rId625" display="https://warthunder.ru/ru/news/15774-akciya-den-rossii-ru" xr:uid="{00000000-0004-0000-0A00-000070020000}"/>
    <hyperlink ref="OT27" r:id="rId626" display="https://warthunder.com/en/news/7689-event-pages-of-history-june-en" xr:uid="{00000000-0004-0000-0A00-000071020000}"/>
    <hyperlink ref="OX27" r:id="rId627" display="https://warthunder.com/en/news/7689-event-pages-of-history-june-en" xr:uid="{00000000-0004-0000-0A00-000072020000}"/>
    <hyperlink ref="PH27" r:id="rId628" display="https://warthunder.com/en/news/7748-sale-summer-sale-en" xr:uid="{00000000-0004-0000-0A00-000073020000}"/>
    <hyperlink ref="PN27" r:id="rId629" display="https://warthunder.com/en/news/7689-event-pages-of-history-june-en" xr:uid="{00000000-0004-0000-0A00-000074020000}"/>
    <hyperlink ref="PX27" r:id="rId630" display="https://warthunder.com/en/news/7689-event-pages-of-history-june-en" xr:uid="{00000000-0004-0000-0A00-000075020000}"/>
    <hyperlink ref="QB27" r:id="rId631" display="https://warthunder.com/en/news/7751-special-bundeswehr-day-en" xr:uid="{00000000-0004-0000-0A00-000076020000}"/>
    <hyperlink ref="QD27" r:id="rId632" display="https://warthunder.com/en/news/7752-special-british-armed-forces-day-en" xr:uid="{00000000-0004-0000-0A00-000077020000}"/>
    <hyperlink ref="QL27" r:id="rId633" display="https://warthunder.com/en/news/7689-event-pages-of-history-june-en" xr:uid="{00000000-0004-0000-0A00-000078020000}"/>
    <hyperlink ref="QR27" r:id="rId634" display="https://warthunder.com/en/news/7759-special-japan-self-defense-forces-day-en" xr:uid="{00000000-0004-0000-0A00-000079020000}"/>
    <hyperlink ref="QX27" r:id="rId635" display="https://warthunder.com/en/news/7760-special-canada-day-en" xr:uid="{00000000-0004-0000-0A00-00007A020000}"/>
    <hyperlink ref="QZ27" r:id="rId636" display="https://warthunder.com/en/news/7761-special-french-air-forces-day-en" xr:uid="{00000000-0004-0000-0A00-00007B020000}"/>
    <hyperlink ref="RB27" r:id="rId637" display="https://warthunder.com/en/news/7762-special-swedish-air-forces-day-en" xr:uid="{00000000-0004-0000-0A00-00007C020000}"/>
    <hyperlink ref="RD27" r:id="rId638" display="https://warthunder.com/en/news/7755-event-pages-of-history-july-en" xr:uid="{00000000-0004-0000-0A00-00007D020000}"/>
    <hyperlink ref="RJ27" r:id="rId639" display="https://warthunder.com/en/news/7765-special-us-independence-day-en" xr:uid="{00000000-0004-0000-0A00-00007E020000}"/>
    <hyperlink ref="RN27" r:id="rId640" display="https://warthunder.com/en/news/7584-event-a-fiery-ball-is-back-en" xr:uid="{00000000-0004-0000-0A00-00007F020000}"/>
    <hyperlink ref="RP27" r:id="rId641" display="https://warthunder.com/en/news/7755-event-pages-of-history-july-en" xr:uid="{00000000-0004-0000-0A00-000080020000}"/>
    <hyperlink ref="RR27" r:id="rId642" display="https://warthunder.com/en/news/7755-event-pages-of-history-july-en" xr:uid="{00000000-0004-0000-0A00-000081020000}"/>
    <hyperlink ref="SD27" r:id="rId643" display="https://warthunder.com/en/news/7755-event-pages-of-history-july-en" xr:uid="{00000000-0004-0000-0A00-000082020000}"/>
    <hyperlink ref="SL27" r:id="rId644" display="https://warthunder.com/en/news/7755-event-pages-of-history-july-en" xr:uid="{00000000-0004-0000-0A00-000083020000}"/>
    <hyperlink ref="SR27" r:id="rId645" display="https://warthunder.com/en/news/7775-special-bastille-day-en" xr:uid="{00000000-0004-0000-0A00-000084020000}"/>
    <hyperlink ref="SX27" r:id="rId646" display="https://warthunder.com/en/news/7755-event-pages-of-history-july-en" xr:uid="{00000000-0004-0000-0A00-000085020000}"/>
    <hyperlink ref="TF27" r:id="rId647" display="https://warthunder.com/en/news/7755-event-pages-of-history-july-en" xr:uid="{00000000-0004-0000-0A00-000086020000}"/>
    <hyperlink ref="TJ27" r:id="rId648" display="https://warthunder.ru/ru/news/15831-akciya-den-vmf-rossii-ru" xr:uid="{00000000-0004-0000-0A00-000087020000}"/>
    <hyperlink ref="TL27" r:id="rId649" display="https://warthunder.com/en/news/7755-event-pages-of-history-july-en" xr:uid="{00000000-0004-0000-0A00-000088020000}"/>
    <hyperlink ref="TP27" r:id="rId650" display="https://warthunder.com/en/news/7795-special-people-s-liberation-army-day-en" xr:uid="{00000000-0004-0000-0A00-000089020000}"/>
    <hyperlink ref="TX27" r:id="rId651" display="https://warthunder.com/en/news/7789-event-pages-of-history-august-en" xr:uid="{00000000-0004-0000-0A00-00008A020000}"/>
    <hyperlink ref="UJ27" r:id="rId652" display="https://warthunder.com/en/news/7789-event-pages-of-history-august-en" xr:uid="{00000000-0004-0000-0A00-00008B020000}"/>
    <hyperlink ref="UL27" r:id="rId653" display="https://warthunder.com/en/news/7789-event-pages-of-history-august-en" xr:uid="{00000000-0004-0000-0A00-00008C020000}"/>
    <hyperlink ref="UN27" r:id="rId654" display="https://warthunder.ru/ru/news/15850-akciya-den-vvs-rossii-ru" xr:uid="{00000000-0004-0000-0A00-00008D020000}"/>
    <hyperlink ref="UR27" r:id="rId655" display="https://warthunder.com/en/news/7789-event-pages-of-history-august-en" xr:uid="{00000000-0004-0000-0A00-00008E020000}"/>
    <hyperlink ref="VB27" r:id="rId656" display="https://warthunder.com/en/news/7813-special-us-airborne-day-en" xr:uid="{00000000-0004-0000-0A00-00008F020000}"/>
    <hyperlink ref="VD27" r:id="rId657" display="https://warthunder.com/en/news/7789-event-pages-of-history-august-en" xr:uid="{00000000-0004-0000-0A00-000090020000}"/>
    <hyperlink ref="VL27" r:id="rId658" display="https://warthunder.com/en/news/7789-event-pages-of-history-august-en" xr:uid="{00000000-0004-0000-0A00-000091020000}"/>
    <hyperlink ref="VV27" r:id="rId659" display="https://warthunder.com/en/news/7789-event-pages-of-history-august-en" xr:uid="{00000000-0004-0000-0A00-000092020000}"/>
    <hyperlink ref="WB27" r:id="rId660" display="https://warthunder.com/en/news/7789-event-pages-of-history-august-en" xr:uid="{00000000-0004-0000-0A00-000093020000}"/>
    <hyperlink ref="WH27" r:id="rId661" display="https://warthunder.com/en/news/7837-event-pages-of-history-september-en" xr:uid="{00000000-0004-0000-0A00-000094020000}"/>
    <hyperlink ref="WL27" r:id="rId662" display="https://warthunder.com/en/news/7845-special-victory-in-asia-day-en" xr:uid="{00000000-0004-0000-0A00-000095020000}"/>
    <hyperlink ref="WV27" r:id="rId663" display="https://warthunder.com/en/news/7837-event-pages-of-history-september-en" xr:uid="{00000000-0004-0000-0A00-000096020000}"/>
    <hyperlink ref="WX27" r:id="rId664" display="https://warthunder.ru/ru/news/15896-akciya-s-dnyom-tankista-ru" xr:uid="{00000000-0004-0000-0A00-000097020000}"/>
    <hyperlink ref="XD27" r:id="rId665" display="https://warthunder.com/en/news/7837-event-pages-of-history-september-en" xr:uid="{00000000-0004-0000-0A00-000098020000}"/>
    <hyperlink ref="XN27" r:id="rId666" display="https://warthunder.com/en/news/7837-event-pages-of-history-september-en" xr:uid="{00000000-0004-0000-0A00-000099020000}"/>
    <hyperlink ref="XV27" r:id="rId667" display="https://warthunder.com/en/news/7871-special-battle-of-britain-day-en" xr:uid="{00000000-0004-0000-0A00-00009A020000}"/>
    <hyperlink ref="YB27" r:id="rId668" display="https://warthunder.com/en/news/7837-event-pages-of-history-september-en" xr:uid="{00000000-0004-0000-0A00-00009B020000}"/>
    <hyperlink ref="YF27" r:id="rId669" display="https://warthunder.com/en/news/7875-special-us-air-force-birthday-en" xr:uid="{00000000-0004-0000-0A00-00009C020000}"/>
    <hyperlink ref="YH27" r:id="rId670" display="https://warthunder.com/en/news/7837-event-pages-of-history-september-en" xr:uid="{00000000-0004-0000-0A00-00009D020000}"/>
    <hyperlink ref="YV27" r:id="rId671" display="https://warthunder.com/en/news/7837-event-pages-of-history-september-en" xr:uid="{00000000-0004-0000-0A00-00009E020000}"/>
    <hyperlink ref="ZF27" r:id="rId672" display="https://warthunder.com/en/news/7837-event-pages-of-history-september-en" xr:uid="{00000000-0004-0000-0A00-00009F020000}"/>
    <hyperlink ref="ZN27" r:id="rId673" display="https://warthunder.com/en/news/7891-special-national-day-of-the-people-s-republic-of-china-en" xr:uid="{00000000-0004-0000-0A00-0000A0020000}"/>
    <hyperlink ref="ZR27" r:id="rId674" display="https://warthunder.com/en/news/7894-special-german-unity-day-en" xr:uid="{00000000-0004-0000-0A00-0000A1020000}"/>
    <hyperlink ref="ZV27" r:id="rId675" display="https://warthunder.com/en/news/7888-event-pages-of-history-october-en" xr:uid="{00000000-0004-0000-0A00-0000A2020000}"/>
    <hyperlink ref="AAB27" r:id="rId676" display="https://warthunder.com/en/news/7888-event-pages-of-history-october-en" xr:uid="{00000000-0004-0000-0A00-0000A3020000}"/>
    <hyperlink ref="AAJ27" r:id="rId677" display="https://warthunder.com/en/news/7888-event-pages-of-history-october-en" xr:uid="{00000000-0004-0000-0A00-0000A4020000}"/>
    <hyperlink ref="AAN27" r:id="rId678" display="https://warthunder.com/en/news/7903-special-us-navy-birthday-en" xr:uid="{00000000-0004-0000-0A00-0000A5020000}"/>
    <hyperlink ref="AAR27" r:id="rId679" display="https://warthunder.com/en/news/7888-event-pages-of-history-october-en" xr:uid="{00000000-0004-0000-0A00-0000A6020000}"/>
    <hyperlink ref="AAZ27" r:id="rId680" display="https://warthunder.com/en/news/7888-event-pages-of-history-october-en" xr:uid="{00000000-0004-0000-0A00-0000A7020000}"/>
    <hyperlink ref="ABH27" r:id="rId681" display="https://warthunder.com/en/news/7888-event-pages-of-history-october-en" xr:uid="{00000000-0004-0000-0A00-0000A8020000}"/>
    <hyperlink ref="ACB27" r:id="rId682" display="https://warthunder.com/en/news/7888-event-pages-of-history-october-en" xr:uid="{00000000-0004-0000-0A00-0000A9020000}"/>
    <hyperlink ref="ACH27" r:id="rId683" display="https://warthunder.com/en/news/7888-event-pages-of-history-october-en" xr:uid="{00000000-0004-0000-0A00-0000AA020000}"/>
    <hyperlink ref="ACN27" r:id="rId684" display="https://warthunder.com/en/news/7939-event-halloween-in-war-thunder-en" xr:uid="{00000000-0004-0000-0A00-0000AB020000}"/>
    <hyperlink ref="ACP27" r:id="rId685" display="https://warthunder.com/en/news/7926-event-pages-of-history-november-en" xr:uid="{00000000-0004-0000-0A00-0000AC020000}"/>
    <hyperlink ref="ACR27" r:id="rId686" display="https://warthunder.com/en/news/7955-special-italian-national-unity-and-armed-forces-day-en" xr:uid="{00000000-0004-0000-0A00-0000AD020000}"/>
    <hyperlink ref="ACT27" r:id="rId687" display="https://warthunder.com/en/news/7945-special-happy-anniversary-war-thunder-en" xr:uid="{00000000-0004-0000-0A00-0000AE020000}"/>
    <hyperlink ref="ACX27" r:id="rId688" display="https://warthunder.com/en/news/7926-event-pages-of-history-november-en" xr:uid="{00000000-0004-0000-0A00-0000AF020000}"/>
    <hyperlink ref="ADD27" r:id="rId689" display="https://warthunder.com/en/news/7926-event-pages-of-history-november-en" xr:uid="{00000000-0004-0000-0A00-0000B0020000}"/>
    <hyperlink ref="ADL27" r:id="rId690" display="https://warthunder.com/en/news/7961-special-polish-independence-day-en" xr:uid="{00000000-0004-0000-0A00-0000B1020000}"/>
    <hyperlink ref="ADN27" r:id="rId691" display="https://warthunder.com/en/news/7962-special-people-s-liberation-army-air-force-day-en" xr:uid="{00000000-0004-0000-0A00-0000B2020000}"/>
    <hyperlink ref="ADZ27" r:id="rId692" display="https://warthunder.com/en/news/7926-event-pages-of-history-november-en" xr:uid="{00000000-0004-0000-0A00-0000B3020000}"/>
    <hyperlink ref="AEB27" r:id="rId693" display="https://warthunder.com/en/news/7926-event-pages-of-history-november-en" xr:uid="{00000000-0004-0000-0A00-0000B4020000}"/>
    <hyperlink ref="AEH27" r:id="rId694" display="https://warthunder.com/en/news/7975-shop-black-friday-bundle-en" xr:uid="{00000000-0004-0000-0A00-0000B5020000}"/>
    <hyperlink ref="AEP27" r:id="rId695" display="https://warthunder.com/en/news/7926-event-pages-of-history-november-en" xr:uid="{00000000-0004-0000-0A00-0000B6020000}"/>
    <hyperlink ref="AEZ27" r:id="rId696" display="https://warthunder.com/en/news/7981-event-pages-of-history-december-en" xr:uid="{00000000-0004-0000-0A00-0000B7020000}"/>
    <hyperlink ref="AFD27" r:id="rId697" display="https://warthunder.com/en/news/7926-event-pages-of-history-november-en" xr:uid="{00000000-0004-0000-0A00-0000B8020000}"/>
    <hyperlink ref="AFN27" r:id="rId698" display="https://warthunder.com/en/news/7981-event-pages-of-history-december-en" xr:uid="{00000000-0004-0000-0A00-0000B9020000}"/>
    <hyperlink ref="AFX27" r:id="rId699" display="https://warthunder.com/en/news/7981-event-pages-of-history-december-en" xr:uid="{00000000-0004-0000-0A00-0000BA020000}"/>
    <hyperlink ref="AGH27" r:id="rId700" display="https://warthunder.com/en/news/7981-event-pages-of-history-december-en" xr:uid="{00000000-0004-0000-0A00-0000BB020000}"/>
    <hyperlink ref="AGN27" r:id="rId701" display="https://warthunder.com/en/news/8018-event-pandora-s-box-en" xr:uid="{00000000-0004-0000-0A00-0000BC020000}"/>
    <hyperlink ref="AGP27" r:id="rId702" display="https://warthunder.com/en/news/7981-event-pages-of-history-december-en" xr:uid="{00000000-0004-0000-0A00-0000BD020000}"/>
    <hyperlink ref="AGZ27" r:id="rId703" display="https://warthunder.com/en/news/7981-event-pages-of-history-december-en" xr:uid="{00000000-0004-0000-0A00-0000BE020000}"/>
    <hyperlink ref="AHD27" r:id="rId704" display="https://warthunder.com/en/news/7981-event-pages-of-history-december-en" xr:uid="{00000000-0004-0000-0A00-0000BF020000}"/>
    <hyperlink ref="AHH27" r:id="rId705" display="https://warthunder.com/en/news/8040-merry-christmas-and-happy-new-year-2023-en" xr:uid="{00000000-0004-0000-0A00-0000C0020000}"/>
    <hyperlink ref="AHN27" r:id="rId706" display="https://warthunder.com/en/news/7981-event-pages-of-history-december-en" xr:uid="{00000000-0004-0000-0A00-0000C1020000}"/>
    <hyperlink ref="AHX27" r:id="rId707" display="https://warthunder.com/en/news/8035-special-new-year-with-war-thunder-en" xr:uid="{00000000-0004-0000-0A00-0000C2020000}"/>
    <hyperlink ref="AHZ27" r:id="rId708" display="https://warthunder.com/en/news/8048-happy-new-year-2023-en" xr:uid="{00000000-0004-0000-0A00-0000C3020000}"/>
    <hyperlink ref="LL28" r:id="rId709" display="https://warthunder.com/en/news/7677-event-victory-day-in-war-thunder-en" xr:uid="{00000000-0004-0000-0A00-0000C4020000}"/>
    <hyperlink ref="NZ28" r:id="rId710" display="https://warthunder.com/en/news/7721-special-80th-anniversary-of-the-battle-of-midway-en" xr:uid="{00000000-0004-0000-0A00-0000C5020000}"/>
    <hyperlink ref="OD28" r:id="rId711" display="https://warthunder.com/en/news/7689-event-pages-of-history-june-en" xr:uid="{00000000-0004-0000-0A00-0000C6020000}"/>
    <hyperlink ref="ACT28" r:id="rId712" display="https://warthunder.com/en/news/7959-shop-war-thunder-birthday-sale-in-gaijin-net-store-en" xr:uid="{00000000-0004-0000-0A00-0000C7020000}"/>
    <hyperlink ref="AFD28" r:id="rId713" display="https://warthunder.com/en/news/7978-special-80th-anniversary-of-the-normandie-niemen-regiment-en" xr:uid="{00000000-0004-0000-0A00-0000C8020000}"/>
    <hyperlink ref="AHX28" r:id="rId714" display="https://warthunder.com/en/news/8046-shop-war-thunder-winter-sale-en" xr:uid="{00000000-0004-0000-0A00-0000C9020000}"/>
    <hyperlink ref="LL29" r:id="rId715" display="https://warthunder.com/en/news/7676-event-legend-of-victory-is-2-321-en" xr:uid="{00000000-0004-0000-0A00-0000CA020000}"/>
    <hyperlink ref="D30" r:id="rId716" display="https://warthunder.com/en/news/8037-event-pages-of-history-january-en" xr:uid="{00000000-0004-0000-0A00-0000CB020000}"/>
    <hyperlink ref="H30" r:id="rId717" display="https://warthunder.com/en/news/8037-event-pages-of-history-january-en" xr:uid="{00000000-0004-0000-0A00-0000CC020000}"/>
    <hyperlink ref="J30" r:id="rId718" display="https://warthunder.com/en/news/8037-event-pages-of-history-january-en" xr:uid="{00000000-0004-0000-0A00-0000CD020000}"/>
    <hyperlink ref="N30" r:id="rId719" display="https://warthunder.com/en/news/8037-event-pages-of-history-january-en" xr:uid="{00000000-0004-0000-0A00-0000CE020000}"/>
    <hyperlink ref="X30" r:id="rId720" display="https://warthunder.com/en/news/8056-special-swedish-armed-forces-day-en" xr:uid="{00000000-0004-0000-0A00-0000CF020000}"/>
    <hyperlink ref="AF30" r:id="rId721" display="https://warthunder.com/en/news/8037-event-pages-of-history-january-en" xr:uid="{00000000-0004-0000-0A00-0000D0020000}"/>
    <hyperlink ref="AL30" r:id="rId722" display="https://warthunder.com/en/news/8037-event-pages-of-history-january-en" xr:uid="{00000000-0004-0000-0A00-0000D1020000}"/>
    <hyperlink ref="AN30" r:id="rId723" display="https://warthunder.com/en/news/8037-event-pages-of-history-january-en" xr:uid="{00000000-0004-0000-0A00-0000D2020000}"/>
    <hyperlink ref="AT30" r:id="rId724" display="https://warthunder.com/en/news/8069-special-australia-day-en" xr:uid="{00000000-0004-0000-0A00-0000D3020000}"/>
    <hyperlink ref="AX30" r:id="rId725" display="https://warthunder.com/en/news/8037-event-pages-of-history-january-en" xr:uid="{00000000-0004-0000-0A00-0000D4020000}"/>
    <hyperlink ref="BF30" r:id="rId726" display="https://warthunder.com/en/news/8075-special-victory-in-stalingrad-day-en" xr:uid="{00000000-0004-0000-0A00-0000D5020000}"/>
    <hyperlink ref="BH30" r:id="rId727" display="https://warthunder.com/en/news/8073-event-pages-of-history-february-en" xr:uid="{00000000-0004-0000-0A00-0000D6020000}"/>
    <hyperlink ref="BN30" r:id="rId728" display="https://warthunder.com/en/news/8073-event-pages-of-history-february-en" xr:uid="{00000000-0004-0000-0A00-0000D7020000}"/>
    <hyperlink ref="BT30" r:id="rId729" display="https://warthunder.com/en/news/8059-shop-special-happy-lunar-new-year-en" xr:uid="{00000000-0004-0000-0A00-0000D8020000}"/>
    <hyperlink ref="CB30" r:id="rId730" display="https://warthunder.com/en/news/8073-event-pages-of-history-february-en" xr:uid="{00000000-0004-0000-0A00-0000D9020000}"/>
    <hyperlink ref="CH30" r:id="rId731" display="https://warthunder.com/en/news/8082-special-national-foundation-day-in-japan-en" xr:uid="{00000000-0004-0000-0A00-0000DA020000}"/>
    <hyperlink ref="CJ30" r:id="rId732" display="https://warthunder.com/en/news/8073-event-pages-of-history-february-en" xr:uid="{00000000-0004-0000-0A00-0000DB020000}"/>
    <hyperlink ref="CN30" r:id="rId733" display="https://warthunder.com/en/news/8093-special-happy-valentine-s-day-en" xr:uid="{00000000-0004-0000-0A00-0000DC020000}"/>
    <hyperlink ref="CP30" r:id="rId734" display="https://warthunder.com/en/news/8073-event-pages-of-history-february-en" xr:uid="{00000000-0004-0000-0A00-0000DD020000}"/>
    <hyperlink ref="CV30" r:id="rId735" display="https://warthunder.com/en/news/8098-special-first-flight-of-the-bo-105-en" xr:uid="{00000000-0004-0000-0A00-0000DE020000}"/>
    <hyperlink ref="DD30" r:id="rId736" display="https://warthunder.com/en/news/8105-special-south-african-armed-forces-day-en" xr:uid="{00000000-0004-0000-0A00-0000DF020000}"/>
    <hyperlink ref="DH30" r:id="rId737" display="https://warthunder.com/en/news/8073-event-pages-of-history-february-en" xr:uid="{00000000-0004-0000-0A00-0000E0020000}"/>
    <hyperlink ref="DT30" r:id="rId738" display="https://warthunder.com/en/news/8111-esport-defender-tournament-series-en" xr:uid="{00000000-0004-0000-0A00-0000E1020000}"/>
    <hyperlink ref="DV30" r:id="rId739" display="https://warthunder.com/en/news/8073-event-pages-of-history-february-en" xr:uid="{00000000-0004-0000-0A00-0000E2020000}"/>
    <hyperlink ref="EF30" r:id="rId740" display="https://warthunder.com/en/news/8073-event-pages-of-history-february-en" xr:uid="{00000000-0004-0000-0A00-0000E3020000}"/>
    <hyperlink ref="EN30" r:id="rId741" display="https://warthunder.com/en/news/8124-event-pages-of-history-march-en" xr:uid="{00000000-0004-0000-0A00-0000E4020000}"/>
    <hyperlink ref="ER30" r:id="rId742" display="https://warthunder.com/en/news/8124-event-pages-of-history-march-en" xr:uid="{00000000-0004-0000-0A00-0000E5020000}"/>
    <hyperlink ref="EX30" r:id="rId743" display="https://warthunder.com/en/news/8139-special-finnish-air-force-day-en" xr:uid="{00000000-0004-0000-0A00-0000E6020000}"/>
    <hyperlink ref="EZ30" r:id="rId744" display="https://warthunder.com/en/news/8144-special-happy-international-women-s-day-en" xr:uid="{00000000-0004-0000-0A00-0000E7020000}"/>
    <hyperlink ref="FF30" r:id="rId745" display="https://warthunder.com/en/news/8124-event-pages-of-history-march-en" xr:uid="{00000000-0004-0000-0A00-0000E8020000}"/>
    <hyperlink ref="FR30" r:id="rId746" display="https://warthunder.com/en/news/8124-event-pages-of-history-march-en" xr:uid="{00000000-0004-0000-0A00-0000E9020000}"/>
    <hyperlink ref="FT30" r:id="rId747" display="https://warthunder.com/en/news/8124-event-pages-of-history-march-en" xr:uid="{00000000-0004-0000-0A00-0000EA020000}"/>
    <hyperlink ref="FV30" r:id="rId748" display="https://warthunder.com/en/news/8155-special-st-patrick-s-day-en" xr:uid="{00000000-0004-0000-0A00-0000EB020000}"/>
    <hyperlink ref="FZ30" r:id="rId749" display="https://warthunder.com/en/news/8124-event-pages-of-history-march-en" xr:uid="{00000000-0004-0000-0A00-0000EC020000}"/>
    <hyperlink ref="GH30" r:id="rId750" display="https://warthunder.ru/ru/news/16153-akciya-den-rozhdeniya-pokryshkina-ru" xr:uid="{00000000-0004-0000-0A00-0000ED020000}"/>
    <hyperlink ref="GL30" r:id="rId751" display="https://warthunder.com/en/news/8161-special-first-flight-of-the-la-5-en" xr:uid="{00000000-0004-0000-0A00-0000EE020000}"/>
    <hyperlink ref="GP30" r:id="rId752" display="https://warthunder.com/en/news/8124-event-pages-of-history-march-en" xr:uid="{00000000-0004-0000-0A00-0000EF020000}"/>
    <hyperlink ref="GZ30" r:id="rId753" display="https://warthunder.com/en/news/8124-event-pages-of-history-march-en" xr:uid="{00000000-0004-0000-0A00-0000F0020000}"/>
    <hyperlink ref="HD30" r:id="rId754" display="https://warthunder.com/en/news/8169-shop-moments-of-valour-the-turkish-armed-forces-en" xr:uid="{00000000-0004-0000-0A00-0000F1020000}"/>
    <hyperlink ref="HF30" r:id="rId755" display="https://warthunder.com/en/news/8168-special-100th-anniversary-of-the-italian-air-force-en" xr:uid="{00000000-0004-0000-0A00-0000F2020000}"/>
    <hyperlink ref="HJ30" r:id="rId756" display="https://warthunder.com/en/news/8160-special-lucky-pi%C3%B1ata-en" xr:uid="{00000000-0004-0000-0A00-0000F3020000}"/>
    <hyperlink ref="HN30" r:id="rId757" display="https://warthunder.com/en/news/8174-war-thunder-infantry-en" xr:uid="{00000000-0004-0000-0A00-0000F4020000}"/>
    <hyperlink ref="HP30" r:id="rId758" display="https://warthunder.com/en/news/8171-special-royal-air-force-day-en" xr:uid="{00000000-0004-0000-0A00-0000F5020000}"/>
    <hyperlink ref="HT30" r:id="rId759" display="https://warthunder.com/en/news/8167-event-pages-of-history-april-en" xr:uid="{00000000-0004-0000-0A00-0000F6020000}"/>
    <hyperlink ref="IB30" r:id="rId760" display="https://warthunder.com/en/news/8167-event-pages-of-history-april-en" xr:uid="{00000000-0004-0000-0A00-0000F7020000}"/>
    <hyperlink ref="IJ30" r:id="rId761" display="https://warthunder.com/en/news/8167-event-pages-of-history-april-en" xr:uid="{00000000-0004-0000-0A00-0000F8020000}"/>
    <hyperlink ref="IL30" r:id="rId762" display="https://warthunder.com/en/news/8192-special-day-of-aviation-and-cosmonautics-en" xr:uid="{00000000-0004-0000-0A00-0000F9020000}"/>
    <hyperlink ref="IR30" r:id="rId763" display="https://warthunder.com/en/news/8167-event-pages-of-history-april-en" xr:uid="{00000000-0004-0000-0A00-0000FA020000}"/>
    <hyperlink ref="IT30" r:id="rId764" display="https://warthunder.com/en/news/8194-special-vasily-matsievich-s-birthday-en" xr:uid="{00000000-0004-0000-0A00-0000FB020000}"/>
    <hyperlink ref="IX30" r:id="rId765" display="https://warthunder.com/en/news/8167-event-pages-of-history-april-en" xr:uid="{00000000-0004-0000-0A00-0000FC020000}"/>
    <hyperlink ref="JD30" r:id="rId766" display="https://warthunder.com/en/news/8197-special-zimbabwe-independence-day-en" xr:uid="{00000000-0004-0000-0A00-0000FD020000}"/>
    <hyperlink ref="JH30" r:id="rId767" display="https://warthunder.com/en/news/8167-event-pages-of-history-april-en" xr:uid="{00000000-0004-0000-0A00-0000FE020000}"/>
    <hyperlink ref="JT30" r:id="rId768" display="https://warthunder.com/en/news/8167-event-pages-of-history-april-en" xr:uid="{00000000-0004-0000-0A00-0000FF020000}"/>
    <hyperlink ref="JV30" r:id="rId769" display="https://warthunder.com/en/news/8210-special-italy-liberation-day-en" xr:uid="{00000000-0004-0000-0A00-000000030000}"/>
    <hyperlink ref="JX30" r:id="rId770" display="https://warthunder.com/en/news/8167-event-pages-of-history-april-en" xr:uid="{00000000-0004-0000-0A00-000001030000}"/>
    <hyperlink ref="JZ30" r:id="rId771" display="https://warthunder.com/en/news/8214-special-koi-and-golden-week-in-japan-en" xr:uid="{00000000-0004-0000-0A00-000002030000}"/>
    <hyperlink ref="KJ30" r:id="rId772" display="https://warthunder.com/en/news/8208-event-pages-of-history-may-en" xr:uid="{00000000-0004-0000-0A00-000003030000}"/>
    <hyperlink ref="KP30" r:id="rId773" display="https://warthunder.com/en/news/8220-special-wt-poland-happy-constitution-day-en" xr:uid="{00000000-0004-0000-0A00-000004030000}"/>
    <hyperlink ref="KZ30" r:id="rId774" display="https://warthunder.com/en/news/8211-special-israel-independence-day-en" xr:uid="{00000000-0004-0000-0A00-000005030000}"/>
    <hyperlink ref="LB30" r:id="rId775" display="https://warthunder.com/en/news/8208-event-pages-of-history-may-en" xr:uid="{00000000-0004-0000-0A00-000006030000}"/>
    <hyperlink ref="LH30" r:id="rId776" display="https://warthunder.com/en/news/8208-event-pages-of-history-may-en" xr:uid="{00000000-0004-0000-0A00-000007030000}"/>
    <hyperlink ref="LL30" r:id="rId777" display="https://warthunder.com/en/news/8216-shop-huge-may-sale-in-war-thunder-en" xr:uid="{00000000-0004-0000-0A00-000008030000}"/>
    <hyperlink ref="LP30" r:id="rId778" display="https://warthunder.com/en/news/8208-event-pages-of-history-may-en" xr:uid="{00000000-0004-0000-0A00-000009030000}"/>
    <hyperlink ref="LR30" r:id="rId779" display="https://warthunder.com/en/news/8208-event-pages-of-history-may-en" xr:uid="{00000000-0004-0000-0A00-00000A030000}"/>
    <hyperlink ref="LT30" r:id="rId780" display="https://warthunder.com/en/news/8080-event-world-war-mode-news-en" xr:uid="{00000000-0004-0000-0A00-00000B030000}"/>
    <hyperlink ref="MF30" r:id="rId781" display="https://warthunder.com/en/news/8208-event-pages-of-history-may-en" xr:uid="{00000000-0004-0000-0A00-00000C030000}"/>
    <hyperlink ref="MH30" r:id="rId782" display="https://warthunder.com/en/news/8254-special-us-armed-forces-day-en" xr:uid="{00000000-0004-0000-0A00-00000D030000}"/>
    <hyperlink ref="MJ30" r:id="rId783" display="https://warthunder.com/en/news/8256-special-french-national-sailor-day-decal-and-discounts-en" xr:uid="{00000000-0004-0000-0A00-00000E030000}"/>
    <hyperlink ref="MR30" r:id="rId784" display="https://warthunder.com/en/news/8208-event-pages-of-history-may-en" xr:uid="{00000000-0004-0000-0A00-00000F030000}"/>
    <hyperlink ref="NB30" r:id="rId785" display="https://warthunder.com/en/news/8208-event-pages-of-history-may-en" xr:uid="{00000000-0004-0000-0A00-000010030000}"/>
    <hyperlink ref="NH30" r:id="rId786" display="https://warthunder.com/en/news/8274-special-legendary-spg-for-the-swedish-home-guard-day-en" xr:uid="{00000000-0004-0000-0A00-000011030000}"/>
    <hyperlink ref="NJ30" r:id="rId787" display="https://warthunder.com/en/news/8208-event-pages-of-history-may-en" xr:uid="{00000000-0004-0000-0A00-000012030000}"/>
    <hyperlink ref="NV30" r:id="rId788" display="https://warthunder.com/en/news/8292-special-t129-is-back-for-the-turkish-air-force-day-en" xr:uid="{00000000-0004-0000-0A00-000013030000}"/>
    <hyperlink ref="NX30" r:id="rId789" display="https://warthunder.com/en/news/8296-special-decal-and-destroyer-for-canadian-armed-forces-day-en" xr:uid="{00000000-0004-0000-0A00-000014030000}"/>
    <hyperlink ref="NZ30" r:id="rId790" display="https://warthunder.com/en/news/8281-event-pages-of-history-june-en" xr:uid="{00000000-0004-0000-0A00-000015030000}"/>
    <hyperlink ref="OB30" r:id="rId791" display="https://warthunder.com/en/news/8304-special-celebrating-500-years-of-swedish-independence-en" xr:uid="{00000000-0004-0000-0A00-000016030000}"/>
    <hyperlink ref="OD30" r:id="rId792" display="https://warthunder.com/en/news/8298-special-d-day-event-and-decal-en" xr:uid="{00000000-0004-0000-0A00-000017030000}"/>
    <hyperlink ref="OJ30" r:id="rId793" display="https://warthunder.com/en/news/8281-event-pages-of-history-june-en" xr:uid="{00000000-0004-0000-0A00-000018030000}"/>
    <hyperlink ref="ON30" r:id="rId794" display="https://warthunder.com/en/news/8310-special-rn-geniere-is-back-for-italian-navy-day-en" xr:uid="{00000000-0004-0000-0A00-000019030000}"/>
    <hyperlink ref="OP30" r:id="rId795" display="https://warthunder.ru/ru/news/16301-akciya-den-rossii-ru" xr:uid="{00000000-0004-0000-0A00-00001A030000}"/>
    <hyperlink ref="OT30" r:id="rId796" display="https://warthunder.com/en/news/8281-event-pages-of-history-june-en" xr:uid="{00000000-0004-0000-0A00-00001B030000}"/>
    <hyperlink ref="OZ30" r:id="rId797" display="https://warthunder.com/en/news/8323-special-two-ships-and-a-decal-for-german-navy-day-en" xr:uid="{00000000-0004-0000-0A00-00001C030000}"/>
    <hyperlink ref="PB30" r:id="rId798" display="https://warthunder.com/en/news/8281-event-pages-of-history-june-en" xr:uid="{00000000-0004-0000-0A00-00001D030000}"/>
    <hyperlink ref="PF30" r:id="rId799" display="https://warthunder.com/en/news/8324-special-the-mig-21-sps-k-returns-to-celebrate-the-mig-21-s-first-flight-en" xr:uid="{00000000-0004-0000-0A00-00001E030000}"/>
    <hyperlink ref="PH30" r:id="rId800" display="https://warthunder.com/en/news/8336-shop-summer-sale-in-the-gaijin-store-en" xr:uid="{00000000-0004-0000-0A00-00001F030000}"/>
    <hyperlink ref="PN30" r:id="rId801" display="https://warthunder.com/en/news/8281-event-pages-of-history-june-en" xr:uid="{00000000-0004-0000-0A00-000020030000}"/>
    <hyperlink ref="PZ30" r:id="rId802" display="https://warthunder.com/en/news/8281-event-pages-of-history-june-en" xr:uid="{00000000-0004-0000-0A00-000021030000}"/>
    <hyperlink ref="QB30" r:id="rId803" display="https://warthunder.com/en/news/8588-special-bundeswehr-day-a-decal-and-two-tanks-to-celebrate-en" xr:uid="{00000000-0004-0000-0A00-000022030000}"/>
    <hyperlink ref="QD30" r:id="rId804" display="https://warthunder.com/en/news/8333-special-decal-for-the-british-armed-forces-day-en" xr:uid="{00000000-0004-0000-0A00-000023030000}"/>
    <hyperlink ref="QR30" r:id="rId805" display="https://warthunder.com/en/news/8340-special-three-different-vehicles-and-a-decal-for-the-jsdf-day-en" xr:uid="{00000000-0004-0000-0A00-000024030000}"/>
    <hyperlink ref="QX30" r:id="rId806" display="https://warthunder.com/en/news/8341-special-decal-for-canada-day-en" xr:uid="{00000000-0004-0000-0A00-000025030000}"/>
    <hyperlink ref="QZ30" r:id="rId807" display="https://warthunder.com/en/news/8345-special-decal-for-french-air-force-day-en" xr:uid="{00000000-0004-0000-0A00-000026030000}"/>
    <hyperlink ref="RB30" r:id="rId808" display="https://warthunder.com/en/news/8339-special-two-fighters-and-a-decal-for-swedish-air-force-day-en" xr:uid="{00000000-0004-0000-0A00-000027030000}"/>
    <hyperlink ref="RF30" r:id="rId809" display="https://warthunder.com/en/news/8331-event-pages-of-history-july-en" xr:uid="{00000000-0004-0000-0A00-000028030000}"/>
    <hyperlink ref="RJ30" r:id="rId810" display="https://warthunder.com/en/news/8346-special-a-tank-a-fighter-and-a-decal-for-us-independence-day-en" xr:uid="{00000000-0004-0000-0A00-000029030000}"/>
    <hyperlink ref="RL30" r:id="rId811" display="https://warthunder.com/en/news/8331-event-pages-of-history-july-en" xr:uid="{00000000-0004-0000-0A00-00002A030000}"/>
    <hyperlink ref="RN30" r:id="rId812" display="https://warthunder.com/en/news/8149-event-tank-football-2023-en" xr:uid="{00000000-0004-0000-0A00-00002B030000}"/>
    <hyperlink ref="RP30" r:id="rId813" display="https://warthunder.com/en/news/8349-special-a-decal-and-a-3d-decoration-commemorating-80-years-from-operation-husky-en" xr:uid="{00000000-0004-0000-0A00-00002C030000}"/>
    <hyperlink ref="SB30" r:id="rId814" display="https://warthunder.com/en/news/8352-event-combat-robots-of-atomic-heart-come-to-war-thunder-en" xr:uid="{00000000-0004-0000-0A00-00002D030000}"/>
    <hyperlink ref="SF30" r:id="rId815" display="https://warthunder.com/en/news/8354-special-the-israeli-a-4e-is-back-for-the-anniversary-of-its-maiden-flight-en" xr:uid="{00000000-0004-0000-0A00-00002E030000}"/>
    <hyperlink ref="SH30" r:id="rId816" display="https://warthunder.com/en/news/8331-event-pages-of-history-july-en" xr:uid="{00000000-0004-0000-0A00-00002F030000}"/>
    <hyperlink ref="SP30" r:id="rId817" display="https://warthunder.com/en/news/8331-event-pages-of-history-july-en" xr:uid="{00000000-0004-0000-0A00-000030030000}"/>
    <hyperlink ref="SR30" r:id="rId818" display="https://warthunder.com/en/news/8356-special-a-decal-and-two-aircraft-for-bastille-day-en" xr:uid="{00000000-0004-0000-0A00-000031030000}"/>
    <hyperlink ref="SX30" r:id="rId819" display="https://warthunder.com/en/news/8331-event-pages-of-history-july-en" xr:uid="{00000000-0004-0000-0A00-000032030000}"/>
    <hyperlink ref="SZ30" r:id="rId820" display="https://warthunder.com/en/news/8364-special-hunter-fga-9-celebrates-the-anniversary-of-its-first-flight-en" xr:uid="{00000000-0004-0000-0A00-000033030000}"/>
    <hyperlink ref="TB30" r:id="rId821" display="https://warthunder.com/en/news/8365-special-t-2-early-available-again-for-the-anniversary-of-its-first-flight-en" xr:uid="{00000000-0004-0000-0A00-000034030000}"/>
    <hyperlink ref="TF30" r:id="rId822" display="https://warthunder.com/en/news/8331-event-pages-of-history-july-en" xr:uid="{00000000-0004-0000-0A00-000035030000}"/>
    <hyperlink ref="TJ30" r:id="rId823" display="https://warthunder.com/en/news/8377-special-stroyny-and-neustrashimy-for-golden-eagles-en" xr:uid="{00000000-0004-0000-0A00-000036030000}"/>
    <hyperlink ref="TN30" r:id="rId824" display="https://warthunder.com/en/news/8331-event-pages-of-history-july-en" xr:uid="{00000000-0004-0000-0A00-000037030000}"/>
    <hyperlink ref="TP30" r:id="rId825" display="https://warthunder.com/en/news/8380-special-t-69-ii-g-and-a-decal-to-commemorate-pla-day-en" xr:uid="{00000000-0004-0000-0A00-000038030000}"/>
    <hyperlink ref="TR30" r:id="rId826" display="https://warthunder.com/en/news/8384-event-summer-extreme-en" xr:uid="{00000000-0004-0000-0A00-000039030000}"/>
    <hyperlink ref="TV30" r:id="rId827" display="https://warthunder.ru/ru/news/16370-dekal-na-den-vdv-ru" xr:uid="{00000000-0004-0000-0A00-00003A030000}"/>
    <hyperlink ref="UB30" r:id="rId828" display="https://warthunder.com/en/news/8389-special-incredibly-fast-lightning-jet-fighter-temporarily-available-for-ge-en" xr:uid="{00000000-0004-0000-0A00-00003B030000}"/>
    <hyperlink ref="UD30" r:id="rId829" display="https://warthunder.com/en/news/8366-event-pages-of-history-august-en" xr:uid="{00000000-0004-0000-0A00-00003C030000}"/>
    <hyperlink ref="UL30" r:id="rId830" display="https://warthunder.com/en/news/8366-event-pages-of-history-august-en" xr:uid="{00000000-0004-0000-0A00-00003D030000}"/>
    <hyperlink ref="UN30" r:id="rId831" display="https://warthunder.com/en/news/8396-special-the-cuban-mig-17as-is-back-for-ge-and-a-russian-air-force-decal-en" xr:uid="{00000000-0004-0000-0A00-00003E030000}"/>
    <hyperlink ref="UP30" r:id="rId832" display="https://warthunder.com/en/news/8366-event-pages-of-history-august-en" xr:uid="{00000000-0004-0000-0A00-00003F030000}"/>
    <hyperlink ref="UX30" r:id="rId833" display="https://warthunder.com/en/news/8400-special-a-decal-and-lanovski-s-p-47m-1-re-for-polish-armed-forces-day-en" xr:uid="{00000000-0004-0000-0A00-000040030000}"/>
    <hyperlink ref="VB30" r:id="rId834" display="https://warthunder.com/en/news/8401-special-sky-dragons-decal-and-a-uh-1c-xm-30-for-us-airborne-day-en" xr:uid="{00000000-0004-0000-0A00-000041030000}"/>
    <hyperlink ref="VF30" r:id="rId835" display="https://warthunder.com/en/news/8401-special-sky-dragons-decal-and-a-uh-1c-xm-30-for-us-airborne-day-en" xr:uid="{00000000-0004-0000-0A00-000042030000}"/>
    <hyperlink ref="VL30" r:id="rId836" display="https://warthunder.com/en/news/8401-special-sky-dragons-decal-and-a-uh-1c-xm-30-for-us-airborne-day-en" xr:uid="{00000000-0004-0000-0A00-000043030000}"/>
    <hyperlink ref="VT30" r:id="rId837" display="https://warthunder.com/en/news/8413-special-mig-15bis-ish-returns-for-official-service-anniversary-en" xr:uid="{00000000-0004-0000-0A00-000044030000}"/>
    <hyperlink ref="VX30" r:id="rId838" display="https://warthunder.com/en/news/8413-special-mig-15bis-ish-returns-for-official-service-anniversary-en" xr:uid="{00000000-0004-0000-0A00-000045030000}"/>
    <hyperlink ref="WD30" r:id="rId839" display="https://warthunder.com/en/news/8413-special-mig-15bis-ish-returns-for-official-service-anniversary-en" xr:uid="{00000000-0004-0000-0A00-000046030000}"/>
    <hyperlink ref="WJ30" r:id="rId840" display="https://warthunder.com/en/news/8426-event-pages-of-history-september-en" xr:uid="{00000000-0004-0000-0A00-000047030000}"/>
    <hyperlink ref="WL30" r:id="rId841" display="https://warthunder.com/en/news/8438-special-victory-in-wwii-anniversary-decal-en" xr:uid="{00000000-0004-0000-0A00-000048030000}"/>
    <hyperlink ref="WV30" r:id="rId842" display="https://warthunder.com/en/news/8426-event-pages-of-history-september-en" xr:uid="{00000000-0004-0000-0A00-000049030000}"/>
    <hyperlink ref="WX30" r:id="rId843" display="https://warthunder.com/en/news/8456-special-the-kv-2-zis-6-and-a-decoration-for-tanker-s-day-en" xr:uid="{00000000-0004-0000-0A00-00004A030000}"/>
    <hyperlink ref="XF30" r:id="rId844" display="https://warthunder.com/en/news/8426-event-pages-of-history-september-en" xr:uid="{00000000-0004-0000-0A00-00004B030000}"/>
    <hyperlink ref="XN30" r:id="rId845" display="https://warthunder.com/en/news/8426-event-pages-of-history-september-en" xr:uid="{00000000-0004-0000-0A00-00004C030000}"/>
    <hyperlink ref="XV30" r:id="rId846" display="https://warthunder.com/en/news/8465-special-raf-spitfires-and-a-decal-available-for-battle-of-britain-day-en" xr:uid="{00000000-0004-0000-0A00-00004D030000}"/>
    <hyperlink ref="XX30" r:id="rId847" display="https://warthunder.com/en/news/8467-special-the-yp-38-is-back-for-the-anniversary-of-its-first-flight-en" xr:uid="{00000000-0004-0000-0A00-00004E030000}"/>
    <hyperlink ref="YD30" r:id="rId848" display="https://warthunder.com/en/news/8426-event-pages-of-history-september-en" xr:uid="{00000000-0004-0000-0A00-00004F030000}"/>
    <hyperlink ref="YF30" r:id="rId849" display="https://warthunder.com/en/news/8478-special-a-decal-and-two-fighters-to-celebrate-the-us-air-forces-birthday-en" xr:uid="{00000000-0004-0000-0A00-000050030000}"/>
    <hyperlink ref="YN30" r:id="rId850" display="https://warthunder.com/en/news/8483-special-the-mi-24d-returns-to-celebrate-the-anniversary-of-its-first-flight-en" xr:uid="{00000000-0004-0000-0A00-000051030000}"/>
    <hyperlink ref="YP30" r:id="rId851" display="https://warthunder.com/en/news/8426-event-pages-of-history-september-en" xr:uid="{00000000-0004-0000-0A00-000052030000}"/>
    <hyperlink ref="YR30" r:id="rId852" display="https://warthunder.com/en/news/8490-special-the-yak-38-is-back-for-its-maiden-flight-anniversary-and-is-here-to-stay-en" xr:uid="{00000000-0004-0000-0A00-000053030000}"/>
    <hyperlink ref="YV30" r:id="rId853" display="https://warthunder.com/en/news/8426-event-pages-of-history-september-en" xr:uid="{00000000-0004-0000-0A00-000054030000}"/>
    <hyperlink ref="ZB30" r:id="rId854" display="https://warthunder.com/en/news/8511-event-battle-of-the-caucasus-a-decal-and-decoration-for-the-80th-anniversary-en" xr:uid="{00000000-0004-0000-0A00-000055030000}"/>
    <hyperlink ref="ZH30" r:id="rId855" display="https://warthunder.com/en/news/8426-event-pages-of-history-september-en" xr:uid="{00000000-0004-0000-0A00-000056030000}"/>
    <hyperlink ref="ZN30" r:id="rId856" display="https://warthunder.com/en/news/8501-special-shop-discounts-type-69-iia-back-for-ge-a-decal-for-the-national-day-of-the-prc-en" xr:uid="{00000000-0004-0000-0A00-000057030000}"/>
    <hyperlink ref="ZP30" r:id="rId857" display="https://warthunder.com/en/news/8495-event-pages-of-history-october-en" xr:uid="{00000000-0004-0000-0A00-000058030000}"/>
    <hyperlink ref="ZR30" r:id="rId858" display="https://warthunder.com/en/news/8506-special-german-unity-day-vehicles-for-ge-and-a-decal-to-celebrate-en" xr:uid="{00000000-0004-0000-0A00-000059030000}"/>
    <hyperlink ref="AAB30" r:id="rId859" display="https://warthunder.com/en/news/8495-event-pages-of-history-october-en" xr:uid="{00000000-0004-0000-0A00-00005A030000}"/>
    <hyperlink ref="AAF30" r:id="rId860" display="https://warthunder.com/en/news/8495-event-pages-of-history-october-en" xr:uid="{00000000-0004-0000-0A00-00005B030000}"/>
    <hyperlink ref="AAN30" r:id="rId861" display="https://warthunder.com/en/news/8514-special-us-navy-birthday-a-decal-and-the-uss-cowell-to-celebrate-en" xr:uid="{00000000-0004-0000-0A00-00005C030000}"/>
    <hyperlink ref="AAR30" r:id="rId862" display="https://warthunder.com/en/news/8495-event-pages-of-history-october-en" xr:uid="{00000000-0004-0000-0A00-00005D030000}"/>
    <hyperlink ref="AAZ30" r:id="rId863" display="https://warthunder.com/en/news/8495-event-pages-of-history-october-en" xr:uid="{00000000-0004-0000-0A00-00005E030000}"/>
    <hyperlink ref="ABB30" r:id="rId864" display="https://warthunder.com/en/news/8519-special-vautour-iin-returns-for-the-anniversary-of-its-maiden-flight-en" xr:uid="{00000000-0004-0000-0A00-00005F030000}"/>
    <hyperlink ref="ABH30" r:id="rId865" display="https://warthunder.com/en/news/8495-event-pages-of-history-october-en" xr:uid="{00000000-0004-0000-0A00-000060030000}"/>
    <hyperlink ref="ABJ30" r:id="rId866" display="https://warthunder.com/en/news/8524-special-trafalgar-day-a-decal-and-hmcs-haida-to-celebrate-en" xr:uid="{00000000-0004-0000-0A00-000061030000}"/>
    <hyperlink ref="ABR30" r:id="rId867" display="https://warthunder.com/en/news/8495-event-pages-of-history-october-en" xr:uid="{00000000-0004-0000-0A00-000062030000}"/>
    <hyperlink ref="ACD30" r:id="rId868" display="https://warthunder.com/en/news/8540-special-j35a-draken-returns-for-the-anniversary-of-its-maiden-flight-en" xr:uid="{00000000-0004-0000-0A00-000063030000}"/>
    <hyperlink ref="ACF30" r:id="rId869" display="https://warthunder.com/en/news/8551-special-republic-of-turkey-100th-anniversary-a-decal-and-the-t129-atak-is-back-en" xr:uid="{00000000-0004-0000-0A00-000064030000}"/>
    <hyperlink ref="ACH30" r:id="rId870" display="https://warthunder.com/en/news/8495-event-pages-of-history-october-en" xr:uid="{00000000-0004-0000-0A00-000065030000}"/>
    <hyperlink ref="ACN30" r:id="rId871" display="https://warthunder.com/en/news/8550-event-halloween-in-war-thunder-en" xr:uid="{00000000-0004-0000-0A00-000066030000}"/>
    <hyperlink ref="ACP30" r:id="rId872" display="https://warthunder.com/en/news/8549-event-pages-of-history-november-en" xr:uid="{00000000-0004-0000-0A00-000067030000}"/>
    <hyperlink ref="ACR30" r:id="rId873" display="https://warthunder.com/en/news/8567-special-italian-national-unity-armed-forces-day-the-p40-and-a-decal-to-celebrate-en" xr:uid="{00000000-0004-0000-0A00-000068030000}"/>
    <hyperlink ref="ACT30" r:id="rId874" display="https://warthunder.com/en/news/8559-special-war-thunders-11th-birthday-lets-celebrate-together-en" xr:uid="{00000000-0004-0000-0A00-000069030000}"/>
    <hyperlink ref="ACV30" r:id="rId875" display="https://warthunder.com/en/news/8549-event-pages-of-history-november-en" xr:uid="{00000000-0004-0000-0A00-00006A030000}"/>
    <hyperlink ref="ADF30" r:id="rId876" display="https://warthunder.com/en/news/8549-event-pages-of-history-november-en" xr:uid="{00000000-0004-0000-0A00-00006B030000}"/>
    <hyperlink ref="ADL30" r:id="rId877" display="https://warthunder.com/en/news/8587-special-polish-independence-day-a-decal-camouflage-and-lanovskis-p-47-to-celebrate-en" xr:uid="{00000000-0004-0000-0A00-00006C030000}"/>
    <hyperlink ref="ADN30" r:id="rId878" display="https://warthunder.com/en/news/8589-special-chinese-air-force-day-a-decal-and-the-z-19e-is-here-to-stay-en" xr:uid="{00000000-0004-0000-0A00-00006D030000}"/>
    <hyperlink ref="ADP30" r:id="rId879" display="https://warthunder.com/en/news/8549-event-pages-of-history-november-en" xr:uid="{00000000-0004-0000-0A00-00006E030000}"/>
    <hyperlink ref="ADZ30" r:id="rId880" display="https://warthunder.com/en/news/8549-event-pages-of-history-november-en" xr:uid="{00000000-0004-0000-0A00-00006F030000}"/>
    <hyperlink ref="AEB30" r:id="rId881" display="https://warthunder.com/en/news/8549-event-pages-of-history-november-en" xr:uid="{00000000-0004-0000-0A00-000070030000}"/>
    <hyperlink ref="AEH30" r:id="rId882" display="https://warthunder.com/en/news/8599-shop-black-friday-bundle-en" xr:uid="{00000000-0004-0000-0A00-000071030000}"/>
    <hyperlink ref="AEP30" r:id="rId883" display="https://warthunder.com/en/news/8549-event-pages-of-history-november-en" xr:uid="{00000000-0004-0000-0A00-000072030000}"/>
    <hyperlink ref="AEX30" r:id="rId884" display="https://warthunder.com/en/news/8606-special-st-andrews-day-the-scottish-saltire-decal-to-celebrate-en" xr:uid="{00000000-0004-0000-0A00-000073030000}"/>
    <hyperlink ref="AFB30" r:id="rId885" display="https://warthunder.com/en/news/8602-event-pages-of-history-december-the-heroic-nurse-en" xr:uid="{00000000-0004-0000-0A00-000074030000}"/>
    <hyperlink ref="AFD30" r:id="rId886" display="https://warthunder.com/en/news/8549-event-pages-of-history-november-en" xr:uid="{00000000-0004-0000-0A00-000075030000}"/>
    <hyperlink ref="AFL30" r:id="rId887" display="https://warthunder.com/en/news/8602-event-pages-of-history-december-the-heroic-nurse-en" xr:uid="{00000000-0004-0000-0A00-000076030000}"/>
    <hyperlink ref="AFX30" r:id="rId888" display="https://warthunder.com/en/news/8602-event-pages-of-history-december-the-heroic-nurse-en" xr:uid="{00000000-0004-0000-0A00-000077030000}"/>
    <hyperlink ref="AGH30" r:id="rId889" display="https://warthunder.com/en/news/8602-event-pages-of-history-december-the-heroic-nurse-en" xr:uid="{00000000-0004-0000-0A00-000078030000}"/>
    <hyperlink ref="AGP30" r:id="rId890" display="https://warthunder.com/en/news/8602-event-pages-of-history-december-the-heroic-nurse-en" xr:uid="{00000000-0004-0000-0A00-000079030000}"/>
    <hyperlink ref="AGX30" r:id="rId891" display="https://warthunder.com/en/news/8602-event-pages-of-history-december-the-heroic-nurse-en" xr:uid="{00000000-0004-0000-0A00-00007A030000}"/>
    <hyperlink ref="AHF30" r:id="rId892" display="https://warthunder.com/en/news/8602-event-pages-of-history-december-the-heroic-nurse-en" xr:uid="{00000000-0004-0000-0A00-00007B030000}"/>
    <hyperlink ref="AHP30" r:id="rId893" display="https://warthunder.com/en/news/8602-event-pages-of-history-december-the-heroic-nurse-en" xr:uid="{00000000-0004-0000-0A00-00007C030000}"/>
    <hyperlink ref="AHR30" r:id="rId894" display="https://warthunder.com/en/news/8679-special-the-mig-15bis-ish-is-back-for-its-maiden-flight-anniversary-and-is-here-to-stay-en" xr:uid="{00000000-0004-0000-0A00-00007D030000}"/>
    <hyperlink ref="AHX30" r:id="rId895" display="https://warthunder.com/en/news/8667-event-celebrate-christmas-and-the-new-year-in-war-thunder-en" xr:uid="{00000000-0004-0000-0A00-00007E030000}"/>
    <hyperlink ref="AHZ30" r:id="rId896" display="https://warthunder.com/en/news/8683-happy-new-year-2024-en" xr:uid="{00000000-0004-0000-0A00-00007F030000}"/>
    <hyperlink ref="HN31" r:id="rId897" display="https://warthunder.com/en/news/8175-event-mobile-infantry-event-en" xr:uid="{00000000-0004-0000-0A00-000080030000}"/>
    <hyperlink ref="LL31" r:id="rId898" display="https://warthunder.com/en/news/8226-event-victory-day-in-war-thunder-en" xr:uid="{00000000-0004-0000-0A00-000081030000}"/>
    <hyperlink ref="OD31" r:id="rId899" display="https://warthunder.com/en/news/8281-event-pages-of-history-june-en" xr:uid="{00000000-0004-0000-0A00-000082030000}"/>
    <hyperlink ref="RL31" r:id="rId900" display="https://warthunder.com/en/news/8410-special-80th-anniversary-of-the-victory-in-the-battle-of-kursk-en" xr:uid="{00000000-0004-0000-0A00-000083030000}"/>
    <hyperlink ref="RP31" r:id="rId901" display="https://warthunder.com/en/news/8331-event-pages-of-history-july-en" xr:uid="{00000000-0004-0000-0A00-000084030000}"/>
    <hyperlink ref="ACT31" r:id="rId902" display="https://warthunder.com/en/news/8568-event-battle-of-the-atlantic-ships-against-submarines-en" xr:uid="{00000000-0004-0000-0A00-000085030000}"/>
    <hyperlink ref="AHX31" r:id="rId903" display="https://warthunder.com/en/news/8677-shop-the-new-year-sale-in-the-gaijinnet-store-en" xr:uid="{00000000-0004-0000-0A00-000086030000}"/>
    <hyperlink ref="LL32" r:id="rId904" display="https://warthunder.com/en/news/8225-shop-may-sale-in-the-gaijin-store-en" xr:uid="{00000000-0004-0000-0A00-000087030000}"/>
    <hyperlink ref="OD32" r:id="rId905" display="https://warthunder.com/en/news/8306-special-vehicles-of-d-day-for-golden-eagles-en" xr:uid="{00000000-0004-0000-0A00-000088030000}"/>
    <hyperlink ref="ACT32" r:id="rId906" display="https://warthunder.com/en/news/8580-shop-war-thunders-birthday-sale-in-the-gaijinnet-store-en" xr:uid="{00000000-0004-0000-0A00-000089030000}"/>
    <hyperlink ref="B33" r:id="rId907" display="https://warthunder.com/en/news/8680-event-pages-of-history-january-ace-in-a-day-en" xr:uid="{00000000-0004-0000-0A00-00008A030000}"/>
    <hyperlink ref="H33" r:id="rId908" display="https://warthunder.com/en/news/8680-event-pages-of-history-january-ace-in-a-day-en" xr:uid="{00000000-0004-0000-0A00-00008B030000}"/>
    <hyperlink ref="J33" r:id="rId909" display="https://warthunder.com/en/news/8680-event-pages-of-history-january-ace-in-a-day-en" xr:uid="{00000000-0004-0000-0A00-00008C030000}"/>
    <hyperlink ref="T33" r:id="rId910" display="https://warthunder.com/en/news/8680-event-pages-of-history-january-ace-in-a-day-en" xr:uid="{00000000-0004-0000-0A00-00008D030000}"/>
    <hyperlink ref="X33" r:id="rId911" display="https://warthunder.com/en/news/8691-special-swedish-armed-forces-day-the-sav-201248-and-a-decal-en" xr:uid="{00000000-0004-0000-0A00-00008E030000}"/>
    <hyperlink ref="AF33" r:id="rId912" display="https://warthunder.com/en/news/8680-event-pages-of-history-january-ace-in-a-day-en" xr:uid="{00000000-0004-0000-0A00-00008F030000}"/>
    <hyperlink ref="AH33" r:id="rId913" display="https://warthunder.com/en/news/9001-event-floats-en" xr:uid="{00000000-0004-0000-0A00-000090030000}"/>
    <hyperlink ref="AL33" r:id="rId914" display="https://warthunder.com/en/news/8680-event-pages-of-history-january-ace-in-a-day-en" xr:uid="{00000000-0004-0000-0A00-000091030000}"/>
    <hyperlink ref="AP33" r:id="rId915" display="https://warthunder.com/en/news/8680-event-pages-of-history-january-ace-in-a-day-en" xr:uid="{00000000-0004-0000-0A00-000092030000}"/>
    <hyperlink ref="AR33" r:id="rId916" display="https://warthunder.com/en/news/8692-special-su-7bmk-returns-for-the-anniversary-of-its-maiden-flight-en" xr:uid="{00000000-0004-0000-0A00-000093030000}"/>
    <hyperlink ref="AT33" r:id="rId917" display="https://warthunder.com/en/news/8712-special-australia-day-the-boomerang-mkii-returns-discounts-and-earn-a-koala-decal-en" xr:uid="{00000000-0004-0000-0A00-000094030000}"/>
    <hyperlink ref="AX33" r:id="rId918" display="https://warthunder.com/en/news/8680-event-pages-of-history-january-ace-in-a-day-en" xr:uid="{00000000-0004-0000-0A00-000095030000}"/>
    <hyperlink ref="BD33" r:id="rId919" display="https://warthunder.com/en/news/8715-special-the-amx-30-super-is-returning-and-is-here-to-stay-en" xr:uid="{00000000-0004-0000-0A00-000096030000}"/>
    <hyperlink ref="BJ33" r:id="rId920" display="https://warthunder.com/en/news/8713-event-pages-of-history-february-through-a-storm-en" xr:uid="{00000000-0004-0000-0A00-000097030000}"/>
    <hyperlink ref="BP33" r:id="rId921" display="https://warthunder.com/en/news/8713-event-pages-of-history-february-through-a-storm-en" xr:uid="{00000000-0004-0000-0A00-000098030000}"/>
    <hyperlink ref="BT33" r:id="rId922" display="https://warthunder.com/en/news/8729-special-celebrate-the-lunar-new-year-with-activities-and-sales-en" xr:uid="{00000000-0004-0000-0A00-000099030000}"/>
    <hyperlink ref="CB33" r:id="rId923" display="https://warthunder.com/en/news/8713-event-pages-of-history-february-through-a-storm-en" xr:uid="{00000000-0004-0000-0A00-00009A030000}"/>
    <hyperlink ref="CD33" r:id="rId924" display="https://warthunder.com/en/news/8730-special-the-rooivalk-is-back-on-the-anniversary-of-its-first-flight-en" xr:uid="{00000000-0004-0000-0A00-00009B030000}"/>
    <hyperlink ref="CH33" r:id="rId925" display="https://warthunder.com/en/news/8727-special-national-foundation-day-in-japan-rare-vehicles-temporarily-on-sale-en" xr:uid="{00000000-0004-0000-0A00-00009C030000}"/>
    <hyperlink ref="CJ33" r:id="rId926" display="https://warthunder.com/en/news/8713-event-pages-of-history-february-through-a-storm-en" xr:uid="{00000000-0004-0000-0A00-00009D030000}"/>
    <hyperlink ref="CN33" r:id="rId927" display="https://warthunder.com/en/news/8737-special-happy-valentines-day-get-themed-decorations-and-a-rare-tank-en" xr:uid="{00000000-0004-0000-0A00-00009E030000}"/>
    <hyperlink ref="CR33" r:id="rId928" display="https://warthunder.com/en/news/8713-event-pages-of-history-february-through-a-storm-en" xr:uid="{00000000-0004-0000-0A00-00009F030000}"/>
    <hyperlink ref="CV33" r:id="rId929" display="https://warthunder.com/en/news/8745-shop-the-bo-105-cb-2-temporarily-returns-on-the-anniversary-of-its-first-flight-en" xr:uid="{00000000-0004-0000-0A00-0000A0030000}"/>
    <hyperlink ref="DD33" r:id="rId930" display="https://warthunder.com/en/news/8750-shop-special-a-bundle-and-decal-for-south-african-armed-forces-day-en" xr:uid="{00000000-0004-0000-0A00-0000A1030000}"/>
    <hyperlink ref="DH33" r:id="rId931" display="https://warthunder.com/en/news/8713-event-pages-of-history-february-through-a-storm-en" xr:uid="{00000000-0004-0000-0A00-0000A2030000}"/>
    <hyperlink ref="DJ33" r:id="rId932" display="https://warthunder.com/en/news/8748-shop-aigle-is-back-on-the-anniversary-of-its-launch-en" xr:uid="{00000000-0004-0000-0A00-0000A3030000}"/>
    <hyperlink ref="DT33" r:id="rId933" display="https://warthunder.com/en/news/8754-esport-special-defender-of-the-fatherland-tournaments-a-decal-decoration-and-vehicles-for-golden-eagles-en" xr:uid="{00000000-0004-0000-0A00-0000A4030000}"/>
    <hyperlink ref="DV33" r:id="rId934" display="https://warthunder.com/en/news/8713-event-pages-of-history-february-through-a-storm-en" xr:uid="{00000000-0004-0000-0A00-0000A5030000}"/>
    <hyperlink ref="EF33" r:id="rId935" display="https://warthunder.com/en/news/8713-event-pages-of-history-february-through-a-storm-en" xr:uid="{00000000-0004-0000-0A00-0000A6030000}"/>
    <hyperlink ref="EJ33" r:id="rId936" display="https://warthunder.com/en/news/8763-special-st-davids-day-the-flag-of-wales-temporarily-returns-en" xr:uid="{00000000-0004-0000-0A00-0000A7030000}"/>
    <hyperlink ref="EN33" r:id="rId937" display="https://warthunder.com/en/news/8761-event-pages-of-history-march-on-wings-of-war-en" xr:uid="{00000000-0004-0000-0A00-0000A8030000}"/>
    <hyperlink ref="ER33" r:id="rId938" display="https://warthunder.com/en/news/8761-event-pages-of-history-march-on-wings-of-war-en" xr:uid="{00000000-0004-0000-0A00-0000A9030000}"/>
    <hyperlink ref="EX33" r:id="rId939" display="https://warthunder.com/en/news/8783-special-finnish-air-force-day-a-decal-to-celebrate-en" xr:uid="{00000000-0004-0000-0A00-0000AA030000}"/>
    <hyperlink ref="EZ33" r:id="rId940" display="https://warthunder.com/en/news/8791-special-happy-international-womens-day-en" xr:uid="{00000000-0004-0000-0A00-0000AB030000}"/>
    <hyperlink ref="FF33" r:id="rId941" display="https://warthunder.com/en/news/8761-event-pages-of-history-march-on-wings-of-war-en" xr:uid="{00000000-0004-0000-0A00-0000AC030000}"/>
    <hyperlink ref="FN33" r:id="rId942" display="https://warthunder.com/en/news/8761-event-pages-of-history-march-on-wings-of-war-en" xr:uid="{00000000-0004-0000-0A00-0000AD030000}"/>
    <hyperlink ref="FT33" r:id="rId943" display="https://warthunder.com/en/news/8761-event-pages-of-history-march-on-wings-of-war-en" xr:uid="{00000000-0004-0000-0A00-0000AE030000}"/>
    <hyperlink ref="FV33" r:id="rId944" display="https://warthunder.com/en/news/8821-special-happy-st-patricks-day-en" xr:uid="{00000000-0004-0000-0A00-0000AF030000}"/>
    <hyperlink ref="GH33" r:id="rId945" display="https://warthunder.com/en/news/8784-shop-special-alexander-pokyrshkins-p-39n-0-temporarily-returns-for-his-birthday-en" xr:uid="{00000000-0004-0000-0A00-0000B0030000}"/>
    <hyperlink ref="GL33" r:id="rId946" display="https://warthunder.com/en/news/8827-special-anniversary-of-the-la-5s-first-flight-en" xr:uid="{00000000-0004-0000-0A00-0000B1030000}"/>
    <hyperlink ref="GP33" r:id="rId947" display="https://warthunder.com/en/news/8761-event-pages-of-history-march-on-wings-of-war-en" xr:uid="{00000000-0004-0000-0A00-0000B2030000}"/>
    <hyperlink ref="GR33" r:id="rId948" display="https://warthunder.com/en/news/8761-event-pages-of-history-march-on-wings-of-war-en" xr:uid="{00000000-0004-0000-0A00-0000B3030000}"/>
    <hyperlink ref="GZ33" r:id="rId949" display="https://warthunder.com/en/news/8761-event-pages-of-history-march-on-wings-of-war-en" xr:uid="{00000000-0004-0000-0A00-0000B4030000}"/>
    <hyperlink ref="HF33" r:id="rId950" display="https://warthunder.com/en/news/8833-special-get-a-decal-for-the-anniversary-of-the-italian-air-force-en" xr:uid="{00000000-0004-0000-0A00-0000B5030000}"/>
    <hyperlink ref="HN33" r:id="rId951" display="https://warthunder.com/en/news/8839-event-mad-thunder-rage-and-loot-en" xr:uid="{00000000-0004-0000-0A00-0000B6030000}"/>
    <hyperlink ref="HP33" r:id="rId952" display="https://warthunder.com/en/news/8834-special-get-a-decal-for-the-anniversary-of-the-royal-air-force-en" xr:uid="{00000000-0004-0000-0A00-0000B7030000}"/>
    <hyperlink ref="HV33" r:id="rId953" display="https://warthunder.com/en/news/8832-event-pages-of-history-april-for-zoya-en" xr:uid="{00000000-0004-0000-0A00-0000B8030000}"/>
    <hyperlink ref="IB33" r:id="rId954" display="https://warthunder.com/en/news/8832-event-pages-of-history-april-for-zoya-en" xr:uid="{00000000-0004-0000-0A00-0000B9030000}"/>
    <hyperlink ref="IJ33" r:id="rId955" display="https://warthunder.com/en/news/8832-event-pages-of-history-april-for-zoya-en" xr:uid="{00000000-0004-0000-0A00-0000BA030000}"/>
    <hyperlink ref="IL33" r:id="rId956" display="https://warthunder.com/en/news/8847-special-celebrate-the-day-of-aviation-and-cosmonautics-by-earning-a-themed-decal-en" xr:uid="{00000000-0004-0000-0A00-0000BB030000}"/>
    <hyperlink ref="IR33" r:id="rId957" display="https://warthunder.com/en/news/8832-event-pages-of-history-april-for-zoya-en" xr:uid="{00000000-0004-0000-0A00-0000BC030000}"/>
    <hyperlink ref="IX33" r:id="rId958" display="https://warthunder.com/en/news/8832-event-pages-of-history-april-for-zoya-en" xr:uid="{00000000-0004-0000-0A00-0000BD030000}"/>
    <hyperlink ref="JH33" r:id="rId959" display="https://warthunder.com/en/news/8832-event-pages-of-history-april-for-zoya-en" xr:uid="{00000000-0004-0000-0A00-0000BE030000}"/>
    <hyperlink ref="JN33" r:id="rId960" display="https://warthunder.com/en/news/8862-special-st-georges-day-englands-flag-temporarily-returns-en" xr:uid="{00000000-0004-0000-0A00-0000BF030000}"/>
    <hyperlink ref="JR33" r:id="rId961" display="https://warthunder.com/en/news/8832-event-pages-of-history-april-for-zoya-en" xr:uid="{00000000-0004-0000-0A00-0000C0030000}"/>
    <hyperlink ref="JV33" r:id="rId962" display="https://warthunder.com/en/news/8869-special-a-decal-for-italian-liberation-day-en" xr:uid="{00000000-0004-0000-0A00-0000C1030000}"/>
    <hyperlink ref="JX33" r:id="rId963" display="https://warthunder.com/en/news/8832-event-pages-of-history-april-for-zoya-en" xr:uid="{00000000-0004-0000-0A00-0000C2030000}"/>
    <hyperlink ref="JZ33" r:id="rId964" display="https://warthunder.com/en/news/8874-special-get-a-decal-during-golden-week-in-japan-en" xr:uid="{00000000-0004-0000-0A00-0000C3030000}"/>
    <hyperlink ref="KL33" r:id="rId965" display="https://warthunder.com/en/news/8871-event-pages-of-history-may-for-victory-en" xr:uid="{00000000-0004-0000-0A00-0000C4030000}"/>
    <hyperlink ref="KN33" r:id="rId966" display="https://warthunder.com/en/news/8875-special-dupleix-returns-to-sale-on-its-anniversary-en" xr:uid="{00000000-0004-0000-0A00-0000C5030000}"/>
    <hyperlink ref="LB33" r:id="rId967" display="https://warthunder.com/en/news/8871-event-pages-of-history-may-for-victory-en" xr:uid="{00000000-0004-0000-0A00-0000C6030000}"/>
    <hyperlink ref="LH33" r:id="rId968" display="https://warthunder.com/en/news/8871-event-pages-of-history-may-for-victory-en" xr:uid="{00000000-0004-0000-0A00-0000C7030000}"/>
    <hyperlink ref="LL33" r:id="rId969" display="https://warthunder.com/en/news/8680-event-pages-of-history-january-ace-in-a-day-en" xr:uid="{00000000-0004-0000-0A00-0000C8030000}"/>
    <hyperlink ref="LP33" r:id="rId970" display="https://warthunder.com/en/news/8871-event-pages-of-history-may-for-victory-en" xr:uid="{00000000-0004-0000-0A00-0000C9030000}"/>
    <hyperlink ref="LR33" r:id="rId971" display="https://warthunder.com/en/news/8871-event-pages-of-history-may-for-victory-en" xr:uid="{00000000-0004-0000-0A00-0000CA030000}"/>
    <hyperlink ref="MF33" r:id="rId972" display="https://warthunder.com/en/news/8871-event-pages-of-history-may-for-victory-en" xr:uid="{00000000-0004-0000-0A00-0000CB030000}"/>
    <hyperlink ref="MH33" r:id="rId973" display="https://warthunder.com/en/news/8887-special-us-armed-forces-day-celebrating-with-a-new-decal-en" xr:uid="{00000000-0004-0000-0A00-0000CC030000}"/>
    <hyperlink ref="MJ33" r:id="rId974" display="https://warthunder.com/en/news/8893-special-national-sailors-day-in-france-a-decal-and-the-duguay-trouin-returns-en" xr:uid="{00000000-0004-0000-0A00-0000CD030000}"/>
    <hyperlink ref="MR33" r:id="rId975" display="https://warthunder.com/en/news/8871-event-pages-of-history-may-for-victory-en" xr:uid="{00000000-0004-0000-0A00-0000CE030000}"/>
    <hyperlink ref="MT33" r:id="rId976" display="https://warthunder.com/en/news/8896-special-anniversary-of-the-founding-of-the-corps-of-royal-engineers-the-centurion-avre-returns-en" xr:uid="{00000000-0004-0000-0A00-0000CF030000}"/>
    <hyperlink ref="NH33" r:id="rId977" display="https://warthunder.com/en/news/8909-special-the-sav-201248-and-a-decal-are-available-for-swedish-national-security-forces-day-en" xr:uid="{00000000-0004-0000-0A00-0000D0030000}"/>
    <hyperlink ref="NJ33" r:id="rId978" display="https://warthunder.com/en/news/8871-event-pages-of-history-may-for-victory-en" xr:uid="{00000000-0004-0000-0A00-0000D1030000}"/>
    <hyperlink ref="NN33" r:id="rId979" display="https://warthunder.com/en/news/8904-special-uss-des-moines-temporarily-returns-on-its-anniversary-en" xr:uid="{00000000-0004-0000-0A00-0000D2030000}"/>
    <hyperlink ref="NT33" r:id="rId980" display="https://warthunder.com/en/news/8908-special-the-milan-temporarily-returns-on-the-anniversary-of-its-first-flight-en" xr:uid="{00000000-0004-0000-0A00-0000D3030000}"/>
    <hyperlink ref="NV33" r:id="rId981" display="https://warthunder.com/en/news/8918-special-turkish-air-force-day-get-yourself-a-decal-en" xr:uid="{00000000-0004-0000-0A00-0000D4030000}"/>
    <hyperlink ref="NX33" r:id="rId982" display="https://warthunder.com/en/news/8915-special-canadian-armed-forces-day-get-yourself-a-decal-en" xr:uid="{00000000-0004-0000-0A00-0000D5030000}"/>
    <hyperlink ref="NZ33" r:id="rId983" display="https://warthunder.com/en/news/8913-event-pages-of-history-june-the-military-engineer-en" xr:uid="{00000000-0004-0000-0A00-0000D6030000}"/>
    <hyperlink ref="OD33" r:id="rId984" display="https://warthunder.com/en/news/8913-event-pages-of-history-june-the-military-engineer-en" xr:uid="{00000000-0004-0000-0A00-0000D7030000}"/>
    <hyperlink ref="OL33" r:id="rId985" display="https://warthunder.com/en/news/8913-event-pages-of-history-june-the-military-engineer-en" xr:uid="{00000000-0004-0000-0A00-0000D8030000}"/>
    <hyperlink ref="ON33" r:id="rId986" display="https://warthunder.com/en/news/8939-special-italian-navy-day-a-decal-and-rn-geniere-for-golden-eagles-en" xr:uid="{00000000-0004-0000-0A00-0000D9030000}"/>
    <hyperlink ref="OP33" r:id="rId987" display="https://warthunder.com/ru/news/16857-akcia-den-rossii-ru" xr:uid="{00000000-0004-0000-0A00-0000DA030000}"/>
    <hyperlink ref="OT33" r:id="rId988" display="https://warthunder.com/en/news/8913-event-pages-of-history-june-the-military-engineer-en" xr:uid="{00000000-0004-0000-0A00-0000DB030000}"/>
    <hyperlink ref="OZ33" r:id="rId989" display="https://warthunder.com/en/news/8948-shop-special-german-navy-day-two-ships-and-a-decal-en" xr:uid="{00000000-0004-0000-0A00-0000DC030000}"/>
    <hyperlink ref="PB33" r:id="rId990" display="https://warthunder.com/en/news/8913-event-pages-of-history-june-the-military-engineer-en" xr:uid="{00000000-0004-0000-0A00-0000DD030000}"/>
    <hyperlink ref="PF33" r:id="rId991" display="https://warthunder.com/en/news/8947-shop-special-the-mig-21-sps-k-returns-for-the-anniversary-of-the-mig-21s-first-flight-en" xr:uid="{00000000-0004-0000-0A00-0000DE030000}"/>
    <hyperlink ref="PH33" r:id="rId992" display="https://warthunder.com/en/news/8962-shop-shades-on-its-time-for-the-sizzling-summer-sale-en" xr:uid="{00000000-0004-0000-0A00-0000DF030000}"/>
    <hyperlink ref="PN33" r:id="rId993" display="https://warthunder.com/en/news/8913-event-pages-of-history-june-the-military-engineer-en" xr:uid="{00000000-0004-0000-0A00-0000E0030000}"/>
    <hyperlink ref="PX33" r:id="rId994" display="https://warthunder.com/en/news/9043-shop-special-a-discount-decal-decoration-for-operation-bagrations-anniversary-en" xr:uid="{00000000-0004-0000-0A00-0000E1030000}"/>
    <hyperlink ref="PZ33" r:id="rId995" display="https://warthunder.com/en/news/8913-event-pages-of-history-june-the-military-engineer-en" xr:uid="{00000000-0004-0000-0A00-0000E2030000}"/>
    <hyperlink ref="QB33" r:id="rId996" display="https://warthunder.com/en/news/9213-shop-special-a-decal-and-the-return-of-the-pzsflic-and-panzer-iv70a-for-bundeswehr-day-en" xr:uid="{00000000-0004-0000-0A00-0000E3030000}"/>
    <hyperlink ref="QD33" r:id="rId997" display="https://warthunder.com/en/news/8965-special-celebrating-british-armed-forces-day-with-a-decal-en" xr:uid="{00000000-0004-0000-0A00-0000E4030000}"/>
    <hyperlink ref="QP33" r:id="rId998" display="https://warthunder.com/en/news/8913-event-pages-of-history-june-the-military-engineer-en" xr:uid="{00000000-0004-0000-0A00-0000E5030000}"/>
    <hyperlink ref="QR33" r:id="rId999" display="https://warthunder.com/en/news/8970-shop-special-a-plane-ship-and-decal-for-the-anniversary-of-the-japanese-self-defense-forces-en" xr:uid="{00000000-0004-0000-0A00-0000E6030000}"/>
    <hyperlink ref="QZ33" r:id="rId1000" display="https://warthunder.com/en/news/8971-special-celebrating-the-anniversary-of-the-french-air-force-with-a-decal-en" xr:uid="{00000000-0004-0000-0A00-0000E7030000}"/>
    <hyperlink ref="RB33" r:id="rId1001" display="https://warthunder.com/en/news/8969-shop-special-celebrating-swedish-air-force-day-with-aircraft-and-a-unique-decal-en" xr:uid="{00000000-0004-0000-0A00-0000E8030000}"/>
    <hyperlink ref="RF33" r:id="rId1002" display="https://warthunder.com/en/news/8964-event-pages-of-history-july-the-jumping-general-en" xr:uid="{00000000-0004-0000-0A00-0000E9030000}"/>
    <hyperlink ref="RH33" r:id="rId1003" display="https://warthunder.com/en/news/8968-shop-founding-of-the-south-african-national-defence-force-rooikat-105-returns-for-golden-eagles-en" xr:uid="{00000000-0004-0000-0A00-0000EA030000}"/>
    <hyperlink ref="RJ33" r:id="rId1004" display="https://warthunder.com/en/news/8974-shop-special-happy-july-4th-a-tank-fighter-and-a-decal-for-us-independence-day-en" xr:uid="{00000000-0004-0000-0A00-0000EB030000}"/>
    <hyperlink ref="RL33" r:id="rId1005" display="https://warthunder.com/en/news/8964-event-pages-of-history-july-the-jumping-general-en" xr:uid="{00000000-0004-0000-0A00-0000EC030000}"/>
    <hyperlink ref="RN33" r:id="rId1006" display="https://warthunder.com/en/news/8812-event-tank-football-2024-en" xr:uid="{00000000-0004-0000-0A00-0000ED030000}"/>
    <hyperlink ref="RP33" r:id="rId1007" display="https://warthunder.com/en/news/8964-event-pages-of-history-july-the-jumping-general-en" xr:uid="{00000000-0004-0000-0A00-0000EE030000}"/>
    <hyperlink ref="RX33" r:id="rId1008" display="https://warthunder.com/en/news/8977-shop-special-video-moments-of-valor-argentina-en" xr:uid="{00000000-0004-0000-0A00-0000EF030000}"/>
    <hyperlink ref="SF33" r:id="rId1009" display="https://warthunder.com/en/news/8983-shop-the-israeli-a-4e-returns-for-the-anniversary-of-its-first-flight-en" xr:uid="{00000000-0004-0000-0A00-0000F0030000}"/>
    <hyperlink ref="SH33" r:id="rId1010" display="https://warthunder.com/en/news/8964-event-pages-of-history-july-the-jumping-general-en" xr:uid="{00000000-0004-0000-0A00-0000F1030000}"/>
    <hyperlink ref="SP33" r:id="rId1011" display="https://warthunder.com/en/news/8964-event-pages-of-history-july-the-jumping-general-en" xr:uid="{00000000-0004-0000-0A00-0000F2030000}"/>
    <hyperlink ref="SR33" r:id="rId1012" display="https://warthunder.com/en/news/8982-shop-special-bastille-day-a-festive-decal-discounts-and-vehicles-for-golden-eagles-en" xr:uid="{00000000-0004-0000-0A00-0000F3030000}"/>
    <hyperlink ref="SX33" r:id="rId1013" display="https://warthunder.com/en/news/8964-event-pages-of-history-july-the-jumping-general-en" xr:uid="{00000000-0004-0000-0A00-0000F4030000}"/>
    <hyperlink ref="SZ33" r:id="rId1014" display="https://warthunder.com/en/news/8994-shop-the-hunter-fga9-is-available-on-the-anniversary-of-its-first-flight-en" xr:uid="{00000000-0004-0000-0A00-0000F5030000}"/>
    <hyperlink ref="TB33" r:id="rId1015" display="https://warthunder.com/en/news/8993-shop-the-t-2-early-is-available-on-the-anniversary-of-its-first-flight-en" xr:uid="{00000000-0004-0000-0A00-0000F6030000}"/>
    <hyperlink ref="TF33" r:id="rId1016" display="https://warthunder.com/en/news/8964-event-pages-of-history-july-the-jumping-general-en" xr:uid="{00000000-0004-0000-0A00-0000F7030000}"/>
    <hyperlink ref="TJ33" r:id="rId1017" display="https://warthunder.com/ru/news/16914-akcia-den-vmf-rossii-dekal-strojnyj-i-neustrasimyj-za-zo-ru" xr:uid="{00000000-0004-0000-0A00-0000F8030000}"/>
    <hyperlink ref="TN33" r:id="rId1018" display="https://warthunder.com/en/news/8964-event-pages-of-history-july-the-jumping-general-en" xr:uid="{00000000-0004-0000-0A00-0000F9030000}"/>
    <hyperlink ref="TP33" r:id="rId1019" display="https://warthunder.com/en/news/9007-shop-special-the-type-69-iia-and-a-decal-to-commemorate-pla-day-en" xr:uid="{00000000-0004-0000-0A00-0000FA030000}"/>
    <hyperlink ref="TR33" r:id="rId1020" display="https://warthunder.com/en/news/9004-event-pages-of-history-august-the-first-in-paris-en" xr:uid="{00000000-0004-0000-0A00-0000FB030000}"/>
    <hyperlink ref="TV33" r:id="rId1021" display="https://warthunder.com/ru/news/16923-akcia-den-vdv-rossii-polucite-novuu-dekal-ru" xr:uid="{00000000-0004-0000-0A00-0000FC030000}"/>
    <hyperlink ref="UB33" r:id="rId1022" display="https://warthunder.com/en/news/9008-shop-the-lightning-f53-temporarily-returns-for-golden-eagles-en" xr:uid="{00000000-0004-0000-0A00-0000FD030000}"/>
    <hyperlink ref="UD33" r:id="rId1023" display="https://warthunder.com/en/news/9004-event-pages-of-history-august-the-first-in-paris-en" xr:uid="{00000000-0004-0000-0A00-0000FE030000}"/>
    <hyperlink ref="UL33" r:id="rId1024" display="https://warthunder.com/en/news/9004-event-pages-of-history-august-the-first-in-paris-en" xr:uid="{00000000-0004-0000-0A00-0000FF030000}"/>
    <hyperlink ref="UN33" r:id="rId1025" display="https://warthunder.com/ru/news/16933-akcia-polucite-ceremonialnyj-sevron-na-den-vks-rossii-ru" xr:uid="{00000000-0004-0000-0A00-000000040000}"/>
    <hyperlink ref="UP33" r:id="rId1026" display="https://warthunder.com/en/news/9004-event-pages-of-history-august-the-first-in-paris-en" xr:uid="{00000000-0004-0000-0A00-000001040000}"/>
    <hyperlink ref="UT33" r:id="rId1027" display="https://warthunder.com/en/news/9021-shop-special-50th-anniversary-of-the-tornados-first-flight-a-special-decal-and-a-discount-en" xr:uid="{00000000-0004-0000-0A00-000002040000}"/>
    <hyperlink ref="UX33" r:id="rId1028" display="https://warthunder.com/en/news/9022-shop-special-polish-armed-forces-day-lanovskis-p-47m-1-re-and-a-new-decal-en" xr:uid="{00000000-0004-0000-0A00-000003040000}"/>
    <hyperlink ref="VB33" r:id="rId1029" display="https://warthunder.com/en/news/9024-shop-special-us-airborne-day-get-yourself-a-new-decal-the-uh-1c-xm-30-en" xr:uid="{00000000-0004-0000-0A00-000004040000}"/>
    <hyperlink ref="VF33" r:id="rId1030" display="https://warthunder.com/en/news/9004-event-pages-of-history-august-the-first-in-paris-en" xr:uid="{00000000-0004-0000-0A00-000005040000}"/>
    <hyperlink ref="VL33" r:id="rId1031" display="https://warthunder.com/en/news/9004-event-pages-of-history-august-the-first-in-paris-en" xr:uid="{00000000-0004-0000-0A00-000006040000}"/>
    <hyperlink ref="VR33" r:id="rId1032" display="https://warthunder.com/en/news/9032-shop-prinz-eugen-temporarily-returns-to-celebrate-the-anniversary-of-its-launch-en" xr:uid="{00000000-0004-0000-0A00-000007040000}"/>
    <hyperlink ref="VT33" r:id="rId1033" display="https://warthunder.com/en/news/9034-shop-anniversary-of-the-mig-15s-adoption-into-service-discount-on-the-mig-15bis-ish-en" xr:uid="{00000000-0004-0000-0A00-000008040000}"/>
    <hyperlink ref="VX33" r:id="rId1034" display="https://warthunder.com/en/news/9025-special-a-new-decal-and-decoration-for-the-80th-anniversary-of-the-liberation-of-paris-en" xr:uid="{00000000-0004-0000-0A00-000009040000}"/>
    <hyperlink ref="WD33" r:id="rId1035" display="https://warthunder.com/en/news/9004-event-pages-of-history-august-the-first-in-paris-en" xr:uid="{00000000-0004-0000-0A00-00000A040000}"/>
    <hyperlink ref="WJ33" r:id="rId1036" display="https://warthunder.com/en/news/9038-event-pages-of-history-september-attacker-ace-en" xr:uid="{00000000-0004-0000-0A00-00000B040000}"/>
    <hyperlink ref="WL33" r:id="rId1037" display="https://warthunder.com/en/news/9053-special-a-decal-for-the-anniversary-of-the-victory-over-japan-en" xr:uid="{00000000-0004-0000-0A00-00000C040000}"/>
    <hyperlink ref="WV33" r:id="rId1038" display="https://warthunder.com/en/news/9038-event-pages-of-history-september-attacker-ace-en" xr:uid="{00000000-0004-0000-0A00-00000D040000}"/>
    <hyperlink ref="WX33" r:id="rId1039" display="https://warthunder.com/en/news/9069-shop-special-discounts-on-soviet-tanks-and-a-decoration-for-tankers-day-en" xr:uid="{00000000-0004-0000-0A00-00000E040000}"/>
    <hyperlink ref="WZ33" r:id="rId1040" display="https://warthunder.com/en/news/9074-video-shop-special-moments-of-valor-brazil-en" xr:uid="{00000000-0004-0000-0A00-00000F040000}"/>
    <hyperlink ref="XF33" r:id="rId1041" display="https://warthunder.com/en/news/9038-event-pages-of-history-september-attacker-ace-en" xr:uid="{00000000-0004-0000-0A00-000010040000}"/>
    <hyperlink ref="XN33" r:id="rId1042" display="https://warthunder.com/en/news/9038-event-pages-of-history-september-attacker-ace-en" xr:uid="{00000000-0004-0000-0A00-000011040000}"/>
    <hyperlink ref="XT33" r:id="rId1043" display="https://warthunder.com/en/news/9089-shop-discount-on-the-ka-50-for-nikolai-kamovs-birthday-en" xr:uid="{00000000-0004-0000-0A00-000012040000}"/>
    <hyperlink ref="XV33" r:id="rId1044" display="https://warthunder.com/en/news/9087-shop-special-the-few-decal-two-fighters-and-discounts-for-battle-of-britain-day-en" xr:uid="{00000000-0004-0000-0A00-000013040000}"/>
    <hyperlink ref="XX33" r:id="rId1045" display="https://warthunder.com/en/news/9095-shop-the-yp-38-makes-a-temporary-return-for-the-anniversary-of-its-first-flight-en" xr:uid="{00000000-0004-0000-0A00-000014040000}"/>
    <hyperlink ref="YD33" r:id="rId1046" display="https://warthunder.com/en/news/9038-event-pages-of-history-september-attacker-ace-en" xr:uid="{00000000-0004-0000-0A00-000015040000}"/>
    <hyperlink ref="YF33" r:id="rId1047" display="https://warthunder.com/en/news/9096-shop-special-a-new-decal-two-fighters-a-discount-to-celebrate-the-us-air-forces-birthday-en" xr:uid="{00000000-0004-0000-0A00-000016040000}"/>
    <hyperlink ref="YH33" r:id="rId1048" display="https://warthunder.com/en/news/9038-event-pages-of-history-september-attacker-ace-en" xr:uid="{00000000-0004-0000-0A00-000017040000}"/>
    <hyperlink ref="YN33" r:id="rId1049" display="https://warthunder.com/en/news/9100-shop-three-variants-of-the-mi-24-are-available-at-a-discount-to-mark-the-anniversary-of-its-first-flight-en" xr:uid="{00000000-0004-0000-0A00-000018040000}"/>
    <hyperlink ref="YR33" r:id="rId1050" display="https://warthunder.com/en/news/9102-shop-discount-on-the-yak-38-for-the-anniversary-of-its-first-flight-en" xr:uid="{00000000-0004-0000-0A00-000019040000}"/>
    <hyperlink ref="YV33" r:id="rId1051" display="https://warthunder.com/en/news/9038-event-pages-of-history-september-attacker-ace-en" xr:uid="{00000000-0004-0000-0A00-00001A040000}"/>
    <hyperlink ref="ZH33" r:id="rId1052" display="https://warthunder.com/en/news/9038-event-pages-of-history-september-attacker-ace-en" xr:uid="{00000000-0004-0000-0A00-00001B040000}"/>
    <hyperlink ref="ZN33" r:id="rId1053" display="https://warthunder.com/en/news/9113-special-shop-discounts-rare-tanks-and-a-decal-for-the-national-day-of-the-prc-en" xr:uid="{00000000-0004-0000-0A00-00001C040000}"/>
    <hyperlink ref="ZP33" r:id="rId1054" display="https://warthunder.com/en/news/9111-event-pages-of-history-october-pacific-ace-en" xr:uid="{00000000-0004-0000-0A00-00001D040000}"/>
    <hyperlink ref="ZR33" r:id="rId1055" display="https://warthunder.com/en/news/9117-special-shop-german-unity-day-a-tank-and-plane-for-golden-eagles-plus-a-festive-decal-en" xr:uid="{00000000-0004-0000-0A00-00001E040000}"/>
    <hyperlink ref="ZZ33" r:id="rId1056" display="https://warthunder.com/en/news/9111-event-pages-of-history-october-pacific-ace-en" xr:uid="{00000000-0004-0000-0A00-00001F040000}"/>
    <hyperlink ref="AAF33" r:id="rId1057" display="https://warthunder.com/en/news/9111-event-pages-of-history-october-pacific-ace-en" xr:uid="{00000000-0004-0000-0A00-000020040000}"/>
    <hyperlink ref="AAL33" r:id="rId1058" display="https://warthunder.com/en/news/9123-shop-hms-iron-duke-is-back-on-the-anniversary-of-its-launch-en" xr:uid="{00000000-0004-0000-0A00-000021040000}"/>
    <hyperlink ref="AAN33" r:id="rId1059" display="https://warthunder.com/en/news/9124-shop-special-a-decal-uss-cowell-and-uss-des-moines-for-the-us-navys-birthday-en" xr:uid="{00000000-0004-0000-0A00-000022040000}"/>
    <hyperlink ref="AAP33" r:id="rId1060" display="https://warthunder.com/en/news/9111-event-pages-of-history-october-pacific-ace-en" xr:uid="{00000000-0004-0000-0A00-000023040000}"/>
    <hyperlink ref="ABB33" r:id="rId1061" display="https://warthunder.com/en/news/9132-shop-the-vautour-iin-is-temporarily-available-at-a-discount-for-the-anniversary-of-its-first-flight-en" xr:uid="{00000000-0004-0000-0A00-000024040000}"/>
    <hyperlink ref="ABF33" r:id="rId1062" display="https://warthunder.com/en/news/8731-event-take-part-in-the-guardian-angel-event-for-air-realistic-battles-en" xr:uid="{00000000-0004-0000-0A00-000025040000}"/>
    <hyperlink ref="ABH33" r:id="rId1063" display="https://warthunder.com/en/news/9111-event-pages-of-history-october-pacific-ace-en" xr:uid="{00000000-0004-0000-0A00-000026040000}"/>
    <hyperlink ref="ABJ33" r:id="rId1064" display="https://warthunder.com/en/news/9140-shop-special-trafalgar-day-horatio-nelson-decal-and-the-fairmile-d-5001-at-a-30-discount-en" xr:uid="{00000000-0004-0000-0A00-000027040000}"/>
    <hyperlink ref="ABL33" r:id="rId1065" display="https://warthunder.com/en/news/9141-shop-hmcs-haida-temporarily-returns-with-a-discount-for-niobe-day-en" xr:uid="{00000000-0004-0000-0A00-000028040000}"/>
    <hyperlink ref="ABP33" r:id="rId1066" display="https://warthunder.com/en/news/9111-event-pages-of-history-october-pacific-ace-en" xr:uid="{00000000-0004-0000-0A00-000029040000}"/>
    <hyperlink ref="ABR33" r:id="rId1067" display="https://warthunder.com/en/news/9111-event-pages-of-history-october-pacific-ace-en" xr:uid="{00000000-0004-0000-0A00-00002A040000}"/>
    <hyperlink ref="ABT33" r:id="rId1068" display="https://warthunder.com/en/news/9143-shop-the-uh-1c-xm-30-is-temporarily-available-on-the-anniversary-of-the-uh-1s-first-flight-en" xr:uid="{00000000-0004-0000-0A00-00002B040000}"/>
    <hyperlink ref="ACD33" r:id="rId1069" display="https://warthunder.com/en/news/9160-shop-the-j35a-draken-temporarily-returns-at-a-discount-for-the-anniversary-of-its-first-flight-en" xr:uid="{00000000-0004-0000-0A00-00002C040000}"/>
    <hyperlink ref="ACH33" r:id="rId1070" display="https://warthunder.com/en/news/9111-event-pages-of-history-october-pacific-ace-en" xr:uid="{00000000-0004-0000-0A00-00002D040000}"/>
    <hyperlink ref="ACN33" r:id="rId1071" display="https://warthunder.com/en/news/9155-special-halloween-in-war-thunder-en" xr:uid="{00000000-0004-0000-0A00-00002E040000}"/>
    <hyperlink ref="ACP33" r:id="rId1072" display="https://warthunder.com/en/news/9173-event-pages-of-history-november-medicane-en" xr:uid="{00000000-0004-0000-0A00-00002F040000}"/>
    <hyperlink ref="ACR33" r:id="rId1073" display="https://warthunder.com/en/news/9185-shop-special-p40-and-a-decal-for-national-unity-and-armed-forces-day-of-italy-en" xr:uid="{00000000-0004-0000-0A00-000030040000}"/>
    <hyperlink ref="ACT33" r:id="rId1074" display="https://warthunder.com/en/news/9149-shop-in-game-discounts-for-war-thunders-12th-anniversary-en" xr:uid="{00000000-0004-0000-0A00-000031040000}"/>
    <hyperlink ref="ACX33" r:id="rId1075" display="https://warthunder.com/en/news/9173-event-pages-of-history-november-medicane-en" xr:uid="{00000000-0004-0000-0A00-000032040000}"/>
    <hyperlink ref="ACZ33" r:id="rId1076" display="https://warthunder.com/en/news/9189-shop-the-he-219-a-7-is-temporarily-available-on-the-anniversary-of-its-first-flight-en" xr:uid="{00000000-0004-0000-0A00-000033040000}"/>
    <hyperlink ref="ADB33" r:id="rId1077" display="https://warthunder.com/en/news/9201-shop-discount-on-the-tu-1-in-honor-of-an-tupolevs-birthday-en" xr:uid="{00000000-0004-0000-0A00-000034040000}"/>
    <hyperlink ref="ADF33" r:id="rId1078" display="https://warthunder.com/en/news/9173-event-pages-of-history-november-medicane-en" xr:uid="{00000000-0004-0000-0A00-000035040000}"/>
    <hyperlink ref="ADJ33" r:id="rId1079" display="https://forum.warthunder.com/t/armistice-day-remembering-those-who-fell/184265" xr:uid="{00000000-0004-0000-0A00-000036040000}"/>
    <hyperlink ref="ADL33" r:id="rId1080" display="https://warthunder.com/en/news/9207-shop-special-a-decal-helicopter-camouflage-and-lanovskis-p-47-for-poland-independence-day-en" xr:uid="{00000000-0004-0000-0A00-000037040000}"/>
    <hyperlink ref="ADN33" r:id="rId1081" display="https://warthunder.com/en/news/9208-shop-special-a-flag-decal-and-a-discount-on-the-j-7d-for-the-75th-anniversary-of-the-chinese-air-force-en" xr:uid="{00000000-0004-0000-0A00-000038040000}"/>
    <hyperlink ref="ADP33" r:id="rId1082" display="https://warthunder.com/en/news/9173-event-pages-of-history-november-medicane-en" xr:uid="{00000000-0004-0000-0A00-000039040000}"/>
    <hyperlink ref="ADZ33" r:id="rId1083" display="https://warthunder.com/en/news/9173-event-pages-of-history-november-medicane-en" xr:uid="{00000000-0004-0000-0A00-00003A040000}"/>
    <hyperlink ref="AEB33" r:id="rId1084" display="https://warthunder.com/en/news/9173-event-pages-of-history-november-medicane-en" xr:uid="{00000000-0004-0000-0A00-00003B040000}"/>
    <hyperlink ref="AEH33" r:id="rId1085" display="https://warthunder.com/en/news/9234-shop-black-friday-in-war-thunder-en" xr:uid="{00000000-0004-0000-0A00-00003C040000}"/>
    <hyperlink ref="AEP33" r:id="rId1086" display="https://warthunder.com/en/news/9173-event-pages-of-history-november-medicane-en" xr:uid="{00000000-0004-0000-0A00-00003D040000}"/>
    <hyperlink ref="AEX33" r:id="rId1087" display="https://warthunder.com/en/news/9245-special-the-scottish-saltire-for-st-andrews-day-en" xr:uid="{00000000-0004-0000-0A00-00003E040000}"/>
    <hyperlink ref="AEZ33" r:id="rId1088" display="https://warthunder.com/en/news/9240-event-pages-of-history-december-world-champion-en" xr:uid="{00000000-0004-0000-0A00-00003F040000}"/>
    <hyperlink ref="AFD33" r:id="rId1089" display="https://warthunder.com/en/news/9173-event-pages-of-history-november-medicane-en" xr:uid="{00000000-0004-0000-0A00-000040040000}"/>
    <hyperlink ref="AFL33" r:id="rId1090" display="https://warthunder.com/en/news/9240-event-pages-of-history-december-world-champion-en" xr:uid="{00000000-0004-0000-0A00-000041040000}"/>
    <hyperlink ref="AFP33" r:id="rId1091" display="https://warthunder.com/en/news/9251-shop-discounts-on-the-vijayanta-and-mig-21-bison-to-celebrate-indian-armed-forces-flag-day-en" xr:uid="{00000000-0004-0000-0A00-000042040000}"/>
    <hyperlink ref="AFX33" r:id="rId1092" display="https://warthunder.com/en/news/9240-event-pages-of-history-december-world-champion-en" xr:uid="{00000000-0004-0000-0A00-000043040000}"/>
    <hyperlink ref="AGB33" r:id="rId1093" display="https://warthunder.com/en/news/9262-shop-the-hudson-mk-v-is-temporarily-available-on-the-anniversary-of-its-first-flight-en" xr:uid="{00000000-0004-0000-0A00-000044040000}"/>
    <hyperlink ref="AGH33" r:id="rId1094" display="https://warthunder.com/en/news/9240-event-pages-of-history-december-world-champion-en" xr:uid="{00000000-0004-0000-0A00-000045040000}"/>
    <hyperlink ref="AGL33" r:id="rId1095" display="https://warthunder.com/en/news/9285-shop-the-mi-24d-is-temporarily-available-at-a-discount-for-helicopter-pilots-day-en" xr:uid="{00000000-0004-0000-0A00-000046040000}"/>
    <hyperlink ref="AGP33" r:id="rId1096" display="https://warthunder.com/en/news/9240-event-pages-of-history-december-world-champion-en" xr:uid="{00000000-0004-0000-0A00-000047040000}"/>
    <hyperlink ref="AGX33" r:id="rId1097" display="https://warthunder.com/en/news/9240-event-pages-of-history-december-world-champion-en" xr:uid="{00000000-0004-0000-0A00-000048040000}"/>
    <hyperlink ref="AHF33" r:id="rId1098" display="https://warthunder.com/en/news/9240-event-pages-of-history-december-world-champion-en" xr:uid="{00000000-0004-0000-0A00-000049040000}"/>
    <hyperlink ref="AHP33" r:id="rId1099" display="https://warthunder.com/en/news/9240-event-pages-of-history-december-world-champion-en" xr:uid="{00000000-0004-0000-0A00-00004A040000}"/>
    <hyperlink ref="AHX33" r:id="rId1100" display="https://warthunder.com/en/news/9293-shop-seasonal-discounts-in-war-thunder-en" xr:uid="{00000000-0004-0000-0A00-00004B040000}"/>
    <hyperlink ref="AL34" r:id="rId1101" display="https://warthunder.com/en/news/8710-special-anniversary-of-lifting-the-siege-of-leningrad-get-the-kv-2-zis-6-and-earn-a-decal-decoration-en" xr:uid="{00000000-0004-0000-0A00-00004C040000}"/>
    <hyperlink ref="LL34" r:id="rId1102" display="https://warthunder.com/en/news/8880-shop-may-sale-in-the-gaijin-store-en" xr:uid="{00000000-0004-0000-0A00-00004D040000}"/>
    <hyperlink ref="OD34" r:id="rId1103" display="https://warthunder.com/en/news/8932-event-shop-celebrate-the-80th-anniversary-of-d-day-in-war-thunder-en" xr:uid="{00000000-0004-0000-0A00-00004E040000}"/>
    <hyperlink ref="VX34" r:id="rId1104" display="https://warthunder.com/en/news/9004-event-pages-of-history-august-the-first-in-paris-en" xr:uid="{00000000-0004-0000-0A00-00004F040000}"/>
    <hyperlink ref="ACT34" r:id="rId1105" display="https://warthunder.com/en/news/9169-shop-war-thunders-12th-birthday-sale-in-the-gaijinnet-store-en" xr:uid="{00000000-0004-0000-0A00-000050040000}"/>
    <hyperlink ref="AHX34" r:id="rId1106" display="https://warthunder.com/en/news/9297-event-celebrate-the-holidays-and-new-year-in-war-thunder-en" xr:uid="{00000000-0004-0000-0A00-000051040000}"/>
    <hyperlink ref="LL35" r:id="rId1107" display="https://warthunder.com/en/news/8882-special-victory-day-in-war-thunder-en" xr:uid="{00000000-0004-0000-0A00-000052040000}"/>
    <hyperlink ref="ACT35" r:id="rId1108" display="https://warthunder.com/en/news/9178-special-its-war-thunders-12th-birthday-join-the-celebrations-en" xr:uid="{00000000-0004-0000-0A00-000053040000}"/>
    <hyperlink ref="AHX35" r:id="rId1109" display="https://warthunder.com/en/news/9305-shop-holiday-sale-in-the-store-en" xr:uid="{00000000-0004-0000-0A00-000054040000}"/>
    <hyperlink ref="B36" r:id="rId1110" display="https://warthunder.com/en/news/9302-event-pages-of-history-january-defender-of-leningrad-en" xr:uid="{00000000-0004-0000-0A00-000055040000}"/>
    <hyperlink ref="H36" r:id="rId1111" display="https://warthunder.com/en/news/9302-event-pages-of-history-january-defender-of-leningrad-en" xr:uid="{00000000-0004-0000-0A00-000056040000}"/>
    <hyperlink ref="J36" r:id="rId1112" display="https://warthunder.com/en/news/9302-event-pages-of-history-january-defender-of-leningrad-en" xr:uid="{00000000-0004-0000-0A00-000057040000}"/>
    <hyperlink ref="L36" r:id="rId1113" display="https://warthunder.com/en/news/9320-special-a-themed-decal-for-german-air-force-day-en" xr:uid="{00000000-0004-0000-0A00-000058040000}"/>
    <hyperlink ref="T36" r:id="rId1114" display="https://warthunder.com/en/news/9302-event-pages-of-history-january-defender-of-leningrad-en" xr:uid="{00000000-0004-0000-0A00-000059040000}"/>
    <hyperlink ref="X36" r:id="rId1115" display="https://warthunder.com/en/news/9326-shop-the-sav-201248-for-swedish-armed-forces-day-en" xr:uid="{00000000-0004-0000-0A00-00005A040000}"/>
    <hyperlink ref="AF36" r:id="rId1116" display="https://warthunder.com/en/news/9302-event-pages-of-history-january-defender-of-leningrad-en" xr:uid="{00000000-0004-0000-0A00-00005B040000}"/>
    <hyperlink ref="AL36" r:id="rId1117" display="https://warthunder.com/en/news/9302-event-pages-of-history-january-defender-of-leningrad-en" xr:uid="{00000000-0004-0000-0A00-00005C040000}"/>
    <hyperlink ref="AP36" r:id="rId1118" display="https://warthunder.com/en/news/9302-event-pages-of-history-january-defender-of-leningrad-en" xr:uid="{00000000-0004-0000-0A00-00005D040000}"/>
    <hyperlink ref="AR36" r:id="rId1119" display="https://warthunder.com/en/news/9339-shop-the-su-7bmk-temporarily-returns-at-a-discount-for-the-anniversary-of-the-su-7b-entering-service-en" xr:uid="{00000000-0004-0000-0A00-00005E040000}"/>
    <hyperlink ref="AT36" r:id="rId1120" display="https://warthunder.com/en/news/9344-video-shop-special-moments-of-valor-australia-en" xr:uid="{00000000-0004-0000-0A00-00005F040000}"/>
    <hyperlink ref="AX36" r:id="rId1121" display="https://warthunder.com/en/news/9302-event-pages-of-history-january-defender-of-leningrad-en" xr:uid="{00000000-0004-0000-0A00-000060040000}"/>
    <hyperlink ref="BJ36" r:id="rId1122" display="https://warthunder.com/en/news/9349-event-pages-of-history-february-the-big-chief-en" xr:uid="{00000000-0004-0000-0A00-000061040000}"/>
    <hyperlink ref="BP36" r:id="rId1123" display="https://warthunder.com/en/news/9349-event-pages-of-history-february-the-big-chief-en" xr:uid="{00000000-0004-0000-0A00-000062040000}"/>
    <hyperlink ref="BT36" r:id="rId1124" display="https://warthunder.com/en/news/9348-shop-special-welcome-to-the-year-of-the-snake-en" xr:uid="{00000000-0004-0000-0A00-000063040000}"/>
    <hyperlink ref="CB36" r:id="rId1125" display="https://warthunder.com/en/news/9349-event-pages-of-history-february-the-big-chief-en" xr:uid="{00000000-0004-0000-0A00-000064040000}"/>
    <hyperlink ref="CH36" r:id="rId1126" display="https://warthunder.com/en/news/9363-shop-special-discounts-a-decal-and-rare-vehicles-for-national-foundation-day-in-japan-en" xr:uid="{00000000-0004-0000-0A00-000065040000}"/>
    <hyperlink ref="CJ36" r:id="rId1127" display="https://warthunder.com/en/news/9349-event-pages-of-history-february-the-big-chief-en" xr:uid="{00000000-0004-0000-0A00-000066040000}"/>
    <hyperlink ref="CN36" r:id="rId1128" display="https://warthunder.com/en/news/9368-shop-special-themed-decorations-a-decal-and-tank-for-valentines-day-en" xr:uid="{00000000-0004-0000-0A00-000067040000}"/>
    <hyperlink ref="CR36" r:id="rId1129" display="https://warthunder.com/en/news/9349-event-pages-of-history-february-the-big-chief-en" xr:uid="{00000000-0004-0000-0A00-000068040000}"/>
    <hyperlink ref="CV36" r:id="rId1130" display="https://warthunder.com/en/news/9367-shop-the-bo-105-cb-2-is-temporarily-available-at-a-discount-for-the-bo-105s-first-flight-en" xr:uid="{00000000-0004-0000-0A00-000069040000}"/>
    <hyperlink ref="DH36" r:id="rId1131" display="https://warthunder.com/en/news/9349-event-pages-of-history-february-the-big-chief-en" xr:uid="{00000000-0004-0000-0A00-00006A040000}"/>
    <hyperlink ref="DV36" r:id="rId1132" display="https://warthunder.com/en/news/9349-event-pages-of-history-february-the-big-chief-en" xr:uid="{00000000-0004-0000-0A00-00006B040000}"/>
    <hyperlink ref="EF36" r:id="rId1133" display="https://warthunder.com/en/news/9349-event-pages-of-history-february-the-big-chief-en" xr:uid="{00000000-0004-0000-0A00-00006C04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E4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 x14ac:dyDescent="0.2"/>
  <cols>
    <col min="2" max="11" width="12.5703125" customWidth="1"/>
    <col min="12" max="12" width="19" customWidth="1"/>
    <col min="13" max="13" width="12.5703125" customWidth="1"/>
    <col min="14" max="14" width="16.140625" customWidth="1"/>
    <col min="15" max="15" width="12.5703125" customWidth="1"/>
    <col min="16" max="16" width="15.42578125" customWidth="1"/>
    <col min="17" max="37" width="12.5703125" customWidth="1"/>
    <col min="38" max="38" width="13.85546875" customWidth="1"/>
    <col min="39" max="47" width="12.5703125" customWidth="1"/>
    <col min="48" max="48" width="16.85546875" customWidth="1"/>
    <col min="49" max="51" width="12.5703125" customWidth="1"/>
    <col min="52" max="52" width="26.42578125" customWidth="1"/>
    <col min="53" max="63" width="12.5703125" customWidth="1"/>
    <col min="64" max="64" width="13.85546875" customWidth="1"/>
    <col min="65" max="65" width="12.5703125" customWidth="1"/>
    <col min="66" max="66" width="14.42578125" customWidth="1"/>
    <col min="67" max="67" width="12.5703125" customWidth="1"/>
    <col min="68" max="68" width="14.7109375" customWidth="1"/>
    <col min="69" max="71" width="12.5703125" customWidth="1"/>
    <col min="72" max="72" width="15.5703125" customWidth="1"/>
    <col min="73" max="75" width="12.5703125" customWidth="1"/>
    <col min="80" max="80" width="12.5703125" customWidth="1"/>
    <col min="82" max="82" width="12.5703125" customWidth="1"/>
    <col min="84" max="84" width="13" customWidth="1"/>
    <col min="86" max="86" width="14.42578125" customWidth="1"/>
    <col min="88" max="88" width="14.7109375" customWidth="1"/>
    <col min="90" max="90" width="12.5703125" customWidth="1"/>
    <col min="92" max="92" width="24.85546875" customWidth="1"/>
    <col min="94" max="94" width="24.42578125" customWidth="1"/>
    <col min="96" max="96" width="13.42578125" customWidth="1"/>
    <col min="102" max="102" width="12.5703125" customWidth="1"/>
    <col min="104" max="104" width="12.5703125" customWidth="1"/>
    <col min="106" max="106" width="17.28515625" customWidth="1"/>
    <col min="108" max="108" width="12.5703125" customWidth="1"/>
    <col min="112" max="112" width="12.5703125" customWidth="1"/>
    <col min="114" max="114" width="12.5703125" customWidth="1"/>
    <col min="116" max="116" width="17" customWidth="1"/>
    <col min="118" max="118" width="12.5703125" customWidth="1"/>
    <col min="120" max="120" width="12.5703125" customWidth="1"/>
    <col min="122" max="122" width="12.5703125" customWidth="1"/>
    <col min="124" max="124" width="13.42578125" customWidth="1"/>
    <col min="130" max="130" width="12.5703125" customWidth="1"/>
    <col min="132" max="132" width="12.5703125" customWidth="1"/>
    <col min="134" max="134" width="12.5703125" customWidth="1"/>
    <col min="136" max="136" width="12.5703125" customWidth="1"/>
    <col min="140" max="140" width="22.7109375" customWidth="1"/>
    <col min="142" max="142" width="12.5703125" customWidth="1"/>
    <col min="144" max="144" width="17" customWidth="1"/>
    <col min="156" max="156" width="12.5703125" customWidth="1"/>
    <col min="158" max="158" width="19" customWidth="1"/>
    <col min="160" max="160" width="12.5703125" customWidth="1"/>
    <col min="164" max="164" width="15.28515625" customWidth="1"/>
    <col min="166" max="166" width="16" customWidth="1"/>
    <col min="172" max="172" width="12.5703125" customWidth="1"/>
    <col min="176" max="176" width="12.5703125" customWidth="1"/>
    <col min="178" max="178" width="12.5703125" customWidth="1"/>
    <col min="180" max="180" width="12.5703125" customWidth="1"/>
    <col min="182" max="182" width="12.5703125" customWidth="1"/>
    <col min="186" max="186" width="20.5703125" customWidth="1"/>
    <col min="188" max="188" width="12.5703125" customWidth="1"/>
    <col min="190" max="190" width="12.5703125" customWidth="1"/>
    <col min="194" max="194" width="15.42578125" customWidth="1"/>
    <col min="196" max="196" width="12.5703125" customWidth="1"/>
    <col min="200" max="200" width="14.42578125" customWidth="1"/>
    <col min="202" max="202" width="15.28515625" customWidth="1"/>
    <col min="204" max="204" width="12.5703125" customWidth="1"/>
    <col min="206" max="206" width="12.5703125" customWidth="1"/>
    <col min="208" max="208" width="12.5703125" customWidth="1"/>
    <col min="212" max="212" width="19.28515625" customWidth="1"/>
    <col min="214" max="214" width="18.28515625" customWidth="1"/>
    <col min="216" max="216" width="13.42578125" customWidth="1"/>
    <col min="218" max="218" width="17.5703125" customWidth="1"/>
    <col min="220" max="220" width="19.28515625" customWidth="1"/>
    <col min="222" max="235" width="12.5703125" customWidth="1"/>
    <col min="236" max="236" width="13.28515625" customWidth="1"/>
    <col min="237" max="243" width="12.5703125" customWidth="1"/>
    <col min="246" max="246" width="13.28515625" customWidth="1"/>
    <col min="247" max="247" width="12.5703125" customWidth="1"/>
    <col min="248" max="248" width="16.85546875" customWidth="1"/>
    <col min="254" max="254" width="12.5703125" customWidth="1"/>
    <col min="260" max="260" width="25.85546875" customWidth="1"/>
    <col min="262" max="262" width="22.140625" customWidth="1"/>
    <col min="266" max="266" width="12.5703125" customWidth="1"/>
    <col min="268" max="268" width="13.42578125" customWidth="1"/>
    <col min="270" max="270" width="13.5703125" customWidth="1"/>
    <col min="272" max="272" width="13.5703125" customWidth="1"/>
    <col min="274" max="274" width="13.5703125" customWidth="1"/>
    <col min="278" max="278" width="14.85546875" customWidth="1"/>
    <col min="282" max="282" width="19.5703125" customWidth="1"/>
    <col min="284" max="284" width="20.85546875" customWidth="1"/>
    <col min="286" max="286" width="12.5703125" customWidth="1"/>
    <col min="290" max="290" width="14.42578125" customWidth="1"/>
    <col min="294" max="294" width="12.5703125" customWidth="1"/>
    <col min="296" max="296" width="14.42578125" customWidth="1"/>
    <col min="302" max="302" width="25" customWidth="1"/>
    <col min="308" max="308" width="14.28515625" customWidth="1"/>
    <col min="310" max="310" width="13.42578125" customWidth="1"/>
    <col min="316" max="316" width="12.5703125" customWidth="1"/>
    <col min="318" max="318" width="12.5703125" customWidth="1"/>
    <col min="320" max="320" width="23.42578125" customWidth="1"/>
    <col min="322" max="322" width="32" customWidth="1"/>
    <col min="324" max="324" width="14.140625" customWidth="1"/>
    <col min="326" max="326" width="14.140625" customWidth="1"/>
    <col min="328" max="328" width="17.28515625" customWidth="1"/>
    <col min="336" max="336" width="14.85546875" customWidth="1"/>
    <col min="338" max="338" width="16.42578125" customWidth="1"/>
    <col min="342" max="342" width="17.140625" customWidth="1"/>
    <col min="348" max="348" width="12.5703125" customWidth="1"/>
    <col min="350" max="350" width="12.5703125" customWidth="1"/>
    <col min="352" max="352" width="26.85546875" customWidth="1"/>
    <col min="354" max="354" width="19.42578125" customWidth="1"/>
    <col min="358" max="358" width="30.85546875" customWidth="1"/>
    <col min="366" max="366" width="14" customWidth="1"/>
    <col min="370" max="370" width="13.85546875" customWidth="1"/>
    <col min="374" max="374" width="15.42578125" customWidth="1"/>
    <col min="378" max="378" width="16.140625" customWidth="1"/>
    <col min="382" max="382" width="16.140625" customWidth="1"/>
    <col min="384" max="384" width="13" customWidth="1"/>
    <col min="388" max="388" width="22" customWidth="1"/>
    <col min="390" max="390" width="21.140625" customWidth="1"/>
    <col min="394" max="394" width="16.42578125" customWidth="1"/>
    <col min="398" max="398" width="16.85546875" customWidth="1"/>
    <col min="400" max="400" width="23.28515625" customWidth="1"/>
    <col min="410" max="410" width="12.5703125" customWidth="1"/>
    <col min="414" max="414" width="15.28515625" customWidth="1"/>
    <col min="418" max="418" width="14.85546875" customWidth="1"/>
    <col min="428" max="428" width="14.42578125" customWidth="1"/>
    <col min="430" max="430" width="19.140625" customWidth="1"/>
    <col min="432" max="432" width="18.140625" customWidth="1"/>
    <col min="434" max="434" width="15.42578125" customWidth="1"/>
    <col min="436" max="436" width="19.28515625" customWidth="1"/>
    <col min="446" max="446" width="22.42578125" customWidth="1"/>
    <col min="448" max="448" width="16.42578125" customWidth="1"/>
    <col min="452" max="452" width="15.28515625" customWidth="1"/>
    <col min="456" max="456" width="15.85546875" customWidth="1"/>
    <col min="458" max="458" width="15" customWidth="1"/>
    <col min="462" max="462" width="21.5703125" customWidth="1"/>
    <col min="466" max="466" width="23.5703125" customWidth="1"/>
    <col min="468" max="468" width="12.5703125" customWidth="1"/>
    <col min="470" max="470" width="12.5703125" customWidth="1"/>
    <col min="472" max="472" width="12.5703125" customWidth="1"/>
    <col min="474" max="474" width="21" customWidth="1"/>
    <col min="478" max="478" width="15.140625" customWidth="1"/>
    <col min="482" max="482" width="30.7109375" customWidth="1"/>
    <col min="486" max="486" width="26" customWidth="1"/>
    <col min="488" max="488" width="14.5703125" customWidth="1"/>
    <col min="492" max="492" width="12.5703125" customWidth="1"/>
    <col min="494" max="494" width="12.5703125" customWidth="1"/>
    <col min="498" max="498" width="15.5703125" customWidth="1"/>
    <col min="500" max="500" width="13.28515625" customWidth="1"/>
    <col min="502" max="502" width="14" customWidth="1"/>
    <col min="506" max="506" width="18.85546875" customWidth="1"/>
    <col min="510" max="510" width="16.28515625" customWidth="1"/>
    <col min="512" max="512" width="19.85546875" customWidth="1"/>
    <col min="522" max="522" width="31.42578125" customWidth="1"/>
    <col min="524" max="524" width="15.85546875" customWidth="1"/>
    <col min="526" max="526" width="30.140625" customWidth="1"/>
    <col min="528" max="528" width="13.7109375" customWidth="1"/>
    <col min="532" max="532" width="17.42578125" customWidth="1"/>
    <col min="536" max="536" width="23.85546875" customWidth="1"/>
    <col min="538" max="538" width="17.42578125" customWidth="1"/>
    <col min="540" max="540" width="17.42578125" customWidth="1"/>
    <col min="542" max="542" width="17.42578125" customWidth="1"/>
    <col min="546" max="546" width="17.42578125" customWidth="1"/>
    <col min="550" max="550" width="17.5703125" customWidth="1"/>
    <col min="552" max="552" width="15.85546875" customWidth="1"/>
    <col min="560" max="560" width="29.7109375" customWidth="1"/>
    <col min="562" max="562" width="29.7109375" customWidth="1"/>
    <col min="564" max="564" width="18.42578125" customWidth="1"/>
    <col min="568" max="568" width="30.7109375" customWidth="1"/>
    <col min="572" max="572" width="15.28515625" customWidth="1"/>
    <col min="574" max="574" width="15.7109375" customWidth="1"/>
    <col min="576" max="576" width="19.42578125" customWidth="1"/>
    <col min="580" max="580" width="14.5703125" customWidth="1"/>
    <col min="582" max="582" width="26.5703125" customWidth="1"/>
    <col min="584" max="584" width="16.42578125" customWidth="1"/>
    <col min="590" max="590" width="35.42578125" customWidth="1"/>
    <col min="592" max="592" width="14.42578125" customWidth="1"/>
    <col min="594" max="594" width="12.5703125" customWidth="1"/>
    <col min="602" max="602" width="29.140625" customWidth="1"/>
    <col min="604" max="604" width="14" customWidth="1"/>
    <col min="608" max="608" width="13.42578125" customWidth="1"/>
    <col min="612" max="612" width="12.5703125" customWidth="1"/>
    <col min="614" max="614" width="30.42578125" customWidth="1"/>
    <col min="624" max="624" width="14.7109375" customWidth="1"/>
    <col min="626" max="626" width="21.42578125" customWidth="1"/>
    <col min="630" max="630" width="15.42578125" customWidth="1"/>
    <col min="632" max="632" width="12.5703125" customWidth="1"/>
    <col min="634" max="634" width="12.5703125" customWidth="1"/>
    <col min="636" max="636" width="12.5703125" customWidth="1"/>
    <col min="638" max="638" width="15.85546875" customWidth="1"/>
    <col min="644" max="644" width="17.42578125" customWidth="1"/>
    <col min="646" max="646" width="22.42578125" customWidth="1"/>
    <col min="652" max="652" width="24.85546875" customWidth="1"/>
    <col min="654" max="654" width="13.140625" customWidth="1"/>
  </cols>
  <sheetData>
    <row r="1" spans="1:655" ht="12.75" x14ac:dyDescent="0.2">
      <c r="A1" s="400" t="s">
        <v>1549</v>
      </c>
      <c r="B1" s="527">
        <v>44197</v>
      </c>
      <c r="C1" s="412"/>
      <c r="D1" s="527">
        <v>44198</v>
      </c>
      <c r="E1" s="412"/>
      <c r="F1" s="527">
        <v>44200</v>
      </c>
      <c r="G1" s="412"/>
      <c r="H1" s="527">
        <v>44204</v>
      </c>
      <c r="I1" s="412"/>
      <c r="J1" s="527">
        <v>44205</v>
      </c>
      <c r="K1" s="412"/>
      <c r="L1" s="527">
        <v>44206</v>
      </c>
      <c r="M1" s="412"/>
      <c r="N1" s="527">
        <v>44208</v>
      </c>
      <c r="O1" s="412"/>
      <c r="P1" s="527">
        <v>44209</v>
      </c>
      <c r="Q1" s="412"/>
      <c r="R1" s="527">
        <v>44210</v>
      </c>
      <c r="S1" s="412"/>
      <c r="T1" s="527">
        <v>44211</v>
      </c>
      <c r="U1" s="412"/>
      <c r="V1" s="527">
        <v>44212</v>
      </c>
      <c r="W1" s="412"/>
      <c r="X1" s="527">
        <v>44213</v>
      </c>
      <c r="Y1" s="412"/>
      <c r="Z1" s="527">
        <v>44214</v>
      </c>
      <c r="AA1" s="412"/>
      <c r="AB1" s="527">
        <v>44215</v>
      </c>
      <c r="AC1" s="412"/>
      <c r="AD1" s="527">
        <v>44216</v>
      </c>
      <c r="AE1" s="412"/>
      <c r="AF1" s="527">
        <v>44217</v>
      </c>
      <c r="AG1" s="412"/>
      <c r="AH1" s="527">
        <v>44218</v>
      </c>
      <c r="AI1" s="412"/>
      <c r="AJ1" s="527">
        <v>44219</v>
      </c>
      <c r="AK1" s="412"/>
      <c r="AL1" s="527">
        <v>44220</v>
      </c>
      <c r="AM1" s="412"/>
      <c r="AN1" s="527">
        <v>44221</v>
      </c>
      <c r="AO1" s="412"/>
      <c r="AP1" s="527">
        <v>44222</v>
      </c>
      <c r="AQ1" s="412"/>
      <c r="AR1" s="527">
        <v>44223</v>
      </c>
      <c r="AS1" s="412"/>
      <c r="AT1" s="527">
        <v>44224</v>
      </c>
      <c r="AU1" s="412"/>
      <c r="AV1" s="527">
        <v>44225</v>
      </c>
      <c r="AW1" s="412"/>
      <c r="AX1" s="527">
        <v>44226</v>
      </c>
      <c r="AY1" s="412"/>
      <c r="AZ1" s="527">
        <v>44228</v>
      </c>
      <c r="BA1" s="412"/>
      <c r="BB1" s="527">
        <v>44229</v>
      </c>
      <c r="BC1" s="412"/>
      <c r="BD1" s="527">
        <v>44230</v>
      </c>
      <c r="BE1" s="412"/>
      <c r="BF1" s="527">
        <v>44231</v>
      </c>
      <c r="BG1" s="412"/>
      <c r="BH1" s="527">
        <v>44232</v>
      </c>
      <c r="BI1" s="412"/>
      <c r="BJ1" s="527">
        <v>44233</v>
      </c>
      <c r="BK1" s="412"/>
      <c r="BL1" s="527">
        <v>44234</v>
      </c>
      <c r="BM1" s="412"/>
      <c r="BN1" s="527">
        <v>44235</v>
      </c>
      <c r="BO1" s="412"/>
      <c r="BP1" s="527">
        <v>44236</v>
      </c>
      <c r="BQ1" s="412"/>
      <c r="BR1" s="527">
        <v>44237</v>
      </c>
      <c r="BS1" s="412"/>
      <c r="BT1" s="527">
        <v>44238</v>
      </c>
      <c r="BU1" s="412"/>
      <c r="BV1" s="527">
        <v>44239</v>
      </c>
      <c r="BW1" s="412"/>
      <c r="BX1" s="527">
        <v>44240</v>
      </c>
      <c r="BY1" s="412"/>
      <c r="BZ1" s="527">
        <v>44241</v>
      </c>
      <c r="CA1" s="412"/>
      <c r="CB1" s="527">
        <v>44242</v>
      </c>
      <c r="CC1" s="412"/>
      <c r="CD1" s="527">
        <v>44243</v>
      </c>
      <c r="CE1" s="412"/>
      <c r="CF1" s="527">
        <v>44244</v>
      </c>
      <c r="CG1" s="412"/>
      <c r="CH1" s="527">
        <v>44245</v>
      </c>
      <c r="CI1" s="412"/>
      <c r="CJ1" s="527">
        <v>44246</v>
      </c>
      <c r="CK1" s="412"/>
      <c r="CL1" s="527">
        <v>44247</v>
      </c>
      <c r="CM1" s="412"/>
      <c r="CN1" s="527">
        <v>44248</v>
      </c>
      <c r="CO1" s="412"/>
      <c r="CP1" s="527">
        <v>44249</v>
      </c>
      <c r="CQ1" s="412"/>
      <c r="CR1" s="527">
        <v>44250</v>
      </c>
      <c r="CS1" s="412"/>
      <c r="CT1" s="526">
        <v>44251</v>
      </c>
      <c r="CU1" s="402"/>
      <c r="CV1" s="527">
        <v>44252</v>
      </c>
      <c r="CW1" s="412"/>
      <c r="CX1" s="527">
        <v>44253</v>
      </c>
      <c r="CY1" s="412"/>
      <c r="CZ1" s="527">
        <v>43890</v>
      </c>
      <c r="DA1" s="412"/>
      <c r="DB1" s="527">
        <v>44256</v>
      </c>
      <c r="DC1" s="412"/>
      <c r="DD1" s="527">
        <v>44257</v>
      </c>
      <c r="DE1" s="412"/>
      <c r="DF1" s="527">
        <v>44258</v>
      </c>
      <c r="DG1" s="412"/>
      <c r="DH1" s="527">
        <v>44259</v>
      </c>
      <c r="DI1" s="412"/>
      <c r="DJ1" s="527">
        <v>44260</v>
      </c>
      <c r="DK1" s="412"/>
      <c r="DL1" s="527">
        <v>44261</v>
      </c>
      <c r="DM1" s="412"/>
      <c r="DN1" s="527">
        <v>44262</v>
      </c>
      <c r="DO1" s="412"/>
      <c r="DP1" s="527">
        <v>44263</v>
      </c>
      <c r="DQ1" s="412"/>
      <c r="DR1" s="527">
        <v>44264</v>
      </c>
      <c r="DS1" s="412"/>
      <c r="DT1" s="527">
        <v>44265</v>
      </c>
      <c r="DU1" s="412"/>
      <c r="DV1" s="527">
        <v>44266</v>
      </c>
      <c r="DW1" s="412"/>
      <c r="DX1" s="527">
        <v>44268</v>
      </c>
      <c r="DY1" s="412"/>
      <c r="DZ1" s="527">
        <v>44269</v>
      </c>
      <c r="EA1" s="412"/>
      <c r="EB1" s="527">
        <v>44270</v>
      </c>
      <c r="EC1" s="412"/>
      <c r="ED1" s="527">
        <v>44271</v>
      </c>
      <c r="EE1" s="412"/>
      <c r="EF1" s="527">
        <v>44272</v>
      </c>
      <c r="EG1" s="412"/>
      <c r="EH1" s="527">
        <v>44273</v>
      </c>
      <c r="EI1" s="412"/>
      <c r="EJ1" s="527">
        <v>44274</v>
      </c>
      <c r="EK1" s="412"/>
      <c r="EL1" s="527">
        <v>44275</v>
      </c>
      <c r="EM1" s="412"/>
      <c r="EN1" s="527">
        <v>44276</v>
      </c>
      <c r="EO1" s="412"/>
      <c r="EP1" s="527">
        <v>44277</v>
      </c>
      <c r="EQ1" s="412"/>
      <c r="ER1" s="527">
        <v>44278</v>
      </c>
      <c r="ES1" s="412"/>
      <c r="ET1" s="527">
        <v>44279</v>
      </c>
      <c r="EU1" s="412"/>
      <c r="EV1" s="527">
        <v>44280</v>
      </c>
      <c r="EW1" s="412"/>
      <c r="EX1" s="527">
        <v>44281</v>
      </c>
      <c r="EY1" s="412"/>
      <c r="EZ1" s="527">
        <v>44282</v>
      </c>
      <c r="FA1" s="412"/>
      <c r="FB1" s="527">
        <v>44283</v>
      </c>
      <c r="FC1" s="412"/>
      <c r="FD1" s="527">
        <v>44284</v>
      </c>
      <c r="FE1" s="412"/>
      <c r="FF1" s="527">
        <v>44285</v>
      </c>
      <c r="FG1" s="412"/>
      <c r="FH1" s="527">
        <v>44286</v>
      </c>
      <c r="FI1" s="412"/>
      <c r="FJ1" s="527">
        <v>44287</v>
      </c>
      <c r="FK1" s="412"/>
      <c r="FL1" s="527">
        <v>44289</v>
      </c>
      <c r="FM1" s="412"/>
      <c r="FN1" s="527">
        <v>44290</v>
      </c>
      <c r="FO1" s="412"/>
      <c r="FP1" s="527">
        <v>44291</v>
      </c>
      <c r="FQ1" s="412"/>
      <c r="FR1" s="527">
        <v>44292</v>
      </c>
      <c r="FS1" s="412"/>
      <c r="FT1" s="527">
        <v>44293</v>
      </c>
      <c r="FU1" s="412"/>
      <c r="FV1" s="527">
        <v>44294</v>
      </c>
      <c r="FW1" s="412"/>
      <c r="FX1" s="527">
        <v>44295</v>
      </c>
      <c r="FY1" s="412"/>
      <c r="FZ1" s="527">
        <v>44297</v>
      </c>
      <c r="GA1" s="412"/>
      <c r="GB1" s="527">
        <v>44298</v>
      </c>
      <c r="GC1" s="412"/>
      <c r="GD1" s="527">
        <v>44299</v>
      </c>
      <c r="GE1" s="412"/>
      <c r="GF1" s="527">
        <v>44301</v>
      </c>
      <c r="GG1" s="412"/>
      <c r="GH1" s="527">
        <v>44303</v>
      </c>
      <c r="GI1" s="412"/>
      <c r="GJ1" s="527">
        <v>44304</v>
      </c>
      <c r="GK1" s="412"/>
      <c r="GL1" s="527">
        <v>44306</v>
      </c>
      <c r="GM1" s="412"/>
      <c r="GN1" s="527">
        <v>44308</v>
      </c>
      <c r="GO1" s="412"/>
      <c r="GP1" s="527">
        <v>44309</v>
      </c>
      <c r="GQ1" s="412"/>
      <c r="GR1" s="527">
        <v>44310</v>
      </c>
      <c r="GS1" s="412"/>
      <c r="GT1" s="527">
        <v>44311</v>
      </c>
      <c r="GU1" s="412"/>
      <c r="GV1" s="527">
        <v>44312</v>
      </c>
      <c r="GW1" s="412"/>
      <c r="GX1" s="527">
        <v>44313</v>
      </c>
      <c r="GY1" s="412"/>
      <c r="GZ1" s="527">
        <v>44314</v>
      </c>
      <c r="HA1" s="412"/>
      <c r="HB1" s="527">
        <v>44315</v>
      </c>
      <c r="HC1" s="412"/>
      <c r="HD1" s="527">
        <v>44316</v>
      </c>
      <c r="HE1" s="412"/>
      <c r="HF1" s="527">
        <v>44317</v>
      </c>
      <c r="HG1" s="412"/>
      <c r="HH1" s="527">
        <v>44318</v>
      </c>
      <c r="HI1" s="412"/>
      <c r="HJ1" s="527">
        <v>44319</v>
      </c>
      <c r="HK1" s="412"/>
      <c r="HL1" s="527">
        <v>44320</v>
      </c>
      <c r="HM1" s="412"/>
      <c r="HN1" s="527">
        <v>44321</v>
      </c>
      <c r="HO1" s="412"/>
      <c r="HP1" s="527">
        <v>44322</v>
      </c>
      <c r="HQ1" s="412"/>
      <c r="HR1" s="527">
        <v>44323</v>
      </c>
      <c r="HS1" s="412"/>
      <c r="HT1" s="527">
        <v>44324</v>
      </c>
      <c r="HU1" s="412"/>
      <c r="HV1" s="527">
        <v>44325</v>
      </c>
      <c r="HW1" s="412"/>
      <c r="HX1" s="527">
        <v>44326</v>
      </c>
      <c r="HY1" s="412"/>
      <c r="HZ1" s="527">
        <v>44328</v>
      </c>
      <c r="IA1" s="412"/>
      <c r="IB1" s="527">
        <v>44329</v>
      </c>
      <c r="IC1" s="412"/>
      <c r="ID1" s="527">
        <v>44330</v>
      </c>
      <c r="IE1" s="412"/>
      <c r="IF1" s="527">
        <v>44331</v>
      </c>
      <c r="IG1" s="412"/>
      <c r="IH1" s="527">
        <v>44332</v>
      </c>
      <c r="II1" s="412"/>
      <c r="IJ1" s="527">
        <v>44333</v>
      </c>
      <c r="IK1" s="412"/>
      <c r="IL1" s="527">
        <v>44334</v>
      </c>
      <c r="IM1" s="412"/>
      <c r="IN1" s="527">
        <v>44335</v>
      </c>
      <c r="IO1" s="412"/>
      <c r="IP1" s="527">
        <v>44336</v>
      </c>
      <c r="IQ1" s="412"/>
      <c r="IR1" s="527">
        <v>44338</v>
      </c>
      <c r="IS1" s="412"/>
      <c r="IT1" s="527">
        <v>44339</v>
      </c>
      <c r="IU1" s="412"/>
      <c r="IV1" s="527">
        <v>44340</v>
      </c>
      <c r="IW1" s="412"/>
      <c r="IX1" s="527">
        <v>44341</v>
      </c>
      <c r="IY1" s="412"/>
      <c r="IZ1" s="527">
        <v>44342</v>
      </c>
      <c r="JA1" s="412"/>
      <c r="JB1" s="527">
        <v>44343</v>
      </c>
      <c r="JC1" s="412"/>
      <c r="JD1" s="527">
        <v>44344</v>
      </c>
      <c r="JE1" s="412"/>
      <c r="JF1" s="527">
        <v>44345</v>
      </c>
      <c r="JG1" s="412"/>
      <c r="JH1" s="527">
        <v>44347</v>
      </c>
      <c r="JI1" s="412"/>
      <c r="JJ1" s="527">
        <v>44348</v>
      </c>
      <c r="JK1" s="412"/>
      <c r="JL1" s="527">
        <v>44349</v>
      </c>
      <c r="JM1" s="412"/>
      <c r="JN1" s="527">
        <v>44350</v>
      </c>
      <c r="JO1" s="412"/>
      <c r="JP1" s="527">
        <v>44351</v>
      </c>
      <c r="JQ1" s="412"/>
      <c r="JR1" s="527">
        <v>44352</v>
      </c>
      <c r="JS1" s="412"/>
      <c r="JT1" s="527">
        <v>44353</v>
      </c>
      <c r="JU1" s="412"/>
      <c r="JV1" s="527">
        <v>44355</v>
      </c>
      <c r="JW1" s="412"/>
      <c r="JX1" s="527">
        <v>44356</v>
      </c>
      <c r="JY1" s="412"/>
      <c r="JZ1" s="527">
        <v>44357</v>
      </c>
      <c r="KA1" s="412"/>
      <c r="KB1" s="527">
        <v>44358</v>
      </c>
      <c r="KC1" s="412"/>
      <c r="KD1" s="527">
        <v>44359</v>
      </c>
      <c r="KE1" s="412"/>
      <c r="KF1" s="527">
        <v>44360</v>
      </c>
      <c r="KG1" s="412"/>
      <c r="KH1" s="527">
        <v>44361</v>
      </c>
      <c r="KI1" s="412"/>
      <c r="KJ1" s="527">
        <v>44362</v>
      </c>
      <c r="KK1" s="412"/>
      <c r="KL1" s="527">
        <v>44363</v>
      </c>
      <c r="KM1" s="412"/>
      <c r="KN1" s="527">
        <v>44365</v>
      </c>
      <c r="KO1" s="412"/>
      <c r="KP1" s="527">
        <v>44366</v>
      </c>
      <c r="KQ1" s="412"/>
      <c r="KR1" s="527">
        <v>44368</v>
      </c>
      <c r="KS1" s="412"/>
      <c r="KT1" s="527">
        <v>44369</v>
      </c>
      <c r="KU1" s="412"/>
      <c r="KV1" s="527">
        <v>44370</v>
      </c>
      <c r="KW1" s="412"/>
      <c r="KX1" s="527">
        <v>44371</v>
      </c>
      <c r="KY1" s="412"/>
      <c r="KZ1" s="527">
        <v>44372</v>
      </c>
      <c r="LA1" s="412"/>
      <c r="LB1" s="527">
        <v>44373</v>
      </c>
      <c r="LC1" s="412"/>
      <c r="LD1" s="527">
        <v>44374</v>
      </c>
      <c r="LE1" s="412"/>
      <c r="LF1" s="527">
        <v>44375</v>
      </c>
      <c r="LG1" s="412"/>
      <c r="LH1" s="527">
        <v>44377</v>
      </c>
      <c r="LI1" s="412"/>
      <c r="LJ1" s="527">
        <v>44378</v>
      </c>
      <c r="LK1" s="412"/>
      <c r="LL1" s="527">
        <v>44379</v>
      </c>
      <c r="LM1" s="412"/>
      <c r="LN1" s="527">
        <v>44380</v>
      </c>
      <c r="LO1" s="412"/>
      <c r="LP1" s="527">
        <v>44381</v>
      </c>
      <c r="LQ1" s="412"/>
      <c r="LR1" s="527">
        <v>44382</v>
      </c>
      <c r="LS1" s="412"/>
      <c r="LT1" s="527">
        <v>44384</v>
      </c>
      <c r="LU1" s="412"/>
      <c r="LV1" s="527">
        <v>44385</v>
      </c>
      <c r="LW1" s="412"/>
      <c r="LX1" s="527">
        <v>44386</v>
      </c>
      <c r="LY1" s="412"/>
      <c r="LZ1" s="527">
        <v>44387</v>
      </c>
      <c r="MA1" s="412"/>
      <c r="MB1" s="527">
        <v>44388</v>
      </c>
      <c r="MC1" s="412"/>
      <c r="MD1" s="527">
        <v>44389</v>
      </c>
      <c r="ME1" s="412"/>
      <c r="MF1" s="527">
        <v>44390</v>
      </c>
      <c r="MG1" s="412"/>
      <c r="MH1" s="527">
        <v>44391</v>
      </c>
      <c r="MI1" s="412"/>
      <c r="MJ1" s="527">
        <v>44392</v>
      </c>
      <c r="MK1" s="412"/>
      <c r="ML1" s="527">
        <v>44393</v>
      </c>
      <c r="MM1" s="412"/>
      <c r="MN1" s="527">
        <v>44394</v>
      </c>
      <c r="MO1" s="412"/>
      <c r="MP1" s="527">
        <v>44395</v>
      </c>
      <c r="MQ1" s="412"/>
      <c r="MR1" s="527">
        <v>44396</v>
      </c>
      <c r="MS1" s="412"/>
      <c r="MT1" s="527">
        <v>44397</v>
      </c>
      <c r="MU1" s="412"/>
      <c r="MV1" s="527">
        <v>44398</v>
      </c>
      <c r="MW1" s="412"/>
      <c r="MX1" s="527">
        <v>44399</v>
      </c>
      <c r="MY1" s="412"/>
      <c r="MZ1" s="527">
        <v>44400</v>
      </c>
      <c r="NA1" s="412"/>
      <c r="NB1" s="527">
        <v>44401</v>
      </c>
      <c r="NC1" s="412"/>
      <c r="ND1" s="527">
        <v>44402</v>
      </c>
      <c r="NE1" s="412"/>
      <c r="NF1" s="527">
        <v>44403</v>
      </c>
      <c r="NG1" s="412"/>
      <c r="NH1" s="527">
        <v>44404</v>
      </c>
      <c r="NI1" s="412"/>
      <c r="NJ1" s="527">
        <v>44405</v>
      </c>
      <c r="NK1" s="412"/>
      <c r="NL1" s="527">
        <v>44406</v>
      </c>
      <c r="NM1" s="412"/>
      <c r="NN1" s="527">
        <v>44407</v>
      </c>
      <c r="NO1" s="412"/>
      <c r="NP1" s="527">
        <v>44408</v>
      </c>
      <c r="NQ1" s="412"/>
      <c r="NR1" s="527">
        <v>44409</v>
      </c>
      <c r="NS1" s="412"/>
      <c r="NT1" s="527">
        <v>44410</v>
      </c>
      <c r="NU1" s="412"/>
      <c r="NV1" s="527">
        <v>44411</v>
      </c>
      <c r="NW1" s="412"/>
      <c r="NX1" s="527">
        <v>44412</v>
      </c>
      <c r="NY1" s="412"/>
      <c r="NZ1" s="527">
        <v>44413</v>
      </c>
      <c r="OA1" s="412"/>
      <c r="OB1" s="527">
        <v>44414</v>
      </c>
      <c r="OC1" s="412"/>
      <c r="OD1" s="527">
        <v>44417</v>
      </c>
      <c r="OE1" s="412"/>
      <c r="OF1" s="526">
        <v>44418</v>
      </c>
      <c r="OG1" s="402"/>
      <c r="OH1" s="527">
        <v>44419</v>
      </c>
      <c r="OI1" s="412"/>
      <c r="OJ1" s="527">
        <v>44420</v>
      </c>
      <c r="OK1" s="412"/>
      <c r="OL1" s="527">
        <v>44421</v>
      </c>
      <c r="OM1" s="412"/>
      <c r="ON1" s="527">
        <v>44422</v>
      </c>
      <c r="OO1" s="412"/>
      <c r="OP1" s="527">
        <v>44423</v>
      </c>
      <c r="OQ1" s="412"/>
      <c r="OR1" s="527">
        <v>44424</v>
      </c>
      <c r="OS1" s="412"/>
      <c r="OT1" s="527">
        <v>44425</v>
      </c>
      <c r="OU1" s="412"/>
      <c r="OV1" s="527">
        <v>44426</v>
      </c>
      <c r="OW1" s="412"/>
      <c r="OX1" s="527">
        <v>44428</v>
      </c>
      <c r="OY1" s="412"/>
      <c r="OZ1" s="527">
        <v>44429</v>
      </c>
      <c r="PA1" s="412"/>
      <c r="PB1" s="527">
        <v>44430</v>
      </c>
      <c r="PC1" s="412"/>
      <c r="PD1" s="527">
        <v>44431</v>
      </c>
      <c r="PE1" s="412"/>
      <c r="PF1" s="527">
        <v>44432</v>
      </c>
      <c r="PG1" s="412"/>
      <c r="PH1" s="527">
        <v>44436</v>
      </c>
      <c r="PI1" s="412"/>
      <c r="PJ1" s="527">
        <v>44437</v>
      </c>
      <c r="PK1" s="412"/>
      <c r="PL1" s="527">
        <v>44440</v>
      </c>
      <c r="PM1" s="412"/>
      <c r="PN1" s="527">
        <v>44441</v>
      </c>
      <c r="PO1" s="412"/>
      <c r="PP1" s="527">
        <v>44442</v>
      </c>
      <c r="PQ1" s="412"/>
      <c r="PR1" s="527">
        <v>44443</v>
      </c>
      <c r="PS1" s="412"/>
      <c r="PT1" s="527">
        <v>44444</v>
      </c>
      <c r="PU1" s="412"/>
      <c r="PV1" s="527">
        <v>44445</v>
      </c>
      <c r="PW1" s="412"/>
      <c r="PX1" s="527">
        <v>44446</v>
      </c>
      <c r="PY1" s="412"/>
      <c r="PZ1" s="527">
        <v>44447</v>
      </c>
      <c r="QA1" s="412"/>
      <c r="QB1" s="527">
        <v>44448</v>
      </c>
      <c r="QC1" s="412"/>
      <c r="QD1" s="527">
        <v>44449</v>
      </c>
      <c r="QE1" s="412"/>
      <c r="QF1" s="527">
        <v>44450</v>
      </c>
      <c r="QG1" s="412"/>
      <c r="QH1" s="527">
        <v>44451</v>
      </c>
      <c r="QI1" s="412"/>
      <c r="QJ1" s="527">
        <v>44452</v>
      </c>
      <c r="QK1" s="412"/>
      <c r="QL1" s="527">
        <v>44453</v>
      </c>
      <c r="QM1" s="412"/>
      <c r="QN1" s="527">
        <v>44454</v>
      </c>
      <c r="QO1" s="412"/>
      <c r="QP1" s="527">
        <v>44455</v>
      </c>
      <c r="QQ1" s="412"/>
      <c r="QR1" s="527">
        <v>44456</v>
      </c>
      <c r="QS1" s="412"/>
      <c r="QT1" s="527">
        <v>44457</v>
      </c>
      <c r="QU1" s="412"/>
      <c r="QV1" s="527">
        <v>44458</v>
      </c>
      <c r="QW1" s="412"/>
      <c r="QX1" s="527">
        <v>44459</v>
      </c>
      <c r="QY1" s="412"/>
      <c r="QZ1" s="527">
        <v>44460</v>
      </c>
      <c r="RA1" s="412"/>
      <c r="RB1" s="527">
        <v>44461</v>
      </c>
      <c r="RC1" s="412"/>
      <c r="RD1" s="527">
        <v>44462</v>
      </c>
      <c r="RE1" s="412"/>
      <c r="RF1" s="527">
        <v>44463</v>
      </c>
      <c r="RG1" s="412"/>
      <c r="RH1" s="527">
        <v>44464</v>
      </c>
      <c r="RI1" s="412"/>
      <c r="RJ1" s="527">
        <v>44465</v>
      </c>
      <c r="RK1" s="412"/>
      <c r="RL1" s="527">
        <v>44466</v>
      </c>
      <c r="RM1" s="412"/>
      <c r="RN1" s="527">
        <v>44468</v>
      </c>
      <c r="RO1" s="412"/>
      <c r="RP1" s="527">
        <v>44469</v>
      </c>
      <c r="RQ1" s="412"/>
      <c r="RR1" s="527">
        <v>44470</v>
      </c>
      <c r="RS1" s="412"/>
      <c r="RT1" s="527">
        <v>44471</v>
      </c>
      <c r="RU1" s="412"/>
      <c r="RV1" s="527">
        <v>44472</v>
      </c>
      <c r="RW1" s="412"/>
      <c r="RX1" s="527">
        <v>44473</v>
      </c>
      <c r="RY1" s="412"/>
      <c r="RZ1" s="527">
        <v>44474</v>
      </c>
      <c r="SA1" s="412"/>
      <c r="SB1" s="527">
        <v>44475</v>
      </c>
      <c r="SC1" s="412"/>
      <c r="SD1" s="527">
        <v>44476</v>
      </c>
      <c r="SE1" s="412"/>
      <c r="SF1" s="527">
        <v>44478</v>
      </c>
      <c r="SG1" s="412"/>
      <c r="SH1" s="527">
        <v>44479</v>
      </c>
      <c r="SI1" s="412"/>
      <c r="SJ1" s="527">
        <v>44480</v>
      </c>
      <c r="SK1" s="412"/>
      <c r="SL1" s="527">
        <v>44482</v>
      </c>
      <c r="SM1" s="412"/>
      <c r="SN1" s="527">
        <v>44483</v>
      </c>
      <c r="SO1" s="412"/>
      <c r="SP1" s="527">
        <v>44484</v>
      </c>
      <c r="SQ1" s="412"/>
      <c r="SR1" s="527">
        <v>44485</v>
      </c>
      <c r="SS1" s="412"/>
      <c r="ST1" s="527">
        <v>44486</v>
      </c>
      <c r="SU1" s="412"/>
      <c r="SV1" s="527">
        <v>44487</v>
      </c>
      <c r="SW1" s="412"/>
      <c r="SX1" s="527">
        <v>44489</v>
      </c>
      <c r="SY1" s="412"/>
      <c r="SZ1" s="527">
        <v>44490</v>
      </c>
      <c r="TA1" s="412"/>
      <c r="TB1" s="527">
        <v>44491</v>
      </c>
      <c r="TC1" s="412"/>
      <c r="TD1" s="527">
        <v>44492</v>
      </c>
      <c r="TE1" s="412"/>
      <c r="TF1" s="527">
        <v>44493</v>
      </c>
      <c r="TG1" s="412"/>
      <c r="TH1" s="527">
        <v>44494</v>
      </c>
      <c r="TI1" s="412"/>
      <c r="TJ1" s="527">
        <v>44495</v>
      </c>
      <c r="TK1" s="412"/>
      <c r="TL1" s="527">
        <v>44496</v>
      </c>
      <c r="TM1" s="412"/>
      <c r="TN1" s="527">
        <v>44497</v>
      </c>
      <c r="TO1" s="412"/>
      <c r="TP1" s="527">
        <v>44498</v>
      </c>
      <c r="TQ1" s="412"/>
      <c r="TR1" s="527">
        <v>44499</v>
      </c>
      <c r="TS1" s="412"/>
      <c r="TT1" s="527">
        <v>44500</v>
      </c>
      <c r="TU1" s="412"/>
      <c r="TV1" s="527">
        <v>44501</v>
      </c>
      <c r="TW1" s="412"/>
      <c r="TX1" s="527">
        <v>44502</v>
      </c>
      <c r="TY1" s="412"/>
      <c r="TZ1" s="527">
        <v>44503</v>
      </c>
      <c r="UA1" s="412"/>
      <c r="UB1" s="527">
        <v>44504</v>
      </c>
      <c r="UC1" s="412"/>
      <c r="UD1" s="527">
        <v>44505</v>
      </c>
      <c r="UE1" s="412"/>
      <c r="UF1" s="528">
        <v>44506</v>
      </c>
      <c r="UG1" s="412"/>
      <c r="UH1" s="527">
        <v>44507</v>
      </c>
      <c r="UI1" s="412"/>
      <c r="UJ1" s="527">
        <v>44508</v>
      </c>
      <c r="UK1" s="412"/>
      <c r="UL1" s="527">
        <v>44509</v>
      </c>
      <c r="UM1" s="412"/>
      <c r="UN1" s="527">
        <v>44510</v>
      </c>
      <c r="UO1" s="412"/>
      <c r="UP1" s="527">
        <v>44511</v>
      </c>
      <c r="UQ1" s="412"/>
      <c r="UR1" s="527">
        <v>44512</v>
      </c>
      <c r="US1" s="412"/>
      <c r="UT1" s="527">
        <v>44513</v>
      </c>
      <c r="UU1" s="412"/>
      <c r="UV1" s="527">
        <v>44514</v>
      </c>
      <c r="UW1" s="412"/>
      <c r="UX1" s="527">
        <v>44515</v>
      </c>
      <c r="UY1" s="412"/>
      <c r="UZ1" s="527">
        <v>44516</v>
      </c>
      <c r="VA1" s="412"/>
      <c r="VB1" s="527">
        <v>44519</v>
      </c>
      <c r="VC1" s="412"/>
      <c r="VD1" s="527">
        <v>44521</v>
      </c>
      <c r="VE1" s="412"/>
      <c r="VF1" s="527">
        <v>44522</v>
      </c>
      <c r="VG1" s="412"/>
      <c r="VH1" s="527">
        <v>44523</v>
      </c>
      <c r="VI1" s="412"/>
      <c r="VJ1" s="527">
        <v>44524</v>
      </c>
      <c r="VK1" s="412"/>
      <c r="VL1" s="527">
        <v>44525</v>
      </c>
      <c r="VM1" s="412"/>
      <c r="VN1" s="526">
        <v>44526</v>
      </c>
      <c r="VO1" s="402"/>
      <c r="VP1" s="527">
        <v>44527</v>
      </c>
      <c r="VQ1" s="412"/>
      <c r="VR1" s="526">
        <v>44528</v>
      </c>
      <c r="VS1" s="402"/>
      <c r="VT1" s="527">
        <v>44529</v>
      </c>
      <c r="VU1" s="412"/>
      <c r="VV1" s="527">
        <v>44530</v>
      </c>
      <c r="VW1" s="412"/>
      <c r="VX1" s="527">
        <v>44531</v>
      </c>
      <c r="VY1" s="412"/>
      <c r="VZ1" s="527">
        <v>44532</v>
      </c>
      <c r="WA1" s="412"/>
      <c r="WB1" s="527">
        <v>44533</v>
      </c>
      <c r="WC1" s="412"/>
      <c r="WD1" s="527">
        <v>44535</v>
      </c>
      <c r="WE1" s="412"/>
      <c r="WF1" s="527">
        <v>44536</v>
      </c>
      <c r="WG1" s="412"/>
      <c r="WH1" s="527">
        <v>44537</v>
      </c>
      <c r="WI1" s="412"/>
      <c r="WJ1" s="527">
        <v>44538</v>
      </c>
      <c r="WK1" s="412"/>
      <c r="WL1" s="526">
        <v>44539</v>
      </c>
      <c r="WM1" s="402"/>
      <c r="WN1" s="527">
        <v>44540</v>
      </c>
      <c r="WO1" s="412"/>
      <c r="WP1" s="526">
        <v>44541</v>
      </c>
      <c r="WQ1" s="402"/>
      <c r="WR1" s="527">
        <v>44542</v>
      </c>
      <c r="WS1" s="412"/>
      <c r="WT1" s="527">
        <v>44543</v>
      </c>
      <c r="WU1" s="412"/>
      <c r="WV1" s="527">
        <v>44544</v>
      </c>
      <c r="WW1" s="412"/>
      <c r="WX1" s="527">
        <v>44545</v>
      </c>
      <c r="WY1" s="412"/>
      <c r="WZ1" s="527">
        <v>44546</v>
      </c>
      <c r="XA1" s="412"/>
      <c r="XB1" s="527">
        <v>44547</v>
      </c>
      <c r="XC1" s="412"/>
      <c r="XD1" s="526">
        <v>44548</v>
      </c>
      <c r="XE1" s="402"/>
      <c r="XF1" s="527">
        <v>44549</v>
      </c>
      <c r="XG1" s="412"/>
      <c r="XH1" s="527">
        <v>44550</v>
      </c>
      <c r="XI1" s="412"/>
      <c r="XJ1" s="527">
        <v>44551</v>
      </c>
      <c r="XK1" s="412"/>
      <c r="XL1" s="527">
        <v>44552</v>
      </c>
      <c r="XM1" s="412"/>
      <c r="XN1" s="527">
        <v>44553</v>
      </c>
      <c r="XO1" s="412"/>
      <c r="XP1" s="527">
        <v>44554</v>
      </c>
      <c r="XQ1" s="412"/>
      <c r="XR1" s="526">
        <v>44555</v>
      </c>
      <c r="XS1" s="402"/>
      <c r="XT1" s="527">
        <v>44556</v>
      </c>
      <c r="XU1" s="412"/>
      <c r="XV1" s="527">
        <v>44557</v>
      </c>
      <c r="XW1" s="412"/>
      <c r="XX1" s="527">
        <v>44558</v>
      </c>
      <c r="XY1" s="412"/>
      <c r="XZ1" s="527">
        <v>44559</v>
      </c>
      <c r="YA1" s="412"/>
      <c r="YB1" s="527">
        <v>44560</v>
      </c>
      <c r="YC1" s="412"/>
      <c r="YD1" s="527">
        <v>44561</v>
      </c>
      <c r="YE1" s="412"/>
    </row>
    <row r="2" spans="1:655" ht="12.75" x14ac:dyDescent="0.2">
      <c r="A2" s="398"/>
      <c r="B2" s="396"/>
      <c r="C2" s="398"/>
      <c r="D2" s="396"/>
      <c r="E2" s="398"/>
      <c r="F2" s="396"/>
      <c r="G2" s="398"/>
      <c r="H2" s="396"/>
      <c r="I2" s="398"/>
      <c r="J2" s="396"/>
      <c r="K2" s="398"/>
      <c r="L2" s="396"/>
      <c r="M2" s="398"/>
      <c r="N2" s="396"/>
      <c r="O2" s="398"/>
      <c r="P2" s="396"/>
      <c r="Q2" s="398"/>
      <c r="R2" s="396"/>
      <c r="S2" s="398"/>
      <c r="T2" s="396"/>
      <c r="U2" s="398"/>
      <c r="V2" s="396"/>
      <c r="W2" s="398"/>
      <c r="X2" s="396"/>
      <c r="Y2" s="398"/>
      <c r="Z2" s="396"/>
      <c r="AA2" s="398"/>
      <c r="AB2" s="396"/>
      <c r="AC2" s="398"/>
      <c r="AD2" s="396"/>
      <c r="AE2" s="398"/>
      <c r="AF2" s="396"/>
      <c r="AG2" s="398"/>
      <c r="AH2" s="396"/>
      <c r="AI2" s="398"/>
      <c r="AJ2" s="396"/>
      <c r="AK2" s="398"/>
      <c r="AL2" s="396"/>
      <c r="AM2" s="398"/>
      <c r="AN2" s="396"/>
      <c r="AO2" s="398"/>
      <c r="AP2" s="396"/>
      <c r="AQ2" s="398"/>
      <c r="AR2" s="396"/>
      <c r="AS2" s="398"/>
      <c r="AT2" s="396"/>
      <c r="AU2" s="398"/>
      <c r="AV2" s="396"/>
      <c r="AW2" s="398"/>
      <c r="AX2" s="396"/>
      <c r="AY2" s="398"/>
      <c r="AZ2" s="396"/>
      <c r="BA2" s="398"/>
      <c r="BB2" s="396"/>
      <c r="BC2" s="398"/>
      <c r="BD2" s="396"/>
      <c r="BE2" s="398"/>
      <c r="BF2" s="396"/>
      <c r="BG2" s="398"/>
      <c r="BH2" s="396"/>
      <c r="BI2" s="398"/>
      <c r="BJ2" s="396"/>
      <c r="BK2" s="398"/>
      <c r="BL2" s="396"/>
      <c r="BM2" s="398"/>
      <c r="BN2" s="396"/>
      <c r="BO2" s="398"/>
      <c r="BP2" s="396"/>
      <c r="BQ2" s="398"/>
      <c r="BR2" s="396"/>
      <c r="BS2" s="398"/>
      <c r="BT2" s="396"/>
      <c r="BU2" s="398"/>
      <c r="BV2" s="396"/>
      <c r="BW2" s="398"/>
      <c r="BX2" s="396"/>
      <c r="BY2" s="398"/>
      <c r="BZ2" s="396"/>
      <c r="CA2" s="398"/>
      <c r="CB2" s="396"/>
      <c r="CC2" s="398"/>
      <c r="CD2" s="396"/>
      <c r="CE2" s="398"/>
      <c r="CF2" s="396"/>
      <c r="CG2" s="398"/>
      <c r="CH2" s="396"/>
      <c r="CI2" s="398"/>
      <c r="CJ2" s="396"/>
      <c r="CK2" s="398"/>
      <c r="CL2" s="396"/>
      <c r="CM2" s="398"/>
      <c r="CN2" s="396"/>
      <c r="CO2" s="398"/>
      <c r="CP2" s="396"/>
      <c r="CQ2" s="398"/>
      <c r="CR2" s="396"/>
      <c r="CS2" s="398"/>
      <c r="CT2" s="397"/>
      <c r="CU2" s="397"/>
      <c r="CV2" s="396"/>
      <c r="CW2" s="398"/>
      <c r="CX2" s="396"/>
      <c r="CY2" s="398"/>
      <c r="CZ2" s="396"/>
      <c r="DA2" s="398"/>
      <c r="DB2" s="396"/>
      <c r="DC2" s="398"/>
      <c r="DD2" s="396"/>
      <c r="DE2" s="398"/>
      <c r="DF2" s="396"/>
      <c r="DG2" s="398"/>
      <c r="DH2" s="396"/>
      <c r="DI2" s="398"/>
      <c r="DJ2" s="396"/>
      <c r="DK2" s="398"/>
      <c r="DL2" s="396"/>
      <c r="DM2" s="398"/>
      <c r="DN2" s="396"/>
      <c r="DO2" s="398"/>
      <c r="DP2" s="396"/>
      <c r="DQ2" s="398"/>
      <c r="DR2" s="396"/>
      <c r="DS2" s="398"/>
      <c r="DT2" s="396"/>
      <c r="DU2" s="398"/>
      <c r="DV2" s="396"/>
      <c r="DW2" s="398"/>
      <c r="DX2" s="396"/>
      <c r="DY2" s="398"/>
      <c r="DZ2" s="396"/>
      <c r="EA2" s="398"/>
      <c r="EB2" s="396"/>
      <c r="EC2" s="398"/>
      <c r="ED2" s="396"/>
      <c r="EE2" s="398"/>
      <c r="EF2" s="396"/>
      <c r="EG2" s="398"/>
      <c r="EH2" s="396"/>
      <c r="EI2" s="398"/>
      <c r="EJ2" s="396"/>
      <c r="EK2" s="398"/>
      <c r="EL2" s="396"/>
      <c r="EM2" s="398"/>
      <c r="EN2" s="396"/>
      <c r="EO2" s="398"/>
      <c r="EP2" s="396"/>
      <c r="EQ2" s="398"/>
      <c r="ER2" s="396"/>
      <c r="ES2" s="398"/>
      <c r="ET2" s="396"/>
      <c r="EU2" s="398"/>
      <c r="EV2" s="396"/>
      <c r="EW2" s="398"/>
      <c r="EX2" s="396"/>
      <c r="EY2" s="398"/>
      <c r="EZ2" s="396"/>
      <c r="FA2" s="398"/>
      <c r="FB2" s="396"/>
      <c r="FC2" s="398"/>
      <c r="FD2" s="396"/>
      <c r="FE2" s="398"/>
      <c r="FF2" s="396"/>
      <c r="FG2" s="398"/>
      <c r="FH2" s="396"/>
      <c r="FI2" s="398"/>
      <c r="FJ2" s="396"/>
      <c r="FK2" s="398"/>
      <c r="FL2" s="396"/>
      <c r="FM2" s="398"/>
      <c r="FN2" s="396"/>
      <c r="FO2" s="398"/>
      <c r="FP2" s="396"/>
      <c r="FQ2" s="398"/>
      <c r="FR2" s="396"/>
      <c r="FS2" s="398"/>
      <c r="FT2" s="396"/>
      <c r="FU2" s="398"/>
      <c r="FV2" s="396"/>
      <c r="FW2" s="398"/>
      <c r="FX2" s="396"/>
      <c r="FY2" s="398"/>
      <c r="FZ2" s="396"/>
      <c r="GA2" s="398"/>
      <c r="GB2" s="396"/>
      <c r="GC2" s="398"/>
      <c r="GD2" s="396"/>
      <c r="GE2" s="398"/>
      <c r="GF2" s="396"/>
      <c r="GG2" s="398"/>
      <c r="GH2" s="396"/>
      <c r="GI2" s="398"/>
      <c r="GJ2" s="396"/>
      <c r="GK2" s="398"/>
      <c r="GL2" s="396"/>
      <c r="GM2" s="398"/>
      <c r="GN2" s="396"/>
      <c r="GO2" s="398"/>
      <c r="GP2" s="396"/>
      <c r="GQ2" s="398"/>
      <c r="GR2" s="396"/>
      <c r="GS2" s="398"/>
      <c r="GT2" s="396"/>
      <c r="GU2" s="398"/>
      <c r="GV2" s="396"/>
      <c r="GW2" s="398"/>
      <c r="GX2" s="396"/>
      <c r="GY2" s="398"/>
      <c r="GZ2" s="396"/>
      <c r="HA2" s="398"/>
      <c r="HB2" s="396"/>
      <c r="HC2" s="398"/>
      <c r="HD2" s="396"/>
      <c r="HE2" s="398"/>
      <c r="HF2" s="396"/>
      <c r="HG2" s="398"/>
      <c r="HH2" s="396"/>
      <c r="HI2" s="398"/>
      <c r="HJ2" s="396"/>
      <c r="HK2" s="398"/>
      <c r="HL2" s="396"/>
      <c r="HM2" s="398"/>
      <c r="HN2" s="396"/>
      <c r="HO2" s="398"/>
      <c r="HP2" s="396"/>
      <c r="HQ2" s="398"/>
      <c r="HR2" s="396"/>
      <c r="HS2" s="398"/>
      <c r="HT2" s="396"/>
      <c r="HU2" s="398"/>
      <c r="HV2" s="396"/>
      <c r="HW2" s="398"/>
      <c r="HX2" s="396"/>
      <c r="HY2" s="398"/>
      <c r="HZ2" s="396"/>
      <c r="IA2" s="398"/>
      <c r="IB2" s="396"/>
      <c r="IC2" s="398"/>
      <c r="ID2" s="396"/>
      <c r="IE2" s="398"/>
      <c r="IF2" s="396"/>
      <c r="IG2" s="398"/>
      <c r="IH2" s="396"/>
      <c r="II2" s="398"/>
      <c r="IJ2" s="396"/>
      <c r="IK2" s="398"/>
      <c r="IL2" s="396"/>
      <c r="IM2" s="398"/>
      <c r="IN2" s="396"/>
      <c r="IO2" s="398"/>
      <c r="IP2" s="396"/>
      <c r="IQ2" s="398"/>
      <c r="IR2" s="396"/>
      <c r="IS2" s="398"/>
      <c r="IT2" s="396"/>
      <c r="IU2" s="398"/>
      <c r="IV2" s="396"/>
      <c r="IW2" s="398"/>
      <c r="IX2" s="396"/>
      <c r="IY2" s="398"/>
      <c r="IZ2" s="396"/>
      <c r="JA2" s="398"/>
      <c r="JB2" s="396"/>
      <c r="JC2" s="398"/>
      <c r="JD2" s="396"/>
      <c r="JE2" s="398"/>
      <c r="JF2" s="396"/>
      <c r="JG2" s="398"/>
      <c r="JH2" s="396"/>
      <c r="JI2" s="398"/>
      <c r="JJ2" s="396"/>
      <c r="JK2" s="398"/>
      <c r="JL2" s="396"/>
      <c r="JM2" s="398"/>
      <c r="JN2" s="396"/>
      <c r="JO2" s="398"/>
      <c r="JP2" s="396"/>
      <c r="JQ2" s="398"/>
      <c r="JR2" s="396"/>
      <c r="JS2" s="398"/>
      <c r="JT2" s="396"/>
      <c r="JU2" s="398"/>
      <c r="JV2" s="396"/>
      <c r="JW2" s="398"/>
      <c r="JX2" s="396"/>
      <c r="JY2" s="398"/>
      <c r="JZ2" s="396"/>
      <c r="KA2" s="398"/>
      <c r="KB2" s="396"/>
      <c r="KC2" s="398"/>
      <c r="KD2" s="396"/>
      <c r="KE2" s="398"/>
      <c r="KF2" s="396"/>
      <c r="KG2" s="398"/>
      <c r="KH2" s="396"/>
      <c r="KI2" s="398"/>
      <c r="KJ2" s="396"/>
      <c r="KK2" s="398"/>
      <c r="KL2" s="396"/>
      <c r="KM2" s="398"/>
      <c r="KN2" s="396"/>
      <c r="KO2" s="398"/>
      <c r="KP2" s="396"/>
      <c r="KQ2" s="398"/>
      <c r="KR2" s="396"/>
      <c r="KS2" s="398"/>
      <c r="KT2" s="396"/>
      <c r="KU2" s="398"/>
      <c r="KV2" s="396"/>
      <c r="KW2" s="398"/>
      <c r="KX2" s="396"/>
      <c r="KY2" s="398"/>
      <c r="KZ2" s="396"/>
      <c r="LA2" s="398"/>
      <c r="LB2" s="396"/>
      <c r="LC2" s="398"/>
      <c r="LD2" s="396"/>
      <c r="LE2" s="398"/>
      <c r="LF2" s="396"/>
      <c r="LG2" s="398"/>
      <c r="LH2" s="396"/>
      <c r="LI2" s="398"/>
      <c r="LJ2" s="396"/>
      <c r="LK2" s="398"/>
      <c r="LL2" s="396"/>
      <c r="LM2" s="398"/>
      <c r="LN2" s="396"/>
      <c r="LO2" s="398"/>
      <c r="LP2" s="396"/>
      <c r="LQ2" s="398"/>
      <c r="LR2" s="396"/>
      <c r="LS2" s="398"/>
      <c r="LT2" s="396"/>
      <c r="LU2" s="398"/>
      <c r="LV2" s="396"/>
      <c r="LW2" s="398"/>
      <c r="LX2" s="396"/>
      <c r="LY2" s="398"/>
      <c r="LZ2" s="396"/>
      <c r="MA2" s="398"/>
      <c r="MB2" s="396"/>
      <c r="MC2" s="398"/>
      <c r="MD2" s="396"/>
      <c r="ME2" s="398"/>
      <c r="MF2" s="396"/>
      <c r="MG2" s="398"/>
      <c r="MH2" s="396"/>
      <c r="MI2" s="398"/>
      <c r="MJ2" s="396"/>
      <c r="MK2" s="398"/>
      <c r="ML2" s="396"/>
      <c r="MM2" s="398"/>
      <c r="MN2" s="396"/>
      <c r="MO2" s="398"/>
      <c r="MP2" s="396"/>
      <c r="MQ2" s="398"/>
      <c r="MR2" s="396"/>
      <c r="MS2" s="398"/>
      <c r="MT2" s="396"/>
      <c r="MU2" s="398"/>
      <c r="MV2" s="396"/>
      <c r="MW2" s="398"/>
      <c r="MX2" s="396"/>
      <c r="MY2" s="398"/>
      <c r="MZ2" s="396"/>
      <c r="NA2" s="398"/>
      <c r="NB2" s="396"/>
      <c r="NC2" s="398"/>
      <c r="ND2" s="396"/>
      <c r="NE2" s="398"/>
      <c r="NF2" s="396"/>
      <c r="NG2" s="398"/>
      <c r="NH2" s="396"/>
      <c r="NI2" s="398"/>
      <c r="NJ2" s="396"/>
      <c r="NK2" s="398"/>
      <c r="NL2" s="396"/>
      <c r="NM2" s="398"/>
      <c r="NN2" s="396"/>
      <c r="NO2" s="398"/>
      <c r="NP2" s="396"/>
      <c r="NQ2" s="398"/>
      <c r="NR2" s="396"/>
      <c r="NS2" s="398"/>
      <c r="NT2" s="396"/>
      <c r="NU2" s="398"/>
      <c r="NV2" s="396"/>
      <c r="NW2" s="398"/>
      <c r="NX2" s="396"/>
      <c r="NY2" s="398"/>
      <c r="NZ2" s="396"/>
      <c r="OA2" s="398"/>
      <c r="OB2" s="396"/>
      <c r="OC2" s="398"/>
      <c r="OD2" s="396"/>
      <c r="OE2" s="398"/>
      <c r="OF2" s="397"/>
      <c r="OG2" s="397"/>
      <c r="OH2" s="396"/>
      <c r="OI2" s="398"/>
      <c r="OJ2" s="396"/>
      <c r="OK2" s="398"/>
      <c r="OL2" s="396"/>
      <c r="OM2" s="398"/>
      <c r="ON2" s="396"/>
      <c r="OO2" s="398"/>
      <c r="OP2" s="396"/>
      <c r="OQ2" s="398"/>
      <c r="OR2" s="396"/>
      <c r="OS2" s="398"/>
      <c r="OT2" s="396"/>
      <c r="OU2" s="398"/>
      <c r="OV2" s="396"/>
      <c r="OW2" s="398"/>
      <c r="OX2" s="396"/>
      <c r="OY2" s="398"/>
      <c r="OZ2" s="396"/>
      <c r="PA2" s="398"/>
      <c r="PB2" s="396"/>
      <c r="PC2" s="398"/>
      <c r="PD2" s="396"/>
      <c r="PE2" s="398"/>
      <c r="PF2" s="396"/>
      <c r="PG2" s="398"/>
      <c r="PH2" s="396"/>
      <c r="PI2" s="398"/>
      <c r="PJ2" s="396"/>
      <c r="PK2" s="398"/>
      <c r="PL2" s="396"/>
      <c r="PM2" s="398"/>
      <c r="PN2" s="396"/>
      <c r="PO2" s="398"/>
      <c r="PP2" s="396"/>
      <c r="PQ2" s="398"/>
      <c r="PR2" s="396"/>
      <c r="PS2" s="398"/>
      <c r="PT2" s="396"/>
      <c r="PU2" s="398"/>
      <c r="PV2" s="396"/>
      <c r="PW2" s="398"/>
      <c r="PX2" s="396"/>
      <c r="PY2" s="398"/>
      <c r="PZ2" s="396"/>
      <c r="QA2" s="398"/>
      <c r="QB2" s="396"/>
      <c r="QC2" s="398"/>
      <c r="QD2" s="396"/>
      <c r="QE2" s="398"/>
      <c r="QF2" s="396"/>
      <c r="QG2" s="398"/>
      <c r="QH2" s="396"/>
      <c r="QI2" s="398"/>
      <c r="QJ2" s="396"/>
      <c r="QK2" s="398"/>
      <c r="QL2" s="396"/>
      <c r="QM2" s="398"/>
      <c r="QN2" s="396"/>
      <c r="QO2" s="398"/>
      <c r="QP2" s="396"/>
      <c r="QQ2" s="398"/>
      <c r="QR2" s="396"/>
      <c r="QS2" s="398"/>
      <c r="QT2" s="396"/>
      <c r="QU2" s="398"/>
      <c r="QV2" s="396"/>
      <c r="QW2" s="398"/>
      <c r="QX2" s="396"/>
      <c r="QY2" s="398"/>
      <c r="QZ2" s="396"/>
      <c r="RA2" s="398"/>
      <c r="RB2" s="396"/>
      <c r="RC2" s="398"/>
      <c r="RD2" s="396"/>
      <c r="RE2" s="398"/>
      <c r="RF2" s="396"/>
      <c r="RG2" s="398"/>
      <c r="RH2" s="396"/>
      <c r="RI2" s="398"/>
      <c r="RJ2" s="396"/>
      <c r="RK2" s="398"/>
      <c r="RL2" s="396"/>
      <c r="RM2" s="398"/>
      <c r="RN2" s="396"/>
      <c r="RO2" s="398"/>
      <c r="RP2" s="396"/>
      <c r="RQ2" s="398"/>
      <c r="RR2" s="396"/>
      <c r="RS2" s="398"/>
      <c r="RT2" s="396"/>
      <c r="RU2" s="398"/>
      <c r="RV2" s="396"/>
      <c r="RW2" s="398"/>
      <c r="RX2" s="396"/>
      <c r="RY2" s="398"/>
      <c r="RZ2" s="396"/>
      <c r="SA2" s="398"/>
      <c r="SB2" s="396"/>
      <c r="SC2" s="398"/>
      <c r="SD2" s="396"/>
      <c r="SE2" s="398"/>
      <c r="SF2" s="396"/>
      <c r="SG2" s="398"/>
      <c r="SH2" s="396"/>
      <c r="SI2" s="398"/>
      <c r="SJ2" s="396"/>
      <c r="SK2" s="398"/>
      <c r="SL2" s="396"/>
      <c r="SM2" s="398"/>
      <c r="SN2" s="396"/>
      <c r="SO2" s="398"/>
      <c r="SP2" s="396"/>
      <c r="SQ2" s="398"/>
      <c r="SR2" s="396"/>
      <c r="SS2" s="398"/>
      <c r="ST2" s="396"/>
      <c r="SU2" s="398"/>
      <c r="SV2" s="396"/>
      <c r="SW2" s="398"/>
      <c r="SX2" s="396"/>
      <c r="SY2" s="398"/>
      <c r="SZ2" s="396"/>
      <c r="TA2" s="398"/>
      <c r="TB2" s="396"/>
      <c r="TC2" s="398"/>
      <c r="TD2" s="396"/>
      <c r="TE2" s="398"/>
      <c r="TF2" s="396"/>
      <c r="TG2" s="398"/>
      <c r="TH2" s="396"/>
      <c r="TI2" s="398"/>
      <c r="TJ2" s="396"/>
      <c r="TK2" s="398"/>
      <c r="TL2" s="396"/>
      <c r="TM2" s="398"/>
      <c r="TN2" s="396"/>
      <c r="TO2" s="398"/>
      <c r="TP2" s="396"/>
      <c r="TQ2" s="398"/>
      <c r="TR2" s="396"/>
      <c r="TS2" s="398"/>
      <c r="TT2" s="396"/>
      <c r="TU2" s="398"/>
      <c r="TV2" s="396"/>
      <c r="TW2" s="398"/>
      <c r="TX2" s="396"/>
      <c r="TY2" s="398"/>
      <c r="TZ2" s="396"/>
      <c r="UA2" s="398"/>
      <c r="UB2" s="396"/>
      <c r="UC2" s="398"/>
      <c r="UD2" s="396"/>
      <c r="UE2" s="398"/>
      <c r="UF2" s="396"/>
      <c r="UG2" s="398"/>
      <c r="UH2" s="396"/>
      <c r="UI2" s="398"/>
      <c r="UJ2" s="396"/>
      <c r="UK2" s="398"/>
      <c r="UL2" s="396"/>
      <c r="UM2" s="398"/>
      <c r="UN2" s="396"/>
      <c r="UO2" s="398"/>
      <c r="UP2" s="396"/>
      <c r="UQ2" s="398"/>
      <c r="UR2" s="396"/>
      <c r="US2" s="398"/>
      <c r="UT2" s="396"/>
      <c r="UU2" s="398"/>
      <c r="UV2" s="396"/>
      <c r="UW2" s="398"/>
      <c r="UX2" s="396"/>
      <c r="UY2" s="398"/>
      <c r="UZ2" s="396"/>
      <c r="VA2" s="398"/>
      <c r="VB2" s="396"/>
      <c r="VC2" s="398"/>
      <c r="VD2" s="396"/>
      <c r="VE2" s="398"/>
      <c r="VF2" s="396"/>
      <c r="VG2" s="398"/>
      <c r="VH2" s="396"/>
      <c r="VI2" s="398"/>
      <c r="VJ2" s="396"/>
      <c r="VK2" s="398"/>
      <c r="VL2" s="396"/>
      <c r="VM2" s="398"/>
      <c r="VN2" s="397"/>
      <c r="VO2" s="397"/>
      <c r="VP2" s="396"/>
      <c r="VQ2" s="398"/>
      <c r="VR2" s="397"/>
      <c r="VS2" s="397"/>
      <c r="VT2" s="396"/>
      <c r="VU2" s="398"/>
      <c r="VV2" s="396"/>
      <c r="VW2" s="398"/>
      <c r="VX2" s="396"/>
      <c r="VY2" s="398"/>
      <c r="VZ2" s="396"/>
      <c r="WA2" s="398"/>
      <c r="WB2" s="396"/>
      <c r="WC2" s="398"/>
      <c r="WD2" s="396"/>
      <c r="WE2" s="398"/>
      <c r="WF2" s="396"/>
      <c r="WG2" s="398"/>
      <c r="WH2" s="396"/>
      <c r="WI2" s="398"/>
      <c r="WJ2" s="396"/>
      <c r="WK2" s="398"/>
      <c r="WL2" s="397"/>
      <c r="WM2" s="397"/>
      <c r="WN2" s="396"/>
      <c r="WO2" s="398"/>
      <c r="WP2" s="397"/>
      <c r="WQ2" s="397"/>
      <c r="WR2" s="396"/>
      <c r="WS2" s="398"/>
      <c r="WT2" s="396"/>
      <c r="WU2" s="398"/>
      <c r="WV2" s="396"/>
      <c r="WW2" s="398"/>
      <c r="WX2" s="396"/>
      <c r="WY2" s="398"/>
      <c r="WZ2" s="396"/>
      <c r="XA2" s="398"/>
      <c r="XB2" s="396"/>
      <c r="XC2" s="398"/>
      <c r="XD2" s="397"/>
      <c r="XE2" s="397"/>
      <c r="XF2" s="396"/>
      <c r="XG2" s="398"/>
      <c r="XH2" s="396"/>
      <c r="XI2" s="398"/>
      <c r="XJ2" s="396"/>
      <c r="XK2" s="398"/>
      <c r="XL2" s="396"/>
      <c r="XM2" s="398"/>
      <c r="XN2" s="396"/>
      <c r="XO2" s="398"/>
      <c r="XP2" s="396"/>
      <c r="XQ2" s="398"/>
      <c r="XR2" s="397"/>
      <c r="XS2" s="397"/>
      <c r="XT2" s="396"/>
      <c r="XU2" s="398"/>
      <c r="XV2" s="396"/>
      <c r="XW2" s="398"/>
      <c r="XX2" s="396"/>
      <c r="XY2" s="398"/>
      <c r="XZ2" s="396"/>
      <c r="YA2" s="398"/>
      <c r="YB2" s="396"/>
      <c r="YC2" s="398"/>
      <c r="YD2" s="396"/>
      <c r="YE2" s="398"/>
    </row>
    <row r="3" spans="1:655" ht="30" x14ac:dyDescent="0.2">
      <c r="A3" s="143">
        <v>2012</v>
      </c>
      <c r="B3" s="71" t="s">
        <v>22</v>
      </c>
      <c r="C3" s="143" t="s">
        <v>22</v>
      </c>
      <c r="D3" s="71" t="s">
        <v>22</v>
      </c>
      <c r="E3" s="143" t="s">
        <v>22</v>
      </c>
      <c r="F3" s="15" t="s">
        <v>22</v>
      </c>
      <c r="G3" s="143" t="s">
        <v>22</v>
      </c>
      <c r="H3" s="71" t="s">
        <v>22</v>
      </c>
      <c r="I3" s="15" t="s">
        <v>22</v>
      </c>
      <c r="J3" s="71" t="s">
        <v>22</v>
      </c>
      <c r="K3" s="143" t="s">
        <v>22</v>
      </c>
      <c r="L3" s="15" t="s">
        <v>22</v>
      </c>
      <c r="M3" s="15" t="s">
        <v>22</v>
      </c>
      <c r="N3" s="71" t="s">
        <v>22</v>
      </c>
      <c r="O3" s="143" t="s">
        <v>22</v>
      </c>
      <c r="P3" s="15" t="s">
        <v>22</v>
      </c>
      <c r="Q3" s="15" t="s">
        <v>22</v>
      </c>
      <c r="R3" s="71" t="s">
        <v>22</v>
      </c>
      <c r="S3" s="143" t="s">
        <v>22</v>
      </c>
      <c r="T3" s="71" t="s">
        <v>22</v>
      </c>
      <c r="U3" s="143" t="s">
        <v>22</v>
      </c>
      <c r="V3" s="15" t="s">
        <v>22</v>
      </c>
      <c r="W3" s="15" t="s">
        <v>22</v>
      </c>
      <c r="X3" s="71" t="s">
        <v>22</v>
      </c>
      <c r="Y3" s="143" t="s">
        <v>22</v>
      </c>
      <c r="Z3" s="71" t="s">
        <v>22</v>
      </c>
      <c r="AA3" s="143" t="s">
        <v>22</v>
      </c>
      <c r="AB3" s="15" t="s">
        <v>22</v>
      </c>
      <c r="AC3" s="15" t="s">
        <v>22</v>
      </c>
      <c r="AD3" s="71" t="s">
        <v>22</v>
      </c>
      <c r="AE3" s="143" t="s">
        <v>22</v>
      </c>
      <c r="AF3" s="71" t="s">
        <v>22</v>
      </c>
      <c r="AG3" s="143" t="s">
        <v>22</v>
      </c>
      <c r="AH3" s="15" t="s">
        <v>22</v>
      </c>
      <c r="AI3" s="15" t="s">
        <v>22</v>
      </c>
      <c r="AJ3" s="71" t="s">
        <v>22</v>
      </c>
      <c r="AK3" s="143" t="s">
        <v>22</v>
      </c>
      <c r="AL3" s="15" t="s">
        <v>22</v>
      </c>
      <c r="AM3" s="15" t="s">
        <v>22</v>
      </c>
      <c r="AN3" s="71" t="s">
        <v>22</v>
      </c>
      <c r="AO3" s="143" t="s">
        <v>22</v>
      </c>
      <c r="AP3" s="15" t="s">
        <v>22</v>
      </c>
      <c r="AQ3" s="15" t="s">
        <v>22</v>
      </c>
      <c r="AR3" s="71" t="s">
        <v>22</v>
      </c>
      <c r="AS3" s="143" t="s">
        <v>22</v>
      </c>
      <c r="AT3" s="15" t="s">
        <v>22</v>
      </c>
      <c r="AU3" s="15" t="s">
        <v>22</v>
      </c>
      <c r="AV3" s="71" t="s">
        <v>22</v>
      </c>
      <c r="AW3" s="143" t="s">
        <v>22</v>
      </c>
      <c r="AX3" s="15" t="s">
        <v>22</v>
      </c>
      <c r="AY3" s="15" t="s">
        <v>22</v>
      </c>
      <c r="AZ3" s="71" t="s">
        <v>22</v>
      </c>
      <c r="BA3" s="143" t="s">
        <v>22</v>
      </c>
      <c r="BB3" s="15" t="s">
        <v>22</v>
      </c>
      <c r="BC3" s="15" t="s">
        <v>22</v>
      </c>
      <c r="BD3" s="71" t="s">
        <v>22</v>
      </c>
      <c r="BE3" s="143" t="s">
        <v>22</v>
      </c>
      <c r="BF3" s="71" t="s">
        <v>22</v>
      </c>
      <c r="BG3" s="143" t="s">
        <v>22</v>
      </c>
      <c r="BH3" s="15" t="s">
        <v>22</v>
      </c>
      <c r="BI3" s="15" t="s">
        <v>22</v>
      </c>
      <c r="BJ3" s="71" t="s">
        <v>22</v>
      </c>
      <c r="BK3" s="143" t="s">
        <v>22</v>
      </c>
      <c r="BL3" s="15" t="s">
        <v>22</v>
      </c>
      <c r="BM3" s="15" t="s">
        <v>22</v>
      </c>
      <c r="BN3" s="71" t="s">
        <v>22</v>
      </c>
      <c r="BO3" s="143" t="s">
        <v>22</v>
      </c>
      <c r="BP3" s="71" t="s">
        <v>22</v>
      </c>
      <c r="BQ3" s="143" t="s">
        <v>22</v>
      </c>
      <c r="BR3" s="15" t="s">
        <v>22</v>
      </c>
      <c r="BS3" s="15" t="s">
        <v>22</v>
      </c>
      <c r="BT3" s="71" t="s">
        <v>22</v>
      </c>
      <c r="BU3" s="143" t="s">
        <v>22</v>
      </c>
      <c r="BV3" s="71" t="s">
        <v>22</v>
      </c>
      <c r="BW3" s="143" t="s">
        <v>22</v>
      </c>
      <c r="BX3" s="15" t="s">
        <v>22</v>
      </c>
      <c r="BY3" s="15" t="s">
        <v>22</v>
      </c>
      <c r="BZ3" s="71" t="s">
        <v>22</v>
      </c>
      <c r="CA3" s="143" t="s">
        <v>22</v>
      </c>
      <c r="CB3" s="71" t="s">
        <v>22</v>
      </c>
      <c r="CC3" s="143" t="s">
        <v>22</v>
      </c>
      <c r="CD3" s="15" t="s">
        <v>22</v>
      </c>
      <c r="CE3" s="15" t="s">
        <v>22</v>
      </c>
      <c r="CF3" s="71" t="s">
        <v>22</v>
      </c>
      <c r="CG3" s="143" t="s">
        <v>22</v>
      </c>
      <c r="CH3" s="15" t="s">
        <v>22</v>
      </c>
      <c r="CI3" s="15" t="s">
        <v>22</v>
      </c>
      <c r="CJ3" s="71" t="s">
        <v>22</v>
      </c>
      <c r="CK3" s="143" t="s">
        <v>22</v>
      </c>
      <c r="CL3" s="15" t="s">
        <v>22</v>
      </c>
      <c r="CM3" s="15" t="s">
        <v>22</v>
      </c>
      <c r="CN3" s="71" t="s">
        <v>22</v>
      </c>
      <c r="CO3" s="143" t="s">
        <v>22</v>
      </c>
      <c r="CP3" s="15" t="s">
        <v>22</v>
      </c>
      <c r="CQ3" s="15" t="s">
        <v>22</v>
      </c>
      <c r="CR3" s="71" t="s">
        <v>22</v>
      </c>
      <c r="CS3" s="143" t="s">
        <v>22</v>
      </c>
      <c r="CT3" s="15" t="s">
        <v>22</v>
      </c>
      <c r="CU3" s="15" t="s">
        <v>22</v>
      </c>
      <c r="CV3" s="71" t="s">
        <v>22</v>
      </c>
      <c r="CW3" s="143" t="s">
        <v>22</v>
      </c>
      <c r="CX3" s="71" t="s">
        <v>22</v>
      </c>
      <c r="CY3" s="15" t="s">
        <v>22</v>
      </c>
      <c r="CZ3" s="71" t="s">
        <v>22</v>
      </c>
      <c r="DA3" s="15" t="s">
        <v>22</v>
      </c>
      <c r="DB3" s="71" t="s">
        <v>22</v>
      </c>
      <c r="DC3" s="143" t="s">
        <v>22</v>
      </c>
      <c r="DD3" s="15" t="s">
        <v>22</v>
      </c>
      <c r="DE3" s="15" t="s">
        <v>22</v>
      </c>
      <c r="DF3" s="71" t="s">
        <v>22</v>
      </c>
      <c r="DG3" s="143" t="s">
        <v>22</v>
      </c>
      <c r="DH3" s="15" t="s">
        <v>22</v>
      </c>
      <c r="DI3" s="15" t="s">
        <v>22</v>
      </c>
      <c r="DJ3" s="71" t="s">
        <v>22</v>
      </c>
      <c r="DK3" s="143" t="s">
        <v>22</v>
      </c>
      <c r="DL3" s="15" t="s">
        <v>22</v>
      </c>
      <c r="DM3" s="15" t="s">
        <v>22</v>
      </c>
      <c r="DN3" s="71" t="s">
        <v>22</v>
      </c>
      <c r="DO3" s="143" t="s">
        <v>22</v>
      </c>
      <c r="DP3" s="15" t="s">
        <v>22</v>
      </c>
      <c r="DQ3" s="15" t="s">
        <v>22</v>
      </c>
      <c r="DR3" s="71" t="s">
        <v>22</v>
      </c>
      <c r="DS3" s="143" t="s">
        <v>22</v>
      </c>
      <c r="DT3" s="15" t="s">
        <v>22</v>
      </c>
      <c r="DU3" s="15" t="s">
        <v>22</v>
      </c>
      <c r="DV3" s="71" t="s">
        <v>22</v>
      </c>
      <c r="DW3" s="143" t="s">
        <v>22</v>
      </c>
      <c r="DX3" s="15" t="s">
        <v>22</v>
      </c>
      <c r="DY3" s="15" t="s">
        <v>22</v>
      </c>
      <c r="DZ3" s="71" t="s">
        <v>22</v>
      </c>
      <c r="EA3" s="143" t="s">
        <v>22</v>
      </c>
      <c r="EB3" s="71" t="s">
        <v>22</v>
      </c>
      <c r="EC3" s="143" t="s">
        <v>22</v>
      </c>
      <c r="ED3" s="15" t="s">
        <v>22</v>
      </c>
      <c r="EE3" s="15" t="s">
        <v>22</v>
      </c>
      <c r="EF3" s="71" t="s">
        <v>22</v>
      </c>
      <c r="EG3" s="143" t="s">
        <v>22</v>
      </c>
      <c r="EH3" s="15" t="s">
        <v>22</v>
      </c>
      <c r="EI3" s="15" t="s">
        <v>22</v>
      </c>
      <c r="EJ3" s="71" t="s">
        <v>22</v>
      </c>
      <c r="EK3" s="143" t="s">
        <v>22</v>
      </c>
      <c r="EL3" s="15" t="s">
        <v>22</v>
      </c>
      <c r="EM3" s="15" t="s">
        <v>22</v>
      </c>
      <c r="EN3" s="71" t="s">
        <v>22</v>
      </c>
      <c r="EO3" s="143" t="s">
        <v>22</v>
      </c>
      <c r="EP3" s="15" t="s">
        <v>22</v>
      </c>
      <c r="EQ3" s="15" t="s">
        <v>22</v>
      </c>
      <c r="ER3" s="71" t="s">
        <v>22</v>
      </c>
      <c r="ES3" s="143" t="s">
        <v>22</v>
      </c>
      <c r="ET3" s="15" t="s">
        <v>22</v>
      </c>
      <c r="EU3" s="15" t="s">
        <v>22</v>
      </c>
      <c r="EV3" s="71" t="s">
        <v>22</v>
      </c>
      <c r="EW3" s="143" t="s">
        <v>22</v>
      </c>
      <c r="EX3" s="15" t="s">
        <v>22</v>
      </c>
      <c r="EY3" s="15" t="s">
        <v>22</v>
      </c>
      <c r="EZ3" s="71" t="s">
        <v>22</v>
      </c>
      <c r="FA3" s="143" t="s">
        <v>22</v>
      </c>
      <c r="FB3" s="71" t="s">
        <v>22</v>
      </c>
      <c r="FC3" s="143" t="s">
        <v>22</v>
      </c>
      <c r="FD3" s="71" t="s">
        <v>22</v>
      </c>
      <c r="FE3" s="143" t="s">
        <v>22</v>
      </c>
      <c r="FF3" s="15" t="s">
        <v>22</v>
      </c>
      <c r="FG3" s="15" t="s">
        <v>22</v>
      </c>
      <c r="FH3" s="71" t="s">
        <v>22</v>
      </c>
      <c r="FI3" s="143" t="s">
        <v>22</v>
      </c>
      <c r="FJ3" s="71" t="s">
        <v>22</v>
      </c>
      <c r="FK3" s="143" t="s">
        <v>22</v>
      </c>
      <c r="FL3" s="71" t="s">
        <v>22</v>
      </c>
      <c r="FM3" s="143" t="s">
        <v>22</v>
      </c>
      <c r="FN3" s="15" t="s">
        <v>22</v>
      </c>
      <c r="FO3" s="15" t="s">
        <v>22</v>
      </c>
      <c r="FP3" s="71" t="s">
        <v>22</v>
      </c>
      <c r="FQ3" s="143" t="s">
        <v>22</v>
      </c>
      <c r="FR3" s="71" t="s">
        <v>22</v>
      </c>
      <c r="FS3" s="143" t="s">
        <v>22</v>
      </c>
      <c r="FT3" s="15" t="s">
        <v>22</v>
      </c>
      <c r="FU3" s="15" t="s">
        <v>22</v>
      </c>
      <c r="FV3" s="71" t="s">
        <v>22</v>
      </c>
      <c r="FW3" s="143" t="s">
        <v>22</v>
      </c>
      <c r="FX3" s="15" t="s">
        <v>22</v>
      </c>
      <c r="FY3" s="15" t="s">
        <v>22</v>
      </c>
      <c r="FZ3" s="71" t="s">
        <v>22</v>
      </c>
      <c r="GA3" s="143" t="s">
        <v>22</v>
      </c>
      <c r="GB3" s="15" t="s">
        <v>22</v>
      </c>
      <c r="GC3" s="15" t="s">
        <v>22</v>
      </c>
      <c r="GD3" s="71" t="s">
        <v>22</v>
      </c>
      <c r="GE3" s="143" t="s">
        <v>22</v>
      </c>
      <c r="GF3" s="71" t="s">
        <v>22</v>
      </c>
      <c r="GG3" s="143" t="s">
        <v>22</v>
      </c>
      <c r="GH3" s="71" t="s">
        <v>22</v>
      </c>
      <c r="GI3" s="143" t="s">
        <v>22</v>
      </c>
      <c r="GJ3" s="15" t="s">
        <v>22</v>
      </c>
      <c r="GK3" s="15" t="s">
        <v>22</v>
      </c>
      <c r="GL3" s="71" t="s">
        <v>22</v>
      </c>
      <c r="GM3" s="143" t="s">
        <v>22</v>
      </c>
      <c r="GN3" s="71" t="s">
        <v>22</v>
      </c>
      <c r="GO3" s="143" t="s">
        <v>22</v>
      </c>
      <c r="GP3" s="15" t="s">
        <v>22</v>
      </c>
      <c r="GQ3" s="15" t="s">
        <v>22</v>
      </c>
      <c r="GR3" s="71" t="s">
        <v>22</v>
      </c>
      <c r="GS3" s="143" t="s">
        <v>22</v>
      </c>
      <c r="GT3" s="71" t="s">
        <v>22</v>
      </c>
      <c r="GU3" s="143" t="s">
        <v>22</v>
      </c>
      <c r="GV3" s="71" t="s">
        <v>22</v>
      </c>
      <c r="GW3" s="143" t="s">
        <v>22</v>
      </c>
      <c r="GX3" s="71" t="s">
        <v>22</v>
      </c>
      <c r="GY3" s="143" t="s">
        <v>22</v>
      </c>
      <c r="GZ3" s="71" t="s">
        <v>22</v>
      </c>
      <c r="HA3" s="143" t="s">
        <v>22</v>
      </c>
      <c r="HB3" s="71" t="s">
        <v>22</v>
      </c>
      <c r="HC3" s="143" t="s">
        <v>22</v>
      </c>
      <c r="HD3" s="15" t="s">
        <v>22</v>
      </c>
      <c r="HE3" s="15" t="s">
        <v>22</v>
      </c>
      <c r="HF3" s="71" t="s">
        <v>22</v>
      </c>
      <c r="HG3" s="143" t="s">
        <v>22</v>
      </c>
      <c r="HH3" s="71" t="s">
        <v>22</v>
      </c>
      <c r="HI3" s="143" t="s">
        <v>22</v>
      </c>
      <c r="HJ3" s="15" t="s">
        <v>22</v>
      </c>
      <c r="HK3" s="15" t="s">
        <v>22</v>
      </c>
      <c r="HL3" s="71" t="s">
        <v>22</v>
      </c>
      <c r="HM3" s="143" t="s">
        <v>22</v>
      </c>
      <c r="HN3" s="71" t="s">
        <v>22</v>
      </c>
      <c r="HO3" s="143" t="s">
        <v>22</v>
      </c>
      <c r="HP3" s="15" t="s">
        <v>22</v>
      </c>
      <c r="HQ3" s="15" t="s">
        <v>22</v>
      </c>
      <c r="HR3" s="71" t="s">
        <v>22</v>
      </c>
      <c r="HS3" s="143" t="s">
        <v>22</v>
      </c>
      <c r="HT3" s="15"/>
      <c r="HU3" s="15"/>
      <c r="HV3" s="317" t="s">
        <v>1711</v>
      </c>
      <c r="HW3" s="143" t="str">
        <f ca="1">CHOOSE(WEEKDAY(DATE($A3,HV$43,HW$42),2),"Monday","Tuesday","Wednesday","Thursday","Friday","Saturday","Sunday")</f>
        <v>Wednesday</v>
      </c>
      <c r="HX3" s="71" t="s">
        <v>22</v>
      </c>
      <c r="HY3" s="143" t="s">
        <v>22</v>
      </c>
      <c r="HZ3" s="15" t="s">
        <v>22</v>
      </c>
      <c r="IA3" s="15" t="s">
        <v>22</v>
      </c>
      <c r="IB3" s="71" t="s">
        <v>22</v>
      </c>
      <c r="IC3" s="143" t="s">
        <v>22</v>
      </c>
      <c r="ID3" s="15" t="s">
        <v>22</v>
      </c>
      <c r="IE3" s="15" t="s">
        <v>22</v>
      </c>
      <c r="IF3" s="71" t="s">
        <v>22</v>
      </c>
      <c r="IG3" s="143" t="s">
        <v>22</v>
      </c>
      <c r="IH3" s="15" t="s">
        <v>22</v>
      </c>
      <c r="II3" s="15" t="s">
        <v>22</v>
      </c>
      <c r="IJ3" s="71" t="s">
        <v>22</v>
      </c>
      <c r="IK3" s="143" t="s">
        <v>22</v>
      </c>
      <c r="IL3" s="71" t="s">
        <v>22</v>
      </c>
      <c r="IM3" s="143" t="s">
        <v>22</v>
      </c>
      <c r="IN3" s="71" t="s">
        <v>22</v>
      </c>
      <c r="IO3" s="143" t="s">
        <v>22</v>
      </c>
      <c r="IP3" s="71" t="s">
        <v>22</v>
      </c>
      <c r="IQ3" s="143" t="s">
        <v>22</v>
      </c>
      <c r="IR3" s="15" t="s">
        <v>22</v>
      </c>
      <c r="IS3" s="15" t="s">
        <v>22</v>
      </c>
      <c r="IT3" s="71" t="s">
        <v>22</v>
      </c>
      <c r="IU3" s="143" t="s">
        <v>22</v>
      </c>
      <c r="IV3" s="71" t="s">
        <v>22</v>
      </c>
      <c r="IW3" s="143" t="s">
        <v>22</v>
      </c>
      <c r="IX3" s="71" t="s">
        <v>22</v>
      </c>
      <c r="IY3" s="143" t="s">
        <v>22</v>
      </c>
      <c r="IZ3" s="15" t="s">
        <v>22</v>
      </c>
      <c r="JA3" s="15" t="s">
        <v>22</v>
      </c>
      <c r="JB3" s="71" t="s">
        <v>22</v>
      </c>
      <c r="JC3" s="143" t="s">
        <v>22</v>
      </c>
      <c r="JD3" s="15" t="s">
        <v>22</v>
      </c>
      <c r="JE3" s="15" t="s">
        <v>22</v>
      </c>
      <c r="JF3" s="71" t="s">
        <v>22</v>
      </c>
      <c r="JG3" s="143" t="s">
        <v>22</v>
      </c>
      <c r="JH3" s="71" t="s">
        <v>22</v>
      </c>
      <c r="JI3" s="143" t="s">
        <v>22</v>
      </c>
      <c r="JJ3" s="71" t="s">
        <v>22</v>
      </c>
      <c r="JK3" s="143" t="s">
        <v>22</v>
      </c>
      <c r="JL3" s="15" t="s">
        <v>22</v>
      </c>
      <c r="JM3" s="15" t="s">
        <v>22</v>
      </c>
      <c r="JN3" s="71" t="s">
        <v>22</v>
      </c>
      <c r="JO3" s="143" t="s">
        <v>22</v>
      </c>
      <c r="JP3" s="15" t="s">
        <v>22</v>
      </c>
      <c r="JQ3" s="15" t="s">
        <v>22</v>
      </c>
      <c r="JR3" s="71" t="s">
        <v>22</v>
      </c>
      <c r="JS3" s="143" t="s">
        <v>22</v>
      </c>
      <c r="JT3" s="15" t="s">
        <v>22</v>
      </c>
      <c r="JU3" s="15" t="s">
        <v>22</v>
      </c>
      <c r="JV3" s="71" t="s">
        <v>22</v>
      </c>
      <c r="JW3" s="143" t="s">
        <v>22</v>
      </c>
      <c r="JX3" s="15" t="s">
        <v>22</v>
      </c>
      <c r="JY3" s="15" t="s">
        <v>22</v>
      </c>
      <c r="JZ3" s="71" t="s">
        <v>22</v>
      </c>
      <c r="KA3" s="143" t="s">
        <v>22</v>
      </c>
      <c r="KB3" s="71" t="s">
        <v>22</v>
      </c>
      <c r="KC3" s="143" t="s">
        <v>22</v>
      </c>
      <c r="KD3" s="71" t="s">
        <v>22</v>
      </c>
      <c r="KE3" s="143" t="s">
        <v>22</v>
      </c>
      <c r="KF3" s="15" t="s">
        <v>22</v>
      </c>
      <c r="KG3" s="15" t="s">
        <v>22</v>
      </c>
      <c r="KH3" s="71" t="s">
        <v>22</v>
      </c>
      <c r="KI3" s="143" t="s">
        <v>22</v>
      </c>
      <c r="KJ3" s="71" t="s">
        <v>22</v>
      </c>
      <c r="KK3" s="143" t="s">
        <v>22</v>
      </c>
      <c r="KL3" s="71" t="s">
        <v>22</v>
      </c>
      <c r="KM3" s="143" t="s">
        <v>22</v>
      </c>
      <c r="KN3" s="15" t="s">
        <v>22</v>
      </c>
      <c r="KO3" s="15" t="s">
        <v>22</v>
      </c>
      <c r="KP3" s="71" t="s">
        <v>22</v>
      </c>
      <c r="KQ3" s="143" t="s">
        <v>22</v>
      </c>
      <c r="KR3" s="15" t="s">
        <v>22</v>
      </c>
      <c r="KS3" s="15" t="s">
        <v>22</v>
      </c>
      <c r="KT3" s="71" t="s">
        <v>22</v>
      </c>
      <c r="KU3" s="143" t="s">
        <v>22</v>
      </c>
      <c r="KV3" s="15" t="s">
        <v>22</v>
      </c>
      <c r="KW3" s="15" t="s">
        <v>22</v>
      </c>
      <c r="KX3" s="71" t="s">
        <v>22</v>
      </c>
      <c r="KY3" s="143" t="s">
        <v>22</v>
      </c>
      <c r="KZ3" s="15" t="s">
        <v>22</v>
      </c>
      <c r="LA3" s="15" t="s">
        <v>22</v>
      </c>
      <c r="LB3" s="71" t="s">
        <v>22</v>
      </c>
      <c r="LC3" s="143" t="s">
        <v>22</v>
      </c>
      <c r="LD3" s="15" t="s">
        <v>22</v>
      </c>
      <c r="LE3" s="15" t="s">
        <v>22</v>
      </c>
      <c r="LF3" s="71" t="s">
        <v>22</v>
      </c>
      <c r="LG3" s="143" t="s">
        <v>22</v>
      </c>
      <c r="LH3" s="15" t="s">
        <v>22</v>
      </c>
      <c r="LI3" s="15" t="s">
        <v>22</v>
      </c>
      <c r="LJ3" s="71" t="s">
        <v>22</v>
      </c>
      <c r="LK3" s="143" t="s">
        <v>22</v>
      </c>
      <c r="LL3" s="15" t="s">
        <v>22</v>
      </c>
      <c r="LM3" s="15" t="s">
        <v>22</v>
      </c>
      <c r="LN3" s="71" t="s">
        <v>22</v>
      </c>
      <c r="LO3" s="143" t="s">
        <v>22</v>
      </c>
      <c r="LP3" s="15" t="s">
        <v>22</v>
      </c>
      <c r="LQ3" s="15" t="s">
        <v>22</v>
      </c>
      <c r="LR3" s="71" t="s">
        <v>22</v>
      </c>
      <c r="LS3" s="143" t="s">
        <v>22</v>
      </c>
      <c r="LT3" s="15" t="s">
        <v>22</v>
      </c>
      <c r="LU3" s="15" t="s">
        <v>22</v>
      </c>
      <c r="LV3" s="71" t="s">
        <v>22</v>
      </c>
      <c r="LW3" s="143" t="s">
        <v>22</v>
      </c>
      <c r="LX3" s="15" t="s">
        <v>22</v>
      </c>
      <c r="LY3" s="15" t="s">
        <v>22</v>
      </c>
      <c r="LZ3" s="71" t="s">
        <v>22</v>
      </c>
      <c r="MA3" s="143" t="s">
        <v>22</v>
      </c>
      <c r="MB3" s="15" t="s">
        <v>22</v>
      </c>
      <c r="MC3" s="15" t="s">
        <v>22</v>
      </c>
      <c r="MD3" s="71" t="s">
        <v>22</v>
      </c>
      <c r="ME3" s="143" t="s">
        <v>22</v>
      </c>
      <c r="MF3" s="15" t="s">
        <v>22</v>
      </c>
      <c r="MG3" s="15" t="s">
        <v>22</v>
      </c>
      <c r="MH3" s="71" t="s">
        <v>22</v>
      </c>
      <c r="MI3" s="143" t="s">
        <v>22</v>
      </c>
      <c r="MJ3" s="71" t="s">
        <v>22</v>
      </c>
      <c r="MK3" s="143" t="s">
        <v>22</v>
      </c>
      <c r="ML3" s="71" t="s">
        <v>22</v>
      </c>
      <c r="MM3" s="143" t="s">
        <v>22</v>
      </c>
      <c r="MN3" s="15" t="s">
        <v>22</v>
      </c>
      <c r="MO3" s="15" t="s">
        <v>22</v>
      </c>
      <c r="MP3" s="71" t="s">
        <v>22</v>
      </c>
      <c r="MQ3" s="143" t="s">
        <v>22</v>
      </c>
      <c r="MR3" s="15" t="s">
        <v>22</v>
      </c>
      <c r="MS3" s="15" t="s">
        <v>22</v>
      </c>
      <c r="MT3" s="71" t="s">
        <v>22</v>
      </c>
      <c r="MU3" s="143" t="s">
        <v>22</v>
      </c>
      <c r="MV3" s="15" t="s">
        <v>22</v>
      </c>
      <c r="MW3" s="15" t="s">
        <v>22</v>
      </c>
      <c r="MX3" s="71" t="s">
        <v>22</v>
      </c>
      <c r="MY3" s="143" t="s">
        <v>22</v>
      </c>
      <c r="MZ3" s="71" t="s">
        <v>22</v>
      </c>
      <c r="NA3" s="143" t="s">
        <v>22</v>
      </c>
      <c r="NB3" s="15" t="s">
        <v>22</v>
      </c>
      <c r="NC3" s="15" t="s">
        <v>22</v>
      </c>
      <c r="ND3" s="71" t="s">
        <v>22</v>
      </c>
      <c r="NE3" s="143" t="s">
        <v>22</v>
      </c>
      <c r="NF3" s="15" t="s">
        <v>22</v>
      </c>
      <c r="NG3" s="15" t="s">
        <v>22</v>
      </c>
      <c r="NH3" s="71" t="s">
        <v>22</v>
      </c>
      <c r="NI3" s="143" t="s">
        <v>22</v>
      </c>
      <c r="NJ3" s="15" t="s">
        <v>22</v>
      </c>
      <c r="NK3" s="15" t="s">
        <v>22</v>
      </c>
      <c r="NL3" s="71" t="s">
        <v>22</v>
      </c>
      <c r="NM3" s="143" t="s">
        <v>22</v>
      </c>
      <c r="NN3" s="71" t="s">
        <v>22</v>
      </c>
      <c r="NO3" s="143" t="s">
        <v>22</v>
      </c>
      <c r="NP3" s="15" t="s">
        <v>22</v>
      </c>
      <c r="NQ3" s="15" t="s">
        <v>22</v>
      </c>
      <c r="NR3" s="71" t="s">
        <v>22</v>
      </c>
      <c r="NS3" s="143" t="s">
        <v>22</v>
      </c>
      <c r="NT3" s="15" t="s">
        <v>22</v>
      </c>
      <c r="NU3" s="15" t="s">
        <v>22</v>
      </c>
      <c r="NV3" s="71" t="s">
        <v>22</v>
      </c>
      <c r="NW3" s="143" t="s">
        <v>22</v>
      </c>
      <c r="NX3" s="15" t="s">
        <v>22</v>
      </c>
      <c r="NY3" s="15" t="s">
        <v>22</v>
      </c>
      <c r="NZ3" s="71" t="s">
        <v>22</v>
      </c>
      <c r="OA3" s="143" t="s">
        <v>22</v>
      </c>
      <c r="OB3" s="15" t="s">
        <v>22</v>
      </c>
      <c r="OC3" s="15" t="s">
        <v>22</v>
      </c>
      <c r="OD3" s="71" t="s">
        <v>22</v>
      </c>
      <c r="OE3" s="143" t="s">
        <v>22</v>
      </c>
      <c r="OF3" s="15" t="s">
        <v>22</v>
      </c>
      <c r="OG3" s="15" t="s">
        <v>22</v>
      </c>
      <c r="OH3" s="71" t="s">
        <v>22</v>
      </c>
      <c r="OI3" s="143" t="s">
        <v>22</v>
      </c>
      <c r="OJ3" s="15" t="s">
        <v>22</v>
      </c>
      <c r="OK3" s="15" t="s">
        <v>22</v>
      </c>
      <c r="OL3" s="71" t="s">
        <v>22</v>
      </c>
      <c r="OM3" s="143" t="s">
        <v>22</v>
      </c>
      <c r="ON3" s="71" t="s">
        <v>22</v>
      </c>
      <c r="OO3" s="143" t="s">
        <v>22</v>
      </c>
      <c r="OP3" s="15" t="s">
        <v>22</v>
      </c>
      <c r="OQ3" s="15" t="s">
        <v>22</v>
      </c>
      <c r="OR3" s="71" t="s">
        <v>22</v>
      </c>
      <c r="OS3" s="143" t="s">
        <v>22</v>
      </c>
      <c r="OT3" s="71" t="s">
        <v>22</v>
      </c>
      <c r="OU3" s="143" t="s">
        <v>22</v>
      </c>
      <c r="OV3" s="15" t="s">
        <v>22</v>
      </c>
      <c r="OW3" s="15" t="s">
        <v>22</v>
      </c>
      <c r="OX3" s="71" t="s">
        <v>22</v>
      </c>
      <c r="OY3" s="143" t="s">
        <v>22</v>
      </c>
      <c r="OZ3" s="15" t="s">
        <v>22</v>
      </c>
      <c r="PA3" s="15" t="s">
        <v>22</v>
      </c>
      <c r="PB3" s="71" t="s">
        <v>22</v>
      </c>
      <c r="PC3" s="143" t="s">
        <v>22</v>
      </c>
      <c r="PD3" s="15" t="s">
        <v>22</v>
      </c>
      <c r="PE3" s="15" t="s">
        <v>22</v>
      </c>
      <c r="PF3" s="71" t="s">
        <v>22</v>
      </c>
      <c r="PG3" s="15" t="s">
        <v>22</v>
      </c>
      <c r="PH3" s="71" t="s">
        <v>22</v>
      </c>
      <c r="PI3" s="143" t="s">
        <v>22</v>
      </c>
      <c r="PJ3" s="71" t="s">
        <v>22</v>
      </c>
      <c r="PK3" s="143" t="s">
        <v>22</v>
      </c>
      <c r="PL3" s="15" t="s">
        <v>22</v>
      </c>
      <c r="PM3" s="15" t="s">
        <v>22</v>
      </c>
      <c r="PN3" s="71" t="s">
        <v>22</v>
      </c>
      <c r="PO3" s="143" t="s">
        <v>22</v>
      </c>
      <c r="PP3" s="15" t="s">
        <v>22</v>
      </c>
      <c r="PQ3" s="15" t="s">
        <v>22</v>
      </c>
      <c r="PR3" s="71" t="s">
        <v>22</v>
      </c>
      <c r="PS3" s="143" t="s">
        <v>22</v>
      </c>
      <c r="PT3" s="15" t="s">
        <v>22</v>
      </c>
      <c r="PU3" s="15" t="s">
        <v>22</v>
      </c>
      <c r="PV3" s="71" t="s">
        <v>22</v>
      </c>
      <c r="PW3" s="143" t="s">
        <v>22</v>
      </c>
      <c r="PX3" s="15" t="s">
        <v>22</v>
      </c>
      <c r="PY3" s="15" t="s">
        <v>22</v>
      </c>
      <c r="PZ3" s="71" t="s">
        <v>22</v>
      </c>
      <c r="QA3" s="143" t="s">
        <v>22</v>
      </c>
      <c r="QB3" s="15" t="s">
        <v>22</v>
      </c>
      <c r="QC3" s="15" t="s">
        <v>22</v>
      </c>
      <c r="QD3" s="71" t="s">
        <v>22</v>
      </c>
      <c r="QE3" s="143" t="s">
        <v>22</v>
      </c>
      <c r="QF3" s="15" t="s">
        <v>22</v>
      </c>
      <c r="QG3" s="15" t="s">
        <v>22</v>
      </c>
      <c r="QH3" s="71" t="s">
        <v>22</v>
      </c>
      <c r="QI3" s="143" t="s">
        <v>22</v>
      </c>
      <c r="QJ3" s="15" t="s">
        <v>22</v>
      </c>
      <c r="QK3" s="15" t="s">
        <v>22</v>
      </c>
      <c r="QL3" s="71" t="s">
        <v>22</v>
      </c>
      <c r="QM3" s="143" t="s">
        <v>22</v>
      </c>
      <c r="QN3" s="15" t="s">
        <v>22</v>
      </c>
      <c r="QO3" s="15" t="s">
        <v>22</v>
      </c>
      <c r="QP3" s="71" t="s">
        <v>22</v>
      </c>
      <c r="QQ3" s="143" t="s">
        <v>22</v>
      </c>
      <c r="QR3" s="15" t="s">
        <v>22</v>
      </c>
      <c r="QS3" s="15" t="s">
        <v>22</v>
      </c>
      <c r="QT3" s="71" t="s">
        <v>22</v>
      </c>
      <c r="QU3" s="154" t="s">
        <v>22</v>
      </c>
      <c r="QV3" s="15" t="s">
        <v>22</v>
      </c>
      <c r="QW3" s="15" t="s">
        <v>22</v>
      </c>
      <c r="QX3" s="71" t="s">
        <v>22</v>
      </c>
      <c r="QY3" s="143" t="s">
        <v>22</v>
      </c>
      <c r="QZ3" s="15" t="s">
        <v>22</v>
      </c>
      <c r="RA3" s="143" t="s">
        <v>22</v>
      </c>
      <c r="RB3" s="15" t="s">
        <v>22</v>
      </c>
      <c r="RC3" s="143" t="s">
        <v>22</v>
      </c>
      <c r="RD3" s="15" t="s">
        <v>22</v>
      </c>
      <c r="RE3" s="15" t="s">
        <v>22</v>
      </c>
      <c r="RF3" s="71" t="s">
        <v>22</v>
      </c>
      <c r="RG3" s="143" t="s">
        <v>22</v>
      </c>
      <c r="RH3" s="15" t="s">
        <v>22</v>
      </c>
      <c r="RI3" s="15" t="s">
        <v>22</v>
      </c>
      <c r="RJ3" s="71" t="s">
        <v>22</v>
      </c>
      <c r="RK3" s="143" t="s">
        <v>22</v>
      </c>
      <c r="RL3" s="71" t="s">
        <v>22</v>
      </c>
      <c r="RM3" s="143" t="s">
        <v>22</v>
      </c>
      <c r="RN3" s="15" t="s">
        <v>22</v>
      </c>
      <c r="RO3" s="15" t="s">
        <v>22</v>
      </c>
      <c r="RP3" s="71" t="s">
        <v>22</v>
      </c>
      <c r="RQ3" s="143" t="s">
        <v>22</v>
      </c>
      <c r="RR3" s="318" t="s">
        <v>1892</v>
      </c>
      <c r="RS3" s="15" t="str">
        <f t="shared" ref="RS3:RS4" ca="1" si="0">CHOOSE(WEEKDAY(DATE($A3,RR$43,RS$42),2),"Monday","Tuesday","Wednesday","Thursday","Friday","Saturday","Sunday")</f>
        <v>Monday</v>
      </c>
      <c r="RT3" s="71" t="s">
        <v>22</v>
      </c>
      <c r="RU3" s="143" t="s">
        <v>22</v>
      </c>
      <c r="RV3" s="15" t="s">
        <v>22</v>
      </c>
      <c r="RW3" s="15" t="s">
        <v>22</v>
      </c>
      <c r="RX3" s="71" t="s">
        <v>22</v>
      </c>
      <c r="RY3" s="143" t="s">
        <v>22</v>
      </c>
      <c r="RZ3" s="71" t="s">
        <v>22</v>
      </c>
      <c r="SA3" s="143" t="s">
        <v>22</v>
      </c>
      <c r="SB3" s="71" t="s">
        <v>22</v>
      </c>
      <c r="SC3" s="143" t="s">
        <v>22</v>
      </c>
      <c r="SD3" s="15" t="s">
        <v>22</v>
      </c>
      <c r="SE3" s="15" t="s">
        <v>22</v>
      </c>
      <c r="SF3" s="71" t="s">
        <v>22</v>
      </c>
      <c r="SG3" s="143" t="s">
        <v>22</v>
      </c>
      <c r="SH3" s="15" t="s">
        <v>22</v>
      </c>
      <c r="SI3" s="15" t="s">
        <v>22</v>
      </c>
      <c r="SJ3" s="71" t="s">
        <v>22</v>
      </c>
      <c r="SK3" s="143" t="s">
        <v>22</v>
      </c>
      <c r="SL3" s="71" t="s">
        <v>22</v>
      </c>
      <c r="SM3" s="143" t="s">
        <v>22</v>
      </c>
      <c r="SN3" s="15" t="s">
        <v>22</v>
      </c>
      <c r="SO3" s="15" t="s">
        <v>22</v>
      </c>
      <c r="SP3" s="71" t="s">
        <v>22</v>
      </c>
      <c r="SQ3" s="143" t="s">
        <v>22</v>
      </c>
      <c r="SR3" s="15" t="s">
        <v>22</v>
      </c>
      <c r="SS3" s="15" t="s">
        <v>22</v>
      </c>
      <c r="ST3" s="71" t="s">
        <v>22</v>
      </c>
      <c r="SU3" s="143" t="s">
        <v>22</v>
      </c>
      <c r="SV3" s="15" t="s">
        <v>22</v>
      </c>
      <c r="SW3" s="15" t="s">
        <v>22</v>
      </c>
      <c r="SX3" s="71" t="s">
        <v>22</v>
      </c>
      <c r="SY3" s="143" t="s">
        <v>22</v>
      </c>
      <c r="SZ3" s="15" t="s">
        <v>22</v>
      </c>
      <c r="TA3" s="15" t="s">
        <v>22</v>
      </c>
      <c r="TB3" s="71" t="s">
        <v>22</v>
      </c>
      <c r="TC3" s="143" t="s">
        <v>22</v>
      </c>
      <c r="TD3" s="15" t="s">
        <v>22</v>
      </c>
      <c r="TE3" s="15" t="s">
        <v>22</v>
      </c>
      <c r="TF3" s="71" t="s">
        <v>22</v>
      </c>
      <c r="TG3" s="143" t="s">
        <v>22</v>
      </c>
      <c r="TH3" s="15" t="s">
        <v>22</v>
      </c>
      <c r="TI3" s="143" t="s">
        <v>22</v>
      </c>
      <c r="TJ3" s="71" t="s">
        <v>22</v>
      </c>
      <c r="TK3" s="15" t="s">
        <v>22</v>
      </c>
      <c r="TL3" s="71" t="s">
        <v>22</v>
      </c>
      <c r="TM3" s="143" t="s">
        <v>22</v>
      </c>
      <c r="TN3" s="15" t="s">
        <v>22</v>
      </c>
      <c r="TO3" s="15" t="s">
        <v>22</v>
      </c>
      <c r="TP3" s="71" t="s">
        <v>22</v>
      </c>
      <c r="TQ3" s="143" t="s">
        <v>22</v>
      </c>
      <c r="TR3" s="15" t="s">
        <v>22</v>
      </c>
      <c r="TS3" s="15" t="s">
        <v>22</v>
      </c>
      <c r="TT3" s="71" t="s">
        <v>22</v>
      </c>
      <c r="TU3" s="143" t="s">
        <v>22</v>
      </c>
      <c r="TV3" s="15" t="s">
        <v>22</v>
      </c>
      <c r="TW3" s="15" t="s">
        <v>22</v>
      </c>
      <c r="TX3" s="71" t="s">
        <v>22</v>
      </c>
      <c r="TY3" s="143" t="s">
        <v>22</v>
      </c>
      <c r="TZ3" s="71" t="s">
        <v>22</v>
      </c>
      <c r="UA3" s="143" t="s">
        <v>22</v>
      </c>
      <c r="UB3" s="15" t="s">
        <v>22</v>
      </c>
      <c r="UC3" s="15" t="s">
        <v>22</v>
      </c>
      <c r="UD3" s="71" t="s">
        <v>22</v>
      </c>
      <c r="UE3" s="143" t="s">
        <v>22</v>
      </c>
      <c r="UF3" s="15" t="s">
        <v>22</v>
      </c>
      <c r="UG3" s="15" t="s">
        <v>22</v>
      </c>
      <c r="UH3" s="71" t="s">
        <v>22</v>
      </c>
      <c r="UI3" s="143" t="s">
        <v>22</v>
      </c>
      <c r="UJ3" s="71" t="s">
        <v>22</v>
      </c>
      <c r="UK3" s="143" t="s">
        <v>22</v>
      </c>
      <c r="UL3" s="15" t="s">
        <v>22</v>
      </c>
      <c r="UM3" s="15" t="s">
        <v>22</v>
      </c>
      <c r="UN3" s="71" t="s">
        <v>22</v>
      </c>
      <c r="UO3" s="143" t="s">
        <v>22</v>
      </c>
      <c r="UP3" s="15" t="s">
        <v>22</v>
      </c>
      <c r="UQ3" s="15" t="s">
        <v>22</v>
      </c>
      <c r="UR3" s="71" t="s">
        <v>22</v>
      </c>
      <c r="US3" s="143" t="s">
        <v>22</v>
      </c>
      <c r="UT3" s="71" t="s">
        <v>22</v>
      </c>
      <c r="UU3" s="143" t="s">
        <v>22</v>
      </c>
      <c r="UV3" s="15" t="s">
        <v>22</v>
      </c>
      <c r="UW3" s="15" t="s">
        <v>22</v>
      </c>
      <c r="UX3" s="71" t="s">
        <v>22</v>
      </c>
      <c r="UY3" s="143" t="s">
        <v>22</v>
      </c>
      <c r="UZ3" s="15" t="s">
        <v>22</v>
      </c>
      <c r="VA3" s="15" t="s">
        <v>22</v>
      </c>
      <c r="VB3" s="71" t="s">
        <v>22</v>
      </c>
      <c r="VC3" s="143" t="s">
        <v>22</v>
      </c>
      <c r="VD3" s="318" t="s">
        <v>1952</v>
      </c>
      <c r="VE3" s="15" t="str">
        <f ca="1">CHOOSE(WEEKDAY(DATE($A3,VD$43,VE$42),2),"Monday","Tuesday","Wednesday","Thursday","Friday","Saturday","Sunday")</f>
        <v>Wednesday</v>
      </c>
      <c r="VF3" s="71" t="s">
        <v>22</v>
      </c>
      <c r="VG3" s="143" t="s">
        <v>22</v>
      </c>
      <c r="VH3" s="71" t="s">
        <v>22</v>
      </c>
      <c r="VI3" s="143" t="s">
        <v>22</v>
      </c>
      <c r="VJ3" s="15" t="s">
        <v>22</v>
      </c>
      <c r="VK3" s="15" t="s">
        <v>22</v>
      </c>
      <c r="VL3" s="71" t="s">
        <v>22</v>
      </c>
      <c r="VM3" s="143" t="s">
        <v>22</v>
      </c>
      <c r="VN3" s="15" t="s">
        <v>22</v>
      </c>
      <c r="VO3" s="15" t="s">
        <v>22</v>
      </c>
      <c r="VP3" s="71" t="s">
        <v>22</v>
      </c>
      <c r="VQ3" s="143" t="s">
        <v>22</v>
      </c>
      <c r="VR3" s="15" t="s">
        <v>22</v>
      </c>
      <c r="VS3" s="15" t="s">
        <v>22</v>
      </c>
      <c r="VT3" s="71" t="s">
        <v>22</v>
      </c>
      <c r="VU3" s="143" t="s">
        <v>22</v>
      </c>
      <c r="VV3" s="71" t="s">
        <v>22</v>
      </c>
      <c r="VW3" s="143" t="s">
        <v>22</v>
      </c>
      <c r="VX3" s="15" t="s">
        <v>22</v>
      </c>
      <c r="VY3" s="143" t="s">
        <v>22</v>
      </c>
      <c r="VZ3" s="71" t="s">
        <v>22</v>
      </c>
      <c r="WA3" s="143" t="s">
        <v>22</v>
      </c>
      <c r="WB3" s="71" t="s">
        <v>22</v>
      </c>
      <c r="WC3" s="143" t="s">
        <v>22</v>
      </c>
      <c r="WD3" s="15" t="s">
        <v>22</v>
      </c>
      <c r="WE3" s="15" t="s">
        <v>22</v>
      </c>
      <c r="WF3" s="71" t="s">
        <v>22</v>
      </c>
      <c r="WG3" s="143" t="s">
        <v>22</v>
      </c>
      <c r="WH3" s="15" t="s">
        <v>22</v>
      </c>
      <c r="WI3" s="15" t="s">
        <v>22</v>
      </c>
      <c r="WJ3" s="71" t="s">
        <v>22</v>
      </c>
      <c r="WK3" s="143" t="s">
        <v>22</v>
      </c>
      <c r="WL3" s="15" t="s">
        <v>22</v>
      </c>
      <c r="WM3" s="15" t="s">
        <v>22</v>
      </c>
      <c r="WN3" s="71" t="s">
        <v>22</v>
      </c>
      <c r="WO3" s="143" t="s">
        <v>22</v>
      </c>
      <c r="WP3" s="15" t="s">
        <v>22</v>
      </c>
      <c r="WQ3" s="15" t="s">
        <v>22</v>
      </c>
      <c r="WR3" s="71" t="s">
        <v>22</v>
      </c>
      <c r="WS3" s="143" t="s">
        <v>22</v>
      </c>
      <c r="WT3" s="71" t="s">
        <v>22</v>
      </c>
      <c r="WU3" s="143" t="s">
        <v>22</v>
      </c>
      <c r="WV3" s="71" t="s">
        <v>22</v>
      </c>
      <c r="WW3" s="143" t="s">
        <v>22</v>
      </c>
      <c r="WX3" s="71" t="s">
        <v>22</v>
      </c>
      <c r="WY3" s="143" t="s">
        <v>22</v>
      </c>
      <c r="WZ3" s="15" t="s">
        <v>22</v>
      </c>
      <c r="XA3" s="15" t="s">
        <v>22</v>
      </c>
      <c r="XB3" s="71" t="s">
        <v>22</v>
      </c>
      <c r="XC3" s="143" t="s">
        <v>22</v>
      </c>
      <c r="XD3" s="15" t="s">
        <v>22</v>
      </c>
      <c r="XE3" s="15" t="s">
        <v>22</v>
      </c>
      <c r="XF3" s="71" t="s">
        <v>22</v>
      </c>
      <c r="XG3" s="143" t="s">
        <v>22</v>
      </c>
      <c r="XH3" s="71" t="s">
        <v>22</v>
      </c>
      <c r="XI3" s="143" t="s">
        <v>22</v>
      </c>
      <c r="XJ3" s="15" t="s">
        <v>22</v>
      </c>
      <c r="XK3" s="15" t="s">
        <v>22</v>
      </c>
      <c r="XL3" s="71" t="s">
        <v>22</v>
      </c>
      <c r="XM3" s="143" t="s">
        <v>22</v>
      </c>
      <c r="XN3" s="15" t="s">
        <v>22</v>
      </c>
      <c r="XO3" s="15" t="s">
        <v>22</v>
      </c>
      <c r="XP3" s="71" t="s">
        <v>22</v>
      </c>
      <c r="XQ3" s="143" t="s">
        <v>22</v>
      </c>
      <c r="XR3" s="15" t="s">
        <v>22</v>
      </c>
      <c r="XS3" s="15" t="s">
        <v>22</v>
      </c>
      <c r="XT3" s="71" t="s">
        <v>22</v>
      </c>
      <c r="XU3" s="143" t="s">
        <v>22</v>
      </c>
      <c r="XV3" s="71" t="s">
        <v>22</v>
      </c>
      <c r="XW3" s="143" t="s">
        <v>22</v>
      </c>
      <c r="XX3" s="15" t="s">
        <v>22</v>
      </c>
      <c r="XY3" s="15" t="s">
        <v>22</v>
      </c>
      <c r="XZ3" s="71" t="s">
        <v>22</v>
      </c>
      <c r="YA3" s="143" t="s">
        <v>22</v>
      </c>
      <c r="YB3" s="15" t="s">
        <v>22</v>
      </c>
      <c r="YC3" s="15" t="s">
        <v>22</v>
      </c>
      <c r="YD3" s="71" t="s">
        <v>22</v>
      </c>
      <c r="YE3" s="143" t="s">
        <v>22</v>
      </c>
    </row>
    <row r="4" spans="1:655" ht="30" x14ac:dyDescent="0.2">
      <c r="A4" s="7">
        <v>2013</v>
      </c>
      <c r="B4" s="6" t="s">
        <v>22</v>
      </c>
      <c r="C4" s="7" t="s">
        <v>22</v>
      </c>
      <c r="D4" s="6" t="s">
        <v>22</v>
      </c>
      <c r="E4" s="7" t="s">
        <v>22</v>
      </c>
      <c r="F4" s="5" t="s">
        <v>22</v>
      </c>
      <c r="G4" s="7" t="s">
        <v>22</v>
      </c>
      <c r="H4" s="6" t="s">
        <v>22</v>
      </c>
      <c r="I4" s="5" t="s">
        <v>22</v>
      </c>
      <c r="J4" s="6" t="s">
        <v>22</v>
      </c>
      <c r="K4" s="7" t="s">
        <v>22</v>
      </c>
      <c r="L4" s="5" t="s">
        <v>22</v>
      </c>
      <c r="M4" s="5" t="s">
        <v>22</v>
      </c>
      <c r="N4" s="6" t="s">
        <v>22</v>
      </c>
      <c r="O4" s="7" t="s">
        <v>22</v>
      </c>
      <c r="P4" s="5" t="s">
        <v>22</v>
      </c>
      <c r="Q4" s="5" t="s">
        <v>22</v>
      </c>
      <c r="R4" s="6" t="s">
        <v>22</v>
      </c>
      <c r="S4" s="7" t="s">
        <v>22</v>
      </c>
      <c r="T4" s="6" t="s">
        <v>22</v>
      </c>
      <c r="U4" s="7" t="s">
        <v>22</v>
      </c>
      <c r="V4" s="5" t="s">
        <v>22</v>
      </c>
      <c r="W4" s="5" t="s">
        <v>22</v>
      </c>
      <c r="X4" s="6" t="s">
        <v>22</v>
      </c>
      <c r="Y4" s="7" t="s">
        <v>22</v>
      </c>
      <c r="Z4" s="6" t="s">
        <v>22</v>
      </c>
      <c r="AA4" s="7" t="s">
        <v>22</v>
      </c>
      <c r="AB4" s="5" t="s">
        <v>22</v>
      </c>
      <c r="AC4" s="5" t="s">
        <v>22</v>
      </c>
      <c r="AD4" s="6" t="s">
        <v>22</v>
      </c>
      <c r="AE4" s="7" t="s">
        <v>22</v>
      </c>
      <c r="AF4" s="6" t="s">
        <v>22</v>
      </c>
      <c r="AG4" s="7" t="s">
        <v>22</v>
      </c>
      <c r="AH4" s="5" t="s">
        <v>22</v>
      </c>
      <c r="AI4" s="5" t="s">
        <v>22</v>
      </c>
      <c r="AJ4" s="6" t="s">
        <v>22</v>
      </c>
      <c r="AK4" s="7" t="s">
        <v>22</v>
      </c>
      <c r="AL4" s="5" t="s">
        <v>22</v>
      </c>
      <c r="AM4" s="5" t="s">
        <v>22</v>
      </c>
      <c r="AN4" s="6" t="s">
        <v>22</v>
      </c>
      <c r="AO4" s="7" t="s">
        <v>22</v>
      </c>
      <c r="AP4" s="5" t="s">
        <v>22</v>
      </c>
      <c r="AQ4" s="5" t="s">
        <v>22</v>
      </c>
      <c r="AR4" s="6" t="s">
        <v>22</v>
      </c>
      <c r="AS4" s="7" t="s">
        <v>22</v>
      </c>
      <c r="AT4" s="5" t="s">
        <v>22</v>
      </c>
      <c r="AU4" s="5" t="s">
        <v>22</v>
      </c>
      <c r="AV4" s="6" t="s">
        <v>22</v>
      </c>
      <c r="AW4" s="7" t="s">
        <v>22</v>
      </c>
      <c r="AX4" s="5" t="s">
        <v>22</v>
      </c>
      <c r="AY4" s="5" t="s">
        <v>22</v>
      </c>
      <c r="AZ4" s="319" t="s">
        <v>1578</v>
      </c>
      <c r="BA4" s="7" t="str">
        <f ca="1">CHOOSE(WEEKDAY(DATE($A4,AZ$43,BA$42),2),"Monday","Tuesday","Wednesday","Thursday","Friday","Saturday","Sunday")</f>
        <v>Friday</v>
      </c>
      <c r="BB4" s="5" t="s">
        <v>22</v>
      </c>
      <c r="BC4" s="5" t="s">
        <v>22</v>
      </c>
      <c r="BD4" s="6" t="s">
        <v>22</v>
      </c>
      <c r="BE4" s="7" t="s">
        <v>22</v>
      </c>
      <c r="BF4" s="6" t="s">
        <v>22</v>
      </c>
      <c r="BG4" s="7" t="s">
        <v>22</v>
      </c>
      <c r="BH4" s="5" t="s">
        <v>22</v>
      </c>
      <c r="BI4" s="5" t="s">
        <v>22</v>
      </c>
      <c r="BJ4" s="6" t="s">
        <v>22</v>
      </c>
      <c r="BK4" s="7" t="s">
        <v>22</v>
      </c>
      <c r="BL4" s="5" t="s">
        <v>22</v>
      </c>
      <c r="BM4" s="5" t="s">
        <v>22</v>
      </c>
      <c r="BN4" s="6" t="s">
        <v>22</v>
      </c>
      <c r="BO4" s="7" t="s">
        <v>22</v>
      </c>
      <c r="BP4" s="6" t="s">
        <v>22</v>
      </c>
      <c r="BQ4" s="7" t="s">
        <v>22</v>
      </c>
      <c r="BR4" s="5" t="s">
        <v>22</v>
      </c>
      <c r="BS4" s="5" t="s">
        <v>22</v>
      </c>
      <c r="BT4" s="6" t="s">
        <v>22</v>
      </c>
      <c r="BU4" s="7" t="s">
        <v>22</v>
      </c>
      <c r="BV4" s="6" t="s">
        <v>22</v>
      </c>
      <c r="BW4" s="7" t="s">
        <v>22</v>
      </c>
      <c r="BX4" s="5" t="s">
        <v>22</v>
      </c>
      <c r="BY4" s="5" t="s">
        <v>22</v>
      </c>
      <c r="BZ4" s="319" t="s">
        <v>1595</v>
      </c>
      <c r="CA4" s="7" t="str">
        <f t="shared" ref="CA4:CA5" ca="1" si="1">CHOOSE(WEEKDAY(DATE($A4,BZ$43,CA$42),2),"Monday","Tuesday","Wednesday","Thursday","Friday","Saturday","Sunday")</f>
        <v>Thursday</v>
      </c>
      <c r="CB4" s="6" t="s">
        <v>22</v>
      </c>
      <c r="CC4" s="7" t="s">
        <v>22</v>
      </c>
      <c r="CD4" s="5" t="s">
        <v>22</v>
      </c>
      <c r="CE4" s="5" t="s">
        <v>22</v>
      </c>
      <c r="CF4" s="6" t="s">
        <v>22</v>
      </c>
      <c r="CG4" s="7" t="s">
        <v>22</v>
      </c>
      <c r="CH4" s="5" t="s">
        <v>22</v>
      </c>
      <c r="CI4" s="5" t="s">
        <v>22</v>
      </c>
      <c r="CJ4" s="6" t="s">
        <v>22</v>
      </c>
      <c r="CK4" s="7" t="s">
        <v>22</v>
      </c>
      <c r="CL4" s="5" t="s">
        <v>22</v>
      </c>
      <c r="CM4" s="5" t="s">
        <v>22</v>
      </c>
      <c r="CN4" s="6" t="s">
        <v>22</v>
      </c>
      <c r="CO4" s="7" t="s">
        <v>22</v>
      </c>
      <c r="CP4" s="320" t="s">
        <v>1611</v>
      </c>
      <c r="CQ4" s="5" t="str">
        <f ca="1">CHOOSE(WEEKDAY(DATE($A4,CP$43,CQ$42),2),"Monday","Tuesday","Wednesday","Thursday","Friday","Saturday","Sunday")</f>
        <v>Friday</v>
      </c>
      <c r="CR4" s="6" t="s">
        <v>22</v>
      </c>
      <c r="CS4" s="7" t="s">
        <v>22</v>
      </c>
      <c r="CT4" s="5" t="s">
        <v>22</v>
      </c>
      <c r="CU4" s="5" t="s">
        <v>22</v>
      </c>
      <c r="CV4" s="6" t="s">
        <v>22</v>
      </c>
      <c r="CW4" s="7" t="s">
        <v>22</v>
      </c>
      <c r="CX4" s="6" t="s">
        <v>22</v>
      </c>
      <c r="CY4" s="5" t="s">
        <v>22</v>
      </c>
      <c r="CZ4" s="6" t="s">
        <v>22</v>
      </c>
      <c r="DA4" s="5" t="s">
        <v>22</v>
      </c>
      <c r="DB4" s="319" t="s">
        <v>1620</v>
      </c>
      <c r="DC4" s="7" t="str">
        <f ca="1">CHOOSE(WEEKDAY(DATE($A4,DB$43,DC$42),2),"Monday","Tuesday","Wednesday","Thursday","Friday","Saturday","Sunday")</f>
        <v>Friday</v>
      </c>
      <c r="DD4" s="5" t="s">
        <v>22</v>
      </c>
      <c r="DE4" s="5" t="s">
        <v>22</v>
      </c>
      <c r="DF4" s="6" t="s">
        <v>22</v>
      </c>
      <c r="DG4" s="7" t="s">
        <v>22</v>
      </c>
      <c r="DH4" s="5" t="s">
        <v>22</v>
      </c>
      <c r="DI4" s="5" t="s">
        <v>22</v>
      </c>
      <c r="DJ4" s="6" t="s">
        <v>22</v>
      </c>
      <c r="DK4" s="7" t="s">
        <v>22</v>
      </c>
      <c r="DL4" s="5" t="s">
        <v>22</v>
      </c>
      <c r="DM4" s="5" t="s">
        <v>22</v>
      </c>
      <c r="DN4" s="6" t="s">
        <v>22</v>
      </c>
      <c r="DO4" s="7" t="s">
        <v>22</v>
      </c>
      <c r="DP4" s="5" t="s">
        <v>22</v>
      </c>
      <c r="DQ4" s="5" t="s">
        <v>22</v>
      </c>
      <c r="DR4" s="6" t="s">
        <v>22</v>
      </c>
      <c r="DS4" s="7" t="s">
        <v>22</v>
      </c>
      <c r="DT4" s="5" t="s">
        <v>22</v>
      </c>
      <c r="DU4" s="5" t="s">
        <v>22</v>
      </c>
      <c r="DV4" s="6" t="s">
        <v>22</v>
      </c>
      <c r="DW4" s="7" t="s">
        <v>22</v>
      </c>
      <c r="DX4" s="5" t="s">
        <v>22</v>
      </c>
      <c r="DY4" s="5" t="s">
        <v>22</v>
      </c>
      <c r="DZ4" s="6" t="s">
        <v>22</v>
      </c>
      <c r="EA4" s="7" t="s">
        <v>22</v>
      </c>
      <c r="EB4" s="6" t="s">
        <v>22</v>
      </c>
      <c r="EC4" s="7" t="s">
        <v>22</v>
      </c>
      <c r="ED4" s="5" t="s">
        <v>22</v>
      </c>
      <c r="EE4" s="5" t="s">
        <v>22</v>
      </c>
      <c r="EF4" s="6" t="s">
        <v>22</v>
      </c>
      <c r="EG4" s="7" t="s">
        <v>22</v>
      </c>
      <c r="EH4" s="5" t="s">
        <v>22</v>
      </c>
      <c r="EI4" s="5" t="s">
        <v>22</v>
      </c>
      <c r="EJ4" s="6" t="s">
        <v>22</v>
      </c>
      <c r="EK4" s="7" t="s">
        <v>22</v>
      </c>
      <c r="EL4" s="5" t="s">
        <v>22</v>
      </c>
      <c r="EM4" s="5" t="s">
        <v>22</v>
      </c>
      <c r="EN4" s="319" t="s">
        <v>1644</v>
      </c>
      <c r="EO4" s="7" t="str">
        <f t="shared" ref="EO4:EO5" ca="1" si="2">CHOOSE(WEEKDAY(DATE($A4,EN$43,EO$42),2),"Monday","Tuesday","Wednesday","Thursday","Friday","Saturday","Sunday")</f>
        <v>Thursday</v>
      </c>
      <c r="EP4" s="5" t="s">
        <v>22</v>
      </c>
      <c r="EQ4" s="5" t="s">
        <v>22</v>
      </c>
      <c r="ER4" s="321" t="s">
        <v>2005</v>
      </c>
      <c r="ES4" s="7" t="str">
        <f ca="1">CHOOSE(WEEKDAY(DATE($A4,ER$43,ES$42),2),"Monday","Tuesday","Wednesday","Thursday","Friday","Saturday","Sunday")</f>
        <v>Saturday</v>
      </c>
      <c r="ET4" s="5" t="s">
        <v>22</v>
      </c>
      <c r="EU4" s="5" t="s">
        <v>22</v>
      </c>
      <c r="EV4" s="6" t="s">
        <v>22</v>
      </c>
      <c r="EW4" s="7" t="s">
        <v>22</v>
      </c>
      <c r="EX4" s="5" t="s">
        <v>22</v>
      </c>
      <c r="EY4" s="5" t="s">
        <v>22</v>
      </c>
      <c r="EZ4" s="6" t="s">
        <v>22</v>
      </c>
      <c r="FA4" s="7" t="s">
        <v>22</v>
      </c>
      <c r="FB4" s="6" t="s">
        <v>22</v>
      </c>
      <c r="FC4" s="7" t="s">
        <v>22</v>
      </c>
      <c r="FD4" s="6" t="s">
        <v>22</v>
      </c>
      <c r="FE4" s="7" t="s">
        <v>22</v>
      </c>
      <c r="FF4" s="5" t="s">
        <v>22</v>
      </c>
      <c r="FG4" s="5" t="s">
        <v>22</v>
      </c>
      <c r="FH4" s="6" t="s">
        <v>22</v>
      </c>
      <c r="FI4" s="7" t="s">
        <v>22</v>
      </c>
      <c r="FJ4" s="319" t="s">
        <v>1660</v>
      </c>
      <c r="FK4" s="7" t="str">
        <f t="shared" ref="FK4:FK5" ca="1" si="3">CHOOSE(WEEKDAY(DATE($A4,FJ$43,FK$42),2),"Monday","Tuesday","Wednesday","Thursday","Friday","Saturday","Sunday")</f>
        <v>Monday</v>
      </c>
      <c r="FL4" s="6" t="s">
        <v>22</v>
      </c>
      <c r="FM4" s="7" t="s">
        <v>22</v>
      </c>
      <c r="FN4" s="5" t="s">
        <v>22</v>
      </c>
      <c r="FO4" s="5" t="s">
        <v>22</v>
      </c>
      <c r="FP4" s="6" t="s">
        <v>22</v>
      </c>
      <c r="FQ4" s="7" t="s">
        <v>22</v>
      </c>
      <c r="FR4" s="6" t="s">
        <v>22</v>
      </c>
      <c r="FS4" s="7" t="s">
        <v>22</v>
      </c>
      <c r="FT4" s="5" t="s">
        <v>22</v>
      </c>
      <c r="FU4" s="5" t="s">
        <v>22</v>
      </c>
      <c r="FV4" s="6" t="s">
        <v>22</v>
      </c>
      <c r="FW4" s="7" t="s">
        <v>22</v>
      </c>
      <c r="FX4" s="5" t="s">
        <v>22</v>
      </c>
      <c r="FY4" s="5" t="s">
        <v>22</v>
      </c>
      <c r="FZ4" s="6" t="s">
        <v>22</v>
      </c>
      <c r="GA4" s="7" t="s">
        <v>22</v>
      </c>
      <c r="GB4" s="5" t="s">
        <v>22</v>
      </c>
      <c r="GC4" s="5" t="s">
        <v>22</v>
      </c>
      <c r="GD4" s="6" t="s">
        <v>22</v>
      </c>
      <c r="GE4" s="7" t="s">
        <v>22</v>
      </c>
      <c r="GF4" s="6" t="s">
        <v>22</v>
      </c>
      <c r="GG4" s="7" t="s">
        <v>22</v>
      </c>
      <c r="GH4" s="6" t="s">
        <v>22</v>
      </c>
      <c r="GI4" s="7" t="s">
        <v>22</v>
      </c>
      <c r="GJ4" s="5" t="s">
        <v>22</v>
      </c>
      <c r="GK4" s="5" t="s">
        <v>22</v>
      </c>
      <c r="GL4" s="319" t="s">
        <v>1682</v>
      </c>
      <c r="GM4" s="7" t="str">
        <f ca="1">CHOOSE(WEEKDAY(DATE($A4,GL$43,GM$42),2),"Monday","Tuesday","Wednesday","Thursday","Friday","Saturday","Sunday")</f>
        <v>Saturday</v>
      </c>
      <c r="GN4" s="6" t="s">
        <v>22</v>
      </c>
      <c r="GO4" s="7" t="s">
        <v>22</v>
      </c>
      <c r="GP4" s="5" t="s">
        <v>22</v>
      </c>
      <c r="GQ4" s="5" t="s">
        <v>22</v>
      </c>
      <c r="GR4" s="6" t="s">
        <v>22</v>
      </c>
      <c r="GS4" s="7" t="s">
        <v>22</v>
      </c>
      <c r="GT4" s="6" t="s">
        <v>22</v>
      </c>
      <c r="GU4" s="7" t="s">
        <v>22</v>
      </c>
      <c r="GV4" s="6" t="s">
        <v>22</v>
      </c>
      <c r="GW4" s="7" t="s">
        <v>22</v>
      </c>
      <c r="GX4" s="6" t="s">
        <v>22</v>
      </c>
      <c r="GY4" s="7" t="s">
        <v>22</v>
      </c>
      <c r="GZ4" s="6" t="s">
        <v>22</v>
      </c>
      <c r="HA4" s="7" t="s">
        <v>22</v>
      </c>
      <c r="HB4" s="6" t="s">
        <v>22</v>
      </c>
      <c r="HC4" s="7" t="s">
        <v>22</v>
      </c>
      <c r="HD4" s="5" t="s">
        <v>22</v>
      </c>
      <c r="HE4" s="5" t="s">
        <v>22</v>
      </c>
      <c r="HF4" s="319" t="s">
        <v>1695</v>
      </c>
      <c r="HG4" s="7" t="str">
        <f ca="1">CHOOSE(WEEKDAY(DATE($A4,HF$43,HG$42),2),"Monday","Tuesday","Wednesday","Thursday","Friday","Saturday","Sunday")</f>
        <v>Wednesday</v>
      </c>
      <c r="HH4" s="6" t="s">
        <v>22</v>
      </c>
      <c r="HI4" s="7" t="s">
        <v>22</v>
      </c>
      <c r="HJ4" s="5" t="s">
        <v>22</v>
      </c>
      <c r="HK4" s="5" t="s">
        <v>22</v>
      </c>
      <c r="HL4" s="6" t="s">
        <v>22</v>
      </c>
      <c r="HM4" s="7" t="s">
        <v>22</v>
      </c>
      <c r="HN4" s="6" t="s">
        <v>22</v>
      </c>
      <c r="HO4" s="7" t="s">
        <v>22</v>
      </c>
      <c r="HP4" s="5" t="s">
        <v>22</v>
      </c>
      <c r="HQ4" s="5" t="s">
        <v>22</v>
      </c>
      <c r="HR4" s="6" t="s">
        <v>22</v>
      </c>
      <c r="HS4" s="7" t="s">
        <v>22</v>
      </c>
      <c r="HT4" s="320" t="s">
        <v>1711</v>
      </c>
      <c r="HU4" s="5" t="str">
        <f t="shared" ref="HU4:HU5" ca="1" si="4">CHOOSE(WEEKDAY(DATE($A4,HT$43,HU$42),2),"Monday","Tuesday","Wednesday","Thursday","Friday","Saturday","Sunday")</f>
        <v>Wednesday</v>
      </c>
      <c r="HV4" s="6" t="s">
        <v>22</v>
      </c>
      <c r="HW4" s="7" t="s">
        <v>22</v>
      </c>
      <c r="HX4" s="6" t="s">
        <v>22</v>
      </c>
      <c r="HY4" s="7" t="s">
        <v>22</v>
      </c>
      <c r="HZ4" s="5" t="s">
        <v>22</v>
      </c>
      <c r="IA4" s="5" t="s">
        <v>22</v>
      </c>
      <c r="IB4" s="6" t="s">
        <v>22</v>
      </c>
      <c r="IC4" s="7" t="s">
        <v>22</v>
      </c>
      <c r="ID4" s="5" t="s">
        <v>22</v>
      </c>
      <c r="IE4" s="5" t="s">
        <v>22</v>
      </c>
      <c r="IF4" s="6" t="s">
        <v>22</v>
      </c>
      <c r="IG4" s="7" t="s">
        <v>22</v>
      </c>
      <c r="IH4" s="5" t="s">
        <v>22</v>
      </c>
      <c r="II4" s="5" t="s">
        <v>22</v>
      </c>
      <c r="IJ4" s="6" t="s">
        <v>22</v>
      </c>
      <c r="IK4" s="7" t="s">
        <v>22</v>
      </c>
      <c r="IL4" s="6" t="s">
        <v>22</v>
      </c>
      <c r="IM4" s="7" t="s">
        <v>22</v>
      </c>
      <c r="IN4" s="6" t="s">
        <v>22</v>
      </c>
      <c r="IO4" s="7" t="s">
        <v>22</v>
      </c>
      <c r="IP4" s="6" t="s">
        <v>22</v>
      </c>
      <c r="IQ4" s="7" t="s">
        <v>22</v>
      </c>
      <c r="IR4" s="5" t="s">
        <v>22</v>
      </c>
      <c r="IS4" s="5" t="s">
        <v>22</v>
      </c>
      <c r="IT4" s="6" t="s">
        <v>22</v>
      </c>
      <c r="IU4" s="7" t="s">
        <v>22</v>
      </c>
      <c r="IV4" s="6" t="s">
        <v>22</v>
      </c>
      <c r="IW4" s="7" t="s">
        <v>22</v>
      </c>
      <c r="IX4" s="6" t="s">
        <v>22</v>
      </c>
      <c r="IY4" s="7" t="s">
        <v>22</v>
      </c>
      <c r="IZ4" s="320" t="s">
        <v>1729</v>
      </c>
      <c r="JA4" s="5" t="str">
        <f t="shared" ref="JA4:JA5" ca="1" si="5">CHOOSE(WEEKDAY(DATE($A4,IZ$43,JA$42),2),"Monday","Tuesday","Wednesday","Thursday","Friday","Saturday","Sunday")</f>
        <v>Sunday</v>
      </c>
      <c r="JB4" s="319" t="s">
        <v>1733</v>
      </c>
      <c r="JC4" s="7" t="str">
        <f ca="1">CHOOSE(WEEKDAY(DATE($A4,JB$43,JC$42),2),"Monday","Tuesday","Wednesday","Thursday","Friday","Saturday","Sunday")</f>
        <v>Monday</v>
      </c>
      <c r="JD4" s="5" t="s">
        <v>22</v>
      </c>
      <c r="JE4" s="5" t="s">
        <v>22</v>
      </c>
      <c r="JF4" s="6" t="s">
        <v>22</v>
      </c>
      <c r="JG4" s="7" t="s">
        <v>22</v>
      </c>
      <c r="JH4" s="6" t="s">
        <v>22</v>
      </c>
      <c r="JI4" s="7" t="s">
        <v>22</v>
      </c>
      <c r="JJ4" s="6" t="s">
        <v>22</v>
      </c>
      <c r="JK4" s="7" t="s">
        <v>22</v>
      </c>
      <c r="JL4" s="5" t="s">
        <v>22</v>
      </c>
      <c r="JM4" s="5" t="s">
        <v>22</v>
      </c>
      <c r="JN4" s="6" t="s">
        <v>22</v>
      </c>
      <c r="JO4" s="7" t="s">
        <v>22</v>
      </c>
      <c r="JP4" s="5" t="s">
        <v>22</v>
      </c>
      <c r="JQ4" s="5" t="s">
        <v>22</v>
      </c>
      <c r="JR4" s="319" t="s">
        <v>1744</v>
      </c>
      <c r="JS4" s="7" t="str">
        <f t="shared" ref="JS4:JS5" ca="1" si="6">CHOOSE(WEEKDAY(DATE($A4,JR$43,JS$42),2),"Monday","Tuesday","Wednesday","Thursday","Friday","Saturday","Sunday")</f>
        <v>Wednesday</v>
      </c>
      <c r="JT4" s="320" t="s">
        <v>2006</v>
      </c>
      <c r="JU4" s="5" t="str">
        <f ca="1">CHOOSE(WEEKDAY(DATE($A4,JT$43,JU$42),2),"Monday","Tuesday","Wednesday","Thursday","Friday","Saturday","Sunday")</f>
        <v>Thursday</v>
      </c>
      <c r="JV4" s="322" t="s">
        <v>1747</v>
      </c>
      <c r="JW4" s="7" t="str">
        <f ca="1">CHOOSE(WEEKDAY(DATE($A4,JV$43,JW$42),2),"Monday","Tuesday","Wednesday","Thursday","Friday","Saturday","Sunday")</f>
        <v>Saturday</v>
      </c>
      <c r="JX4" s="5" t="s">
        <v>22</v>
      </c>
      <c r="JY4" s="5" t="s">
        <v>22</v>
      </c>
      <c r="JZ4" s="6" t="s">
        <v>22</v>
      </c>
      <c r="KA4" s="7" t="s">
        <v>22</v>
      </c>
      <c r="KB4" s="6" t="s">
        <v>22</v>
      </c>
      <c r="KC4" s="5" t="s">
        <v>22</v>
      </c>
      <c r="KD4" s="319" t="s">
        <v>1752</v>
      </c>
      <c r="KE4" s="7" t="str">
        <f t="shared" ref="KE4:KE5" ca="1" si="7">CHOOSE(WEEKDAY(DATE($A4,KD$43,KE$42),2),"Monday","Tuesday","Wednesday","Thursday","Friday","Saturday","Sunday")</f>
        <v>Wednesday</v>
      </c>
      <c r="KF4" s="5" t="s">
        <v>22</v>
      </c>
      <c r="KG4" s="5" t="s">
        <v>22</v>
      </c>
      <c r="KH4" s="6" t="s">
        <v>22</v>
      </c>
      <c r="KI4" s="7" t="s">
        <v>22</v>
      </c>
      <c r="KJ4" s="6" t="s">
        <v>22</v>
      </c>
      <c r="KK4" s="7" t="s">
        <v>22</v>
      </c>
      <c r="KL4" s="6" t="s">
        <v>22</v>
      </c>
      <c r="KM4" s="7" t="s">
        <v>22</v>
      </c>
      <c r="KN4" s="5" t="s">
        <v>22</v>
      </c>
      <c r="KO4" s="5" t="s">
        <v>22</v>
      </c>
      <c r="KP4" s="6" t="s">
        <v>22</v>
      </c>
      <c r="KQ4" s="7" t="s">
        <v>22</v>
      </c>
      <c r="KR4" s="5" t="s">
        <v>22</v>
      </c>
      <c r="KS4" s="5" t="s">
        <v>22</v>
      </c>
      <c r="KT4" s="6" t="s">
        <v>22</v>
      </c>
      <c r="KU4" s="7" t="s">
        <v>22</v>
      </c>
      <c r="KV4" s="5" t="s">
        <v>22</v>
      </c>
      <c r="KW4" s="5" t="s">
        <v>22</v>
      </c>
      <c r="KX4" s="6" t="s">
        <v>22</v>
      </c>
      <c r="KY4" s="7" t="s">
        <v>22</v>
      </c>
      <c r="KZ4" s="5" t="s">
        <v>22</v>
      </c>
      <c r="LA4" s="5" t="s">
        <v>22</v>
      </c>
      <c r="LB4" s="319" t="s">
        <v>1773</v>
      </c>
      <c r="LC4" s="7" t="str">
        <f ca="1">CHOOSE(WEEKDAY(DATE($A4,LB$43,LC$42),2),"Monday","Tuesday","Wednesday","Thursday","Friday","Saturday","Sunday")</f>
        <v>Wednesday</v>
      </c>
      <c r="LD4" s="5" t="s">
        <v>22</v>
      </c>
      <c r="LE4" s="5" t="s">
        <v>22</v>
      </c>
      <c r="LF4" s="6" t="s">
        <v>22</v>
      </c>
      <c r="LG4" s="7" t="s">
        <v>22</v>
      </c>
      <c r="LH4" s="5" t="s">
        <v>22</v>
      </c>
      <c r="LI4" s="5" t="s">
        <v>22</v>
      </c>
      <c r="LJ4" s="6" t="s">
        <v>22</v>
      </c>
      <c r="LK4" s="7" t="s">
        <v>22</v>
      </c>
      <c r="LL4" s="5" t="s">
        <v>22</v>
      </c>
      <c r="LM4" s="5" t="s">
        <v>22</v>
      </c>
      <c r="LN4" s="6" t="s">
        <v>22</v>
      </c>
      <c r="LO4" s="7" t="s">
        <v>22</v>
      </c>
      <c r="LP4" s="320" t="s">
        <v>1788</v>
      </c>
      <c r="LQ4" s="5" t="str">
        <f ca="1">CHOOSE(WEEKDAY(DATE($A4,LP$43,LQ$42),2),"Monday","Tuesday","Wednesday","Thursday","Friday","Saturday","Sunday")</f>
        <v>Thursday</v>
      </c>
      <c r="LR4" s="6" t="s">
        <v>22</v>
      </c>
      <c r="LS4" s="7" t="s">
        <v>22</v>
      </c>
      <c r="LT4" s="5" t="s">
        <v>22</v>
      </c>
      <c r="LU4" s="5" t="s">
        <v>22</v>
      </c>
      <c r="LV4" s="6" t="s">
        <v>22</v>
      </c>
      <c r="LW4" s="7" t="s">
        <v>22</v>
      </c>
      <c r="LX4" s="323" t="s">
        <v>2007</v>
      </c>
      <c r="LY4" s="5" t="str">
        <f ca="1">CHOOSE(WEEKDAY(DATE($A4,LX$43,LY$42),2),"Monday","Tuesday","Wednesday","Thursday","Friday","Saturday","Sunday")</f>
        <v>Tuesday</v>
      </c>
      <c r="LZ4" s="6" t="s">
        <v>22</v>
      </c>
      <c r="MA4" s="7" t="s">
        <v>22</v>
      </c>
      <c r="MB4" s="5" t="s">
        <v>22</v>
      </c>
      <c r="MC4" s="5" t="s">
        <v>22</v>
      </c>
      <c r="MD4" s="319" t="s">
        <v>1798</v>
      </c>
      <c r="ME4" s="7" t="str">
        <f ca="1">CHOOSE(WEEKDAY(DATE($A4,MD$43,ME$42),2),"Monday","Tuesday","Wednesday","Thursday","Friday","Saturday","Sunday")</f>
        <v>Friday</v>
      </c>
      <c r="MF4" s="5" t="s">
        <v>22</v>
      </c>
      <c r="MG4" s="5" t="s">
        <v>22</v>
      </c>
      <c r="MH4" s="6" t="s">
        <v>22</v>
      </c>
      <c r="MI4" s="7" t="s">
        <v>22</v>
      </c>
      <c r="MJ4" s="6" t="s">
        <v>22</v>
      </c>
      <c r="MK4" s="7" t="s">
        <v>22</v>
      </c>
      <c r="ML4" s="6" t="s">
        <v>22</v>
      </c>
      <c r="MM4" s="7" t="s">
        <v>22</v>
      </c>
      <c r="MN4" s="5" t="s">
        <v>22</v>
      </c>
      <c r="MO4" s="5" t="s">
        <v>22</v>
      </c>
      <c r="MP4" s="319" t="s">
        <v>1806</v>
      </c>
      <c r="MQ4" s="7" t="str">
        <f ca="1">CHOOSE(WEEKDAY(DATE($A4,MP$43,MQ$42),2),"Monday","Tuesday","Wednesday","Thursday","Friday","Saturday","Sunday")</f>
        <v>Thursday</v>
      </c>
      <c r="MR4" s="320" t="s">
        <v>1807</v>
      </c>
      <c r="MS4" s="5" t="str">
        <f ca="1">CHOOSE(WEEKDAY(DATE($A4,MR$43,MS$42),2),"Monday","Tuesday","Wednesday","Thursday","Friday","Saturday","Sunday")</f>
        <v>Friday</v>
      </c>
      <c r="MT4" s="6" t="s">
        <v>22</v>
      </c>
      <c r="MU4" s="7" t="s">
        <v>22</v>
      </c>
      <c r="MV4" s="5" t="s">
        <v>22</v>
      </c>
      <c r="MW4" s="5" t="s">
        <v>22</v>
      </c>
      <c r="MX4" s="6" t="s">
        <v>22</v>
      </c>
      <c r="MY4" s="7" t="s">
        <v>22</v>
      </c>
      <c r="MZ4" s="6" t="s">
        <v>22</v>
      </c>
      <c r="NA4" s="7" t="s">
        <v>22</v>
      </c>
      <c r="NB4" s="5" t="s">
        <v>22</v>
      </c>
      <c r="NC4" s="5" t="s">
        <v>22</v>
      </c>
      <c r="ND4" s="6" t="s">
        <v>22</v>
      </c>
      <c r="NE4" s="7" t="s">
        <v>22</v>
      </c>
      <c r="NF4" s="5" t="s">
        <v>22</v>
      </c>
      <c r="NG4" s="5" t="s">
        <v>22</v>
      </c>
      <c r="NH4" s="6" t="s">
        <v>22</v>
      </c>
      <c r="NI4" s="7" t="s">
        <v>22</v>
      </c>
      <c r="NJ4" s="5" t="s">
        <v>22</v>
      </c>
      <c r="NK4" s="5" t="s">
        <v>22</v>
      </c>
      <c r="NL4" s="6" t="s">
        <v>22</v>
      </c>
      <c r="NM4" s="7" t="s">
        <v>22</v>
      </c>
      <c r="NN4" s="6" t="s">
        <v>22</v>
      </c>
      <c r="NO4" s="7" t="s">
        <v>22</v>
      </c>
      <c r="NP4" s="5" t="s">
        <v>22</v>
      </c>
      <c r="NQ4" s="5" t="s">
        <v>22</v>
      </c>
      <c r="NR4" s="6" t="s">
        <v>22</v>
      </c>
      <c r="NS4" s="7" t="s">
        <v>22</v>
      </c>
      <c r="NT4" s="5" t="s">
        <v>22</v>
      </c>
      <c r="NU4" s="5" t="s">
        <v>22</v>
      </c>
      <c r="NV4" s="6" t="s">
        <v>22</v>
      </c>
      <c r="NW4" s="7" t="s">
        <v>22</v>
      </c>
      <c r="NX4" s="5" t="s">
        <v>22</v>
      </c>
      <c r="NY4" s="5" t="s">
        <v>22</v>
      </c>
      <c r="NZ4" s="321" t="s">
        <v>1824</v>
      </c>
      <c r="OA4" s="7" t="str">
        <f t="shared" ref="OA4:OA5" ca="1" si="8">CHOOSE(WEEKDAY(DATE($A4,NZ$43,OA$42),2),"Monday","Tuesday","Wednesday","Thursday","Friday","Saturday","Sunday")</f>
        <v>Monday</v>
      </c>
      <c r="OB4" s="5" t="s">
        <v>22</v>
      </c>
      <c r="OC4" s="5" t="s">
        <v>22</v>
      </c>
      <c r="OD4" s="6" t="s">
        <v>22</v>
      </c>
      <c r="OE4" s="7" t="s">
        <v>22</v>
      </c>
      <c r="OF4" s="5" t="s">
        <v>22</v>
      </c>
      <c r="OG4" s="5" t="s">
        <v>22</v>
      </c>
      <c r="OH4" s="6" t="s">
        <v>22</v>
      </c>
      <c r="OI4" s="7" t="s">
        <v>22</v>
      </c>
      <c r="OJ4" s="320" t="s">
        <v>1828</v>
      </c>
      <c r="OK4" s="5" t="str">
        <f t="shared" ref="OK4:OK5" ca="1" si="9">CHOOSE(WEEKDAY(DATE($A4,OJ$43,OK$42),2),"Monday","Tuesday","Wednesday","Thursday","Friday","Saturday","Sunday")</f>
        <v>Monday</v>
      </c>
      <c r="OL4" s="319" t="s">
        <v>1830</v>
      </c>
      <c r="OM4" s="7" t="str">
        <f ca="1">CHOOSE(WEEKDAY(DATE($A4,OL$43,OM$42),2),"Monday","Tuesday","Wednesday","Thursday","Friday","Saturday","Sunday")</f>
        <v>Tuesday</v>
      </c>
      <c r="ON4" s="6" t="s">
        <v>22</v>
      </c>
      <c r="OO4" s="7" t="s">
        <v>22</v>
      </c>
      <c r="OP4" s="5" t="s">
        <v>22</v>
      </c>
      <c r="OQ4" s="5" t="s">
        <v>22</v>
      </c>
      <c r="OR4" s="6" t="s">
        <v>22</v>
      </c>
      <c r="OS4" s="7" t="s">
        <v>22</v>
      </c>
      <c r="OT4" s="6" t="s">
        <v>22</v>
      </c>
      <c r="OU4" s="7" t="s">
        <v>22</v>
      </c>
      <c r="OV4" s="5" t="s">
        <v>22</v>
      </c>
      <c r="OW4" s="5" t="s">
        <v>22</v>
      </c>
      <c r="OX4" s="6" t="s">
        <v>22</v>
      </c>
      <c r="OY4" s="7" t="s">
        <v>22</v>
      </c>
      <c r="OZ4" s="5" t="s">
        <v>22</v>
      </c>
      <c r="PA4" s="5" t="s">
        <v>22</v>
      </c>
      <c r="PB4" s="6" t="s">
        <v>22</v>
      </c>
      <c r="PC4" s="7" t="s">
        <v>22</v>
      </c>
      <c r="PD4" s="5" t="s">
        <v>22</v>
      </c>
      <c r="PE4" s="5" t="s">
        <v>22</v>
      </c>
      <c r="PF4" s="6" t="s">
        <v>22</v>
      </c>
      <c r="PG4" s="5" t="s">
        <v>22</v>
      </c>
      <c r="PH4" s="6" t="s">
        <v>22</v>
      </c>
      <c r="PI4" s="7" t="s">
        <v>22</v>
      </c>
      <c r="PJ4" s="6" t="s">
        <v>22</v>
      </c>
      <c r="PK4" s="7" t="s">
        <v>22</v>
      </c>
      <c r="PL4" s="5" t="s">
        <v>22</v>
      </c>
      <c r="PM4" s="5" t="s">
        <v>22</v>
      </c>
      <c r="PN4" s="321" t="s">
        <v>1853</v>
      </c>
      <c r="PO4" s="7" t="str">
        <f t="shared" ref="PO4:PO5" ca="1" si="10">CHOOSE(WEEKDAY(DATE($A4,PN$43,PO$42),2),"Monday","Tuesday","Wednesday","Thursday","Friday","Saturday","Sunday")</f>
        <v>Monday</v>
      </c>
      <c r="PP4" s="5" t="s">
        <v>22</v>
      </c>
      <c r="PQ4" s="5" t="s">
        <v>22</v>
      </c>
      <c r="PR4" s="6" t="s">
        <v>22</v>
      </c>
      <c r="PS4" s="7" t="s">
        <v>22</v>
      </c>
      <c r="PT4" s="5" t="s">
        <v>22</v>
      </c>
      <c r="PU4" s="5" t="s">
        <v>22</v>
      </c>
      <c r="PV4" s="6" t="s">
        <v>22</v>
      </c>
      <c r="PW4" s="7" t="s">
        <v>22</v>
      </c>
      <c r="PX4" s="320" t="s">
        <v>1859</v>
      </c>
      <c r="PY4" s="5" t="str">
        <f ca="1">CHOOSE(WEEKDAY(DATE($A4,PX$43,PY$42),2),"Monday","Tuesday","Wednesday","Thursday","Friday","Saturday","Sunday")</f>
        <v>Saturday</v>
      </c>
      <c r="PZ4" s="6" t="s">
        <v>22</v>
      </c>
      <c r="QA4" s="7" t="s">
        <v>22</v>
      </c>
      <c r="QB4" s="320" t="s">
        <v>1864</v>
      </c>
      <c r="QC4" s="5" t="str">
        <f ca="1">CHOOSE(WEEKDAY(DATE($A4,QB$43,QC$42),2),"Monday","Tuesday","Wednesday","Thursday","Friday","Saturday","Sunday")</f>
        <v>Monday</v>
      </c>
      <c r="QD4" s="321" t="s">
        <v>1865</v>
      </c>
      <c r="QE4" s="7" t="str">
        <f t="shared" ref="QE4:QE5" ca="1" si="11">CHOOSE(WEEKDAY(DATE($A4,QD$43,QE$42),2),"Monday","Tuesday","Wednesday","Thursday","Friday","Saturday","Sunday")</f>
        <v>Tuesday</v>
      </c>
      <c r="QF4" s="5" t="s">
        <v>22</v>
      </c>
      <c r="QG4" s="5" t="s">
        <v>22</v>
      </c>
      <c r="QH4" s="6" t="s">
        <v>22</v>
      </c>
      <c r="QI4" s="7" t="s">
        <v>22</v>
      </c>
      <c r="QJ4" s="320" t="s">
        <v>1868</v>
      </c>
      <c r="QK4" s="5" t="str">
        <f ca="1">CHOOSE(WEEKDAY(DATE($A4,QJ$43,QK$42),2),"Monday","Tuesday","Wednesday","Thursday","Friday","Saturday","Sunday")</f>
        <v>Friday</v>
      </c>
      <c r="QL4" s="6" t="s">
        <v>22</v>
      </c>
      <c r="QM4" s="7" t="s">
        <v>22</v>
      </c>
      <c r="QN4" s="323" t="s">
        <v>1871</v>
      </c>
      <c r="QO4" s="5" t="str">
        <f t="shared" ref="QO4:QO5" ca="1" si="12">CHOOSE(WEEKDAY(DATE($A4,QN$43,QO$42),2),"Monday","Tuesday","Wednesday","Thursday","Friday","Saturday","Sunday")</f>
        <v>Sunday</v>
      </c>
      <c r="QP4" s="6" t="s">
        <v>22</v>
      </c>
      <c r="QQ4" s="7" t="s">
        <v>22</v>
      </c>
      <c r="QR4" s="5" t="s">
        <v>22</v>
      </c>
      <c r="QS4" s="5" t="s">
        <v>22</v>
      </c>
      <c r="QT4" s="6" t="s">
        <v>22</v>
      </c>
      <c r="QU4" s="101" t="s">
        <v>22</v>
      </c>
      <c r="QV4" s="5" t="s">
        <v>22</v>
      </c>
      <c r="QW4" s="5" t="s">
        <v>22</v>
      </c>
      <c r="QX4" s="321" t="s">
        <v>1878</v>
      </c>
      <c r="QY4" s="7" t="str">
        <f t="shared" ref="QY4:QY5" ca="1" si="13">CHOOSE(WEEKDAY(DATE($A4,QX$43,QY$42),2),"Monday","Tuesday","Wednesday","Thursday","Friday","Saturday","Sunday")</f>
        <v>Friday</v>
      </c>
      <c r="QZ4" s="5" t="s">
        <v>22</v>
      </c>
      <c r="RA4" s="7" t="s">
        <v>22</v>
      </c>
      <c r="RB4" s="5" t="s">
        <v>22</v>
      </c>
      <c r="RC4" s="7" t="s">
        <v>22</v>
      </c>
      <c r="RD4" s="5" t="s">
        <v>22</v>
      </c>
      <c r="RE4" s="5" t="s">
        <v>22</v>
      </c>
      <c r="RF4" s="321" t="s">
        <v>1885</v>
      </c>
      <c r="RG4" s="7" t="str">
        <f t="shared" ref="RG4:RG5" ca="1" si="14">CHOOSE(WEEKDAY(DATE($A4,RF$43,RG$42),2),"Monday","Tuesday","Wednesday","Thursday","Friday","Saturday","Sunday")</f>
        <v>Tuesday</v>
      </c>
      <c r="RH4" s="5" t="s">
        <v>22</v>
      </c>
      <c r="RI4" s="5" t="s">
        <v>22</v>
      </c>
      <c r="RJ4" s="319" t="s">
        <v>1888</v>
      </c>
      <c r="RK4" s="7" t="str">
        <f t="shared" ref="RK4:RK5" ca="1" si="15">CHOOSE(WEEKDAY(DATE($A4,RJ$43,RK$42),2),"Monday","Tuesday","Wednesday","Thursday","Friday","Saturday","Sunday")</f>
        <v>Thursday</v>
      </c>
      <c r="RL4" s="6" t="s">
        <v>22</v>
      </c>
      <c r="RM4" s="7" t="s">
        <v>22</v>
      </c>
      <c r="RN4" s="320" t="s">
        <v>2008</v>
      </c>
      <c r="RO4" s="5" t="str">
        <f ca="1">CHOOSE(WEEKDAY(DATE($A4,RN$43,RO$42),2),"Monday","Tuesday","Wednesday","Thursday","Friday","Saturday","Sunday")</f>
        <v>Sunday</v>
      </c>
      <c r="RP4" s="6" t="s">
        <v>22</v>
      </c>
      <c r="RQ4" s="7" t="s">
        <v>22</v>
      </c>
      <c r="RR4" s="320" t="s">
        <v>1892</v>
      </c>
      <c r="RS4" s="5" t="str">
        <f t="shared" ca="1" si="0"/>
        <v>Tuesday</v>
      </c>
      <c r="RT4" s="319" t="s">
        <v>1895</v>
      </c>
      <c r="RU4" s="7" t="str">
        <f t="shared" ref="RU4:RU5" ca="1" si="16">CHOOSE(WEEKDAY(DATE($A4,RT$43,RU$42),2),"Monday","Tuesday","Wednesday","Thursday","Friday","Saturday","Sunday")</f>
        <v>Wednesday</v>
      </c>
      <c r="RV4" s="5" t="s">
        <v>22</v>
      </c>
      <c r="RW4" s="5" t="s">
        <v>22</v>
      </c>
      <c r="RX4" s="6" t="s">
        <v>22</v>
      </c>
      <c r="RY4" s="7" t="s">
        <v>22</v>
      </c>
      <c r="RZ4" s="6" t="s">
        <v>22</v>
      </c>
      <c r="SA4" s="7" t="s">
        <v>22</v>
      </c>
      <c r="SB4" s="6" t="s">
        <v>22</v>
      </c>
      <c r="SC4" s="7" t="s">
        <v>22</v>
      </c>
      <c r="SD4" s="5" t="s">
        <v>22</v>
      </c>
      <c r="SE4" s="5" t="s">
        <v>22</v>
      </c>
      <c r="SF4" s="6" t="s">
        <v>22</v>
      </c>
      <c r="SG4" s="7" t="s">
        <v>22</v>
      </c>
      <c r="SH4" s="5" t="s">
        <v>22</v>
      </c>
      <c r="SI4" s="5" t="s">
        <v>22</v>
      </c>
      <c r="SJ4" s="6" t="s">
        <v>22</v>
      </c>
      <c r="SK4" s="7" t="s">
        <v>22</v>
      </c>
      <c r="SL4" s="6" t="s">
        <v>22</v>
      </c>
      <c r="SM4" s="7" t="s">
        <v>22</v>
      </c>
      <c r="SN4" s="5" t="s">
        <v>22</v>
      </c>
      <c r="SO4" s="5" t="s">
        <v>22</v>
      </c>
      <c r="SP4" s="319" t="s">
        <v>2009</v>
      </c>
      <c r="SQ4" s="7" t="str">
        <f t="shared" ref="SQ4:SQ5" ca="1" si="17">CHOOSE(WEEKDAY(DATE($A4,SP$43,SQ$42),2),"Monday","Tuesday","Wednesday","Thursday","Friday","Saturday","Sunday")</f>
        <v>Tuesday</v>
      </c>
      <c r="SR4" s="320" t="s">
        <v>1911</v>
      </c>
      <c r="SS4" s="5" t="str">
        <f ca="1">CHOOSE(WEEKDAY(DATE($A4,SR$43,SS$42),2),"Monday","Tuesday","Wednesday","Thursday","Friday","Saturday","Sunday")</f>
        <v>Wednesday</v>
      </c>
      <c r="ST4" s="6" t="s">
        <v>22</v>
      </c>
      <c r="SU4" s="7" t="s">
        <v>22</v>
      </c>
      <c r="SV4" s="320" t="s">
        <v>1915</v>
      </c>
      <c r="SW4" s="5" t="str">
        <f ca="1">CHOOSE(WEEKDAY(DATE($A4,SV$43,SW$42),2),"Monday","Tuesday","Wednesday","Thursday","Friday","Saturday","Sunday")</f>
        <v>Friday</v>
      </c>
      <c r="SX4" s="6" t="s">
        <v>22</v>
      </c>
      <c r="SY4" s="7" t="s">
        <v>22</v>
      </c>
      <c r="SZ4" s="5" t="s">
        <v>22</v>
      </c>
      <c r="TA4" s="5" t="s">
        <v>22</v>
      </c>
      <c r="TB4" s="319" t="s">
        <v>1919</v>
      </c>
      <c r="TC4" s="7" t="str">
        <f t="shared" ref="TC4:TC5" ca="1" si="18">CHOOSE(WEEKDAY(DATE($A4,TB$43,TC$42),2),"Monday","Tuesday","Wednesday","Thursday","Friday","Saturday","Sunday")</f>
        <v>Tuesday</v>
      </c>
      <c r="TD4" s="320" t="s">
        <v>1920</v>
      </c>
      <c r="TE4" s="5" t="str">
        <f ca="1">CHOOSE(WEEKDAY(DATE($A4,TD$43,TE$42),2),"Monday","Tuesday","Wednesday","Thursday","Friday","Saturday","Sunday")</f>
        <v>Wednesday</v>
      </c>
      <c r="TF4" s="319" t="s">
        <v>1923</v>
      </c>
      <c r="TG4" s="7" t="str">
        <f t="shared" ref="TG4:TG5" ca="1" si="19">CHOOSE(WEEKDAY(DATE($A4,TF$43,TG$42),2),"Monday","Tuesday","Wednesday","Thursday","Friday","Saturday","Sunday")</f>
        <v>Thursday</v>
      </c>
      <c r="TH4" s="5" t="s">
        <v>22</v>
      </c>
      <c r="TI4" s="7" t="s">
        <v>22</v>
      </c>
      <c r="TJ4" s="6" t="s">
        <v>22</v>
      </c>
      <c r="TK4" s="5" t="s">
        <v>22</v>
      </c>
      <c r="TL4" s="6" t="s">
        <v>22</v>
      </c>
      <c r="TM4" s="7" t="s">
        <v>22</v>
      </c>
      <c r="TN4" s="5" t="s">
        <v>22</v>
      </c>
      <c r="TO4" s="5" t="s">
        <v>22</v>
      </c>
      <c r="TP4" s="319" t="s">
        <v>1930</v>
      </c>
      <c r="TQ4" s="7" t="str">
        <f ca="1">CHOOSE(WEEKDAY(DATE($A4,TP$43,TQ$42),2),"Monday","Tuesday","Wednesday","Thursday","Friday","Saturday","Sunday")</f>
        <v>Tuesday</v>
      </c>
      <c r="TR4" s="320" t="s">
        <v>1931</v>
      </c>
      <c r="TS4" s="5" t="str">
        <f t="shared" ref="TS4:TS5" ca="1" si="20">CHOOSE(WEEKDAY(DATE($A4,TR$43,TS$42),2),"Monday","Tuesday","Wednesday","Thursday","Friday","Saturday","Sunday")</f>
        <v>Wednesday</v>
      </c>
      <c r="TT4" s="319" t="s">
        <v>1932</v>
      </c>
      <c r="TU4" s="7" t="str">
        <f t="shared" ref="TU4:TU5" ca="1" si="21">CHOOSE(WEEKDAY(DATE($A4,TT$43,TU$42),2),"Monday","Tuesday","Wednesday","Thursday","Friday","Saturday","Sunday")</f>
        <v>Thursday</v>
      </c>
      <c r="TV4" s="5" t="s">
        <v>22</v>
      </c>
      <c r="TW4" s="5" t="s">
        <v>22</v>
      </c>
      <c r="TX4" s="6" t="s">
        <v>22</v>
      </c>
      <c r="TY4" s="7" t="s">
        <v>22</v>
      </c>
      <c r="TZ4" s="6" t="s">
        <v>22</v>
      </c>
      <c r="UA4" s="7" t="s">
        <v>22</v>
      </c>
      <c r="UB4" s="5" t="s">
        <v>22</v>
      </c>
      <c r="UC4" s="5" t="s">
        <v>22</v>
      </c>
      <c r="UD4" s="319" t="s">
        <v>1935</v>
      </c>
      <c r="UE4" s="7" t="str">
        <f ca="1">CHOOSE(WEEKDAY(DATE($A4,UD$43,UE$42),2),"Monday","Tuesday","Wednesday","Thursday","Friday","Saturday","Sunday")</f>
        <v>Tuesday</v>
      </c>
      <c r="UF4" s="324" t="s">
        <v>1937</v>
      </c>
      <c r="UG4" s="5" t="str">
        <f ca="1">CHOOSE(WEEKDAY(DATE($A4,UF$43,UG$42),2),"Monday","Tuesday","Wednesday","Thursday","Friday","Saturday","Sunday")</f>
        <v>Wednesday</v>
      </c>
      <c r="UH4" s="6" t="s">
        <v>22</v>
      </c>
      <c r="UI4" s="7" t="s">
        <v>22</v>
      </c>
      <c r="UJ4" s="6" t="s">
        <v>22</v>
      </c>
      <c r="UK4" s="7" t="s">
        <v>22</v>
      </c>
      <c r="UL4" s="5" t="s">
        <v>22</v>
      </c>
      <c r="UM4" s="5" t="s">
        <v>22</v>
      </c>
      <c r="UN4" s="6" t="s">
        <v>22</v>
      </c>
      <c r="UO4" s="7" t="s">
        <v>22</v>
      </c>
      <c r="UP4" s="320" t="s">
        <v>1943</v>
      </c>
      <c r="UQ4" s="5" t="str">
        <f t="shared" ref="UQ4:UQ5" ca="1" si="22">CHOOSE(WEEKDAY(DATE($A4,UP$43,UQ$42),2),"Monday","Tuesday","Wednesday","Thursday","Friday","Saturday","Sunday")</f>
        <v>Monday</v>
      </c>
      <c r="UR4" s="6" t="s">
        <v>22</v>
      </c>
      <c r="US4" s="7" t="s">
        <v>22</v>
      </c>
      <c r="UT4" s="6" t="s">
        <v>22</v>
      </c>
      <c r="UU4" s="7" t="s">
        <v>22</v>
      </c>
      <c r="UV4" s="5" t="s">
        <v>22</v>
      </c>
      <c r="UW4" s="5" t="s">
        <v>22</v>
      </c>
      <c r="UX4" s="319" t="s">
        <v>1948</v>
      </c>
      <c r="UY4" s="7" t="str">
        <f ca="1">CHOOSE(WEEKDAY(DATE($A4,UX$43,UY$42),2),"Monday","Tuesday","Wednesday","Thursday","Friday","Saturday","Sunday")</f>
        <v>Friday</v>
      </c>
      <c r="UZ4" s="5" t="s">
        <v>22</v>
      </c>
      <c r="VA4" s="5" t="s">
        <v>22</v>
      </c>
      <c r="VB4" s="319" t="s">
        <v>1952</v>
      </c>
      <c r="VC4" s="7" t="str">
        <f t="shared" ref="VC4:VC5" ca="1" si="23">CHOOSE(WEEKDAY(DATE($A4,VB$43,VC$42),2),"Monday","Tuesday","Wednesday","Thursday","Friday","Saturday","Sunday")</f>
        <v>Tuesday</v>
      </c>
      <c r="VD4" s="5" t="s">
        <v>22</v>
      </c>
      <c r="VE4" s="5" t="s">
        <v>22</v>
      </c>
      <c r="VF4" s="6" t="s">
        <v>22</v>
      </c>
      <c r="VG4" s="7" t="s">
        <v>22</v>
      </c>
      <c r="VH4" s="6" t="s">
        <v>22</v>
      </c>
      <c r="VI4" s="7" t="s">
        <v>22</v>
      </c>
      <c r="VJ4" s="5" t="s">
        <v>22</v>
      </c>
      <c r="VK4" s="5" t="s">
        <v>22</v>
      </c>
      <c r="VL4" s="6" t="s">
        <v>22</v>
      </c>
      <c r="VM4" s="7" t="s">
        <v>22</v>
      </c>
      <c r="VN4" s="5" t="s">
        <v>22</v>
      </c>
      <c r="VO4" s="5" t="s">
        <v>22</v>
      </c>
      <c r="VP4" s="6" t="s">
        <v>22</v>
      </c>
      <c r="VQ4" s="7" t="s">
        <v>22</v>
      </c>
      <c r="VR4" s="320" t="s">
        <v>1960</v>
      </c>
      <c r="VS4" s="5" t="str">
        <f t="shared" ref="VS4:VS5" ca="1" si="24">CHOOSE(WEEKDAY(DATE($A4,VR$43,VS$42),2),"Monday","Tuesday","Wednesday","Thursday","Friday","Saturday","Sunday")</f>
        <v>Thursday</v>
      </c>
      <c r="VT4" s="6" t="s">
        <v>22</v>
      </c>
      <c r="VU4" s="7" t="s">
        <v>22</v>
      </c>
      <c r="VV4" s="6" t="s">
        <v>22</v>
      </c>
      <c r="VW4" s="7" t="s">
        <v>22</v>
      </c>
      <c r="VX4" s="5" t="s">
        <v>22</v>
      </c>
      <c r="VY4" s="7" t="s">
        <v>22</v>
      </c>
      <c r="VZ4" s="6" t="s">
        <v>22</v>
      </c>
      <c r="WA4" s="7" t="s">
        <v>22</v>
      </c>
      <c r="WB4" s="6" t="s">
        <v>22</v>
      </c>
      <c r="WC4" s="7" t="s">
        <v>22</v>
      </c>
      <c r="WD4" s="325" t="s">
        <v>1966</v>
      </c>
      <c r="WE4" s="5" t="str">
        <f t="shared" ref="WE4:WE5" ca="1" si="25">CHOOSE(WEEKDAY(DATE($A4,WD$43,WE$42),2),"Monday","Tuesday","Wednesday","Thursday","Friday","Saturday","Sunday")</f>
        <v>Thursday</v>
      </c>
      <c r="WF4" s="319" t="s">
        <v>1971</v>
      </c>
      <c r="WG4" s="7" t="str">
        <f ca="1">CHOOSE(WEEKDAY(DATE($A4,WF$43,WG$42),2),"Monday","Tuesday","Wednesday","Thursday","Friday","Saturday","Sunday")</f>
        <v>Friday</v>
      </c>
      <c r="WH4" s="320" t="s">
        <v>1973</v>
      </c>
      <c r="WI4" s="5" t="str">
        <f ca="1">CHOOSE(WEEKDAY(DATE($A4,WH$43,WI$42),2),"Monday","Tuesday","Wednesday","Thursday","Friday","Saturday","Sunday")</f>
        <v>Saturday</v>
      </c>
      <c r="WJ4" s="319" t="s">
        <v>1975</v>
      </c>
      <c r="WK4" s="7" t="str">
        <f t="shared" ref="WK4:WK5" ca="1" si="26">CHOOSE(WEEKDAY(DATE($A4,WJ$43,WK$42),2),"Monday","Tuesday","Wednesday","Thursday","Friday","Saturday","Sunday")</f>
        <v>Sunday</v>
      </c>
      <c r="WL4" s="5" t="s">
        <v>22</v>
      </c>
      <c r="WM4" s="5" t="s">
        <v>22</v>
      </c>
      <c r="WN4" s="6" t="s">
        <v>22</v>
      </c>
      <c r="WO4" s="7" t="s">
        <v>22</v>
      </c>
      <c r="WP4" s="320" t="s">
        <v>1979</v>
      </c>
      <c r="WQ4" s="5" t="str">
        <f ca="1">CHOOSE(WEEKDAY(DATE($A4,WP$43,WQ$42),2),"Monday","Tuesday","Wednesday","Thursday","Friday","Saturday","Sunday")</f>
        <v>Wednesday</v>
      </c>
      <c r="WR4" s="6" t="s">
        <v>22</v>
      </c>
      <c r="WS4" s="7" t="s">
        <v>22</v>
      </c>
      <c r="WT4" s="319" t="s">
        <v>1982</v>
      </c>
      <c r="WU4" s="7" t="str">
        <f ca="1">CHOOSE(WEEKDAY(DATE($A4,WT$43,WU$42),2),"Monday","Tuesday","Wednesday","Thursday","Friday","Saturday","Sunday")</f>
        <v>Friday</v>
      </c>
      <c r="WV4" s="6" t="s">
        <v>22</v>
      </c>
      <c r="WW4" s="7" t="s">
        <v>22</v>
      </c>
      <c r="WX4" s="6" t="s">
        <v>22</v>
      </c>
      <c r="WY4" s="7" t="s">
        <v>22</v>
      </c>
      <c r="WZ4" s="320" t="s">
        <v>2010</v>
      </c>
      <c r="XA4" s="5" t="str">
        <f ca="1">CHOOSE(WEEKDAY(DATE($A4,WZ$43,XA$42),2),"Monday","Tuesday","Wednesday","Thursday","Friday","Saturday","Sunday")</f>
        <v>Monday</v>
      </c>
      <c r="XB4" s="319" t="s">
        <v>1986</v>
      </c>
      <c r="XC4" s="7" t="str">
        <f t="shared" ref="XC4:XC5" ca="1" si="27">CHOOSE(WEEKDAY(DATE($A4,XB$43,XC$42),2),"Monday","Tuesday","Wednesday","Thursday","Friday","Saturday","Sunday")</f>
        <v>Tuesday</v>
      </c>
      <c r="XD4" s="5" t="s">
        <v>22</v>
      </c>
      <c r="XE4" s="5" t="s">
        <v>22</v>
      </c>
      <c r="XF4" s="6" t="s">
        <v>22</v>
      </c>
      <c r="XG4" s="7" t="s">
        <v>22</v>
      </c>
      <c r="XH4" s="6" t="s">
        <v>22</v>
      </c>
      <c r="XI4" s="7" t="s">
        <v>22</v>
      </c>
      <c r="XJ4" s="5" t="s">
        <v>22</v>
      </c>
      <c r="XK4" s="5" t="s">
        <v>22</v>
      </c>
      <c r="XL4" s="6" t="s">
        <v>22</v>
      </c>
      <c r="XM4" s="7" t="s">
        <v>22</v>
      </c>
      <c r="XN4" s="5" t="s">
        <v>22</v>
      </c>
      <c r="XO4" s="5" t="s">
        <v>22</v>
      </c>
      <c r="XP4" s="319" t="s">
        <v>1994</v>
      </c>
      <c r="XQ4" s="7" t="str">
        <f t="shared" ref="XQ4:XQ5" ca="1" si="28">CHOOSE(WEEKDAY(DATE($A4,XP$43,XQ$42),2),"Monday","Tuesday","Wednesday","Thursday","Friday","Saturday","Sunday")</f>
        <v>Tuesday</v>
      </c>
      <c r="XR4" s="5" t="s">
        <v>22</v>
      </c>
      <c r="XS4" s="5" t="s">
        <v>22</v>
      </c>
      <c r="XT4" s="6" t="s">
        <v>22</v>
      </c>
      <c r="XU4" s="7" t="s">
        <v>22</v>
      </c>
      <c r="XV4" s="6" t="s">
        <v>22</v>
      </c>
      <c r="XW4" s="7" t="s">
        <v>22</v>
      </c>
      <c r="XX4" s="5" t="s">
        <v>22</v>
      </c>
      <c r="XY4" s="5" t="s">
        <v>22</v>
      </c>
      <c r="XZ4" s="6" t="s">
        <v>22</v>
      </c>
      <c r="YA4" s="7" t="s">
        <v>22</v>
      </c>
      <c r="YB4" s="320" t="s">
        <v>2011</v>
      </c>
      <c r="YC4" s="5" t="str">
        <f t="shared" ref="YC4:YC5" ca="1" si="29">CHOOSE(WEEKDAY(DATE($A4,YB$43,YC$42),2),"Monday","Tuesday","Wednesday","Thursday","Friday","Saturday","Sunday")</f>
        <v>Monday</v>
      </c>
      <c r="YD4" s="319" t="s">
        <v>2003</v>
      </c>
      <c r="YE4" s="7" t="str">
        <f ca="1">CHOOSE(WEEKDAY(DATE($A4,YD$43,YE$42),2),"Monday","Tuesday","Wednesday","Thursday","Friday","Saturday","Sunday")</f>
        <v>Tuesday</v>
      </c>
    </row>
    <row r="5" spans="1:655" ht="30" x14ac:dyDescent="0.2">
      <c r="A5" s="430">
        <v>2014</v>
      </c>
      <c r="B5" s="457" t="s">
        <v>22</v>
      </c>
      <c r="C5" s="430" t="s">
        <v>22</v>
      </c>
      <c r="D5" s="457" t="s">
        <v>22</v>
      </c>
      <c r="E5" s="430" t="s">
        <v>22</v>
      </c>
      <c r="F5" s="532" t="s">
        <v>1552</v>
      </c>
      <c r="G5" s="430" t="str">
        <f ca="1">CHOOSE(WEEKDAY(DATE($A5,F$43,G$42),2),"Monday","Tuesday","Wednesday","Thursday","Friday","Saturday","Sunday")</f>
        <v>Saturday</v>
      </c>
      <c r="H5" s="457" t="s">
        <v>22</v>
      </c>
      <c r="I5" s="422" t="s">
        <v>22</v>
      </c>
      <c r="J5" s="457" t="s">
        <v>22</v>
      </c>
      <c r="K5" s="430" t="s">
        <v>22</v>
      </c>
      <c r="L5" s="457" t="s">
        <v>22</v>
      </c>
      <c r="M5" s="430" t="s">
        <v>22</v>
      </c>
      <c r="N5" s="457" t="s">
        <v>22</v>
      </c>
      <c r="O5" s="430" t="s">
        <v>22</v>
      </c>
      <c r="P5" s="532" t="s">
        <v>1560</v>
      </c>
      <c r="Q5" s="422" t="str">
        <f ca="1">CHOOSE(WEEKDAY(DATE($A5,P$43,Q$42),2),"Monday","Tuesday","Wednesday","Thursday","Friday","Saturday","Sunday")</f>
        <v>Monday</v>
      </c>
      <c r="R5" s="457" t="s">
        <v>22</v>
      </c>
      <c r="S5" s="422" t="s">
        <v>22</v>
      </c>
      <c r="T5" s="530" t="s">
        <v>1563</v>
      </c>
      <c r="U5" s="430" t="str">
        <f ca="1">CHOOSE(WEEKDAY(DATE($A5,T$43,U$42),2),"Monday","Tuesday","Wednesday","Thursday","Friday","Saturday","Sunday")</f>
        <v>Wednesday</v>
      </c>
      <c r="V5" s="532" t="s">
        <v>1564</v>
      </c>
      <c r="W5" s="422" t="str">
        <f ca="1">CHOOSE(WEEKDAY(DATE($A5,V$43,W$42),2),"Monday","Tuesday","Wednesday","Thursday","Friday","Saturday","Sunday")</f>
        <v>Thursday</v>
      </c>
      <c r="X5" s="457" t="s">
        <v>22</v>
      </c>
      <c r="Y5" s="430" t="s">
        <v>22</v>
      </c>
      <c r="Z5" s="457" t="s">
        <v>22</v>
      </c>
      <c r="AA5" s="430" t="s">
        <v>22</v>
      </c>
      <c r="AB5" s="422" t="s">
        <v>22</v>
      </c>
      <c r="AC5" s="422" t="s">
        <v>22</v>
      </c>
      <c r="AD5" s="457" t="s">
        <v>22</v>
      </c>
      <c r="AE5" s="430" t="s">
        <v>22</v>
      </c>
      <c r="AF5" s="457" t="s">
        <v>22</v>
      </c>
      <c r="AG5" s="430" t="s">
        <v>22</v>
      </c>
      <c r="AH5" s="532" t="s">
        <v>1566</v>
      </c>
      <c r="AI5" s="422" t="str">
        <f ca="1">CHOOSE(WEEKDAY(DATE($A5,AH$43,AI$42),2),"Monday","Tuesday","Wednesday","Thursday","Friday","Saturday","Sunday")</f>
        <v>Wednesday</v>
      </c>
      <c r="AJ5" s="530" t="s">
        <v>1567</v>
      </c>
      <c r="AK5" s="430" t="str">
        <f ca="1">CHOOSE(WEEKDAY(DATE($A5,AJ$43,AK$42),2),"Monday","Tuesday","Wednesday","Thursday","Friday","Saturday","Sunday")</f>
        <v>Thursday</v>
      </c>
      <c r="AL5" s="532" t="s">
        <v>1568</v>
      </c>
      <c r="AM5" s="422" t="str">
        <f ca="1">CHOOSE(WEEKDAY(DATE($A5,AL$43,AM$42),2),"Monday","Tuesday","Wednesday","Thursday","Friday","Saturday","Sunday")</f>
        <v>Friday</v>
      </c>
      <c r="AN5" s="457" t="s">
        <v>22</v>
      </c>
      <c r="AO5" s="430" t="s">
        <v>22</v>
      </c>
      <c r="AP5" s="422" t="s">
        <v>22</v>
      </c>
      <c r="AQ5" s="422" t="s">
        <v>22</v>
      </c>
      <c r="AR5" s="457" t="s">
        <v>22</v>
      </c>
      <c r="AS5" s="430" t="s">
        <v>22</v>
      </c>
      <c r="AT5" s="532" t="s">
        <v>1573</v>
      </c>
      <c r="AU5" s="422" t="str">
        <f ca="1">CHOOSE(WEEKDAY(DATE($A5,AT$43,AU$42),2),"Monday","Tuesday","Wednesday","Thursday","Friday","Saturday","Sunday")</f>
        <v>Tuesday</v>
      </c>
      <c r="AV5" s="328" t="s">
        <v>1575</v>
      </c>
      <c r="AW5" s="430" t="str">
        <f ca="1">CHOOSE(WEEKDAY(DATE($A5,AV$43,AW$42),2),"Monday","Tuesday","Wednesday","Thursday","Friday","Saturday","Sunday")</f>
        <v>Wednesday</v>
      </c>
      <c r="AX5" s="422" t="s">
        <v>22</v>
      </c>
      <c r="AY5" s="422" t="s">
        <v>22</v>
      </c>
      <c r="AZ5" s="457" t="s">
        <v>22</v>
      </c>
      <c r="BA5" s="430" t="s">
        <v>22</v>
      </c>
      <c r="BB5" s="422" t="s">
        <v>22</v>
      </c>
      <c r="BC5" s="422" t="s">
        <v>22</v>
      </c>
      <c r="BD5" s="530" t="s">
        <v>1581</v>
      </c>
      <c r="BE5" s="430" t="str">
        <f ca="1">CHOOSE(WEEKDAY(DATE($A5,BD$43,BE$42),2),"Monday","Tuesday","Wednesday","Thursday","Friday","Saturday","Sunday")</f>
        <v>Monday</v>
      </c>
      <c r="BF5" s="457" t="s">
        <v>22</v>
      </c>
      <c r="BG5" s="430" t="s">
        <v>22</v>
      </c>
      <c r="BH5" s="532" t="s">
        <v>2012</v>
      </c>
      <c r="BI5" s="422" t="str">
        <f ca="1">CHOOSE(WEEKDAY(DATE($A5,BH$43,BI$42),2),"Monday","Tuesday","Wednesday","Thursday","Friday","Saturday","Sunday")</f>
        <v>Wednesday</v>
      </c>
      <c r="BJ5" s="530" t="s">
        <v>1586</v>
      </c>
      <c r="BK5" s="430" t="str">
        <f ca="1">CHOOSE(WEEKDAY(DATE($A5,BJ$43,BK$42),2),"Monday","Tuesday","Wednesday","Thursday","Friday","Saturday","Sunday")</f>
        <v>Thursday</v>
      </c>
      <c r="BL5" s="422" t="s">
        <v>22</v>
      </c>
      <c r="BM5" s="422" t="s">
        <v>22</v>
      </c>
      <c r="BN5" s="457" t="s">
        <v>22</v>
      </c>
      <c r="BO5" s="430" t="s">
        <v>22</v>
      </c>
      <c r="BP5" s="457" t="s">
        <v>22</v>
      </c>
      <c r="BQ5" s="430" t="s">
        <v>22</v>
      </c>
      <c r="BR5" s="532" t="s">
        <v>1591</v>
      </c>
      <c r="BS5" s="422" t="str">
        <f ca="1">CHOOSE(WEEKDAY(DATE($A5,BR$43,BS$42),2),"Monday","Tuesday","Wednesday","Thursday","Friday","Saturday","Sunday")</f>
        <v>Monday</v>
      </c>
      <c r="BT5" s="457" t="s">
        <v>22</v>
      </c>
      <c r="BU5" s="430" t="s">
        <v>22</v>
      </c>
      <c r="BV5" s="457" t="s">
        <v>22</v>
      </c>
      <c r="BW5" s="430" t="s">
        <v>22</v>
      </c>
      <c r="BX5" s="533" t="s">
        <v>1594</v>
      </c>
      <c r="BY5" s="422" t="str">
        <f ca="1">CHOOSE(WEEKDAY(DATE($A5,BX$43,BY$42),2),"Monday","Tuesday","Wednesday","Thursday","Friday","Saturday","Sunday")</f>
        <v>Thursday</v>
      </c>
      <c r="BZ5" s="530" t="s">
        <v>1595</v>
      </c>
      <c r="CA5" s="430" t="str">
        <f t="shared" ca="1" si="1"/>
        <v>Friday</v>
      </c>
      <c r="CB5" s="457" t="s">
        <v>22</v>
      </c>
      <c r="CC5" s="430" t="s">
        <v>22</v>
      </c>
      <c r="CD5" s="532" t="s">
        <v>1598</v>
      </c>
      <c r="CE5" s="422" t="str">
        <f ca="1">CHOOSE(WEEKDAY(DATE($A5,CD$43,CE$42),2),"Monday","Tuesday","Wednesday","Thursday","Friday","Saturday","Sunday")</f>
        <v>Sunday</v>
      </c>
      <c r="CF5" s="457" t="s">
        <v>22</v>
      </c>
      <c r="CG5" s="430" t="s">
        <v>22</v>
      </c>
      <c r="CH5" s="422" t="s">
        <v>22</v>
      </c>
      <c r="CI5" s="422" t="s">
        <v>22</v>
      </c>
      <c r="CJ5" s="530" t="s">
        <v>1604</v>
      </c>
      <c r="CK5" s="430" t="str">
        <f ca="1">CHOOSE(WEEKDAY(DATE($A5,CJ$43,CK$42),2),"Monday","Tuesday","Wednesday","Thursday","Friday","Saturday","Sunday")</f>
        <v>Wednesday</v>
      </c>
      <c r="CL5" s="422" t="s">
        <v>22</v>
      </c>
      <c r="CM5" s="422" t="s">
        <v>22</v>
      </c>
      <c r="CN5" s="327" t="s">
        <v>1607</v>
      </c>
      <c r="CO5" s="430" t="str">
        <f ca="1">CHOOSE(WEEKDAY(DATE($A5,CN$43,CO$42),2),"Monday","Tuesday","Wednesday","Thursday","Friday","Saturday","Sunday")</f>
        <v>Friday</v>
      </c>
      <c r="CP5" s="422" t="s">
        <v>22</v>
      </c>
      <c r="CQ5" s="422" t="s">
        <v>22</v>
      </c>
      <c r="CR5" s="530" t="s">
        <v>1613</v>
      </c>
      <c r="CS5" s="430" t="str">
        <f ca="1">CHOOSE(WEEKDAY(DATE($A5,CR$43,CS$42),2),"Monday","Tuesday","Wednesday","Thursday","Friday","Saturday","Sunday")</f>
        <v>Sunday</v>
      </c>
      <c r="CT5" s="532" t="s">
        <v>2013</v>
      </c>
      <c r="CU5" s="422" t="str">
        <f ca="1">CHOOSE(WEEKDAY(DATE($A5,CT$43,CU$42),2),"Monday","Tuesday","Wednesday","Thursday","Friday","Saturday","Sunday")</f>
        <v>Monday</v>
      </c>
      <c r="CV5" s="530" t="s">
        <v>1616</v>
      </c>
      <c r="CW5" s="430" t="str">
        <f ca="1">CHOOSE(WEEKDAY(DATE($A5,CV$43,CW$42),2),"Monday","Tuesday","Wednesday","Thursday","Friday","Saturday","Sunday")</f>
        <v>Tuesday</v>
      </c>
      <c r="CX5" s="530" t="s">
        <v>1618</v>
      </c>
      <c r="CY5" s="422" t="str">
        <f ca="1">CHOOSE(WEEKDAY(DATE($A5,CX$43,CY$42),2),"Monday","Tuesday","Wednesday","Thursday","Friday","Saturday","Sunday")</f>
        <v>Wednesday</v>
      </c>
      <c r="CZ5" s="457" t="s">
        <v>22</v>
      </c>
      <c r="DA5" s="430" t="s">
        <v>22</v>
      </c>
      <c r="DB5" s="457" t="s">
        <v>22</v>
      </c>
      <c r="DC5" s="430" t="s">
        <v>22</v>
      </c>
      <c r="DD5" s="422" t="s">
        <v>22</v>
      </c>
      <c r="DE5" s="422" t="s">
        <v>22</v>
      </c>
      <c r="DF5" s="457" t="s">
        <v>22</v>
      </c>
      <c r="DG5" s="430" t="s">
        <v>22</v>
      </c>
      <c r="DH5" s="422" t="s">
        <v>22</v>
      </c>
      <c r="DI5" s="422" t="s">
        <v>22</v>
      </c>
      <c r="DJ5" s="457" t="s">
        <v>22</v>
      </c>
      <c r="DK5" s="430" t="s">
        <v>22</v>
      </c>
      <c r="DL5" s="422" t="s">
        <v>22</v>
      </c>
      <c r="DM5" s="422" t="s">
        <v>22</v>
      </c>
      <c r="DN5" s="530" t="s">
        <v>1627</v>
      </c>
      <c r="DO5" s="430" t="str">
        <f ca="1">CHOOSE(WEEKDAY(DATE($A5,DN$43,DO$42),2),"Monday","Tuesday","Wednesday","Thursday","Friday","Saturday","Sunday")</f>
        <v>Friday</v>
      </c>
      <c r="DP5" s="422" t="s">
        <v>22</v>
      </c>
      <c r="DQ5" s="422" t="s">
        <v>22</v>
      </c>
      <c r="DR5" s="327" t="s">
        <v>1931</v>
      </c>
      <c r="DS5" s="430" t="str">
        <f ca="1">CHOOSE(WEEKDAY(DATE($A5,DR$43,DS$42),2),"Monday","Tuesday","Wednesday","Thursday","Friday","Saturday","Sunday")</f>
        <v>Sunday</v>
      </c>
      <c r="DT5" s="532" t="s">
        <v>1631</v>
      </c>
      <c r="DU5" s="422" t="str">
        <f ca="1">CHOOSE(WEEKDAY(DATE($A5,DT$43,DU$42),2),"Monday","Tuesday","Wednesday","Thursday","Friday","Saturday","Sunday")</f>
        <v>Monday</v>
      </c>
      <c r="DV5" s="457" t="s">
        <v>22</v>
      </c>
      <c r="DW5" s="430" t="s">
        <v>22</v>
      </c>
      <c r="DX5" s="532" t="s">
        <v>1633</v>
      </c>
      <c r="DY5" s="422" t="str">
        <f ca="1">CHOOSE(WEEKDAY(DATE($A5,DX$43,DY$42),2),"Monday","Tuesday","Wednesday","Thursday","Friday","Saturday","Sunday")</f>
        <v>Thursday</v>
      </c>
      <c r="DZ5" s="530" t="s">
        <v>1635</v>
      </c>
      <c r="EA5" s="430" t="str">
        <f ca="1">CHOOSE(WEEKDAY(DATE($A5,DZ$43,EA$42),2),"Monday","Tuesday","Wednesday","Thursday","Friday","Saturday","Sunday")</f>
        <v>Friday</v>
      </c>
      <c r="EB5" s="422" t="s">
        <v>22</v>
      </c>
      <c r="EC5" s="430" t="s">
        <v>22</v>
      </c>
      <c r="ED5" s="422" t="s">
        <v>22</v>
      </c>
      <c r="EE5" s="430" t="s">
        <v>22</v>
      </c>
      <c r="EF5" s="530" t="s">
        <v>1638</v>
      </c>
      <c r="EG5" s="430" t="str">
        <f ca="1">CHOOSE(WEEKDAY(DATE($A5,EF$43,EG$42),2),"Monday","Tuesday","Wednesday","Thursday","Friday","Saturday","Sunday")</f>
        <v>Monday</v>
      </c>
      <c r="EH5" s="422" t="s">
        <v>22</v>
      </c>
      <c r="EI5" s="422" t="s">
        <v>22</v>
      </c>
      <c r="EJ5" s="530" t="s">
        <v>1644</v>
      </c>
      <c r="EK5" s="430" t="str">
        <f ca="1">CHOOSE(WEEKDAY(DATE($A5,EJ$43,EK$42),2),"Monday","Tuesday","Wednesday","Thursday","Friday","Saturday","Sunday")</f>
        <v>Wednesday</v>
      </c>
      <c r="EL5" s="532" t="s">
        <v>1642</v>
      </c>
      <c r="EM5" s="422" t="str">
        <f ca="1">CHOOSE(WEEKDAY(DATE($A5,EL$43,EM$42),2),"Monday","Tuesday","Wednesday","Thursday","Friday","Saturday","Sunday")</f>
        <v>Thursday</v>
      </c>
      <c r="EN5" s="530" t="s">
        <v>1645</v>
      </c>
      <c r="EO5" s="430" t="str">
        <f t="shared" ca="1" si="2"/>
        <v>Friday</v>
      </c>
      <c r="EP5" s="422" t="s">
        <v>22</v>
      </c>
      <c r="EQ5" s="422" t="s">
        <v>22</v>
      </c>
      <c r="ER5" s="457" t="s">
        <v>22</v>
      </c>
      <c r="ES5" s="430" t="s">
        <v>22</v>
      </c>
      <c r="ET5" s="532" t="s">
        <v>1650</v>
      </c>
      <c r="EU5" s="422" t="str">
        <f ca="1">CHOOSE(WEEKDAY(DATE($A5,ET$43,EU$42),2),"Monday","Tuesday","Wednesday","Thursday","Friday","Saturday","Sunday")</f>
        <v>Monday</v>
      </c>
      <c r="EV5" s="530" t="s">
        <v>1651</v>
      </c>
      <c r="EW5" s="430" t="str">
        <f ca="1">CHOOSE(WEEKDAY(DATE($A5,EV$43,EW$42),2),"Monday","Tuesday","Wednesday","Thursday","Friday","Saturday","Sunday")</f>
        <v>Tuesday</v>
      </c>
      <c r="EX5" s="532" t="s">
        <v>1604</v>
      </c>
      <c r="EY5" s="422" t="str">
        <f ca="1">CHOOSE(WEEKDAY(DATE($A5,EX$43,EY$42),2),"Monday","Tuesday","Wednesday","Thursday","Friday","Saturday","Sunday")</f>
        <v>Wednesday</v>
      </c>
      <c r="EZ5" s="457" t="s">
        <v>22</v>
      </c>
      <c r="FA5" s="430" t="s">
        <v>22</v>
      </c>
      <c r="FB5" s="530" t="s">
        <v>1654</v>
      </c>
      <c r="FC5" s="430" t="str">
        <f ca="1">CHOOSE(WEEKDAY(DATE($A5,FB$43,FC$42),2),"Monday","Tuesday","Wednesday","Thursday","Friday","Saturday","Sunday")</f>
        <v>Friday</v>
      </c>
      <c r="FD5" s="457" t="s">
        <v>22</v>
      </c>
      <c r="FE5" s="430" t="s">
        <v>22</v>
      </c>
      <c r="FF5" s="422" t="s">
        <v>22</v>
      </c>
      <c r="FG5" s="422" t="s">
        <v>22</v>
      </c>
      <c r="FH5" s="530" t="s">
        <v>1659</v>
      </c>
      <c r="FI5" s="430" t="str">
        <f ca="1">CHOOSE(WEEKDAY(DATE($A5,FH$43,FI$42),2),"Monday","Tuesday","Wednesday","Thursday","Friday","Saturday","Sunday")</f>
        <v>Monday</v>
      </c>
      <c r="FJ5" s="327" t="s">
        <v>1660</v>
      </c>
      <c r="FK5" s="430" t="str">
        <f t="shared" ca="1" si="3"/>
        <v>Tuesday</v>
      </c>
      <c r="FL5" s="457" t="s">
        <v>22</v>
      </c>
      <c r="FM5" s="430" t="s">
        <v>22</v>
      </c>
      <c r="FN5" s="532" t="s">
        <v>1665</v>
      </c>
      <c r="FO5" s="422" t="str">
        <f ca="1">CHOOSE(WEEKDAY(DATE($A5,FN$43,FO$42),2),"Monday","Tuesday","Wednesday","Thursday","Friday","Saturday","Sunday")</f>
        <v>Friday</v>
      </c>
      <c r="FP5" s="422" t="s">
        <v>22</v>
      </c>
      <c r="FQ5" s="430" t="s">
        <v>22</v>
      </c>
      <c r="FR5" s="457" t="s">
        <v>22</v>
      </c>
      <c r="FS5" s="430" t="s">
        <v>22</v>
      </c>
      <c r="FT5" s="532" t="s">
        <v>2014</v>
      </c>
      <c r="FU5" s="422" t="str">
        <f ca="1">CHOOSE(WEEKDAY(DATE($A5,FT$43,FU$42),2),"Monday","Tuesday","Wednesday","Thursday","Friday","Saturday","Sunday")</f>
        <v>Monday</v>
      </c>
      <c r="FV5" s="530" t="s">
        <v>1669</v>
      </c>
      <c r="FW5" s="430" t="str">
        <f ca="1">CHOOSE(WEEKDAY(DATE($A5,FV$43,FW$42),2),"Monday","Tuesday","Wednesday","Thursday","Friday","Saturday","Sunday")</f>
        <v>Tuesday</v>
      </c>
      <c r="FX5" s="533" t="s">
        <v>1671</v>
      </c>
      <c r="FY5" s="422" t="str">
        <f ca="1">CHOOSE(WEEKDAY(DATE($A5,FX$43,FY$42),2),"Monday","Tuesday","Wednesday","Thursday","Friday","Saturday","Sunday")</f>
        <v>Wednesday</v>
      </c>
      <c r="FZ5" s="530" t="s">
        <v>2015</v>
      </c>
      <c r="GA5" s="430" t="str">
        <f ca="1">CHOOSE(WEEKDAY(DATE($A5,FZ$43,GA$42),2),"Monday","Tuesday","Wednesday","Thursday","Friday","Saturday","Sunday")</f>
        <v>Friday</v>
      </c>
      <c r="GB5" s="422" t="s">
        <v>22</v>
      </c>
      <c r="GC5" s="422" t="s">
        <v>22</v>
      </c>
      <c r="GD5" s="530" t="s">
        <v>1674</v>
      </c>
      <c r="GE5" s="430" t="str">
        <f ca="1">CHOOSE(WEEKDAY(DATE($A5,GD$43,GE$42),2),"Monday","Tuesday","Wednesday","Thursday","Friday","Saturday","Sunday")</f>
        <v>Sunday</v>
      </c>
      <c r="GF5" s="422" t="s">
        <v>22</v>
      </c>
      <c r="GG5" s="430" t="s">
        <v>22</v>
      </c>
      <c r="GH5" s="457" t="s">
        <v>22</v>
      </c>
      <c r="GI5" s="430" t="s">
        <v>22</v>
      </c>
      <c r="GJ5" s="532" t="s">
        <v>1679</v>
      </c>
      <c r="GK5" s="422" t="str">
        <f ca="1">CHOOSE(WEEKDAY(DATE($A5,GJ$43,GK$42),2),"Monday","Tuesday","Wednesday","Thursday","Friday","Saturday","Sunday")</f>
        <v>Friday</v>
      </c>
      <c r="GL5" s="457" t="s">
        <v>22</v>
      </c>
      <c r="GM5" s="430" t="s">
        <v>22</v>
      </c>
      <c r="GN5" s="422" t="s">
        <v>22</v>
      </c>
      <c r="GO5" s="430" t="s">
        <v>22</v>
      </c>
      <c r="GP5" s="532" t="s">
        <v>1685</v>
      </c>
      <c r="GQ5" s="422" t="str">
        <f ca="1">CHOOSE(WEEKDAY(DATE($A5,GP$43,GQ$42),2),"Monday","Tuesday","Wednesday","Thursday","Friday","Saturday","Sunday")</f>
        <v>Wednesday</v>
      </c>
      <c r="GR5" s="457" t="s">
        <v>22</v>
      </c>
      <c r="GS5" s="430" t="s">
        <v>22</v>
      </c>
      <c r="GT5" s="422" t="s">
        <v>22</v>
      </c>
      <c r="GU5" s="430" t="s">
        <v>22</v>
      </c>
      <c r="GV5" s="422" t="s">
        <v>22</v>
      </c>
      <c r="GW5" s="430" t="s">
        <v>22</v>
      </c>
      <c r="GX5" s="457" t="s">
        <v>22</v>
      </c>
      <c r="GY5" s="430" t="s">
        <v>22</v>
      </c>
      <c r="GZ5" s="457" t="s">
        <v>22</v>
      </c>
      <c r="HA5" s="430" t="s">
        <v>22</v>
      </c>
      <c r="HB5" s="457" t="s">
        <v>22</v>
      </c>
      <c r="HC5" s="430" t="s">
        <v>22</v>
      </c>
      <c r="HD5" s="330" t="s">
        <v>2016</v>
      </c>
      <c r="HE5" s="422" t="str">
        <f ca="1">CHOOSE(WEEKDAY(DATE($A5,HD$43,HE$42),2),"Monday","Tuesday","Wednesday","Thursday","Friday","Saturday","Sunday")</f>
        <v>Wednesday</v>
      </c>
      <c r="HF5" s="457" t="s">
        <v>22</v>
      </c>
      <c r="HG5" s="430" t="s">
        <v>22</v>
      </c>
      <c r="HH5" s="422" t="s">
        <v>22</v>
      </c>
      <c r="HI5" s="430" t="s">
        <v>22</v>
      </c>
      <c r="HJ5" s="532" t="s">
        <v>1701</v>
      </c>
      <c r="HK5" s="422" t="str">
        <f ca="1">CHOOSE(WEEKDAY(DATE($A5,HJ$43,HK$42),2),"Monday","Tuesday","Wednesday","Thursday","Friday","Saturday","Sunday")</f>
        <v>Saturday</v>
      </c>
      <c r="HL5" s="457" t="s">
        <v>22</v>
      </c>
      <c r="HM5" s="430" t="s">
        <v>22</v>
      </c>
      <c r="HN5" s="457" t="s">
        <v>22</v>
      </c>
      <c r="HO5" s="430" t="s">
        <v>22</v>
      </c>
      <c r="HP5" s="532" t="s">
        <v>1707</v>
      </c>
      <c r="HQ5" s="422" t="str">
        <f ca="1">CHOOSE(WEEKDAY(DATE($A5,HP$43,HQ$42),2),"Monday","Tuesday","Wednesday","Thursday","Friday","Saturday","Sunday")</f>
        <v>Tuesday</v>
      </c>
      <c r="HR5" s="530" t="s">
        <v>1708</v>
      </c>
      <c r="HS5" s="430" t="str">
        <f ca="1">CHOOSE(WEEKDAY(DATE($A5,HR$43,HS$42),2),"Monday","Tuesday","Wednesday","Thursday","Friday","Saturday","Sunday")</f>
        <v>Wednesday</v>
      </c>
      <c r="HT5" s="532" t="s">
        <v>1931</v>
      </c>
      <c r="HU5" s="422" t="str">
        <f t="shared" ca="1" si="4"/>
        <v>Thursday</v>
      </c>
      <c r="HV5" s="327" t="s">
        <v>1711</v>
      </c>
      <c r="HW5" s="430" t="str">
        <f ca="1">CHOOSE(WEEKDAY(DATE($A5,HV$43,HW$42),2),"Monday","Tuesday","Wednesday","Thursday","Friday","Saturday","Sunday")</f>
        <v>Friday</v>
      </c>
      <c r="HX5" s="422" t="s">
        <v>22</v>
      </c>
      <c r="HY5" s="430" t="s">
        <v>22</v>
      </c>
      <c r="HZ5" s="422" t="s">
        <v>22</v>
      </c>
      <c r="IA5" s="422" t="s">
        <v>22</v>
      </c>
      <c r="IB5" s="530" t="s">
        <v>1716</v>
      </c>
      <c r="IC5" s="430" t="str">
        <f ca="1">CHOOSE(WEEKDAY(DATE($A5,IB$43,IC$42),2),"Monday","Tuesday","Wednesday","Thursday","Friday","Saturday","Sunday")</f>
        <v>Tuesday</v>
      </c>
      <c r="ID5" s="533" t="s">
        <v>1717</v>
      </c>
      <c r="IE5" s="422" t="str">
        <f ca="1">CHOOSE(WEEKDAY(DATE($A5,ID$43,IE$42),2),"Monday","Tuesday","Wednesday","Thursday","Friday","Saturday","Sunday")</f>
        <v>Wednesday</v>
      </c>
      <c r="IF5" s="457" t="s">
        <v>22</v>
      </c>
      <c r="IG5" s="430" t="s">
        <v>22</v>
      </c>
      <c r="IH5" s="532" t="s">
        <v>1719</v>
      </c>
      <c r="II5" s="422" t="str">
        <f ca="1">CHOOSE(WEEKDAY(DATE($A5,IH$43,II$42),2),"Monday","Tuesday","Wednesday","Thursday","Friday","Saturday","Sunday")</f>
        <v>Friday</v>
      </c>
      <c r="IJ5" s="457" t="s">
        <v>22</v>
      </c>
      <c r="IK5" s="430" t="s">
        <v>22</v>
      </c>
      <c r="IL5" s="457" t="s">
        <v>22</v>
      </c>
      <c r="IM5" s="430" t="s">
        <v>22</v>
      </c>
      <c r="IN5" s="457" t="s">
        <v>22</v>
      </c>
      <c r="IO5" s="430" t="s">
        <v>22</v>
      </c>
      <c r="IP5" s="530" t="s">
        <v>1724</v>
      </c>
      <c r="IQ5" s="430" t="str">
        <f ca="1">CHOOSE(WEEKDAY(DATE($A5,IP$43,IQ$42),2),"Monday","Tuesday","Wednesday","Thursday","Friday","Saturday","Sunday")</f>
        <v>Tuesday</v>
      </c>
      <c r="IR5" s="532" t="s">
        <v>1725</v>
      </c>
      <c r="IS5" s="422" t="str">
        <f ca="1">CHOOSE(WEEKDAY(DATE($A5,IR$43,IS$42),2),"Monday","Tuesday","Wednesday","Thursday","Friday","Saturday","Sunday")</f>
        <v>Thursday</v>
      </c>
      <c r="IT5" s="457" t="s">
        <v>22</v>
      </c>
      <c r="IU5" s="430" t="s">
        <v>22</v>
      </c>
      <c r="IV5" s="457" t="s">
        <v>22</v>
      </c>
      <c r="IW5" s="430" t="s">
        <v>22</v>
      </c>
      <c r="IX5" s="457" t="s">
        <v>22</v>
      </c>
      <c r="IY5" s="430" t="s">
        <v>22</v>
      </c>
      <c r="IZ5" s="532" t="s">
        <v>1733</v>
      </c>
      <c r="JA5" s="422" t="str">
        <f t="shared" ca="1" si="5"/>
        <v>Monday</v>
      </c>
      <c r="JB5" s="457" t="s">
        <v>22</v>
      </c>
      <c r="JC5" s="430" t="s">
        <v>22</v>
      </c>
      <c r="JD5" s="532" t="s">
        <v>1737</v>
      </c>
      <c r="JE5" s="422" t="str">
        <f ca="1">CHOOSE(WEEKDAY(DATE($A5,JD$43,JE$42),2),"Monday","Tuesday","Wednesday","Thursday","Friday","Saturday","Sunday")</f>
        <v>Wednesday</v>
      </c>
      <c r="JF5" s="530" t="s">
        <v>1739</v>
      </c>
      <c r="JG5" s="430" t="str">
        <f ca="1">CHOOSE(WEEKDAY(DATE($A5,JF$43,JG$42),2),"Monday","Tuesday","Wednesday","Thursday","Friday","Saturday","Sunday")</f>
        <v>Thursday</v>
      </c>
      <c r="JH5" s="457" t="s">
        <v>22</v>
      </c>
      <c r="JI5" s="430" t="s">
        <v>22</v>
      </c>
      <c r="JJ5" s="457" t="s">
        <v>22</v>
      </c>
      <c r="JK5" s="430" t="s">
        <v>22</v>
      </c>
      <c r="JL5" s="422" t="s">
        <v>22</v>
      </c>
      <c r="JM5" s="422" t="s">
        <v>22</v>
      </c>
      <c r="JN5" s="457" t="s">
        <v>22</v>
      </c>
      <c r="JO5" s="430" t="s">
        <v>22</v>
      </c>
      <c r="JP5" s="532" t="s">
        <v>1744</v>
      </c>
      <c r="JQ5" s="422" t="str">
        <f ca="1">CHOOSE(WEEKDAY(DATE($A5,JP$43,JQ$42),2),"Monday","Tuesday","Wednesday","Thursday","Friday","Saturday","Sunday")</f>
        <v>Wednesday</v>
      </c>
      <c r="JR5" s="530" t="s">
        <v>2006</v>
      </c>
      <c r="JS5" s="430" t="str">
        <f t="shared" ca="1" si="6"/>
        <v>Thursday</v>
      </c>
      <c r="JT5" s="422" t="s">
        <v>22</v>
      </c>
      <c r="JU5" s="422" t="s">
        <v>22</v>
      </c>
      <c r="JV5" s="457" t="s">
        <v>22</v>
      </c>
      <c r="JW5" s="430" t="s">
        <v>22</v>
      </c>
      <c r="JX5" s="329" t="s">
        <v>1747</v>
      </c>
      <c r="JY5" s="422" t="str">
        <f ca="1">CHOOSE(WEEKDAY(DATE($A5,JX$43,JY$42),2),"Monday","Tuesday","Wednesday","Thursday","Friday","Saturday","Sunday")</f>
        <v>Monday</v>
      </c>
      <c r="JZ5" s="457" t="s">
        <v>22</v>
      </c>
      <c r="KA5" s="430" t="s">
        <v>22</v>
      </c>
      <c r="KB5" s="457" t="s">
        <v>22</v>
      </c>
      <c r="KC5" s="430" t="s">
        <v>22</v>
      </c>
      <c r="KD5" s="530" t="s">
        <v>1566</v>
      </c>
      <c r="KE5" s="430" t="str">
        <f t="shared" ca="1" si="7"/>
        <v>Thursday</v>
      </c>
      <c r="KF5" s="532" t="s">
        <v>1755</v>
      </c>
      <c r="KG5" s="422" t="str">
        <f ca="1">CHOOSE(WEEKDAY(DATE($A5,KF$43,KG$42),2),"Monday","Tuesday","Wednesday","Thursday","Friday","Saturday","Sunday")</f>
        <v>Friday</v>
      </c>
      <c r="KH5" s="457" t="s">
        <v>22</v>
      </c>
      <c r="KI5" s="430" t="s">
        <v>22</v>
      </c>
      <c r="KJ5" s="457" t="s">
        <v>22</v>
      </c>
      <c r="KK5" s="430" t="s">
        <v>22</v>
      </c>
      <c r="KL5" s="457" t="s">
        <v>22</v>
      </c>
      <c r="KM5" s="430" t="s">
        <v>22</v>
      </c>
      <c r="KN5" s="422" t="s">
        <v>22</v>
      </c>
      <c r="KO5" s="422" t="s">
        <v>22</v>
      </c>
      <c r="KP5" s="457" t="s">
        <v>22</v>
      </c>
      <c r="KQ5" s="430" t="s">
        <v>22</v>
      </c>
      <c r="KR5" s="422" t="s">
        <v>22</v>
      </c>
      <c r="KS5" s="422" t="s">
        <v>22</v>
      </c>
      <c r="KT5" s="457" t="s">
        <v>22</v>
      </c>
      <c r="KU5" s="430" t="s">
        <v>22</v>
      </c>
      <c r="KV5" s="422" t="s">
        <v>22</v>
      </c>
      <c r="KW5" s="422" t="s">
        <v>22</v>
      </c>
      <c r="KX5" s="457" t="s">
        <v>22</v>
      </c>
      <c r="KY5" s="430" t="s">
        <v>22</v>
      </c>
      <c r="KZ5" s="422" t="s">
        <v>22</v>
      </c>
      <c r="LA5" s="422" t="s">
        <v>22</v>
      </c>
      <c r="LB5" s="457" t="s">
        <v>22</v>
      </c>
      <c r="LC5" s="430" t="s">
        <v>22</v>
      </c>
      <c r="LD5" s="422" t="s">
        <v>22</v>
      </c>
      <c r="LE5" s="422" t="s">
        <v>22</v>
      </c>
      <c r="LF5" s="530" t="s">
        <v>1777</v>
      </c>
      <c r="LG5" s="430" t="str">
        <f ca="1">CHOOSE(WEEKDAY(DATE($A5,LF$43,LG$42),2),"Monday","Tuesday","Wednesday","Thursday","Friday","Saturday","Sunday")</f>
        <v>Saturday</v>
      </c>
      <c r="LH5" s="422" t="s">
        <v>22</v>
      </c>
      <c r="LI5" s="422" t="s">
        <v>22</v>
      </c>
      <c r="LJ5" s="530" t="s">
        <v>1780</v>
      </c>
      <c r="LK5" s="430" t="str">
        <f ca="1">CHOOSE(WEEKDAY(DATE($A5,LJ$43,LK$42),2),"Monday","Tuesday","Wednesday","Thursday","Friday","Saturday","Sunday")</f>
        <v>Tuesday</v>
      </c>
      <c r="LL5" s="422" t="s">
        <v>22</v>
      </c>
      <c r="LM5" s="422" t="s">
        <v>22</v>
      </c>
      <c r="LN5" s="530" t="s">
        <v>1788</v>
      </c>
      <c r="LO5" s="430" t="str">
        <f ca="1">CHOOSE(WEEKDAY(DATE($A5,LN$43,LO$42),2),"Monday","Tuesday","Wednesday","Thursday","Friday","Saturday","Sunday")</f>
        <v>Thursday</v>
      </c>
      <c r="LP5" s="422" t="s">
        <v>22</v>
      </c>
      <c r="LQ5" s="422" t="s">
        <v>22</v>
      </c>
      <c r="LR5" s="530" t="s">
        <v>2017</v>
      </c>
      <c r="LS5" s="430" t="str">
        <f ca="1">CHOOSE(WEEKDAY(DATE($A5,LR$43,LS$42),2),"Monday","Tuesday","Wednesday","Thursday","Friday","Saturday","Sunday")</f>
        <v>Saturday</v>
      </c>
      <c r="LT5" s="422" t="s">
        <v>22</v>
      </c>
      <c r="LU5" s="422" t="s">
        <v>22</v>
      </c>
      <c r="LV5" s="457" t="s">
        <v>22</v>
      </c>
      <c r="LW5" s="430" t="s">
        <v>22</v>
      </c>
      <c r="LX5" s="422" t="s">
        <v>22</v>
      </c>
      <c r="LY5" s="422" t="s">
        <v>22</v>
      </c>
      <c r="LZ5" s="530" t="s">
        <v>1796</v>
      </c>
      <c r="MA5" s="430" t="str">
        <f ca="1">CHOOSE(WEEKDAY(DATE($A5,LZ$43,MA$42),2),"Monday","Tuesday","Wednesday","Thursday","Friday","Saturday","Sunday")</f>
        <v>Thursday</v>
      </c>
      <c r="MB5" s="532" t="s">
        <v>1798</v>
      </c>
      <c r="MC5" s="422" t="str">
        <f ca="1">CHOOSE(WEEKDAY(DATE($A5,MB$43,MC$42),2),"Monday","Tuesday","Wednesday","Thursday","Friday","Saturday","Sunday")</f>
        <v>Friday</v>
      </c>
      <c r="MD5" s="457" t="s">
        <v>22</v>
      </c>
      <c r="ME5" s="430" t="s">
        <v>22</v>
      </c>
      <c r="MF5" s="422" t="s">
        <v>22</v>
      </c>
      <c r="MG5" s="422" t="s">
        <v>22</v>
      </c>
      <c r="MH5" s="530" t="s">
        <v>1801</v>
      </c>
      <c r="MI5" s="430" t="str">
        <f ca="1">CHOOSE(WEEKDAY(DATE($A5,MH$43,MI$42),2),"Monday","Tuesday","Wednesday","Thursday","Friday","Saturday","Sunday")</f>
        <v>Monday</v>
      </c>
      <c r="MJ5" s="457" t="s">
        <v>22</v>
      </c>
      <c r="MK5" s="430" t="s">
        <v>22</v>
      </c>
      <c r="ML5" s="457" t="s">
        <v>22</v>
      </c>
      <c r="MM5" s="430" t="s">
        <v>22</v>
      </c>
      <c r="MN5" s="326" t="s">
        <v>1803</v>
      </c>
      <c r="MO5" s="422" t="str">
        <f ca="1">CHOOSE(WEEKDAY(DATE($A5,MN$43,MO$42),2),"Monday","Tuesday","Wednesday","Thursday","Friday","Saturday","Sunday")</f>
        <v>Thursday</v>
      </c>
      <c r="MP5" s="457" t="s">
        <v>22</v>
      </c>
      <c r="MQ5" s="430" t="s">
        <v>22</v>
      </c>
      <c r="MR5" s="422" t="s">
        <v>22</v>
      </c>
      <c r="MS5" s="422" t="s">
        <v>22</v>
      </c>
      <c r="MT5" s="457" t="s">
        <v>22</v>
      </c>
      <c r="MU5" s="430" t="s">
        <v>22</v>
      </c>
      <c r="MV5" s="422" t="s">
        <v>22</v>
      </c>
      <c r="MW5" s="422" t="s">
        <v>22</v>
      </c>
      <c r="MX5" s="457" t="s">
        <v>22</v>
      </c>
      <c r="MY5" s="430" t="s">
        <v>22</v>
      </c>
      <c r="MZ5" s="457" t="s">
        <v>22</v>
      </c>
      <c r="NA5" s="430" t="s">
        <v>22</v>
      </c>
      <c r="NB5" s="422" t="s">
        <v>22</v>
      </c>
      <c r="NC5" s="422" t="s">
        <v>22</v>
      </c>
      <c r="ND5" s="530" t="s">
        <v>1778</v>
      </c>
      <c r="NE5" s="430" t="str">
        <f ca="1">CHOOSE(WEEKDAY(DATE($A5,ND$43,NE$42),2),"Monday","Tuesday","Wednesday","Thursday","Friday","Saturday","Sunday")</f>
        <v>Friday</v>
      </c>
      <c r="NF5" s="422" t="s">
        <v>22</v>
      </c>
      <c r="NG5" s="422" t="s">
        <v>22</v>
      </c>
      <c r="NH5" s="530" t="s">
        <v>1813</v>
      </c>
      <c r="NI5" s="430" t="str">
        <f ca="1">CHOOSE(WEEKDAY(DATE($A5,NH$43,NI$42),2),"Monday","Tuesday","Wednesday","Thursday","Friday","Saturday","Sunday")</f>
        <v>Sunday</v>
      </c>
      <c r="NJ5" s="422" t="s">
        <v>22</v>
      </c>
      <c r="NK5" s="422" t="s">
        <v>22</v>
      </c>
      <c r="NL5" s="457" t="s">
        <v>22</v>
      </c>
      <c r="NM5" s="430" t="s">
        <v>22</v>
      </c>
      <c r="NN5" s="457" t="s">
        <v>22</v>
      </c>
      <c r="NO5" s="430" t="s">
        <v>22</v>
      </c>
      <c r="NP5" s="457" t="s">
        <v>22</v>
      </c>
      <c r="NQ5" s="430" t="s">
        <v>22</v>
      </c>
      <c r="NR5" s="457" t="s">
        <v>22</v>
      </c>
      <c r="NS5" s="430" t="s">
        <v>22</v>
      </c>
      <c r="NT5" s="422" t="s">
        <v>22</v>
      </c>
      <c r="NU5" s="422" t="s">
        <v>22</v>
      </c>
      <c r="NV5" s="457" t="s">
        <v>22</v>
      </c>
      <c r="NW5" s="430" t="s">
        <v>22</v>
      </c>
      <c r="NX5" s="457" t="s">
        <v>22</v>
      </c>
      <c r="NY5" s="430" t="s">
        <v>22</v>
      </c>
      <c r="NZ5" s="531" t="s">
        <v>1824</v>
      </c>
      <c r="OA5" s="430" t="str">
        <f t="shared" ca="1" si="8"/>
        <v>Tuesday</v>
      </c>
      <c r="OB5" s="532" t="s">
        <v>1825</v>
      </c>
      <c r="OC5" s="422" t="str">
        <f ca="1">CHOOSE(WEEKDAY(DATE($A5,OB$43,OC$42),2),"Monday","Tuesday","Wednesday","Thursday","Friday","Saturday","Sunday")</f>
        <v>Wednesday</v>
      </c>
      <c r="OD5" s="457" t="s">
        <v>22</v>
      </c>
      <c r="OE5" s="430" t="s">
        <v>22</v>
      </c>
      <c r="OF5" s="422" t="s">
        <v>22</v>
      </c>
      <c r="OG5" s="422" t="s">
        <v>22</v>
      </c>
      <c r="OH5" s="457" t="s">
        <v>22</v>
      </c>
      <c r="OI5" s="430" t="s">
        <v>22</v>
      </c>
      <c r="OJ5" s="532" t="s">
        <v>1828</v>
      </c>
      <c r="OK5" s="422" t="str">
        <f t="shared" ca="1" si="9"/>
        <v>Tuesday</v>
      </c>
      <c r="OL5" s="457" t="s">
        <v>22</v>
      </c>
      <c r="OM5" s="430" t="s">
        <v>22</v>
      </c>
      <c r="ON5" s="457" t="s">
        <v>22</v>
      </c>
      <c r="OO5" s="430" t="s">
        <v>22</v>
      </c>
      <c r="OP5" s="532" t="s">
        <v>2018</v>
      </c>
      <c r="OQ5" s="422" t="str">
        <f ca="1">CHOOSE(WEEKDAY(DATE($A5,OP$43,OQ$42),2),"Monday","Tuesday","Wednesday","Thursday","Friday","Saturday","Sunday")</f>
        <v>Friday</v>
      </c>
      <c r="OR5" s="457" t="s">
        <v>22</v>
      </c>
      <c r="OS5" s="430" t="s">
        <v>22</v>
      </c>
      <c r="OT5" s="457" t="s">
        <v>22</v>
      </c>
      <c r="OU5" s="430" t="s">
        <v>22</v>
      </c>
      <c r="OV5" s="532" t="s">
        <v>1837</v>
      </c>
      <c r="OW5" s="422" t="str">
        <f ca="1">CHOOSE(WEEKDAY(DATE($A5,OV$43,OW$42),2),"Monday","Tuesday","Wednesday","Thursday","Friday","Saturday","Sunday")</f>
        <v>Monday</v>
      </c>
      <c r="OX5" s="530" t="s">
        <v>1838</v>
      </c>
      <c r="OY5" s="430" t="str">
        <f ca="1">CHOOSE(WEEKDAY(DATE($A5,OX$43,OY$42),2),"Monday","Tuesday","Wednesday","Thursday","Friday","Saturday","Sunday")</f>
        <v>Wednesday</v>
      </c>
      <c r="OZ5" s="422" t="s">
        <v>22</v>
      </c>
      <c r="PA5" s="422" t="s">
        <v>22</v>
      </c>
      <c r="PB5" s="457" t="s">
        <v>22</v>
      </c>
      <c r="PC5" s="430" t="s">
        <v>22</v>
      </c>
      <c r="PD5" s="422" t="s">
        <v>22</v>
      </c>
      <c r="PE5" s="422" t="s">
        <v>22</v>
      </c>
      <c r="PF5" s="457" t="s">
        <v>22</v>
      </c>
      <c r="PG5" s="422" t="s">
        <v>22</v>
      </c>
      <c r="PH5" s="457" t="s">
        <v>22</v>
      </c>
      <c r="PI5" s="430" t="s">
        <v>22</v>
      </c>
      <c r="PJ5" s="457" t="s">
        <v>22</v>
      </c>
      <c r="PK5" s="430" t="s">
        <v>22</v>
      </c>
      <c r="PL5" s="422" t="s">
        <v>22</v>
      </c>
      <c r="PM5" s="422" t="s">
        <v>22</v>
      </c>
      <c r="PN5" s="530" t="s">
        <v>1854</v>
      </c>
      <c r="PO5" s="430" t="str">
        <f t="shared" ca="1" si="10"/>
        <v>Tuesday</v>
      </c>
      <c r="PP5" s="532" t="s">
        <v>1855</v>
      </c>
      <c r="PQ5" s="422" t="str">
        <f ca="1">CHOOSE(WEEKDAY(DATE($A5,PP$43,PQ$42),2),"Monday","Tuesday","Wednesday","Thursday","Friday","Saturday","Sunday")</f>
        <v>Wednesday</v>
      </c>
      <c r="PR5" s="457" t="s">
        <v>22</v>
      </c>
      <c r="PS5" s="430" t="s">
        <v>22</v>
      </c>
      <c r="PT5" s="326" t="s">
        <v>1856</v>
      </c>
      <c r="PU5" s="422" t="str">
        <f ca="1">CHOOSE(WEEKDAY(DATE($A5,PT$43,PU$42),2),"Monday","Tuesday","Wednesday","Thursday","Friday","Saturday","Sunday")</f>
        <v>Friday</v>
      </c>
      <c r="PV5" s="457" t="s">
        <v>22</v>
      </c>
      <c r="PW5" s="430" t="s">
        <v>22</v>
      </c>
      <c r="PX5" s="422" t="s">
        <v>22</v>
      </c>
      <c r="PY5" s="422" t="s">
        <v>22</v>
      </c>
      <c r="PZ5" s="457" t="s">
        <v>22</v>
      </c>
      <c r="QA5" s="430" t="s">
        <v>22</v>
      </c>
      <c r="QB5" s="422" t="s">
        <v>22</v>
      </c>
      <c r="QC5" s="422" t="s">
        <v>22</v>
      </c>
      <c r="QD5" s="530" t="s">
        <v>1866</v>
      </c>
      <c r="QE5" s="430" t="str">
        <f t="shared" ca="1" si="11"/>
        <v>Wednesday</v>
      </c>
      <c r="QF5" s="533" t="s">
        <v>1865</v>
      </c>
      <c r="QG5" s="422" t="str">
        <f ca="1">CHOOSE(WEEKDAY(DATE($A5,QF$43,QG$42),2),"Monday","Tuesday","Wednesday","Thursday","Friday","Saturday","Sunday")</f>
        <v>Thursday</v>
      </c>
      <c r="QH5" s="530" t="s">
        <v>1594</v>
      </c>
      <c r="QI5" s="430" t="str">
        <f ca="1">CHOOSE(WEEKDAY(DATE($A5,QH$43,QI$42),2),"Monday","Tuesday","Wednesday","Thursday","Friday","Saturday","Sunday")</f>
        <v>Friday</v>
      </c>
      <c r="QJ5" s="422" t="s">
        <v>22</v>
      </c>
      <c r="QK5" s="422" t="s">
        <v>22</v>
      </c>
      <c r="QL5" s="457" t="s">
        <v>22</v>
      </c>
      <c r="QM5" s="430" t="s">
        <v>22</v>
      </c>
      <c r="QN5" s="533" t="s">
        <v>1871</v>
      </c>
      <c r="QO5" s="422" t="str">
        <f t="shared" ca="1" si="12"/>
        <v>Monday</v>
      </c>
      <c r="QP5" s="531" t="s">
        <v>1873</v>
      </c>
      <c r="QQ5" s="430" t="str">
        <f ca="1">CHOOSE(WEEKDAY(DATE($A5,QP$43,QQ$42),2),"Monday","Tuesday","Wednesday","Thursday","Friday","Saturday","Sunday")</f>
        <v>Tuesday</v>
      </c>
      <c r="QR5" s="532" t="s">
        <v>1876</v>
      </c>
      <c r="QS5" s="422" t="str">
        <f ca="1">CHOOSE(WEEKDAY(DATE($A5,QR$43,QS$42),2),"Monday","Tuesday","Wednesday","Thursday","Friday","Saturday","Sunday")</f>
        <v>Wednesday</v>
      </c>
      <c r="QT5" s="457" t="s">
        <v>22</v>
      </c>
      <c r="QU5" s="430" t="s">
        <v>22</v>
      </c>
      <c r="QV5" s="532" t="s">
        <v>1607</v>
      </c>
      <c r="QW5" s="422" t="str">
        <f ca="1">CHOOSE(WEEKDAY(DATE($A5,QV$43,QW$42),2),"Monday","Tuesday","Wednesday","Thursday","Friday","Saturday","Sunday")</f>
        <v>Friday</v>
      </c>
      <c r="QX5" s="530" t="s">
        <v>1879</v>
      </c>
      <c r="QY5" s="430" t="str">
        <f t="shared" ca="1" si="13"/>
        <v>Saturday</v>
      </c>
      <c r="QZ5" s="422" t="s">
        <v>22</v>
      </c>
      <c r="RA5" s="430" t="s">
        <v>22</v>
      </c>
      <c r="RB5" s="422" t="s">
        <v>22</v>
      </c>
      <c r="RC5" s="430" t="s">
        <v>22</v>
      </c>
      <c r="RD5" s="422" t="s">
        <v>22</v>
      </c>
      <c r="RE5" s="422" t="s">
        <v>22</v>
      </c>
      <c r="RF5" s="331" t="s">
        <v>1885</v>
      </c>
      <c r="RG5" s="430" t="str">
        <f t="shared" ca="1" si="14"/>
        <v>Wednesday</v>
      </c>
      <c r="RH5" s="422" t="s">
        <v>22</v>
      </c>
      <c r="RI5" s="422" t="s">
        <v>22</v>
      </c>
      <c r="RJ5" s="530" t="s">
        <v>2012</v>
      </c>
      <c r="RK5" s="430" t="str">
        <f t="shared" ca="1" si="15"/>
        <v>Friday</v>
      </c>
      <c r="RL5" s="457" t="s">
        <v>22</v>
      </c>
      <c r="RM5" s="430" t="s">
        <v>22</v>
      </c>
      <c r="RN5" s="422" t="s">
        <v>22</v>
      </c>
      <c r="RO5" s="422" t="s">
        <v>22</v>
      </c>
      <c r="RP5" s="457" t="s">
        <v>22</v>
      </c>
      <c r="RQ5" s="430" t="s">
        <v>22</v>
      </c>
      <c r="RR5" s="422" t="s">
        <v>22</v>
      </c>
      <c r="RS5" s="422" t="s">
        <v>22</v>
      </c>
      <c r="RT5" s="530" t="s">
        <v>1896</v>
      </c>
      <c r="RU5" s="430" t="str">
        <f t="shared" ca="1" si="16"/>
        <v>Thursday</v>
      </c>
      <c r="RV5" s="532" t="s">
        <v>1895</v>
      </c>
      <c r="RW5" s="422" t="str">
        <f ca="1">CHOOSE(WEEKDAY(DATE($A5,RV$43,RW$42),2),"Monday","Tuesday","Wednesday","Thursday","Friday","Saturday","Sunday")</f>
        <v>Friday</v>
      </c>
      <c r="RX5" s="530" t="s">
        <v>1898</v>
      </c>
      <c r="RY5" s="430" t="str">
        <f ca="1">CHOOSE(WEEKDAY(DATE($A5,RX$43,RY$42),2),"Monday","Tuesday","Wednesday","Thursday","Friday","Saturday","Sunday")</f>
        <v>Saturday</v>
      </c>
      <c r="RZ5" s="457" t="s">
        <v>22</v>
      </c>
      <c r="SA5" s="430" t="s">
        <v>22</v>
      </c>
      <c r="SB5" s="457" t="s">
        <v>22</v>
      </c>
      <c r="SC5" s="430" t="s">
        <v>22</v>
      </c>
      <c r="SD5" s="422" t="s">
        <v>22</v>
      </c>
      <c r="SE5" s="422" t="s">
        <v>22</v>
      </c>
      <c r="SF5" s="457" t="s">
        <v>22</v>
      </c>
      <c r="SG5" s="430" t="s">
        <v>22</v>
      </c>
      <c r="SH5" s="532" t="s">
        <v>1903</v>
      </c>
      <c r="SI5" s="422" t="str">
        <f ca="1">CHOOSE(WEEKDAY(DATE($A5,SH$43,SI$42),2),"Monday","Tuesday","Wednesday","Thursday","Friday","Saturday","Sunday")</f>
        <v>Friday</v>
      </c>
      <c r="SJ5" s="457" t="s">
        <v>22</v>
      </c>
      <c r="SK5" s="430" t="s">
        <v>22</v>
      </c>
      <c r="SL5" s="457" t="s">
        <v>22</v>
      </c>
      <c r="SM5" s="430" t="s">
        <v>22</v>
      </c>
      <c r="SN5" s="422" t="s">
        <v>22</v>
      </c>
      <c r="SO5" s="422" t="s">
        <v>22</v>
      </c>
      <c r="SP5" s="530" t="s">
        <v>1910</v>
      </c>
      <c r="SQ5" s="430" t="str">
        <f t="shared" ca="1" si="17"/>
        <v>Wednesday</v>
      </c>
      <c r="SR5" s="422" t="s">
        <v>22</v>
      </c>
      <c r="SS5" s="422" t="s">
        <v>22</v>
      </c>
      <c r="ST5" s="530" t="s">
        <v>1914</v>
      </c>
      <c r="SU5" s="430" t="str">
        <f ca="1">CHOOSE(WEEKDAY(DATE($A5,ST$43,SU$42),2),"Monday","Tuesday","Wednesday","Thursday","Friday","Saturday","Sunday")</f>
        <v>Friday</v>
      </c>
      <c r="SV5" s="422" t="s">
        <v>22</v>
      </c>
      <c r="SW5" s="422" t="s">
        <v>22</v>
      </c>
      <c r="SX5" s="457" t="s">
        <v>22</v>
      </c>
      <c r="SY5" s="430" t="s">
        <v>22</v>
      </c>
      <c r="SZ5" s="422" t="s">
        <v>22</v>
      </c>
      <c r="TA5" s="422" t="s">
        <v>22</v>
      </c>
      <c r="TB5" s="530" t="s">
        <v>1919</v>
      </c>
      <c r="TC5" s="430" t="str">
        <f t="shared" ca="1" si="18"/>
        <v>Wednesday</v>
      </c>
      <c r="TD5" s="422" t="s">
        <v>22</v>
      </c>
      <c r="TE5" s="422" t="s">
        <v>22</v>
      </c>
      <c r="TF5" s="327" t="s">
        <v>1924</v>
      </c>
      <c r="TG5" s="430" t="str">
        <f t="shared" ca="1" si="19"/>
        <v>Friday</v>
      </c>
      <c r="TH5" s="422" t="s">
        <v>22</v>
      </c>
      <c r="TI5" s="430" t="s">
        <v>22</v>
      </c>
      <c r="TJ5" s="457" t="s">
        <v>22</v>
      </c>
      <c r="TK5" s="422" t="s">
        <v>22</v>
      </c>
      <c r="TL5" s="457" t="s">
        <v>22</v>
      </c>
      <c r="TM5" s="430" t="s">
        <v>22</v>
      </c>
      <c r="TN5" s="422" t="s">
        <v>22</v>
      </c>
      <c r="TO5" s="422" t="s">
        <v>22</v>
      </c>
      <c r="TP5" s="457" t="s">
        <v>22</v>
      </c>
      <c r="TQ5" s="430" t="s">
        <v>22</v>
      </c>
      <c r="TR5" s="532" t="s">
        <v>1932</v>
      </c>
      <c r="TS5" s="422" t="str">
        <f t="shared" ca="1" si="20"/>
        <v>Thursday</v>
      </c>
      <c r="TT5" s="327" t="s">
        <v>1935</v>
      </c>
      <c r="TU5" s="430" t="str">
        <f t="shared" ca="1" si="21"/>
        <v>Friday</v>
      </c>
      <c r="TV5" s="422" t="s">
        <v>22</v>
      </c>
      <c r="TW5" s="422" t="s">
        <v>22</v>
      </c>
      <c r="TX5" s="457" t="s">
        <v>22</v>
      </c>
      <c r="TY5" s="430" t="s">
        <v>22</v>
      </c>
      <c r="TZ5" s="457" t="s">
        <v>22</v>
      </c>
      <c r="UA5" s="430" t="s">
        <v>22</v>
      </c>
      <c r="UB5" s="422" t="s">
        <v>22</v>
      </c>
      <c r="UC5" s="422" t="s">
        <v>22</v>
      </c>
      <c r="UD5" s="457" t="s">
        <v>22</v>
      </c>
      <c r="UE5" s="430" t="s">
        <v>22</v>
      </c>
      <c r="UF5" s="422" t="s">
        <v>22</v>
      </c>
      <c r="UG5" s="422" t="s">
        <v>22</v>
      </c>
      <c r="UH5" s="531" t="s">
        <v>1937</v>
      </c>
      <c r="UI5" s="430" t="str">
        <f ca="1">CHOOSE(WEEKDAY(DATE($A5,UH$43,UI$42),2),"Monday","Tuesday","Wednesday","Thursday","Friday","Saturday","Sunday")</f>
        <v>Friday</v>
      </c>
      <c r="UJ5" s="422" t="s">
        <v>22</v>
      </c>
      <c r="UK5" s="422" t="s">
        <v>22</v>
      </c>
      <c r="UL5" s="457" t="s">
        <v>22</v>
      </c>
      <c r="UM5" s="422" t="s">
        <v>22</v>
      </c>
      <c r="UN5" s="530" t="s">
        <v>1942</v>
      </c>
      <c r="UO5" s="430" t="str">
        <f ca="1">CHOOSE(WEEKDAY(DATE($A5,UN$43,UO$42),2),"Monday","Tuesday","Wednesday","Thursday","Friday","Saturday","Sunday")</f>
        <v>Monday</v>
      </c>
      <c r="UP5" s="326" t="s">
        <v>1943</v>
      </c>
      <c r="UQ5" s="422" t="str">
        <f t="shared" ca="1" si="22"/>
        <v>Tuesday</v>
      </c>
      <c r="UR5" s="457" t="s">
        <v>22</v>
      </c>
      <c r="US5" s="430" t="s">
        <v>22</v>
      </c>
      <c r="UT5" s="457" t="s">
        <v>22</v>
      </c>
      <c r="UU5" s="430" t="s">
        <v>22</v>
      </c>
      <c r="UV5" s="326" t="s">
        <v>1947</v>
      </c>
      <c r="UW5" s="422" t="str">
        <f ca="1">CHOOSE(WEEKDAY(DATE($A5,UV$43,UW$42),2),"Monday","Tuesday","Wednesday","Thursday","Friday","Saturday","Sunday")</f>
        <v>Friday</v>
      </c>
      <c r="UX5" s="457" t="s">
        <v>22</v>
      </c>
      <c r="UY5" s="430" t="s">
        <v>22</v>
      </c>
      <c r="UZ5" s="422" t="s">
        <v>22</v>
      </c>
      <c r="VA5" s="422" t="s">
        <v>22</v>
      </c>
      <c r="VB5" s="530" t="s">
        <v>1952</v>
      </c>
      <c r="VC5" s="430" t="str">
        <f t="shared" ca="1" si="23"/>
        <v>Wednesday</v>
      </c>
      <c r="VD5" s="532" t="s">
        <v>1953</v>
      </c>
      <c r="VE5" s="422" t="str">
        <f ca="1">CHOOSE(WEEKDAY(DATE($A5,VD$43,VE$42),2),"Monday","Tuesday","Wednesday","Thursday","Friday","Saturday","Sunday")</f>
        <v>Friday</v>
      </c>
      <c r="VF5" s="457" t="s">
        <v>22</v>
      </c>
      <c r="VG5" s="430" t="s">
        <v>22</v>
      </c>
      <c r="VH5" s="457" t="s">
        <v>22</v>
      </c>
      <c r="VI5" s="430" t="s">
        <v>22</v>
      </c>
      <c r="VJ5" s="422" t="s">
        <v>22</v>
      </c>
      <c r="VK5" s="422" t="s">
        <v>22</v>
      </c>
      <c r="VL5" s="535" t="s">
        <v>1966</v>
      </c>
      <c r="VM5" s="430" t="str">
        <f ca="1">CHOOSE(WEEKDAY(DATE($A5,VL$43,VM$42),2),"Monday","Tuesday","Wednesday","Thursday","Friday","Saturday","Sunday")</f>
        <v>Tuesday</v>
      </c>
      <c r="VN5" s="422" t="s">
        <v>22</v>
      </c>
      <c r="VO5" s="422" t="s">
        <v>22</v>
      </c>
      <c r="VP5" s="530" t="s">
        <v>1958</v>
      </c>
      <c r="VQ5" s="430" t="str">
        <f ca="1">CHOOSE(WEEKDAY(DATE($A5,VP$43,VQ$42),2),"Monday","Tuesday","Wednesday","Thursday","Friday","Saturday","Sunday")</f>
        <v>Thursday</v>
      </c>
      <c r="VR5" s="326" t="s">
        <v>1960</v>
      </c>
      <c r="VS5" s="422" t="str">
        <f t="shared" ca="1" si="24"/>
        <v>Friday</v>
      </c>
      <c r="VT5" s="457" t="s">
        <v>22</v>
      </c>
      <c r="VU5" s="430" t="s">
        <v>22</v>
      </c>
      <c r="VV5" s="457" t="s">
        <v>22</v>
      </c>
      <c r="VW5" s="430" t="s">
        <v>22</v>
      </c>
      <c r="VX5" s="422" t="s">
        <v>22</v>
      </c>
      <c r="VY5" s="430" t="s">
        <v>22</v>
      </c>
      <c r="VZ5" s="457" t="s">
        <v>22</v>
      </c>
      <c r="WA5" s="430" t="s">
        <v>22</v>
      </c>
      <c r="WB5" s="457" t="s">
        <v>22</v>
      </c>
      <c r="WC5" s="430" t="s">
        <v>22</v>
      </c>
      <c r="WD5" s="326" t="s">
        <v>1967</v>
      </c>
      <c r="WE5" s="422" t="str">
        <f t="shared" ca="1" si="25"/>
        <v>Friday</v>
      </c>
      <c r="WF5" s="457" t="s">
        <v>22</v>
      </c>
      <c r="WG5" s="430" t="s">
        <v>22</v>
      </c>
      <c r="WH5" s="422" t="s">
        <v>22</v>
      </c>
      <c r="WI5" s="422" t="s">
        <v>22</v>
      </c>
      <c r="WJ5" s="530" t="s">
        <v>1973</v>
      </c>
      <c r="WK5" s="430" t="str">
        <f t="shared" ca="1" si="26"/>
        <v>Monday</v>
      </c>
      <c r="WL5" s="422" t="s">
        <v>22</v>
      </c>
      <c r="WM5" s="422" t="s">
        <v>22</v>
      </c>
      <c r="WN5" s="457" t="s">
        <v>22</v>
      </c>
      <c r="WO5" s="430" t="s">
        <v>22</v>
      </c>
      <c r="WP5" s="422" t="s">
        <v>22</v>
      </c>
      <c r="WQ5" s="422" t="s">
        <v>22</v>
      </c>
      <c r="WR5" s="457" t="s">
        <v>22</v>
      </c>
      <c r="WS5" s="430" t="s">
        <v>22</v>
      </c>
      <c r="WT5" s="457" t="s">
        <v>22</v>
      </c>
      <c r="WU5" s="430" t="s">
        <v>22</v>
      </c>
      <c r="WV5" s="457" t="s">
        <v>22</v>
      </c>
      <c r="WW5" s="430" t="s">
        <v>22</v>
      </c>
      <c r="WX5" s="457" t="s">
        <v>22</v>
      </c>
      <c r="WY5" s="430" t="s">
        <v>22</v>
      </c>
      <c r="WZ5" s="422" t="s">
        <v>22</v>
      </c>
      <c r="XA5" s="422" t="s">
        <v>22</v>
      </c>
      <c r="XB5" s="530" t="s">
        <v>1988</v>
      </c>
      <c r="XC5" s="430" t="str">
        <f t="shared" ca="1" si="27"/>
        <v>Wednesday</v>
      </c>
      <c r="XD5" s="422" t="s">
        <v>22</v>
      </c>
      <c r="XE5" s="422" t="s">
        <v>22</v>
      </c>
      <c r="XF5" s="457" t="s">
        <v>22</v>
      </c>
      <c r="XG5" s="430" t="s">
        <v>22</v>
      </c>
      <c r="XH5" s="457" t="s">
        <v>22</v>
      </c>
      <c r="XI5" s="430" t="s">
        <v>22</v>
      </c>
      <c r="XJ5" s="422" t="s">
        <v>22</v>
      </c>
      <c r="XK5" s="422" t="s">
        <v>22</v>
      </c>
      <c r="XL5" s="457" t="s">
        <v>22</v>
      </c>
      <c r="XM5" s="430" t="s">
        <v>22</v>
      </c>
      <c r="XN5" s="422" t="s">
        <v>22</v>
      </c>
      <c r="XO5" s="422" t="s">
        <v>22</v>
      </c>
      <c r="XP5" s="530" t="s">
        <v>1994</v>
      </c>
      <c r="XQ5" s="430" t="str">
        <f t="shared" ca="1" si="28"/>
        <v>Wednesday</v>
      </c>
      <c r="XR5" s="422" t="s">
        <v>22</v>
      </c>
      <c r="XS5" s="422" t="s">
        <v>22</v>
      </c>
      <c r="XT5" s="457" t="s">
        <v>22</v>
      </c>
      <c r="XU5" s="430" t="s">
        <v>22</v>
      </c>
      <c r="XV5" s="457" t="s">
        <v>22</v>
      </c>
      <c r="XW5" s="430" t="s">
        <v>22</v>
      </c>
      <c r="XX5" s="422" t="s">
        <v>22</v>
      </c>
      <c r="XY5" s="422" t="s">
        <v>22</v>
      </c>
      <c r="XZ5" s="457" t="s">
        <v>22</v>
      </c>
      <c r="YA5" s="430" t="s">
        <v>22</v>
      </c>
      <c r="YB5" s="329" t="s">
        <v>2001</v>
      </c>
      <c r="YC5" s="422" t="str">
        <f t="shared" ca="1" si="29"/>
        <v>Tuesday</v>
      </c>
      <c r="YD5" s="457" t="s">
        <v>22</v>
      </c>
      <c r="YE5" s="430" t="s">
        <v>22</v>
      </c>
    </row>
    <row r="6" spans="1:655" ht="30" x14ac:dyDescent="0.2">
      <c r="A6" s="412"/>
      <c r="B6" s="417"/>
      <c r="C6" s="412"/>
      <c r="D6" s="417"/>
      <c r="E6" s="412"/>
      <c r="F6" s="402"/>
      <c r="G6" s="412"/>
      <c r="H6" s="417"/>
      <c r="I6" s="402"/>
      <c r="J6" s="417"/>
      <c r="K6" s="412"/>
      <c r="L6" s="417"/>
      <c r="M6" s="412"/>
      <c r="N6" s="417"/>
      <c r="O6" s="412"/>
      <c r="P6" s="402"/>
      <c r="Q6" s="402"/>
      <c r="R6" s="417"/>
      <c r="S6" s="402"/>
      <c r="T6" s="417"/>
      <c r="U6" s="412"/>
      <c r="V6" s="402"/>
      <c r="W6" s="402"/>
      <c r="X6" s="417"/>
      <c r="Y6" s="412"/>
      <c r="Z6" s="417"/>
      <c r="AA6" s="412"/>
      <c r="AB6" s="402"/>
      <c r="AC6" s="402"/>
      <c r="AD6" s="417"/>
      <c r="AE6" s="412"/>
      <c r="AF6" s="417"/>
      <c r="AG6" s="412"/>
      <c r="AH6" s="402"/>
      <c r="AI6" s="402"/>
      <c r="AJ6" s="417"/>
      <c r="AK6" s="412"/>
      <c r="AL6" s="402"/>
      <c r="AM6" s="402"/>
      <c r="AN6" s="417"/>
      <c r="AO6" s="412"/>
      <c r="AP6" s="402"/>
      <c r="AQ6" s="402"/>
      <c r="AR6" s="417"/>
      <c r="AS6" s="412"/>
      <c r="AT6" s="402"/>
      <c r="AU6" s="402"/>
      <c r="AV6" s="534" t="s">
        <v>2010</v>
      </c>
      <c r="AW6" s="412"/>
      <c r="AX6" s="402"/>
      <c r="AY6" s="402"/>
      <c r="AZ6" s="417"/>
      <c r="BA6" s="412"/>
      <c r="BB6" s="402"/>
      <c r="BC6" s="402"/>
      <c r="BD6" s="417"/>
      <c r="BE6" s="412"/>
      <c r="BF6" s="417"/>
      <c r="BG6" s="412"/>
      <c r="BH6" s="402"/>
      <c r="BI6" s="402"/>
      <c r="BJ6" s="417"/>
      <c r="BK6" s="412"/>
      <c r="BL6" s="402"/>
      <c r="BM6" s="402"/>
      <c r="BN6" s="417"/>
      <c r="BO6" s="412"/>
      <c r="BP6" s="417"/>
      <c r="BQ6" s="412"/>
      <c r="BR6" s="402"/>
      <c r="BS6" s="402"/>
      <c r="BT6" s="417"/>
      <c r="BU6" s="412"/>
      <c r="BV6" s="417"/>
      <c r="BW6" s="412"/>
      <c r="BX6" s="402"/>
      <c r="BY6" s="402"/>
      <c r="BZ6" s="417"/>
      <c r="CA6" s="412"/>
      <c r="CB6" s="417"/>
      <c r="CC6" s="412"/>
      <c r="CD6" s="402"/>
      <c r="CE6" s="402"/>
      <c r="CF6" s="417"/>
      <c r="CG6" s="412"/>
      <c r="CH6" s="402"/>
      <c r="CI6" s="402"/>
      <c r="CJ6" s="417"/>
      <c r="CK6" s="412"/>
      <c r="CL6" s="402"/>
      <c r="CM6" s="402"/>
      <c r="CN6" s="534" t="s">
        <v>1608</v>
      </c>
      <c r="CO6" s="412"/>
      <c r="CP6" s="402"/>
      <c r="CQ6" s="402"/>
      <c r="CR6" s="417"/>
      <c r="CS6" s="412"/>
      <c r="CT6" s="402"/>
      <c r="CU6" s="402"/>
      <c r="CV6" s="417"/>
      <c r="CW6" s="412"/>
      <c r="CX6" s="417"/>
      <c r="CY6" s="402"/>
      <c r="CZ6" s="417"/>
      <c r="DA6" s="412"/>
      <c r="DB6" s="417"/>
      <c r="DC6" s="412"/>
      <c r="DD6" s="402"/>
      <c r="DE6" s="402"/>
      <c r="DF6" s="417"/>
      <c r="DG6" s="412"/>
      <c r="DH6" s="402"/>
      <c r="DI6" s="402"/>
      <c r="DJ6" s="417"/>
      <c r="DK6" s="412"/>
      <c r="DL6" s="402"/>
      <c r="DM6" s="402"/>
      <c r="DN6" s="417"/>
      <c r="DO6" s="412"/>
      <c r="DP6" s="402"/>
      <c r="DQ6" s="402"/>
      <c r="DR6" s="534" t="s">
        <v>1628</v>
      </c>
      <c r="DS6" s="412"/>
      <c r="DT6" s="402"/>
      <c r="DU6" s="402"/>
      <c r="DV6" s="417"/>
      <c r="DW6" s="412"/>
      <c r="DX6" s="402"/>
      <c r="DY6" s="402"/>
      <c r="DZ6" s="417"/>
      <c r="EA6" s="412"/>
      <c r="EB6" s="402"/>
      <c r="EC6" s="412"/>
      <c r="ED6" s="402"/>
      <c r="EE6" s="412"/>
      <c r="EF6" s="417"/>
      <c r="EG6" s="412"/>
      <c r="EH6" s="402"/>
      <c r="EI6" s="402"/>
      <c r="EJ6" s="417"/>
      <c r="EK6" s="412"/>
      <c r="EL6" s="402"/>
      <c r="EM6" s="402"/>
      <c r="EN6" s="417"/>
      <c r="EO6" s="412"/>
      <c r="EP6" s="402"/>
      <c r="EQ6" s="402"/>
      <c r="ER6" s="417"/>
      <c r="ES6" s="412"/>
      <c r="ET6" s="402"/>
      <c r="EU6" s="402"/>
      <c r="EV6" s="417"/>
      <c r="EW6" s="412"/>
      <c r="EX6" s="402"/>
      <c r="EY6" s="402"/>
      <c r="EZ6" s="417"/>
      <c r="FA6" s="412"/>
      <c r="FB6" s="417"/>
      <c r="FC6" s="412"/>
      <c r="FD6" s="417"/>
      <c r="FE6" s="412"/>
      <c r="FF6" s="402"/>
      <c r="FG6" s="402"/>
      <c r="FH6" s="417"/>
      <c r="FI6" s="412"/>
      <c r="FJ6" s="536" t="s">
        <v>1661</v>
      </c>
      <c r="FK6" s="412"/>
      <c r="FL6" s="417"/>
      <c r="FM6" s="412"/>
      <c r="FN6" s="402"/>
      <c r="FO6" s="402"/>
      <c r="FP6" s="402"/>
      <c r="FQ6" s="412"/>
      <c r="FR6" s="417"/>
      <c r="FS6" s="412"/>
      <c r="FT6" s="402"/>
      <c r="FU6" s="402"/>
      <c r="FV6" s="417"/>
      <c r="FW6" s="412"/>
      <c r="FX6" s="402"/>
      <c r="FY6" s="402"/>
      <c r="FZ6" s="417"/>
      <c r="GA6" s="412"/>
      <c r="GB6" s="402"/>
      <c r="GC6" s="402"/>
      <c r="GD6" s="417"/>
      <c r="GE6" s="412"/>
      <c r="GF6" s="402"/>
      <c r="GG6" s="412"/>
      <c r="GH6" s="417"/>
      <c r="GI6" s="412"/>
      <c r="GJ6" s="402"/>
      <c r="GK6" s="402"/>
      <c r="GL6" s="417"/>
      <c r="GM6" s="412"/>
      <c r="GN6" s="402"/>
      <c r="GO6" s="412"/>
      <c r="GP6" s="402"/>
      <c r="GQ6" s="402"/>
      <c r="GR6" s="417"/>
      <c r="GS6" s="412"/>
      <c r="GT6" s="402"/>
      <c r="GU6" s="412"/>
      <c r="GV6" s="402"/>
      <c r="GW6" s="412"/>
      <c r="GX6" s="417"/>
      <c r="GY6" s="412"/>
      <c r="GZ6" s="417"/>
      <c r="HA6" s="412"/>
      <c r="HB6" s="417"/>
      <c r="HC6" s="412"/>
      <c r="HD6" s="537" t="s">
        <v>2019</v>
      </c>
      <c r="HE6" s="402"/>
      <c r="HF6" s="417"/>
      <c r="HG6" s="412"/>
      <c r="HH6" s="402"/>
      <c r="HI6" s="412"/>
      <c r="HJ6" s="402"/>
      <c r="HK6" s="402"/>
      <c r="HL6" s="417"/>
      <c r="HM6" s="412"/>
      <c r="HN6" s="417"/>
      <c r="HO6" s="412"/>
      <c r="HP6" s="402"/>
      <c r="HQ6" s="402"/>
      <c r="HR6" s="417"/>
      <c r="HS6" s="412"/>
      <c r="HT6" s="402"/>
      <c r="HU6" s="402"/>
      <c r="HV6" s="534" t="s">
        <v>1712</v>
      </c>
      <c r="HW6" s="412"/>
      <c r="HX6" s="402"/>
      <c r="HY6" s="412"/>
      <c r="HZ6" s="402"/>
      <c r="IA6" s="402"/>
      <c r="IB6" s="417"/>
      <c r="IC6" s="412"/>
      <c r="ID6" s="402"/>
      <c r="IE6" s="402"/>
      <c r="IF6" s="417"/>
      <c r="IG6" s="412"/>
      <c r="IH6" s="402"/>
      <c r="II6" s="402"/>
      <c r="IJ6" s="417"/>
      <c r="IK6" s="412"/>
      <c r="IL6" s="417"/>
      <c r="IM6" s="412"/>
      <c r="IN6" s="417"/>
      <c r="IO6" s="412"/>
      <c r="IP6" s="417"/>
      <c r="IQ6" s="412"/>
      <c r="IR6" s="402"/>
      <c r="IS6" s="402"/>
      <c r="IT6" s="417"/>
      <c r="IU6" s="412"/>
      <c r="IV6" s="417"/>
      <c r="IW6" s="412"/>
      <c r="IX6" s="417"/>
      <c r="IY6" s="412"/>
      <c r="IZ6" s="402"/>
      <c r="JA6" s="402"/>
      <c r="JB6" s="417"/>
      <c r="JC6" s="412"/>
      <c r="JD6" s="402"/>
      <c r="JE6" s="402"/>
      <c r="JF6" s="417"/>
      <c r="JG6" s="412"/>
      <c r="JH6" s="417"/>
      <c r="JI6" s="412"/>
      <c r="JJ6" s="417"/>
      <c r="JK6" s="412"/>
      <c r="JL6" s="402"/>
      <c r="JM6" s="402"/>
      <c r="JN6" s="417"/>
      <c r="JO6" s="412"/>
      <c r="JP6" s="402"/>
      <c r="JQ6" s="402"/>
      <c r="JR6" s="417"/>
      <c r="JS6" s="412"/>
      <c r="JT6" s="402"/>
      <c r="JU6" s="402"/>
      <c r="JV6" s="417"/>
      <c r="JW6" s="412"/>
      <c r="JX6" s="537" t="s">
        <v>1748</v>
      </c>
      <c r="JY6" s="402"/>
      <c r="JZ6" s="417"/>
      <c r="KA6" s="412"/>
      <c r="KB6" s="417"/>
      <c r="KC6" s="412"/>
      <c r="KD6" s="417"/>
      <c r="KE6" s="412"/>
      <c r="KF6" s="402"/>
      <c r="KG6" s="402"/>
      <c r="KH6" s="417"/>
      <c r="KI6" s="412"/>
      <c r="KJ6" s="417"/>
      <c r="KK6" s="412"/>
      <c r="KL6" s="417"/>
      <c r="KM6" s="412"/>
      <c r="KN6" s="402"/>
      <c r="KO6" s="402"/>
      <c r="KP6" s="417"/>
      <c r="KQ6" s="412"/>
      <c r="KR6" s="402"/>
      <c r="KS6" s="402"/>
      <c r="KT6" s="417"/>
      <c r="KU6" s="412"/>
      <c r="KV6" s="402"/>
      <c r="KW6" s="402"/>
      <c r="KX6" s="417"/>
      <c r="KY6" s="412"/>
      <c r="KZ6" s="402"/>
      <c r="LA6" s="402"/>
      <c r="LB6" s="417"/>
      <c r="LC6" s="412"/>
      <c r="LD6" s="402"/>
      <c r="LE6" s="402"/>
      <c r="LF6" s="417"/>
      <c r="LG6" s="412"/>
      <c r="LH6" s="402"/>
      <c r="LI6" s="402"/>
      <c r="LJ6" s="417"/>
      <c r="LK6" s="412"/>
      <c r="LL6" s="402"/>
      <c r="LM6" s="402"/>
      <c r="LN6" s="417"/>
      <c r="LO6" s="412"/>
      <c r="LP6" s="402"/>
      <c r="LQ6" s="402"/>
      <c r="LR6" s="417"/>
      <c r="LS6" s="412"/>
      <c r="LT6" s="402"/>
      <c r="LU6" s="402"/>
      <c r="LV6" s="417"/>
      <c r="LW6" s="412"/>
      <c r="LX6" s="402"/>
      <c r="LY6" s="402"/>
      <c r="LZ6" s="417"/>
      <c r="MA6" s="412"/>
      <c r="MB6" s="402"/>
      <c r="MC6" s="402"/>
      <c r="MD6" s="417"/>
      <c r="ME6" s="412"/>
      <c r="MF6" s="402"/>
      <c r="MG6" s="402"/>
      <c r="MH6" s="417"/>
      <c r="MI6" s="412"/>
      <c r="MJ6" s="417"/>
      <c r="MK6" s="412"/>
      <c r="ML6" s="417"/>
      <c r="MM6" s="412"/>
      <c r="MN6" s="529" t="s">
        <v>1804</v>
      </c>
      <c r="MO6" s="402"/>
      <c r="MP6" s="417"/>
      <c r="MQ6" s="412"/>
      <c r="MR6" s="402"/>
      <c r="MS6" s="402"/>
      <c r="MT6" s="417"/>
      <c r="MU6" s="412"/>
      <c r="MV6" s="402"/>
      <c r="MW6" s="402"/>
      <c r="MX6" s="417"/>
      <c r="MY6" s="412"/>
      <c r="MZ6" s="417"/>
      <c r="NA6" s="412"/>
      <c r="NB6" s="402"/>
      <c r="NC6" s="402"/>
      <c r="ND6" s="417"/>
      <c r="NE6" s="412"/>
      <c r="NF6" s="402"/>
      <c r="NG6" s="402"/>
      <c r="NH6" s="417"/>
      <c r="NI6" s="412"/>
      <c r="NJ6" s="402"/>
      <c r="NK6" s="402"/>
      <c r="NL6" s="417"/>
      <c r="NM6" s="412"/>
      <c r="NN6" s="417"/>
      <c r="NO6" s="412"/>
      <c r="NP6" s="417"/>
      <c r="NQ6" s="412"/>
      <c r="NR6" s="417"/>
      <c r="NS6" s="412"/>
      <c r="NT6" s="402"/>
      <c r="NU6" s="402"/>
      <c r="NV6" s="417"/>
      <c r="NW6" s="412"/>
      <c r="NX6" s="417"/>
      <c r="NY6" s="412"/>
      <c r="NZ6" s="417"/>
      <c r="OA6" s="412"/>
      <c r="OB6" s="402"/>
      <c r="OC6" s="402"/>
      <c r="OD6" s="417"/>
      <c r="OE6" s="412"/>
      <c r="OF6" s="402"/>
      <c r="OG6" s="402"/>
      <c r="OH6" s="417"/>
      <c r="OI6" s="412"/>
      <c r="OJ6" s="402"/>
      <c r="OK6" s="402"/>
      <c r="OL6" s="417"/>
      <c r="OM6" s="412"/>
      <c r="ON6" s="417"/>
      <c r="OO6" s="412"/>
      <c r="OP6" s="402"/>
      <c r="OQ6" s="402"/>
      <c r="OR6" s="417"/>
      <c r="OS6" s="412"/>
      <c r="OT6" s="417"/>
      <c r="OU6" s="412"/>
      <c r="OV6" s="402"/>
      <c r="OW6" s="402"/>
      <c r="OX6" s="417"/>
      <c r="OY6" s="412"/>
      <c r="OZ6" s="402"/>
      <c r="PA6" s="402"/>
      <c r="PB6" s="417"/>
      <c r="PC6" s="412"/>
      <c r="PD6" s="402"/>
      <c r="PE6" s="402"/>
      <c r="PF6" s="417"/>
      <c r="PG6" s="402"/>
      <c r="PH6" s="417"/>
      <c r="PI6" s="412"/>
      <c r="PJ6" s="417"/>
      <c r="PK6" s="412"/>
      <c r="PL6" s="402"/>
      <c r="PM6" s="402"/>
      <c r="PN6" s="417"/>
      <c r="PO6" s="412"/>
      <c r="PP6" s="402"/>
      <c r="PQ6" s="402"/>
      <c r="PR6" s="417"/>
      <c r="PS6" s="412"/>
      <c r="PT6" s="529" t="s">
        <v>1857</v>
      </c>
      <c r="PU6" s="402"/>
      <c r="PV6" s="417"/>
      <c r="PW6" s="412"/>
      <c r="PX6" s="402"/>
      <c r="PY6" s="402"/>
      <c r="PZ6" s="417"/>
      <c r="QA6" s="412"/>
      <c r="QB6" s="402"/>
      <c r="QC6" s="402"/>
      <c r="QD6" s="417"/>
      <c r="QE6" s="412"/>
      <c r="QF6" s="402"/>
      <c r="QG6" s="402"/>
      <c r="QH6" s="417"/>
      <c r="QI6" s="412"/>
      <c r="QJ6" s="402"/>
      <c r="QK6" s="402"/>
      <c r="QL6" s="417"/>
      <c r="QM6" s="412"/>
      <c r="QN6" s="402"/>
      <c r="QO6" s="402"/>
      <c r="QP6" s="417"/>
      <c r="QQ6" s="412"/>
      <c r="QR6" s="402"/>
      <c r="QS6" s="402"/>
      <c r="QT6" s="417"/>
      <c r="QU6" s="412"/>
      <c r="QV6" s="402"/>
      <c r="QW6" s="402"/>
      <c r="QX6" s="417"/>
      <c r="QY6" s="412"/>
      <c r="QZ6" s="402"/>
      <c r="RA6" s="412"/>
      <c r="RB6" s="402"/>
      <c r="RC6" s="412"/>
      <c r="RD6" s="402"/>
      <c r="RE6" s="402"/>
      <c r="RF6" s="534" t="s">
        <v>1886</v>
      </c>
      <c r="RG6" s="412"/>
      <c r="RH6" s="402"/>
      <c r="RI6" s="402"/>
      <c r="RJ6" s="417"/>
      <c r="RK6" s="412"/>
      <c r="RL6" s="417"/>
      <c r="RM6" s="412"/>
      <c r="RN6" s="402"/>
      <c r="RO6" s="402"/>
      <c r="RP6" s="417"/>
      <c r="RQ6" s="412"/>
      <c r="RR6" s="402"/>
      <c r="RS6" s="402"/>
      <c r="RT6" s="417"/>
      <c r="RU6" s="412"/>
      <c r="RV6" s="402"/>
      <c r="RW6" s="402"/>
      <c r="RX6" s="417"/>
      <c r="RY6" s="412"/>
      <c r="RZ6" s="417"/>
      <c r="SA6" s="412"/>
      <c r="SB6" s="417"/>
      <c r="SC6" s="412"/>
      <c r="SD6" s="402"/>
      <c r="SE6" s="402"/>
      <c r="SF6" s="417"/>
      <c r="SG6" s="412"/>
      <c r="SH6" s="402"/>
      <c r="SI6" s="402"/>
      <c r="SJ6" s="417"/>
      <c r="SK6" s="412"/>
      <c r="SL6" s="417"/>
      <c r="SM6" s="412"/>
      <c r="SN6" s="402"/>
      <c r="SO6" s="402"/>
      <c r="SP6" s="417"/>
      <c r="SQ6" s="412"/>
      <c r="SR6" s="402"/>
      <c r="SS6" s="402"/>
      <c r="ST6" s="417"/>
      <c r="SU6" s="412"/>
      <c r="SV6" s="402"/>
      <c r="SW6" s="402"/>
      <c r="SX6" s="417"/>
      <c r="SY6" s="412"/>
      <c r="SZ6" s="402"/>
      <c r="TA6" s="402"/>
      <c r="TB6" s="417"/>
      <c r="TC6" s="412"/>
      <c r="TD6" s="402"/>
      <c r="TE6" s="402"/>
      <c r="TF6" s="534" t="s">
        <v>1925</v>
      </c>
      <c r="TG6" s="412"/>
      <c r="TH6" s="402"/>
      <c r="TI6" s="412"/>
      <c r="TJ6" s="417"/>
      <c r="TK6" s="402"/>
      <c r="TL6" s="417"/>
      <c r="TM6" s="412"/>
      <c r="TN6" s="402"/>
      <c r="TO6" s="402"/>
      <c r="TP6" s="417"/>
      <c r="TQ6" s="412"/>
      <c r="TR6" s="402"/>
      <c r="TS6" s="402"/>
      <c r="TT6" s="534" t="s">
        <v>1935</v>
      </c>
      <c r="TU6" s="412"/>
      <c r="TV6" s="402"/>
      <c r="TW6" s="402"/>
      <c r="TX6" s="417"/>
      <c r="TY6" s="412"/>
      <c r="TZ6" s="417"/>
      <c r="UA6" s="412"/>
      <c r="UB6" s="402"/>
      <c r="UC6" s="402"/>
      <c r="UD6" s="417"/>
      <c r="UE6" s="412"/>
      <c r="UF6" s="402"/>
      <c r="UG6" s="402"/>
      <c r="UH6" s="417"/>
      <c r="UI6" s="412"/>
      <c r="UJ6" s="402"/>
      <c r="UK6" s="402"/>
      <c r="UL6" s="417"/>
      <c r="UM6" s="402"/>
      <c r="UN6" s="417"/>
      <c r="UO6" s="412"/>
      <c r="UP6" s="529" t="s">
        <v>1944</v>
      </c>
      <c r="UQ6" s="402"/>
      <c r="UR6" s="417"/>
      <c r="US6" s="412"/>
      <c r="UT6" s="417"/>
      <c r="UU6" s="412"/>
      <c r="UV6" s="529" t="s">
        <v>1948</v>
      </c>
      <c r="UW6" s="402"/>
      <c r="UX6" s="417"/>
      <c r="UY6" s="412"/>
      <c r="UZ6" s="402"/>
      <c r="VA6" s="402"/>
      <c r="VB6" s="417"/>
      <c r="VC6" s="412"/>
      <c r="VD6" s="402"/>
      <c r="VE6" s="402"/>
      <c r="VF6" s="417"/>
      <c r="VG6" s="412"/>
      <c r="VH6" s="417"/>
      <c r="VI6" s="412"/>
      <c r="VJ6" s="402"/>
      <c r="VK6" s="402"/>
      <c r="VL6" s="417"/>
      <c r="VM6" s="412"/>
      <c r="VN6" s="402"/>
      <c r="VO6" s="402"/>
      <c r="VP6" s="417"/>
      <c r="VQ6" s="412"/>
      <c r="VR6" s="335" t="s">
        <v>1961</v>
      </c>
      <c r="VS6" s="402"/>
      <c r="VT6" s="417"/>
      <c r="VU6" s="412"/>
      <c r="VV6" s="417"/>
      <c r="VW6" s="412"/>
      <c r="VX6" s="402"/>
      <c r="VY6" s="412"/>
      <c r="VZ6" s="417"/>
      <c r="WA6" s="412"/>
      <c r="WB6" s="417"/>
      <c r="WC6" s="412"/>
      <c r="WD6" s="529" t="s">
        <v>1968</v>
      </c>
      <c r="WE6" s="402"/>
      <c r="WF6" s="417"/>
      <c r="WG6" s="412"/>
      <c r="WH6" s="402"/>
      <c r="WI6" s="402"/>
      <c r="WJ6" s="417"/>
      <c r="WK6" s="412"/>
      <c r="WL6" s="402"/>
      <c r="WM6" s="402"/>
      <c r="WN6" s="417"/>
      <c r="WO6" s="412"/>
      <c r="WP6" s="402"/>
      <c r="WQ6" s="402"/>
      <c r="WR6" s="417"/>
      <c r="WS6" s="412"/>
      <c r="WT6" s="417"/>
      <c r="WU6" s="412"/>
      <c r="WV6" s="417"/>
      <c r="WW6" s="412"/>
      <c r="WX6" s="417"/>
      <c r="WY6" s="412"/>
      <c r="WZ6" s="402"/>
      <c r="XA6" s="402"/>
      <c r="XB6" s="417"/>
      <c r="XC6" s="412"/>
      <c r="XD6" s="402"/>
      <c r="XE6" s="402"/>
      <c r="XF6" s="417"/>
      <c r="XG6" s="412"/>
      <c r="XH6" s="417"/>
      <c r="XI6" s="412"/>
      <c r="XJ6" s="402"/>
      <c r="XK6" s="402"/>
      <c r="XL6" s="417"/>
      <c r="XM6" s="412"/>
      <c r="XN6" s="402"/>
      <c r="XO6" s="402"/>
      <c r="XP6" s="417"/>
      <c r="XQ6" s="412"/>
      <c r="XR6" s="402"/>
      <c r="XS6" s="402"/>
      <c r="XT6" s="417"/>
      <c r="XU6" s="412"/>
      <c r="XV6" s="417"/>
      <c r="XW6" s="412"/>
      <c r="XX6" s="402"/>
      <c r="XY6" s="402"/>
      <c r="XZ6" s="417"/>
      <c r="YA6" s="412"/>
      <c r="YB6" s="334" t="s">
        <v>2020</v>
      </c>
      <c r="YC6" s="402"/>
      <c r="YD6" s="417"/>
      <c r="YE6" s="412"/>
    </row>
    <row r="7" spans="1:655" ht="30" x14ac:dyDescent="0.2">
      <c r="A7" s="398"/>
      <c r="B7" s="396"/>
      <c r="C7" s="398"/>
      <c r="D7" s="396"/>
      <c r="E7" s="398"/>
      <c r="F7" s="397"/>
      <c r="G7" s="398"/>
      <c r="H7" s="396"/>
      <c r="I7" s="397"/>
      <c r="J7" s="396"/>
      <c r="K7" s="398"/>
      <c r="L7" s="396"/>
      <c r="M7" s="398"/>
      <c r="N7" s="396"/>
      <c r="O7" s="398"/>
      <c r="P7" s="397"/>
      <c r="Q7" s="397"/>
      <c r="R7" s="396"/>
      <c r="S7" s="397"/>
      <c r="T7" s="396"/>
      <c r="U7" s="398"/>
      <c r="V7" s="397"/>
      <c r="W7" s="397"/>
      <c r="X7" s="396"/>
      <c r="Y7" s="398"/>
      <c r="Z7" s="396"/>
      <c r="AA7" s="398"/>
      <c r="AB7" s="397"/>
      <c r="AC7" s="397"/>
      <c r="AD7" s="396"/>
      <c r="AE7" s="398"/>
      <c r="AF7" s="396"/>
      <c r="AG7" s="398"/>
      <c r="AH7" s="397"/>
      <c r="AI7" s="397"/>
      <c r="AJ7" s="396"/>
      <c r="AK7" s="398"/>
      <c r="AL7" s="397"/>
      <c r="AM7" s="397"/>
      <c r="AN7" s="396"/>
      <c r="AO7" s="398"/>
      <c r="AP7" s="397"/>
      <c r="AQ7" s="397"/>
      <c r="AR7" s="396"/>
      <c r="AS7" s="398"/>
      <c r="AT7" s="397"/>
      <c r="AU7" s="397"/>
      <c r="AV7" s="396"/>
      <c r="AW7" s="398"/>
      <c r="AX7" s="397"/>
      <c r="AY7" s="397"/>
      <c r="AZ7" s="396"/>
      <c r="BA7" s="398"/>
      <c r="BB7" s="397"/>
      <c r="BC7" s="397"/>
      <c r="BD7" s="396"/>
      <c r="BE7" s="398"/>
      <c r="BF7" s="396"/>
      <c r="BG7" s="398"/>
      <c r="BH7" s="397"/>
      <c r="BI7" s="397"/>
      <c r="BJ7" s="396"/>
      <c r="BK7" s="398"/>
      <c r="BL7" s="397"/>
      <c r="BM7" s="397"/>
      <c r="BN7" s="396"/>
      <c r="BO7" s="398"/>
      <c r="BP7" s="396"/>
      <c r="BQ7" s="398"/>
      <c r="BR7" s="397"/>
      <c r="BS7" s="397"/>
      <c r="BT7" s="396"/>
      <c r="BU7" s="398"/>
      <c r="BV7" s="396"/>
      <c r="BW7" s="398"/>
      <c r="BX7" s="397"/>
      <c r="BY7" s="397"/>
      <c r="BZ7" s="396"/>
      <c r="CA7" s="398"/>
      <c r="CB7" s="396"/>
      <c r="CC7" s="398"/>
      <c r="CD7" s="397"/>
      <c r="CE7" s="397"/>
      <c r="CF7" s="396"/>
      <c r="CG7" s="398"/>
      <c r="CH7" s="397"/>
      <c r="CI7" s="397"/>
      <c r="CJ7" s="396"/>
      <c r="CK7" s="398"/>
      <c r="CL7" s="397"/>
      <c r="CM7" s="397"/>
      <c r="CN7" s="396"/>
      <c r="CO7" s="398"/>
      <c r="CP7" s="397"/>
      <c r="CQ7" s="397"/>
      <c r="CR7" s="396"/>
      <c r="CS7" s="398"/>
      <c r="CT7" s="397"/>
      <c r="CU7" s="397"/>
      <c r="CV7" s="396"/>
      <c r="CW7" s="398"/>
      <c r="CX7" s="396"/>
      <c r="CY7" s="397"/>
      <c r="CZ7" s="396"/>
      <c r="DA7" s="398"/>
      <c r="DB7" s="396"/>
      <c r="DC7" s="398"/>
      <c r="DD7" s="397"/>
      <c r="DE7" s="397"/>
      <c r="DF7" s="396"/>
      <c r="DG7" s="398"/>
      <c r="DH7" s="397"/>
      <c r="DI7" s="397"/>
      <c r="DJ7" s="396"/>
      <c r="DK7" s="398"/>
      <c r="DL7" s="397"/>
      <c r="DM7" s="397"/>
      <c r="DN7" s="396"/>
      <c r="DO7" s="398"/>
      <c r="DP7" s="397"/>
      <c r="DQ7" s="397"/>
      <c r="DR7" s="396"/>
      <c r="DS7" s="398"/>
      <c r="DT7" s="397"/>
      <c r="DU7" s="397"/>
      <c r="DV7" s="396"/>
      <c r="DW7" s="398"/>
      <c r="DX7" s="397"/>
      <c r="DY7" s="397"/>
      <c r="DZ7" s="396"/>
      <c r="EA7" s="398"/>
      <c r="EB7" s="397"/>
      <c r="EC7" s="398"/>
      <c r="ED7" s="397"/>
      <c r="EE7" s="398"/>
      <c r="EF7" s="396"/>
      <c r="EG7" s="398"/>
      <c r="EH7" s="397"/>
      <c r="EI7" s="397"/>
      <c r="EJ7" s="396"/>
      <c r="EK7" s="398"/>
      <c r="EL7" s="397"/>
      <c r="EM7" s="397"/>
      <c r="EN7" s="396"/>
      <c r="EO7" s="398"/>
      <c r="EP7" s="397"/>
      <c r="EQ7" s="397"/>
      <c r="ER7" s="396"/>
      <c r="ES7" s="398"/>
      <c r="ET7" s="397"/>
      <c r="EU7" s="397"/>
      <c r="EV7" s="396"/>
      <c r="EW7" s="398"/>
      <c r="EX7" s="397"/>
      <c r="EY7" s="397"/>
      <c r="EZ7" s="396"/>
      <c r="FA7" s="398"/>
      <c r="FB7" s="396"/>
      <c r="FC7" s="398"/>
      <c r="FD7" s="396"/>
      <c r="FE7" s="398"/>
      <c r="FF7" s="397"/>
      <c r="FG7" s="397"/>
      <c r="FH7" s="396"/>
      <c r="FI7" s="398"/>
      <c r="FJ7" s="396"/>
      <c r="FK7" s="398"/>
      <c r="FL7" s="396"/>
      <c r="FM7" s="398"/>
      <c r="FN7" s="397"/>
      <c r="FO7" s="397"/>
      <c r="FP7" s="397"/>
      <c r="FQ7" s="398"/>
      <c r="FR7" s="396"/>
      <c r="FS7" s="398"/>
      <c r="FT7" s="397"/>
      <c r="FU7" s="397"/>
      <c r="FV7" s="396"/>
      <c r="FW7" s="398"/>
      <c r="FX7" s="397"/>
      <c r="FY7" s="397"/>
      <c r="FZ7" s="396"/>
      <c r="GA7" s="398"/>
      <c r="GB7" s="397"/>
      <c r="GC7" s="397"/>
      <c r="GD7" s="396"/>
      <c r="GE7" s="398"/>
      <c r="GF7" s="397"/>
      <c r="GG7" s="398"/>
      <c r="GH7" s="396"/>
      <c r="GI7" s="398"/>
      <c r="GJ7" s="397"/>
      <c r="GK7" s="397"/>
      <c r="GL7" s="396"/>
      <c r="GM7" s="398"/>
      <c r="GN7" s="397"/>
      <c r="GO7" s="398"/>
      <c r="GP7" s="397"/>
      <c r="GQ7" s="397"/>
      <c r="GR7" s="396"/>
      <c r="GS7" s="398"/>
      <c r="GT7" s="397"/>
      <c r="GU7" s="398"/>
      <c r="GV7" s="397"/>
      <c r="GW7" s="398"/>
      <c r="GX7" s="396"/>
      <c r="GY7" s="398"/>
      <c r="GZ7" s="396"/>
      <c r="HA7" s="398"/>
      <c r="HB7" s="396"/>
      <c r="HC7" s="398"/>
      <c r="HD7" s="397"/>
      <c r="HE7" s="397"/>
      <c r="HF7" s="396"/>
      <c r="HG7" s="398"/>
      <c r="HH7" s="397"/>
      <c r="HI7" s="398"/>
      <c r="HJ7" s="397"/>
      <c r="HK7" s="397"/>
      <c r="HL7" s="396"/>
      <c r="HM7" s="398"/>
      <c r="HN7" s="396"/>
      <c r="HO7" s="398"/>
      <c r="HP7" s="397"/>
      <c r="HQ7" s="397"/>
      <c r="HR7" s="396"/>
      <c r="HS7" s="398"/>
      <c r="HT7" s="397"/>
      <c r="HU7" s="397"/>
      <c r="HV7" s="396"/>
      <c r="HW7" s="398"/>
      <c r="HX7" s="397"/>
      <c r="HY7" s="398"/>
      <c r="HZ7" s="397"/>
      <c r="IA7" s="397"/>
      <c r="IB7" s="396"/>
      <c r="IC7" s="398"/>
      <c r="ID7" s="397"/>
      <c r="IE7" s="397"/>
      <c r="IF7" s="396"/>
      <c r="IG7" s="398"/>
      <c r="IH7" s="397"/>
      <c r="II7" s="397"/>
      <c r="IJ7" s="396"/>
      <c r="IK7" s="398"/>
      <c r="IL7" s="396"/>
      <c r="IM7" s="398"/>
      <c r="IN7" s="396"/>
      <c r="IO7" s="398"/>
      <c r="IP7" s="396"/>
      <c r="IQ7" s="398"/>
      <c r="IR7" s="397"/>
      <c r="IS7" s="397"/>
      <c r="IT7" s="396"/>
      <c r="IU7" s="398"/>
      <c r="IV7" s="396"/>
      <c r="IW7" s="398"/>
      <c r="IX7" s="396"/>
      <c r="IY7" s="398"/>
      <c r="IZ7" s="397"/>
      <c r="JA7" s="397"/>
      <c r="JB7" s="396"/>
      <c r="JC7" s="398"/>
      <c r="JD7" s="397"/>
      <c r="JE7" s="397"/>
      <c r="JF7" s="396"/>
      <c r="JG7" s="398"/>
      <c r="JH7" s="396"/>
      <c r="JI7" s="398"/>
      <c r="JJ7" s="396"/>
      <c r="JK7" s="398"/>
      <c r="JL7" s="397"/>
      <c r="JM7" s="397"/>
      <c r="JN7" s="396"/>
      <c r="JO7" s="398"/>
      <c r="JP7" s="397"/>
      <c r="JQ7" s="397"/>
      <c r="JR7" s="396"/>
      <c r="JS7" s="398"/>
      <c r="JT7" s="397"/>
      <c r="JU7" s="397"/>
      <c r="JV7" s="396"/>
      <c r="JW7" s="398"/>
      <c r="JX7" s="397"/>
      <c r="JY7" s="397"/>
      <c r="JZ7" s="396"/>
      <c r="KA7" s="398"/>
      <c r="KB7" s="396"/>
      <c r="KC7" s="398"/>
      <c r="KD7" s="396"/>
      <c r="KE7" s="398"/>
      <c r="KF7" s="397"/>
      <c r="KG7" s="397"/>
      <c r="KH7" s="396"/>
      <c r="KI7" s="398"/>
      <c r="KJ7" s="396"/>
      <c r="KK7" s="398"/>
      <c r="KL7" s="396"/>
      <c r="KM7" s="398"/>
      <c r="KN7" s="397"/>
      <c r="KO7" s="397"/>
      <c r="KP7" s="396"/>
      <c r="KQ7" s="398"/>
      <c r="KR7" s="397"/>
      <c r="KS7" s="397"/>
      <c r="KT7" s="396"/>
      <c r="KU7" s="398"/>
      <c r="KV7" s="397"/>
      <c r="KW7" s="397"/>
      <c r="KX7" s="396"/>
      <c r="KY7" s="398"/>
      <c r="KZ7" s="397"/>
      <c r="LA7" s="397"/>
      <c r="LB7" s="396"/>
      <c r="LC7" s="398"/>
      <c r="LD7" s="397"/>
      <c r="LE7" s="397"/>
      <c r="LF7" s="396"/>
      <c r="LG7" s="398"/>
      <c r="LH7" s="397"/>
      <c r="LI7" s="397"/>
      <c r="LJ7" s="396"/>
      <c r="LK7" s="398"/>
      <c r="LL7" s="397"/>
      <c r="LM7" s="397"/>
      <c r="LN7" s="396"/>
      <c r="LO7" s="398"/>
      <c r="LP7" s="397"/>
      <c r="LQ7" s="397"/>
      <c r="LR7" s="396"/>
      <c r="LS7" s="398"/>
      <c r="LT7" s="397"/>
      <c r="LU7" s="397"/>
      <c r="LV7" s="396"/>
      <c r="LW7" s="398"/>
      <c r="LX7" s="397"/>
      <c r="LY7" s="397"/>
      <c r="LZ7" s="396"/>
      <c r="MA7" s="398"/>
      <c r="MB7" s="397"/>
      <c r="MC7" s="397"/>
      <c r="MD7" s="396"/>
      <c r="ME7" s="398"/>
      <c r="MF7" s="397"/>
      <c r="MG7" s="397"/>
      <c r="MH7" s="396"/>
      <c r="MI7" s="398"/>
      <c r="MJ7" s="396"/>
      <c r="MK7" s="398"/>
      <c r="ML7" s="396"/>
      <c r="MM7" s="398"/>
      <c r="MN7" s="397"/>
      <c r="MO7" s="397"/>
      <c r="MP7" s="396"/>
      <c r="MQ7" s="398"/>
      <c r="MR7" s="397"/>
      <c r="MS7" s="397"/>
      <c r="MT7" s="396"/>
      <c r="MU7" s="398"/>
      <c r="MV7" s="397"/>
      <c r="MW7" s="397"/>
      <c r="MX7" s="396"/>
      <c r="MY7" s="398"/>
      <c r="MZ7" s="396"/>
      <c r="NA7" s="398"/>
      <c r="NB7" s="397"/>
      <c r="NC7" s="397"/>
      <c r="ND7" s="396"/>
      <c r="NE7" s="398"/>
      <c r="NF7" s="397"/>
      <c r="NG7" s="397"/>
      <c r="NH7" s="396"/>
      <c r="NI7" s="398"/>
      <c r="NJ7" s="397"/>
      <c r="NK7" s="397"/>
      <c r="NL7" s="396"/>
      <c r="NM7" s="398"/>
      <c r="NN7" s="396"/>
      <c r="NO7" s="398"/>
      <c r="NP7" s="396"/>
      <c r="NQ7" s="398"/>
      <c r="NR7" s="396"/>
      <c r="NS7" s="398"/>
      <c r="NT7" s="397"/>
      <c r="NU7" s="397"/>
      <c r="NV7" s="396"/>
      <c r="NW7" s="398"/>
      <c r="NX7" s="396"/>
      <c r="NY7" s="398"/>
      <c r="NZ7" s="396"/>
      <c r="OA7" s="398"/>
      <c r="OB7" s="397"/>
      <c r="OC7" s="397"/>
      <c r="OD7" s="396"/>
      <c r="OE7" s="398"/>
      <c r="OF7" s="397"/>
      <c r="OG7" s="397"/>
      <c r="OH7" s="396"/>
      <c r="OI7" s="398"/>
      <c r="OJ7" s="397"/>
      <c r="OK7" s="397"/>
      <c r="OL7" s="396"/>
      <c r="OM7" s="398"/>
      <c r="ON7" s="396"/>
      <c r="OO7" s="398"/>
      <c r="OP7" s="397"/>
      <c r="OQ7" s="397"/>
      <c r="OR7" s="396"/>
      <c r="OS7" s="398"/>
      <c r="OT7" s="396"/>
      <c r="OU7" s="398"/>
      <c r="OV7" s="397"/>
      <c r="OW7" s="397"/>
      <c r="OX7" s="396"/>
      <c r="OY7" s="398"/>
      <c r="OZ7" s="397"/>
      <c r="PA7" s="397"/>
      <c r="PB7" s="396"/>
      <c r="PC7" s="398"/>
      <c r="PD7" s="397"/>
      <c r="PE7" s="397"/>
      <c r="PF7" s="396"/>
      <c r="PG7" s="397"/>
      <c r="PH7" s="396"/>
      <c r="PI7" s="398"/>
      <c r="PJ7" s="396"/>
      <c r="PK7" s="398"/>
      <c r="PL7" s="397"/>
      <c r="PM7" s="397"/>
      <c r="PN7" s="396"/>
      <c r="PO7" s="398"/>
      <c r="PP7" s="397"/>
      <c r="PQ7" s="397"/>
      <c r="PR7" s="396"/>
      <c r="PS7" s="398"/>
      <c r="PT7" s="397"/>
      <c r="PU7" s="397"/>
      <c r="PV7" s="396"/>
      <c r="PW7" s="398"/>
      <c r="PX7" s="397"/>
      <c r="PY7" s="397"/>
      <c r="PZ7" s="396"/>
      <c r="QA7" s="398"/>
      <c r="QB7" s="397"/>
      <c r="QC7" s="397"/>
      <c r="QD7" s="396"/>
      <c r="QE7" s="398"/>
      <c r="QF7" s="397"/>
      <c r="QG7" s="397"/>
      <c r="QH7" s="396"/>
      <c r="QI7" s="398"/>
      <c r="QJ7" s="397"/>
      <c r="QK7" s="397"/>
      <c r="QL7" s="396"/>
      <c r="QM7" s="398"/>
      <c r="QN7" s="397"/>
      <c r="QO7" s="397"/>
      <c r="QP7" s="396"/>
      <c r="QQ7" s="398"/>
      <c r="QR7" s="397"/>
      <c r="QS7" s="397"/>
      <c r="QT7" s="396"/>
      <c r="QU7" s="398"/>
      <c r="QV7" s="397"/>
      <c r="QW7" s="397"/>
      <c r="QX7" s="396"/>
      <c r="QY7" s="398"/>
      <c r="QZ7" s="397"/>
      <c r="RA7" s="398"/>
      <c r="RB7" s="397"/>
      <c r="RC7" s="398"/>
      <c r="RD7" s="397"/>
      <c r="RE7" s="397"/>
      <c r="RF7" s="396"/>
      <c r="RG7" s="398"/>
      <c r="RH7" s="397"/>
      <c r="RI7" s="397"/>
      <c r="RJ7" s="396"/>
      <c r="RK7" s="398"/>
      <c r="RL7" s="396"/>
      <c r="RM7" s="398"/>
      <c r="RN7" s="397"/>
      <c r="RO7" s="397"/>
      <c r="RP7" s="396"/>
      <c r="RQ7" s="398"/>
      <c r="RR7" s="397"/>
      <c r="RS7" s="397"/>
      <c r="RT7" s="396"/>
      <c r="RU7" s="398"/>
      <c r="RV7" s="397"/>
      <c r="RW7" s="397"/>
      <c r="RX7" s="396"/>
      <c r="RY7" s="398"/>
      <c r="RZ7" s="396"/>
      <c r="SA7" s="398"/>
      <c r="SB7" s="396"/>
      <c r="SC7" s="398"/>
      <c r="SD7" s="397"/>
      <c r="SE7" s="397"/>
      <c r="SF7" s="396"/>
      <c r="SG7" s="398"/>
      <c r="SH7" s="397"/>
      <c r="SI7" s="397"/>
      <c r="SJ7" s="396"/>
      <c r="SK7" s="398"/>
      <c r="SL7" s="396"/>
      <c r="SM7" s="398"/>
      <c r="SN7" s="397"/>
      <c r="SO7" s="397"/>
      <c r="SP7" s="396"/>
      <c r="SQ7" s="398"/>
      <c r="SR7" s="397"/>
      <c r="SS7" s="397"/>
      <c r="ST7" s="396"/>
      <c r="SU7" s="398"/>
      <c r="SV7" s="397"/>
      <c r="SW7" s="397"/>
      <c r="SX7" s="396"/>
      <c r="SY7" s="398"/>
      <c r="SZ7" s="397"/>
      <c r="TA7" s="397"/>
      <c r="TB7" s="396"/>
      <c r="TC7" s="398"/>
      <c r="TD7" s="397"/>
      <c r="TE7" s="397"/>
      <c r="TF7" s="396"/>
      <c r="TG7" s="398"/>
      <c r="TH7" s="397"/>
      <c r="TI7" s="398"/>
      <c r="TJ7" s="396"/>
      <c r="TK7" s="397"/>
      <c r="TL7" s="396"/>
      <c r="TM7" s="398"/>
      <c r="TN7" s="397"/>
      <c r="TO7" s="397"/>
      <c r="TP7" s="396"/>
      <c r="TQ7" s="398"/>
      <c r="TR7" s="397"/>
      <c r="TS7" s="397"/>
      <c r="TT7" s="396"/>
      <c r="TU7" s="398"/>
      <c r="TV7" s="397"/>
      <c r="TW7" s="397"/>
      <c r="TX7" s="396"/>
      <c r="TY7" s="398"/>
      <c r="TZ7" s="396"/>
      <c r="UA7" s="398"/>
      <c r="UB7" s="397"/>
      <c r="UC7" s="397"/>
      <c r="UD7" s="396"/>
      <c r="UE7" s="398"/>
      <c r="UF7" s="397"/>
      <c r="UG7" s="397"/>
      <c r="UH7" s="396"/>
      <c r="UI7" s="398"/>
      <c r="UJ7" s="397"/>
      <c r="UK7" s="397"/>
      <c r="UL7" s="396"/>
      <c r="UM7" s="397"/>
      <c r="UN7" s="396"/>
      <c r="UO7" s="398"/>
      <c r="UP7" s="397"/>
      <c r="UQ7" s="397"/>
      <c r="UR7" s="396"/>
      <c r="US7" s="398"/>
      <c r="UT7" s="396"/>
      <c r="UU7" s="398"/>
      <c r="UV7" s="397"/>
      <c r="UW7" s="397"/>
      <c r="UX7" s="396"/>
      <c r="UY7" s="398"/>
      <c r="UZ7" s="397"/>
      <c r="VA7" s="397"/>
      <c r="VB7" s="396"/>
      <c r="VC7" s="398"/>
      <c r="VD7" s="397"/>
      <c r="VE7" s="397"/>
      <c r="VF7" s="396"/>
      <c r="VG7" s="398"/>
      <c r="VH7" s="396"/>
      <c r="VI7" s="398"/>
      <c r="VJ7" s="397"/>
      <c r="VK7" s="397"/>
      <c r="VL7" s="396"/>
      <c r="VM7" s="398"/>
      <c r="VN7" s="397"/>
      <c r="VO7" s="397"/>
      <c r="VP7" s="396"/>
      <c r="VQ7" s="398"/>
      <c r="VR7" s="336" t="s">
        <v>1962</v>
      </c>
      <c r="VS7" s="397"/>
      <c r="VT7" s="396"/>
      <c r="VU7" s="398"/>
      <c r="VV7" s="396"/>
      <c r="VW7" s="398"/>
      <c r="VX7" s="397"/>
      <c r="VY7" s="398"/>
      <c r="VZ7" s="396"/>
      <c r="WA7" s="398"/>
      <c r="WB7" s="396"/>
      <c r="WC7" s="398"/>
      <c r="WD7" s="397"/>
      <c r="WE7" s="397"/>
      <c r="WF7" s="396"/>
      <c r="WG7" s="398"/>
      <c r="WH7" s="397"/>
      <c r="WI7" s="397"/>
      <c r="WJ7" s="396"/>
      <c r="WK7" s="398"/>
      <c r="WL7" s="397"/>
      <c r="WM7" s="397"/>
      <c r="WN7" s="396"/>
      <c r="WO7" s="398"/>
      <c r="WP7" s="397"/>
      <c r="WQ7" s="397"/>
      <c r="WR7" s="396"/>
      <c r="WS7" s="398"/>
      <c r="WT7" s="396"/>
      <c r="WU7" s="398"/>
      <c r="WV7" s="396"/>
      <c r="WW7" s="398"/>
      <c r="WX7" s="396"/>
      <c r="WY7" s="398"/>
      <c r="WZ7" s="397"/>
      <c r="XA7" s="397"/>
      <c r="XB7" s="396"/>
      <c r="XC7" s="398"/>
      <c r="XD7" s="397"/>
      <c r="XE7" s="397"/>
      <c r="XF7" s="396"/>
      <c r="XG7" s="398"/>
      <c r="XH7" s="396"/>
      <c r="XI7" s="398"/>
      <c r="XJ7" s="397"/>
      <c r="XK7" s="397"/>
      <c r="XL7" s="396"/>
      <c r="XM7" s="398"/>
      <c r="XN7" s="397"/>
      <c r="XO7" s="397"/>
      <c r="XP7" s="396"/>
      <c r="XQ7" s="412"/>
      <c r="XR7" s="397"/>
      <c r="XS7" s="397"/>
      <c r="XT7" s="396"/>
      <c r="XU7" s="398"/>
      <c r="XV7" s="396"/>
      <c r="XW7" s="398"/>
      <c r="XX7" s="397"/>
      <c r="XY7" s="397"/>
      <c r="XZ7" s="396"/>
      <c r="YA7" s="398"/>
      <c r="YB7" s="337" t="s">
        <v>2003</v>
      </c>
      <c r="YC7" s="397"/>
      <c r="YD7" s="396"/>
      <c r="YE7" s="398"/>
    </row>
    <row r="8" spans="1:655" ht="30" x14ac:dyDescent="0.2">
      <c r="A8" s="431">
        <v>2015</v>
      </c>
      <c r="B8" s="411" t="s">
        <v>22</v>
      </c>
      <c r="C8" s="431" t="s">
        <v>22</v>
      </c>
      <c r="D8" s="539" t="s">
        <v>1971</v>
      </c>
      <c r="E8" s="431" t="str">
        <f ca="1">CHOOSE(WEEKDAY(DATE($A8,D$43,E$42),2),"Monday","Tuesday","Wednesday","Thursday","Friday","Saturday","Sunday")</f>
        <v>Friday</v>
      </c>
      <c r="F8" s="410" t="s">
        <v>22</v>
      </c>
      <c r="G8" s="431" t="s">
        <v>22</v>
      </c>
      <c r="H8" s="411" t="s">
        <v>22</v>
      </c>
      <c r="I8" s="410" t="s">
        <v>22</v>
      </c>
      <c r="J8" s="411" t="s">
        <v>22</v>
      </c>
      <c r="K8" s="431" t="s">
        <v>22</v>
      </c>
      <c r="L8" s="320" t="s">
        <v>1557</v>
      </c>
      <c r="M8" s="410" t="str">
        <f ca="1">CHOOSE(WEEKDAY(DATE($A8,L$43,M$42),2),"Monday","Tuesday","Wednesday","Thursday","Friday","Saturday","Sunday")</f>
        <v>Saturday</v>
      </c>
      <c r="N8" s="411" t="s">
        <v>22</v>
      </c>
      <c r="O8" s="431" t="s">
        <v>22</v>
      </c>
      <c r="P8" s="410" t="s">
        <v>22</v>
      </c>
      <c r="Q8" s="410" t="s">
        <v>22</v>
      </c>
      <c r="R8" s="411" t="s">
        <v>22</v>
      </c>
      <c r="S8" s="431" t="s">
        <v>22</v>
      </c>
      <c r="T8" s="411" t="s">
        <v>22</v>
      </c>
      <c r="U8" s="431" t="s">
        <v>22</v>
      </c>
      <c r="V8" s="410" t="s">
        <v>22</v>
      </c>
      <c r="W8" s="410" t="s">
        <v>22</v>
      </c>
      <c r="X8" s="411" t="s">
        <v>22</v>
      </c>
      <c r="Y8" s="431" t="s">
        <v>22</v>
      </c>
      <c r="Z8" s="411" t="s">
        <v>22</v>
      </c>
      <c r="AA8" s="431" t="s">
        <v>22</v>
      </c>
      <c r="AB8" s="538" t="s">
        <v>1988</v>
      </c>
      <c r="AC8" s="410" t="str">
        <f ca="1">CHOOSE(WEEKDAY(DATE($A8,AB$43,AC$42),2),"Monday","Tuesday","Wednesday","Thursday","Friday","Saturday","Sunday")</f>
        <v>Monday</v>
      </c>
      <c r="AD8" s="411" t="s">
        <v>22</v>
      </c>
      <c r="AE8" s="431" t="s">
        <v>22</v>
      </c>
      <c r="AF8" s="411" t="s">
        <v>22</v>
      </c>
      <c r="AG8" s="431" t="s">
        <v>22</v>
      </c>
      <c r="AH8" s="410" t="s">
        <v>22</v>
      </c>
      <c r="AI8" s="410" t="s">
        <v>22</v>
      </c>
      <c r="AJ8" s="411" t="s">
        <v>22</v>
      </c>
      <c r="AK8" s="431" t="s">
        <v>22</v>
      </c>
      <c r="AL8" s="410" t="s">
        <v>22</v>
      </c>
      <c r="AM8" s="410" t="s">
        <v>22</v>
      </c>
      <c r="AN8" s="411" t="s">
        <v>22</v>
      </c>
      <c r="AO8" s="431" t="s">
        <v>22</v>
      </c>
      <c r="AP8" s="410" t="s">
        <v>22</v>
      </c>
      <c r="AQ8" s="410" t="s">
        <v>22</v>
      </c>
      <c r="AR8" s="411" t="s">
        <v>22</v>
      </c>
      <c r="AS8" s="431" t="s">
        <v>22</v>
      </c>
      <c r="AT8" s="410" t="s">
        <v>22</v>
      </c>
      <c r="AU8" s="410" t="s">
        <v>22</v>
      </c>
      <c r="AV8" s="411" t="s">
        <v>22</v>
      </c>
      <c r="AW8" s="431" t="s">
        <v>22</v>
      </c>
      <c r="AX8" s="538" t="s">
        <v>1576</v>
      </c>
      <c r="AY8" s="410" t="str">
        <f ca="1">CHOOSE(WEEKDAY(DATE($A8,AX$43,AY$42),2),"Monday","Tuesday","Wednesday","Thursday","Friday","Saturday","Sunday")</f>
        <v>Friday</v>
      </c>
      <c r="AZ8" s="411" t="s">
        <v>22</v>
      </c>
      <c r="BA8" s="431" t="s">
        <v>22</v>
      </c>
      <c r="BB8" s="538" t="s">
        <v>1578</v>
      </c>
      <c r="BC8" s="410" t="str">
        <f ca="1">CHOOSE(WEEKDAY(DATE($A8,BB$43,BC$42),2),"Monday","Tuesday","Wednesday","Thursday","Friday","Saturday","Sunday")</f>
        <v>Monday</v>
      </c>
      <c r="BD8" s="411" t="s">
        <v>22</v>
      </c>
      <c r="BE8" s="431" t="s">
        <v>22</v>
      </c>
      <c r="BF8" s="411" t="s">
        <v>22</v>
      </c>
      <c r="BG8" s="431" t="s">
        <v>22</v>
      </c>
      <c r="BH8" s="410" t="s">
        <v>22</v>
      </c>
      <c r="BI8" s="410" t="s">
        <v>22</v>
      </c>
      <c r="BJ8" s="411" t="s">
        <v>22</v>
      </c>
      <c r="BK8" s="431" t="s">
        <v>22</v>
      </c>
      <c r="BL8" s="538" t="s">
        <v>1587</v>
      </c>
      <c r="BM8" s="410" t="str">
        <f ca="1">CHOOSE(WEEKDAY(DATE($A8,BL$43,BM$42),2),"Monday","Tuesday","Wednesday","Thursday","Friday","Saturday","Sunday")</f>
        <v>Saturday</v>
      </c>
      <c r="BN8" s="411" t="s">
        <v>22</v>
      </c>
      <c r="BO8" s="431" t="s">
        <v>22</v>
      </c>
      <c r="BP8" s="411" t="s">
        <v>22</v>
      </c>
      <c r="BQ8" s="431" t="s">
        <v>22</v>
      </c>
      <c r="BR8" s="410" t="s">
        <v>22</v>
      </c>
      <c r="BS8" s="410" t="s">
        <v>22</v>
      </c>
      <c r="BT8" s="411" t="s">
        <v>22</v>
      </c>
      <c r="BU8" s="431" t="s">
        <v>22</v>
      </c>
      <c r="BV8" s="411" t="s">
        <v>22</v>
      </c>
      <c r="BW8" s="431" t="s">
        <v>22</v>
      </c>
      <c r="BX8" s="410" t="s">
        <v>22</v>
      </c>
      <c r="BY8" s="410" t="s">
        <v>22</v>
      </c>
      <c r="BZ8" s="539" t="s">
        <v>1595</v>
      </c>
      <c r="CA8" s="431" t="str">
        <f ca="1">CHOOSE(WEEKDAY(DATE($A8,BZ$43,CA$42),2),"Monday","Tuesday","Wednesday","Thursday","Friday","Saturday","Sunday")</f>
        <v>Saturday</v>
      </c>
      <c r="CB8" s="411" t="s">
        <v>22</v>
      </c>
      <c r="CC8" s="431" t="s">
        <v>22</v>
      </c>
      <c r="CD8" s="410" t="s">
        <v>22</v>
      </c>
      <c r="CE8" s="410" t="s">
        <v>22</v>
      </c>
      <c r="CF8" s="539" t="s">
        <v>2021</v>
      </c>
      <c r="CG8" s="431" t="str">
        <f ca="1">CHOOSE(WEEKDAY(DATE($A8,CF$43,CG$42),2),"Monday","Tuesday","Wednesday","Thursday","Friday","Saturday","Sunday")</f>
        <v>Tuesday</v>
      </c>
      <c r="CH8" s="410" t="s">
        <v>22</v>
      </c>
      <c r="CI8" s="410" t="s">
        <v>22</v>
      </c>
      <c r="CJ8" s="411" t="s">
        <v>22</v>
      </c>
      <c r="CK8" s="431" t="s">
        <v>22</v>
      </c>
      <c r="CL8" s="410" t="s">
        <v>22</v>
      </c>
      <c r="CM8" s="410" t="s">
        <v>22</v>
      </c>
      <c r="CN8" s="539" t="s">
        <v>1609</v>
      </c>
      <c r="CO8" s="431" t="str">
        <f ca="1">CHOOSE(WEEKDAY(DATE($A8,CN$43,CO$42),2),"Monday","Tuesday","Wednesday","Thursday","Friday","Saturday","Sunday")</f>
        <v>Saturday</v>
      </c>
      <c r="CP8" s="410" t="s">
        <v>22</v>
      </c>
      <c r="CQ8" s="410" t="s">
        <v>22</v>
      </c>
      <c r="CR8" s="539" t="s">
        <v>1604</v>
      </c>
      <c r="CS8" s="431" t="str">
        <f ca="1">CHOOSE(WEEKDAY(DATE($A8,CR$43,CS$42),2),"Monday","Tuesday","Wednesday","Thursday","Friday","Saturday","Sunday")</f>
        <v>Monday</v>
      </c>
      <c r="CT8" s="410" t="s">
        <v>22</v>
      </c>
      <c r="CU8" s="410" t="s">
        <v>22</v>
      </c>
      <c r="CV8" s="411" t="s">
        <v>22</v>
      </c>
      <c r="CW8" s="431" t="s">
        <v>22</v>
      </c>
      <c r="CX8" s="411" t="s">
        <v>22</v>
      </c>
      <c r="CY8" s="410" t="s">
        <v>22</v>
      </c>
      <c r="CZ8" s="411" t="s">
        <v>22</v>
      </c>
      <c r="DA8" s="410" t="s">
        <v>22</v>
      </c>
      <c r="DB8" s="411" t="s">
        <v>22</v>
      </c>
      <c r="DC8" s="431" t="s">
        <v>22</v>
      </c>
      <c r="DD8" s="410" t="s">
        <v>22</v>
      </c>
      <c r="DE8" s="410" t="s">
        <v>22</v>
      </c>
      <c r="DF8" s="411" t="s">
        <v>22</v>
      </c>
      <c r="DG8" s="431" t="s">
        <v>22</v>
      </c>
      <c r="DH8" s="410" t="s">
        <v>22</v>
      </c>
      <c r="DI8" s="410" t="s">
        <v>22</v>
      </c>
      <c r="DJ8" s="411" t="s">
        <v>22</v>
      </c>
      <c r="DK8" s="431" t="s">
        <v>22</v>
      </c>
      <c r="DL8" s="320" t="s">
        <v>1644</v>
      </c>
      <c r="DM8" s="410" t="str">
        <f ca="1">CHOOSE(WEEKDAY(DATE($A8,DL$43,DM$42),2),"Monday","Tuesday","Wednesday","Thursday","Friday","Saturday","Sunday")</f>
        <v>Friday</v>
      </c>
      <c r="DN8" s="411" t="s">
        <v>22</v>
      </c>
      <c r="DO8" s="431" t="s">
        <v>22</v>
      </c>
      <c r="DP8" s="538" t="s">
        <v>1627</v>
      </c>
      <c r="DQ8" s="410" t="str">
        <f ca="1">CHOOSE(WEEKDAY(DATE($A8,DP$43,DQ$42),2),"Monday","Tuesday","Wednesday","Thursday","Friday","Saturday","Sunday")</f>
        <v>Sunday</v>
      </c>
      <c r="DR8" s="411" t="s">
        <v>22</v>
      </c>
      <c r="DS8" s="431" t="s">
        <v>22</v>
      </c>
      <c r="DT8" s="410" t="s">
        <v>22</v>
      </c>
      <c r="DU8" s="410" t="s">
        <v>22</v>
      </c>
      <c r="DV8" s="411" t="s">
        <v>22</v>
      </c>
      <c r="DW8" s="431" t="s">
        <v>22</v>
      </c>
      <c r="DX8" s="410" t="s">
        <v>22</v>
      </c>
      <c r="DY8" s="410" t="s">
        <v>22</v>
      </c>
      <c r="DZ8" s="411" t="s">
        <v>22</v>
      </c>
      <c r="EA8" s="431" t="s">
        <v>22</v>
      </c>
      <c r="EB8" s="411" t="s">
        <v>22</v>
      </c>
      <c r="EC8" s="431" t="s">
        <v>22</v>
      </c>
      <c r="ED8" s="410" t="s">
        <v>22</v>
      </c>
      <c r="EE8" s="410" t="s">
        <v>22</v>
      </c>
      <c r="EF8" s="539" t="s">
        <v>1638</v>
      </c>
      <c r="EG8" s="431" t="str">
        <f ca="1">CHOOSE(WEEKDAY(DATE($A8,EF$43,EG$42),2),"Monday","Tuesday","Wednesday","Thursday","Friday","Saturday","Sunday")</f>
        <v>Tuesday</v>
      </c>
      <c r="EH8" s="410" t="s">
        <v>22</v>
      </c>
      <c r="EI8" s="410" t="s">
        <v>22</v>
      </c>
      <c r="EJ8" s="411" t="s">
        <v>22</v>
      </c>
      <c r="EK8" s="431" t="s">
        <v>22</v>
      </c>
      <c r="EL8" s="538" t="s">
        <v>1643</v>
      </c>
      <c r="EM8" s="410" t="str">
        <f ca="1">CHOOSE(WEEKDAY(DATE($A8,EL$43,EM$42),2),"Monday","Tuesday","Wednesday","Thursday","Friday","Saturday","Sunday")</f>
        <v>Friday</v>
      </c>
      <c r="EN8" s="411" t="s">
        <v>22</v>
      </c>
      <c r="EO8" s="431" t="s">
        <v>22</v>
      </c>
      <c r="EP8" s="410" t="s">
        <v>22</v>
      </c>
      <c r="EQ8" s="410" t="s">
        <v>22</v>
      </c>
      <c r="ER8" s="411" t="s">
        <v>22</v>
      </c>
      <c r="ES8" s="431" t="s">
        <v>22</v>
      </c>
      <c r="ET8" s="410" t="s">
        <v>22</v>
      </c>
      <c r="EU8" s="410" t="s">
        <v>22</v>
      </c>
      <c r="EV8" s="411" t="s">
        <v>22</v>
      </c>
      <c r="EW8" s="431" t="s">
        <v>22</v>
      </c>
      <c r="EX8" s="410" t="s">
        <v>22</v>
      </c>
      <c r="EY8" s="410" t="s">
        <v>22</v>
      </c>
      <c r="EZ8" s="411" t="s">
        <v>22</v>
      </c>
      <c r="FA8" s="431" t="s">
        <v>22</v>
      </c>
      <c r="FB8" s="411" t="s">
        <v>22</v>
      </c>
      <c r="FC8" s="431" t="s">
        <v>22</v>
      </c>
      <c r="FD8" s="411" t="s">
        <v>22</v>
      </c>
      <c r="FE8" s="431" t="s">
        <v>22</v>
      </c>
      <c r="FF8" s="538" t="s">
        <v>1657</v>
      </c>
      <c r="FG8" s="410" t="str">
        <f ca="1">CHOOSE(WEEKDAY(DATE($A8,FF$43,FG$42),2),"Monday","Tuesday","Wednesday","Thursday","Friday","Saturday","Sunday")</f>
        <v>Monday</v>
      </c>
      <c r="FH8" s="411" t="s">
        <v>22</v>
      </c>
      <c r="FI8" s="431" t="s">
        <v>22</v>
      </c>
      <c r="FJ8" s="319" t="s">
        <v>1660</v>
      </c>
      <c r="FK8" s="431" t="str">
        <f ca="1">CHOOSE(WEEKDAY(DATE($A8,FJ$43,FK$42),2),"Monday","Tuesday","Wednesday","Thursday","Friday","Saturday","Sunday")</f>
        <v>Wednesday</v>
      </c>
      <c r="FL8" s="539" t="s">
        <v>1739</v>
      </c>
      <c r="FM8" s="431" t="str">
        <f ca="1">CHOOSE(WEEKDAY(DATE($A8,FL$43,FM$42),2),"Monday","Tuesday","Wednesday","Thursday","Friday","Saturday","Sunday")</f>
        <v>Friday</v>
      </c>
      <c r="FN8" s="538" t="s">
        <v>1679</v>
      </c>
      <c r="FO8" s="410" t="str">
        <f ca="1">CHOOSE(WEEKDAY(DATE($A8,FN$43,FO$42),2),"Monday","Tuesday","Wednesday","Thursday","Friday","Saturday","Sunday")</f>
        <v>Saturday</v>
      </c>
      <c r="FP8" s="411" t="s">
        <v>22</v>
      </c>
      <c r="FQ8" s="431" t="s">
        <v>22</v>
      </c>
      <c r="FR8" s="411" t="s">
        <v>22</v>
      </c>
      <c r="FS8" s="431" t="s">
        <v>22</v>
      </c>
      <c r="FT8" s="410" t="s">
        <v>22</v>
      </c>
      <c r="FU8" s="410" t="s">
        <v>22</v>
      </c>
      <c r="FV8" s="539" t="s">
        <v>1988</v>
      </c>
      <c r="FW8" s="431" t="str">
        <f ca="1">CHOOSE(WEEKDAY(DATE($A8,FV$43,FW$42),2),"Monday","Tuesday","Wednesday","Thursday","Friday","Saturday","Sunday")</f>
        <v>Wednesday</v>
      </c>
      <c r="FX8" s="410" t="s">
        <v>22</v>
      </c>
      <c r="FY8" s="410" t="s">
        <v>22</v>
      </c>
      <c r="FZ8" s="411" t="s">
        <v>22</v>
      </c>
      <c r="GA8" s="431" t="s">
        <v>22</v>
      </c>
      <c r="GB8" s="410" t="s">
        <v>22</v>
      </c>
      <c r="GC8" s="410" t="s">
        <v>22</v>
      </c>
      <c r="GD8" s="411" t="s">
        <v>22</v>
      </c>
      <c r="GE8" s="431" t="s">
        <v>22</v>
      </c>
      <c r="GF8" s="411" t="s">
        <v>22</v>
      </c>
      <c r="GG8" s="431" t="s">
        <v>22</v>
      </c>
      <c r="GH8" s="411" t="s">
        <v>22</v>
      </c>
      <c r="GI8" s="431" t="s">
        <v>22</v>
      </c>
      <c r="GJ8" s="410" t="s">
        <v>22</v>
      </c>
      <c r="GK8" s="410" t="s">
        <v>22</v>
      </c>
      <c r="GL8" s="411" t="s">
        <v>22</v>
      </c>
      <c r="GM8" s="431" t="s">
        <v>22</v>
      </c>
      <c r="GN8" s="411" t="s">
        <v>22</v>
      </c>
      <c r="GO8" s="431" t="s">
        <v>22</v>
      </c>
      <c r="GP8" s="410" t="s">
        <v>22</v>
      </c>
      <c r="GQ8" s="410" t="s">
        <v>22</v>
      </c>
      <c r="GR8" s="539" t="s">
        <v>1687</v>
      </c>
      <c r="GS8" s="431" t="str">
        <f ca="1">CHOOSE(WEEKDAY(DATE($A8,GR$43,GS$42),2),"Monday","Tuesday","Wednesday","Thursday","Friday","Saturday","Sunday")</f>
        <v>Friday</v>
      </c>
      <c r="GT8" s="411" t="s">
        <v>22</v>
      </c>
      <c r="GU8" s="431" t="s">
        <v>22</v>
      </c>
      <c r="GV8" s="411" t="s">
        <v>22</v>
      </c>
      <c r="GW8" s="431" t="s">
        <v>22</v>
      </c>
      <c r="GX8" s="411" t="s">
        <v>22</v>
      </c>
      <c r="GY8" s="431" t="s">
        <v>22</v>
      </c>
      <c r="GZ8" s="411" t="s">
        <v>22</v>
      </c>
      <c r="HA8" s="431" t="s">
        <v>22</v>
      </c>
      <c r="HB8" s="411" t="s">
        <v>22</v>
      </c>
      <c r="HC8" s="431" t="s">
        <v>22</v>
      </c>
      <c r="HD8" s="410" t="s">
        <v>22</v>
      </c>
      <c r="HE8" s="410" t="s">
        <v>22</v>
      </c>
      <c r="HF8" s="539" t="s">
        <v>1694</v>
      </c>
      <c r="HG8" s="431" t="str">
        <f ca="1">CHOOSE(WEEKDAY(DATE($A8,HF$43,HG$42),2),"Monday","Tuesday","Wednesday","Thursday","Friday","Saturday","Sunday")</f>
        <v>Friday</v>
      </c>
      <c r="HH8" s="411" t="s">
        <v>22</v>
      </c>
      <c r="HI8" s="431" t="s">
        <v>22</v>
      </c>
      <c r="HJ8" s="410" t="s">
        <v>22</v>
      </c>
      <c r="HK8" s="410" t="s">
        <v>22</v>
      </c>
      <c r="HL8" s="411" t="s">
        <v>22</v>
      </c>
      <c r="HM8" s="431" t="s">
        <v>22</v>
      </c>
      <c r="HN8" s="411" t="s">
        <v>22</v>
      </c>
      <c r="HO8" s="431" t="s">
        <v>22</v>
      </c>
      <c r="HP8" s="410" t="s">
        <v>22</v>
      </c>
      <c r="HQ8" s="410" t="s">
        <v>22</v>
      </c>
      <c r="HR8" s="411" t="s">
        <v>22</v>
      </c>
      <c r="HS8" s="431" t="s">
        <v>22</v>
      </c>
      <c r="HT8" s="538" t="s">
        <v>1711</v>
      </c>
      <c r="HU8" s="410" t="str">
        <f ca="1">CHOOSE(WEEKDAY(DATE($A8,HT$43,HU$42),2),"Monday","Tuesday","Wednesday","Thursday","Friday","Saturday","Sunday")</f>
        <v>Friday</v>
      </c>
      <c r="HV8" s="539" t="s">
        <v>1710</v>
      </c>
      <c r="HW8" s="431" t="str">
        <f ca="1">CHOOSE(WEEKDAY(DATE($A8,HV$43,HW$42),2),"Monday","Tuesday","Wednesday","Thursday","Friday","Saturday","Sunday")</f>
        <v>Saturday</v>
      </c>
      <c r="HX8" s="411" t="s">
        <v>22</v>
      </c>
      <c r="HY8" s="431" t="s">
        <v>22</v>
      </c>
      <c r="HZ8" s="410" t="s">
        <v>22</v>
      </c>
      <c r="IA8" s="410" t="s">
        <v>22</v>
      </c>
      <c r="IB8" s="411" t="s">
        <v>22</v>
      </c>
      <c r="IC8" s="431" t="s">
        <v>22</v>
      </c>
      <c r="ID8" s="410" t="s">
        <v>22</v>
      </c>
      <c r="IE8" s="410" t="s">
        <v>22</v>
      </c>
      <c r="IF8" s="539" t="s">
        <v>1718</v>
      </c>
      <c r="IG8" s="431" t="str">
        <f ca="1">CHOOSE(WEEKDAY(DATE($A8,IF$43,IG$42),2),"Monday","Tuesday","Wednesday","Thursday","Friday","Saturday","Sunday")</f>
        <v>Friday</v>
      </c>
      <c r="IH8" s="410" t="s">
        <v>22</v>
      </c>
      <c r="II8" s="410" t="s">
        <v>22</v>
      </c>
      <c r="IJ8" s="411" t="s">
        <v>22</v>
      </c>
      <c r="IK8" s="431" t="s">
        <v>22</v>
      </c>
      <c r="IL8" s="411" t="s">
        <v>22</v>
      </c>
      <c r="IM8" s="431" t="s">
        <v>22</v>
      </c>
      <c r="IN8" s="411" t="s">
        <v>22</v>
      </c>
      <c r="IO8" s="431" t="s">
        <v>22</v>
      </c>
      <c r="IP8" s="411" t="s">
        <v>22</v>
      </c>
      <c r="IQ8" s="431" t="s">
        <v>22</v>
      </c>
      <c r="IR8" s="538" t="s">
        <v>1729</v>
      </c>
      <c r="IS8" s="410" t="str">
        <f ca="1">CHOOSE(WEEKDAY(DATE($A8,IR$43,IS$42),2),"Monday","Tuesday","Wednesday","Thursday","Friday","Saturday","Sunday")</f>
        <v>Friday</v>
      </c>
      <c r="IT8" s="411" t="s">
        <v>22</v>
      </c>
      <c r="IU8" s="431" t="s">
        <v>22</v>
      </c>
      <c r="IV8" s="411" t="s">
        <v>22</v>
      </c>
      <c r="IW8" s="431" t="s">
        <v>22</v>
      </c>
      <c r="IX8" s="539" t="s">
        <v>1733</v>
      </c>
      <c r="IY8" s="431" t="str">
        <f ca="1">CHOOSE(WEEKDAY(DATE($A8,IX$43,IY$42),2),"Monday","Tuesday","Wednesday","Thursday","Friday","Saturday","Sunday")</f>
        <v>Monday</v>
      </c>
      <c r="IZ8" s="410" t="s">
        <v>22</v>
      </c>
      <c r="JA8" s="410" t="s">
        <v>22</v>
      </c>
      <c r="JB8" s="539" t="s">
        <v>1734</v>
      </c>
      <c r="JC8" s="431" t="str">
        <f ca="1">CHOOSE(WEEKDAY(DATE($A8,JB$43,JC$42),2),"Monday","Tuesday","Wednesday","Thursday","Friday","Saturday","Sunday")</f>
        <v>Wednesday</v>
      </c>
      <c r="JD8" s="410" t="s">
        <v>22</v>
      </c>
      <c r="JE8" s="410" t="s">
        <v>22</v>
      </c>
      <c r="JF8" s="539" t="s">
        <v>2022</v>
      </c>
      <c r="JG8" s="431" t="str">
        <f ca="1">CHOOSE(WEEKDAY(DATE($A8,JF$43,JG$42),2),"Monday","Tuesday","Wednesday","Thursday","Friday","Saturday","Sunday")</f>
        <v>Friday</v>
      </c>
      <c r="JH8" s="411" t="s">
        <v>22</v>
      </c>
      <c r="JI8" s="431" t="s">
        <v>22</v>
      </c>
      <c r="JJ8" s="411" t="s">
        <v>22</v>
      </c>
      <c r="JK8" s="431" t="s">
        <v>22</v>
      </c>
      <c r="JL8" s="410" t="s">
        <v>22</v>
      </c>
      <c r="JM8" s="410" t="s">
        <v>22</v>
      </c>
      <c r="JN8" s="411" t="s">
        <v>22</v>
      </c>
      <c r="JO8" s="431" t="s">
        <v>22</v>
      </c>
      <c r="JP8" s="538" t="s">
        <v>2006</v>
      </c>
      <c r="JQ8" s="410" t="str">
        <f ca="1">CHOOSE(WEEKDAY(DATE($A8,JP$43,JQ$42),2),"Monday","Tuesday","Wednesday","Thursday","Friday","Saturday","Sunday")</f>
        <v>Thursday</v>
      </c>
      <c r="JR8" s="411" t="s">
        <v>22</v>
      </c>
      <c r="JS8" s="431" t="s">
        <v>22</v>
      </c>
      <c r="JT8" s="410" t="s">
        <v>22</v>
      </c>
      <c r="JU8" s="410" t="s">
        <v>22</v>
      </c>
      <c r="JV8" s="411" t="s">
        <v>22</v>
      </c>
      <c r="JW8" s="431" t="s">
        <v>22</v>
      </c>
      <c r="JX8" s="410" t="s">
        <v>22</v>
      </c>
      <c r="JY8" s="410" t="s">
        <v>22</v>
      </c>
      <c r="JZ8" s="411" t="s">
        <v>22</v>
      </c>
      <c r="KA8" s="431" t="s">
        <v>22</v>
      </c>
      <c r="KB8" s="411" t="s">
        <v>22</v>
      </c>
      <c r="KC8" s="431" t="s">
        <v>22</v>
      </c>
      <c r="KD8" s="319" t="s">
        <v>1752</v>
      </c>
      <c r="KE8" s="431" t="str">
        <f ca="1">CHOOSE(WEEKDAY(DATE($A8,KD$43,KE$42),2),"Monday","Tuesday","Wednesday","Thursday","Friday","Saturday","Sunday")</f>
        <v>Friday</v>
      </c>
      <c r="KF8" s="410" t="s">
        <v>22</v>
      </c>
      <c r="KG8" s="410" t="s">
        <v>22</v>
      </c>
      <c r="KH8" s="411" t="s">
        <v>22</v>
      </c>
      <c r="KI8" s="431" t="s">
        <v>22</v>
      </c>
      <c r="KJ8" s="411" t="s">
        <v>22</v>
      </c>
      <c r="KK8" s="431" t="s">
        <v>22</v>
      </c>
      <c r="KL8" s="411" t="s">
        <v>22</v>
      </c>
      <c r="KM8" s="431" t="s">
        <v>22</v>
      </c>
      <c r="KN8" s="538" t="s">
        <v>1761</v>
      </c>
      <c r="KO8" s="410" t="str">
        <f ca="1">CHOOSE(WEEKDAY(DATE($A8,KN$43,KO$42),2),"Monday","Tuesday","Wednesday","Thursday","Friday","Saturday","Sunday")</f>
        <v>Thursday</v>
      </c>
      <c r="KP8" s="321" t="s">
        <v>1763</v>
      </c>
      <c r="KQ8" s="431" t="str">
        <f ca="1">CHOOSE(WEEKDAY(DATE($A8,KP$43,KQ$42),2),"Monday","Tuesday","Wednesday","Thursday","Friday","Saturday","Sunday")</f>
        <v>Friday</v>
      </c>
      <c r="KR8" s="538" t="s">
        <v>1765</v>
      </c>
      <c r="KS8" s="410" t="str">
        <f ca="1">CHOOSE(WEEKDAY(DATE($A8,KR$43,KS$42),2),"Monday","Tuesday","Wednesday","Thursday","Friday","Saturday","Sunday")</f>
        <v>Sunday</v>
      </c>
      <c r="KT8" s="411" t="s">
        <v>22</v>
      </c>
      <c r="KU8" s="431" t="s">
        <v>22</v>
      </c>
      <c r="KV8" s="410" t="s">
        <v>22</v>
      </c>
      <c r="KW8" s="410" t="s">
        <v>22</v>
      </c>
      <c r="KX8" s="411" t="s">
        <v>22</v>
      </c>
      <c r="KY8" s="431" t="s">
        <v>22</v>
      </c>
      <c r="KZ8" s="410" t="s">
        <v>22</v>
      </c>
      <c r="LA8" s="410" t="s">
        <v>22</v>
      </c>
      <c r="LB8" s="539" t="s">
        <v>1774</v>
      </c>
      <c r="LC8" s="431" t="str">
        <f ca="1">CHOOSE(WEEKDAY(DATE($A8,LB$43,LC$42),2),"Monday","Tuesday","Wednesday","Thursday","Friday","Saturday","Sunday")</f>
        <v>Friday</v>
      </c>
      <c r="LD8" s="410" t="s">
        <v>22</v>
      </c>
      <c r="LE8" s="410" t="s">
        <v>22</v>
      </c>
      <c r="LF8" s="411" t="s">
        <v>22</v>
      </c>
      <c r="LG8" s="431" t="s">
        <v>22</v>
      </c>
      <c r="LH8" s="410" t="s">
        <v>22</v>
      </c>
      <c r="LI8" s="410" t="s">
        <v>22</v>
      </c>
      <c r="LJ8" s="411" t="s">
        <v>22</v>
      </c>
      <c r="LK8" s="431" t="s">
        <v>22</v>
      </c>
      <c r="LL8" s="410" t="s">
        <v>22</v>
      </c>
      <c r="LM8" s="410" t="s">
        <v>22</v>
      </c>
      <c r="LN8" s="539" t="s">
        <v>2017</v>
      </c>
      <c r="LO8" s="431" t="str">
        <f ca="1">CHOOSE(WEEKDAY(DATE($A8,LN$43,LO$42),2),"Monday","Tuesday","Wednesday","Thursday","Friday","Saturday","Sunday")</f>
        <v>Friday</v>
      </c>
      <c r="LP8" s="538" t="s">
        <v>1788</v>
      </c>
      <c r="LQ8" s="410" t="str">
        <f ca="1">CHOOSE(WEEKDAY(DATE($A8,LP$43,LQ$42),2),"Monday","Tuesday","Wednesday","Thursday","Friday","Saturday","Sunday")</f>
        <v>Saturday</v>
      </c>
      <c r="LR8" s="411" t="s">
        <v>22</v>
      </c>
      <c r="LS8" s="431" t="s">
        <v>22</v>
      </c>
      <c r="LT8" s="410" t="s">
        <v>22</v>
      </c>
      <c r="LU8" s="410" t="s">
        <v>22</v>
      </c>
      <c r="LV8" s="411" t="s">
        <v>22</v>
      </c>
      <c r="LW8" s="431" t="s">
        <v>22</v>
      </c>
      <c r="LX8" s="410" t="s">
        <v>22</v>
      </c>
      <c r="LY8" s="410" t="s">
        <v>22</v>
      </c>
      <c r="LZ8" s="539" t="s">
        <v>1796</v>
      </c>
      <c r="MA8" s="431" t="str">
        <f ca="1">CHOOSE(WEEKDAY(DATE($A8,LZ$43,MA$42),2),"Monday","Tuesday","Wednesday","Thursday","Friday","Saturday","Sunday")</f>
        <v>Friday</v>
      </c>
      <c r="MB8" s="410" t="s">
        <v>22</v>
      </c>
      <c r="MC8" s="410" t="s">
        <v>22</v>
      </c>
      <c r="MD8" s="411" t="s">
        <v>22</v>
      </c>
      <c r="ME8" s="431" t="s">
        <v>22</v>
      </c>
      <c r="MF8" s="410" t="s">
        <v>22</v>
      </c>
      <c r="MG8" s="410" t="s">
        <v>22</v>
      </c>
      <c r="MH8" s="411" t="s">
        <v>22</v>
      </c>
      <c r="MI8" s="431" t="s">
        <v>22</v>
      </c>
      <c r="MJ8" s="411" t="s">
        <v>22</v>
      </c>
      <c r="MK8" s="431" t="s">
        <v>22</v>
      </c>
      <c r="ML8" s="411" t="s">
        <v>22</v>
      </c>
      <c r="MM8" s="431" t="s">
        <v>22</v>
      </c>
      <c r="MN8" s="538" t="s">
        <v>1805</v>
      </c>
      <c r="MO8" s="410" t="str">
        <f ca="1">CHOOSE(WEEKDAY(DATE($A8,MN$43,MO$42),2),"Monday","Tuesday","Wednesday","Thursday","Friday","Saturday","Sunday")</f>
        <v>Friday</v>
      </c>
      <c r="MP8" s="411" t="s">
        <v>22</v>
      </c>
      <c r="MQ8" s="431" t="s">
        <v>22</v>
      </c>
      <c r="MR8" s="410" t="s">
        <v>22</v>
      </c>
      <c r="MS8" s="410" t="s">
        <v>22</v>
      </c>
      <c r="MT8" s="319" t="s">
        <v>1566</v>
      </c>
      <c r="MU8" s="431" t="str">
        <f ca="1">CHOOSE(WEEKDAY(DATE($A8,MT$43,MU$42),2),"Monday","Tuesday","Wednesday","Thursday","Friday","Saturday","Sunday")</f>
        <v>Monday</v>
      </c>
      <c r="MV8" s="410" t="s">
        <v>22</v>
      </c>
      <c r="MW8" s="410" t="s">
        <v>22</v>
      </c>
      <c r="MX8" s="539" t="s">
        <v>1914</v>
      </c>
      <c r="MY8" s="431" t="str">
        <f ca="1">CHOOSE(WEEKDAY(DATE($A8,MX$43,MY$42),2),"Monday","Tuesday","Wednesday","Thursday","Friday","Saturday","Sunday")</f>
        <v>Wednesday</v>
      </c>
      <c r="MZ8" s="539" t="s">
        <v>1914</v>
      </c>
      <c r="NA8" s="431" t="str">
        <f ca="1">CHOOSE(WEEKDAY(DATE($A8,MZ$43,NA$42),2),"Monday","Tuesday","Wednesday","Thursday","Friday","Saturday","Sunday")</f>
        <v>Thursday</v>
      </c>
      <c r="NB8" s="538" t="s">
        <v>1811</v>
      </c>
      <c r="NC8" s="410" t="str">
        <f ca="1">CHOOSE(WEEKDAY(DATE($A8,NB$43,NC$42),2),"Monday","Tuesday","Wednesday","Thursday","Friday","Saturday","Sunday")</f>
        <v>Friday</v>
      </c>
      <c r="ND8" s="411" t="s">
        <v>22</v>
      </c>
      <c r="NE8" s="431" t="s">
        <v>22</v>
      </c>
      <c r="NF8" s="410" t="s">
        <v>22</v>
      </c>
      <c r="NG8" s="410" t="s">
        <v>22</v>
      </c>
      <c r="NH8" s="411" t="s">
        <v>22</v>
      </c>
      <c r="NI8" s="431" t="s">
        <v>22</v>
      </c>
      <c r="NJ8" s="410" t="s">
        <v>22</v>
      </c>
      <c r="NK8" s="410" t="s">
        <v>22</v>
      </c>
      <c r="NL8" s="411" t="s">
        <v>22</v>
      </c>
      <c r="NM8" s="431" t="s">
        <v>22</v>
      </c>
      <c r="NN8" s="411" t="s">
        <v>22</v>
      </c>
      <c r="NO8" s="431" t="s">
        <v>22</v>
      </c>
      <c r="NP8" s="538" t="s">
        <v>1773</v>
      </c>
      <c r="NQ8" s="410" t="str">
        <f ca="1">CHOOSE(WEEKDAY(DATE($A8,NP$43,NQ$42),2),"Monday","Tuesday","Wednesday","Thursday","Friday","Saturday","Sunday")</f>
        <v>Friday</v>
      </c>
      <c r="NR8" s="411" t="s">
        <v>22</v>
      </c>
      <c r="NS8" s="431" t="s">
        <v>22</v>
      </c>
      <c r="NT8" s="410" t="s">
        <v>22</v>
      </c>
      <c r="NU8" s="410" t="s">
        <v>22</v>
      </c>
      <c r="NV8" s="411" t="s">
        <v>22</v>
      </c>
      <c r="NW8" s="431" t="s">
        <v>22</v>
      </c>
      <c r="NX8" s="410" t="s">
        <v>22</v>
      </c>
      <c r="NY8" s="410" t="s">
        <v>22</v>
      </c>
      <c r="NZ8" s="411" t="s">
        <v>22</v>
      </c>
      <c r="OA8" s="431" t="s">
        <v>22</v>
      </c>
      <c r="OB8" s="411" t="s">
        <v>22</v>
      </c>
      <c r="OC8" s="431" t="s">
        <v>22</v>
      </c>
      <c r="OD8" s="411" t="s">
        <v>22</v>
      </c>
      <c r="OE8" s="431" t="s">
        <v>22</v>
      </c>
      <c r="OF8" s="410" t="s">
        <v>22</v>
      </c>
      <c r="OG8" s="410" t="s">
        <v>22</v>
      </c>
      <c r="OH8" s="411" t="s">
        <v>22</v>
      </c>
      <c r="OI8" s="431" t="s">
        <v>22</v>
      </c>
      <c r="OJ8" s="538" t="s">
        <v>1828</v>
      </c>
      <c r="OK8" s="410" t="str">
        <f ca="1">CHOOSE(WEEKDAY(DATE($A8,OJ$43,OK$42),2),"Monday","Tuesday","Wednesday","Thursday","Friday","Saturday","Sunday")</f>
        <v>Wednesday</v>
      </c>
      <c r="OL8" s="411" t="s">
        <v>22</v>
      </c>
      <c r="OM8" s="431" t="s">
        <v>22</v>
      </c>
      <c r="ON8" s="411" t="s">
        <v>22</v>
      </c>
      <c r="OO8" s="431" t="s">
        <v>22</v>
      </c>
      <c r="OP8" s="410" t="s">
        <v>22</v>
      </c>
      <c r="OQ8" s="410" t="s">
        <v>22</v>
      </c>
      <c r="OR8" s="411" t="s">
        <v>22</v>
      </c>
      <c r="OS8" s="431" t="s">
        <v>22</v>
      </c>
      <c r="OT8" s="411" t="s">
        <v>22</v>
      </c>
      <c r="OU8" s="431" t="s">
        <v>22</v>
      </c>
      <c r="OV8" s="538" t="s">
        <v>1837</v>
      </c>
      <c r="OW8" s="410" t="str">
        <f ca="1">CHOOSE(WEEKDAY(DATE($A8,OV$43,OW$42),2),"Monday","Tuesday","Wednesday","Thursday","Friday","Saturday","Sunday")</f>
        <v>Tuesday</v>
      </c>
      <c r="OX8" s="411" t="s">
        <v>22</v>
      </c>
      <c r="OY8" s="431" t="s">
        <v>22</v>
      </c>
      <c r="OZ8" s="538" t="s">
        <v>2023</v>
      </c>
      <c r="PA8" s="410" t="str">
        <f ca="1">CHOOSE(WEEKDAY(DATE($A8,OZ$43,PA$42),2),"Monday","Tuesday","Wednesday","Thursday","Friday","Saturday","Sunday")</f>
        <v>Friday</v>
      </c>
      <c r="PB8" s="411" t="s">
        <v>22</v>
      </c>
      <c r="PC8" s="431" t="s">
        <v>22</v>
      </c>
      <c r="PD8" s="410" t="s">
        <v>22</v>
      </c>
      <c r="PE8" s="410" t="s">
        <v>22</v>
      </c>
      <c r="PF8" s="411" t="s">
        <v>22</v>
      </c>
      <c r="PG8" s="410" t="s">
        <v>22</v>
      </c>
      <c r="PH8" s="539" t="s">
        <v>1847</v>
      </c>
      <c r="PI8" s="431" t="str">
        <f ca="1">CHOOSE(WEEKDAY(DATE($A8,PH$43,PI$42),2),"Monday","Tuesday","Wednesday","Thursday","Friday","Saturday","Sunday")</f>
        <v>Friday</v>
      </c>
      <c r="PJ8" s="411" t="s">
        <v>22</v>
      </c>
      <c r="PK8" s="431" t="s">
        <v>22</v>
      </c>
      <c r="PL8" s="410" t="s">
        <v>22</v>
      </c>
      <c r="PM8" s="410" t="s">
        <v>22</v>
      </c>
      <c r="PN8" s="540" t="s">
        <v>1853</v>
      </c>
      <c r="PO8" s="431" t="str">
        <f ca="1">CHOOSE(WEEKDAY(DATE($A8,PN$43,PO$42),2),"Monday","Tuesday","Wednesday","Thursday","Friday","Saturday","Sunday")</f>
        <v>Wednesday</v>
      </c>
      <c r="PP8" s="410" t="s">
        <v>22</v>
      </c>
      <c r="PQ8" s="410" t="s">
        <v>22</v>
      </c>
      <c r="PR8" s="539" t="s">
        <v>2024</v>
      </c>
      <c r="PS8" s="431" t="str">
        <f ca="1">CHOOSE(WEEKDAY(DATE($A8,PR$43,PS$42),2),"Monday","Tuesday","Wednesday","Thursday","Friday","Saturday","Sunday")</f>
        <v>Friday</v>
      </c>
      <c r="PT8" s="410" t="s">
        <v>22</v>
      </c>
      <c r="PU8" s="410" t="s">
        <v>22</v>
      </c>
      <c r="PV8" s="411" t="s">
        <v>22</v>
      </c>
      <c r="PW8" s="431" t="s">
        <v>22</v>
      </c>
      <c r="PX8" s="410" t="s">
        <v>22</v>
      </c>
      <c r="PY8" s="410" t="s">
        <v>22</v>
      </c>
      <c r="PZ8" s="539" t="s">
        <v>1861</v>
      </c>
      <c r="QA8" s="431" t="str">
        <f ca="1">CHOOSE(WEEKDAY(DATE($A8,PZ$43,QA$42),2),"Monday","Tuesday","Wednesday","Thursday","Friday","Saturday","Sunday")</f>
        <v>Tuesday</v>
      </c>
      <c r="QB8" s="410" t="s">
        <v>22</v>
      </c>
      <c r="QC8" s="410" t="s">
        <v>22</v>
      </c>
      <c r="QD8" s="411" t="s">
        <v>22</v>
      </c>
      <c r="QE8" s="431" t="s">
        <v>22</v>
      </c>
      <c r="QF8" s="538" t="s">
        <v>1859</v>
      </c>
      <c r="QG8" s="410" t="str">
        <f ca="1">CHOOSE(WEEKDAY(DATE($A8,QF$43,QG$42),2),"Monday","Tuesday","Wednesday","Thursday","Friday","Saturday","Sunday")</f>
        <v>Friday</v>
      </c>
      <c r="QH8" s="411" t="s">
        <v>22</v>
      </c>
      <c r="QI8" s="431" t="s">
        <v>22</v>
      </c>
      <c r="QJ8" s="410" t="s">
        <v>22</v>
      </c>
      <c r="QK8" s="410" t="s">
        <v>22</v>
      </c>
      <c r="QL8" s="411" t="s">
        <v>22</v>
      </c>
      <c r="QM8" s="431" t="s">
        <v>22</v>
      </c>
      <c r="QN8" s="410" t="s">
        <v>22</v>
      </c>
      <c r="QO8" s="410" t="s">
        <v>22</v>
      </c>
      <c r="QP8" s="411" t="s">
        <v>22</v>
      </c>
      <c r="QQ8" s="431" t="s">
        <v>22</v>
      </c>
      <c r="QR8" s="410" t="s">
        <v>22</v>
      </c>
      <c r="QS8" s="410" t="s">
        <v>22</v>
      </c>
      <c r="QT8" s="319" t="s">
        <v>2025</v>
      </c>
      <c r="QU8" s="431" t="str">
        <f ca="1">CHOOSE(WEEKDAY(DATE($A8,QT$43,QU$42),2),"Monday","Tuesday","Wednesday","Thursday","Friday","Saturday","Sunday")</f>
        <v>Friday</v>
      </c>
      <c r="QV8" s="410" t="s">
        <v>22</v>
      </c>
      <c r="QW8" s="410" t="s">
        <v>22</v>
      </c>
      <c r="QX8" s="411" t="s">
        <v>22</v>
      </c>
      <c r="QY8" s="431" t="s">
        <v>22</v>
      </c>
      <c r="QZ8" s="410" t="s">
        <v>22</v>
      </c>
      <c r="RA8" s="431" t="s">
        <v>22</v>
      </c>
      <c r="RB8" s="410" t="s">
        <v>22</v>
      </c>
      <c r="RC8" s="431" t="s">
        <v>22</v>
      </c>
      <c r="RD8" s="410" t="s">
        <v>22</v>
      </c>
      <c r="RE8" s="410" t="s">
        <v>22</v>
      </c>
      <c r="RF8" s="411" t="s">
        <v>22</v>
      </c>
      <c r="RG8" s="431" t="s">
        <v>22</v>
      </c>
      <c r="RH8" s="541" t="s">
        <v>1887</v>
      </c>
      <c r="RI8" s="410" t="str">
        <f ca="1">CHOOSE(WEEKDAY(DATE($A8,RH$43,RI$42),2),"Monday","Tuesday","Wednesday","Thursday","Friday","Saturday","Sunday")</f>
        <v>Friday</v>
      </c>
      <c r="RJ8" s="411" t="s">
        <v>22</v>
      </c>
      <c r="RK8" s="431" t="s">
        <v>22</v>
      </c>
      <c r="RL8" s="411" t="s">
        <v>22</v>
      </c>
      <c r="RM8" s="431" t="s">
        <v>22</v>
      </c>
      <c r="RN8" s="410" t="s">
        <v>22</v>
      </c>
      <c r="RO8" s="410" t="s">
        <v>22</v>
      </c>
      <c r="RP8" s="411" t="s">
        <v>22</v>
      </c>
      <c r="RQ8" s="431" t="s">
        <v>22</v>
      </c>
      <c r="RR8" s="410" t="s">
        <v>22</v>
      </c>
      <c r="RS8" s="410" t="s">
        <v>22</v>
      </c>
      <c r="RT8" s="319" t="s">
        <v>2012</v>
      </c>
      <c r="RU8" s="431" t="str">
        <f ca="1">CHOOSE(WEEKDAY(DATE($A8,RT$43,RU$42),2),"Monday","Tuesday","Wednesday","Thursday","Friday","Saturday","Sunday")</f>
        <v>Friday</v>
      </c>
      <c r="RV8" s="410" t="s">
        <v>22</v>
      </c>
      <c r="RW8" s="410" t="s">
        <v>22</v>
      </c>
      <c r="RX8" s="411" t="s">
        <v>22</v>
      </c>
      <c r="RY8" s="431" t="s">
        <v>22</v>
      </c>
      <c r="RZ8" s="411" t="s">
        <v>22</v>
      </c>
      <c r="SA8" s="431" t="s">
        <v>22</v>
      </c>
      <c r="SB8" s="411" t="s">
        <v>22</v>
      </c>
      <c r="SC8" s="431" t="s">
        <v>22</v>
      </c>
      <c r="SD8" s="410" t="s">
        <v>22</v>
      </c>
      <c r="SE8" s="410" t="s">
        <v>22</v>
      </c>
      <c r="SF8" s="539" t="s">
        <v>1901</v>
      </c>
      <c r="SG8" s="431" t="str">
        <f ca="1">CHOOSE(WEEKDAY(DATE($A8,SF$43,SG$42),2),"Monday","Tuesday","Wednesday","Thursday","Friday","Saturday","Sunday")</f>
        <v>Friday</v>
      </c>
      <c r="SH8" s="410" t="s">
        <v>22</v>
      </c>
      <c r="SI8" s="410" t="s">
        <v>22</v>
      </c>
      <c r="SJ8" s="411" t="s">
        <v>22</v>
      </c>
      <c r="SK8" s="431" t="s">
        <v>22</v>
      </c>
      <c r="SL8" s="411" t="s">
        <v>22</v>
      </c>
      <c r="SM8" s="431" t="s">
        <v>22</v>
      </c>
      <c r="SN8" s="410" t="s">
        <v>22</v>
      </c>
      <c r="SO8" s="410" t="s">
        <v>22</v>
      </c>
      <c r="SP8" s="411" t="s">
        <v>22</v>
      </c>
      <c r="SQ8" s="431" t="s">
        <v>22</v>
      </c>
      <c r="SR8" s="410" t="s">
        <v>22</v>
      </c>
      <c r="SS8" s="410" t="s">
        <v>22</v>
      </c>
      <c r="ST8" s="411" t="s">
        <v>22</v>
      </c>
      <c r="SU8" s="431" t="s">
        <v>22</v>
      </c>
      <c r="SV8" s="410" t="s">
        <v>22</v>
      </c>
      <c r="SW8" s="410" t="s">
        <v>22</v>
      </c>
      <c r="SX8" s="411" t="s">
        <v>22</v>
      </c>
      <c r="SY8" s="431" t="s">
        <v>22</v>
      </c>
      <c r="SZ8" s="410" t="s">
        <v>22</v>
      </c>
      <c r="TA8" s="410" t="s">
        <v>22</v>
      </c>
      <c r="TB8" s="411" t="s">
        <v>22</v>
      </c>
      <c r="TC8" s="431" t="s">
        <v>22</v>
      </c>
      <c r="TD8" s="410" t="s">
        <v>22</v>
      </c>
      <c r="TE8" s="410" t="s">
        <v>22</v>
      </c>
      <c r="TF8" s="411" t="s">
        <v>22</v>
      </c>
      <c r="TG8" s="431" t="s">
        <v>22</v>
      </c>
      <c r="TH8" s="410" t="s">
        <v>22</v>
      </c>
      <c r="TI8" s="431" t="s">
        <v>22</v>
      </c>
      <c r="TJ8" s="411" t="s">
        <v>22</v>
      </c>
      <c r="TK8" s="410" t="s">
        <v>22</v>
      </c>
      <c r="TL8" s="411" t="s">
        <v>22</v>
      </c>
      <c r="TM8" s="431" t="s">
        <v>22</v>
      </c>
      <c r="TN8" s="410" t="s">
        <v>22</v>
      </c>
      <c r="TO8" s="410" t="s">
        <v>22</v>
      </c>
      <c r="TP8" s="539" t="s">
        <v>1935</v>
      </c>
      <c r="TQ8" s="431" t="str">
        <f ca="1">CHOOSE(WEEKDAY(DATE($A7,TP$43,TQ$42),2),"Monday","Tuesday","Wednesday","Thursday","Friday","Saturday","Sunday")</f>
        <v>Monday</v>
      </c>
      <c r="TR8" s="320" t="s">
        <v>1932</v>
      </c>
      <c r="TS8" s="410" t="str">
        <f ca="1">CHOOSE(WEEKDAY(DATE($A8,TR$43,TS$42),2),"Monday","Tuesday","Wednesday","Thursday","Friday","Saturday","Sunday")</f>
        <v>Friday</v>
      </c>
      <c r="TT8" s="411" t="s">
        <v>22</v>
      </c>
      <c r="TU8" s="431" t="s">
        <v>22</v>
      </c>
      <c r="TV8" s="410" t="s">
        <v>22</v>
      </c>
      <c r="TW8" s="410" t="s">
        <v>22</v>
      </c>
      <c r="TX8" s="411" t="s">
        <v>22</v>
      </c>
      <c r="TY8" s="431" t="s">
        <v>22</v>
      </c>
      <c r="TZ8" s="411" t="s">
        <v>22</v>
      </c>
      <c r="UA8" s="431" t="s">
        <v>22</v>
      </c>
      <c r="UB8" s="410" t="s">
        <v>22</v>
      </c>
      <c r="UC8" s="410" t="s">
        <v>22</v>
      </c>
      <c r="UD8" s="411" t="s">
        <v>22</v>
      </c>
      <c r="UE8" s="431" t="s">
        <v>22</v>
      </c>
      <c r="UF8" s="410" t="s">
        <v>22</v>
      </c>
      <c r="UG8" s="410" t="s">
        <v>22</v>
      </c>
      <c r="UH8" s="539" t="s">
        <v>1566</v>
      </c>
      <c r="UI8" s="431" t="str">
        <f ca="1">CHOOSE(WEEKDAY(DATE($A8,UH$43,UI$42),2),"Monday","Tuesday","Wednesday","Thursday","Friday","Saturday","Sunday")</f>
        <v>Saturday</v>
      </c>
      <c r="UJ8" s="410" t="s">
        <v>22</v>
      </c>
      <c r="UK8" s="410" t="s">
        <v>22</v>
      </c>
      <c r="UL8" s="411" t="s">
        <v>22</v>
      </c>
      <c r="UM8" s="410" t="s">
        <v>22</v>
      </c>
      <c r="UN8" s="539" t="s">
        <v>1954</v>
      </c>
      <c r="UO8" s="431" t="str">
        <f ca="1">CHOOSE(WEEKDAY(DATE($A8,UN$43,UO$42),2),"Monday","Tuesday","Wednesday","Thursday","Friday","Saturday","Sunday")</f>
        <v>Tuesday</v>
      </c>
      <c r="UP8" s="410" t="s">
        <v>22</v>
      </c>
      <c r="UQ8" s="410" t="s">
        <v>22</v>
      </c>
      <c r="UR8" s="411" t="s">
        <v>22</v>
      </c>
      <c r="US8" s="431" t="s">
        <v>22</v>
      </c>
      <c r="UT8" s="539" t="s">
        <v>1620</v>
      </c>
      <c r="UU8" s="431" t="str">
        <f ca="1">CHOOSE(WEEKDAY(DATE($A8,UT$43,UU$42),2),"Monday","Tuesday","Wednesday","Thursday","Friday","Saturday","Sunday")</f>
        <v>Friday</v>
      </c>
      <c r="UV8" s="410" t="s">
        <v>22</v>
      </c>
      <c r="UW8" s="410" t="s">
        <v>22</v>
      </c>
      <c r="UX8" s="411" t="s">
        <v>22</v>
      </c>
      <c r="UY8" s="431" t="s">
        <v>22</v>
      </c>
      <c r="UZ8" s="410" t="s">
        <v>22</v>
      </c>
      <c r="VA8" s="410" t="s">
        <v>22</v>
      </c>
      <c r="VB8" s="411" t="s">
        <v>22</v>
      </c>
      <c r="VC8" s="431" t="s">
        <v>22</v>
      </c>
      <c r="VD8" s="410" t="s">
        <v>22</v>
      </c>
      <c r="VE8" s="410" t="s">
        <v>22</v>
      </c>
      <c r="VF8" s="411" t="s">
        <v>22</v>
      </c>
      <c r="VG8" s="431" t="s">
        <v>22</v>
      </c>
      <c r="VH8" s="539" t="s">
        <v>1954</v>
      </c>
      <c r="VI8" s="431" t="str">
        <f ca="1">CHOOSE(WEEKDAY(DATE($A8,VH$43,VI$42),2),"Monday","Tuesday","Wednesday","Thursday","Friday","Saturday","Sunday")</f>
        <v>Monday</v>
      </c>
      <c r="VJ8" s="410" t="s">
        <v>22</v>
      </c>
      <c r="VK8" s="410" t="s">
        <v>22</v>
      </c>
      <c r="VL8" s="411" t="s">
        <v>22</v>
      </c>
      <c r="VM8" s="431" t="s">
        <v>22</v>
      </c>
      <c r="VN8" s="410" t="s">
        <v>22</v>
      </c>
      <c r="VO8" s="410" t="s">
        <v>22</v>
      </c>
      <c r="VP8" s="411" t="s">
        <v>22</v>
      </c>
      <c r="VQ8" s="431" t="s">
        <v>22</v>
      </c>
      <c r="VR8" s="410" t="s">
        <v>22</v>
      </c>
      <c r="VS8" s="410" t="s">
        <v>22</v>
      </c>
      <c r="VT8" s="411" t="s">
        <v>22</v>
      </c>
      <c r="VU8" s="431" t="s">
        <v>22</v>
      </c>
      <c r="VV8" s="411" t="s">
        <v>22</v>
      </c>
      <c r="VW8" s="431" t="s">
        <v>22</v>
      </c>
      <c r="VX8" s="410" t="s">
        <v>22</v>
      </c>
      <c r="VY8" s="431" t="s">
        <v>22</v>
      </c>
      <c r="VZ8" s="411" t="s">
        <v>22</v>
      </c>
      <c r="WA8" s="431" t="s">
        <v>22</v>
      </c>
      <c r="WB8" s="411" t="s">
        <v>22</v>
      </c>
      <c r="WC8" s="431" t="s">
        <v>22</v>
      </c>
      <c r="WD8" s="538" t="s">
        <v>1969</v>
      </c>
      <c r="WE8" s="410" t="str">
        <f ca="1">CHOOSE(WEEKDAY(DATE($A8,WD$43,WE$42),2),"Monday","Tuesday","Wednesday","Thursday","Friday","Saturday","Sunday")</f>
        <v>Saturday</v>
      </c>
      <c r="WF8" s="411" t="s">
        <v>22</v>
      </c>
      <c r="WG8" s="431" t="s">
        <v>22</v>
      </c>
      <c r="WH8" s="538" t="s">
        <v>1973</v>
      </c>
      <c r="WI8" s="410" t="str">
        <f ca="1">CHOOSE(WEEKDAY(DATE($A8,WH$43,WI$42),2),"Monday","Tuesday","Wednesday","Thursday","Friday","Saturday","Sunday")</f>
        <v>Monday</v>
      </c>
      <c r="WJ8" s="411" t="s">
        <v>22</v>
      </c>
      <c r="WK8" s="431" t="s">
        <v>22</v>
      </c>
      <c r="WL8" s="410" t="s">
        <v>22</v>
      </c>
      <c r="WM8" s="410" t="s">
        <v>22</v>
      </c>
      <c r="WN8" s="539" t="s">
        <v>1977</v>
      </c>
      <c r="WO8" s="431" t="str">
        <f ca="1">CHOOSE(WEEKDAY(DATE($A8,WN$43,WO$42),2),"Monday","Tuesday","Wednesday","Thursday","Friday","Saturday","Sunday")</f>
        <v>Thursday</v>
      </c>
      <c r="WP8" s="320" t="s">
        <v>1734</v>
      </c>
      <c r="WQ8" s="410" t="str">
        <f ca="1">CHOOSE(WEEKDAY(DATE($A8,WP$43,WQ$42),2),"Monday","Tuesday","Wednesday","Thursday","Friday","Saturday","Sunday")</f>
        <v>Friday</v>
      </c>
      <c r="WR8" s="411" t="s">
        <v>22</v>
      </c>
      <c r="WS8" s="431" t="s">
        <v>22</v>
      </c>
      <c r="WT8" s="411" t="s">
        <v>22</v>
      </c>
      <c r="WU8" s="431" t="s">
        <v>22</v>
      </c>
      <c r="WV8" s="411" t="s">
        <v>22</v>
      </c>
      <c r="WW8" s="431" t="s">
        <v>22</v>
      </c>
      <c r="WX8" s="411" t="s">
        <v>22</v>
      </c>
      <c r="WY8" s="431" t="s">
        <v>22</v>
      </c>
      <c r="WZ8" s="410" t="s">
        <v>22</v>
      </c>
      <c r="XA8" s="410" t="s">
        <v>22</v>
      </c>
      <c r="XB8" s="539" t="s">
        <v>2001</v>
      </c>
      <c r="XC8" s="431" t="str">
        <f ca="1">CHOOSE(WEEKDAY(DATE($A8,XB$43,XC$42),2),"Monday","Tuesday","Wednesday","Thursday","Friday","Saturday","Sunday")</f>
        <v>Thursday</v>
      </c>
      <c r="XD8" s="410" t="s">
        <v>22</v>
      </c>
      <c r="XE8" s="410" t="s">
        <v>22</v>
      </c>
      <c r="XF8" s="411" t="s">
        <v>22</v>
      </c>
      <c r="XG8" s="431" t="s">
        <v>22</v>
      </c>
      <c r="XH8" s="411" t="s">
        <v>22</v>
      </c>
      <c r="XI8" s="431" t="s">
        <v>22</v>
      </c>
      <c r="XJ8" s="410" t="s">
        <v>22</v>
      </c>
      <c r="XK8" s="410" t="s">
        <v>22</v>
      </c>
      <c r="XL8" s="411" t="s">
        <v>22</v>
      </c>
      <c r="XM8" s="431" t="s">
        <v>22</v>
      </c>
      <c r="XN8" s="411" t="s">
        <v>22</v>
      </c>
      <c r="XO8" s="431" t="s">
        <v>22</v>
      </c>
      <c r="XP8" s="539" t="s">
        <v>2020</v>
      </c>
      <c r="XQ8" s="431" t="str">
        <f ca="1">CHOOSE(WEEKDAY(DATE($A8,XP$43,XQ$42),2),"Monday","Tuesday","Wednesday","Thursday","Friday","Saturday","Sunday")</f>
        <v>Thursday</v>
      </c>
      <c r="XR8" s="538" t="s">
        <v>2026</v>
      </c>
      <c r="XS8" s="410" t="str">
        <f ca="1">CHOOSE(WEEKDAY(DATE($A8,XR$43,XS$42),2),"Monday","Tuesday","Wednesday","Thursday","Friday","Saturday","Sunday")</f>
        <v>Friday</v>
      </c>
      <c r="XT8" s="411" t="s">
        <v>22</v>
      </c>
      <c r="XU8" s="431" t="s">
        <v>22</v>
      </c>
      <c r="XV8" s="411" t="s">
        <v>22</v>
      </c>
      <c r="XW8" s="431" t="s">
        <v>22</v>
      </c>
      <c r="XX8" s="410" t="s">
        <v>22</v>
      </c>
      <c r="XY8" s="410" t="s">
        <v>22</v>
      </c>
      <c r="XZ8" s="411" t="s">
        <v>22</v>
      </c>
      <c r="YA8" s="431" t="s">
        <v>22</v>
      </c>
      <c r="YB8" s="410" t="s">
        <v>22</v>
      </c>
      <c r="YC8" s="410" t="s">
        <v>22</v>
      </c>
      <c r="YD8" s="539" t="s">
        <v>2003</v>
      </c>
      <c r="YE8" s="431" t="str">
        <f ca="1">CHOOSE(WEEKDAY(DATE($A8,YD$43,YE$42),2),"Monday","Tuesday","Wednesday","Thursday","Friday","Saturday","Sunday")</f>
        <v>Thursday</v>
      </c>
    </row>
    <row r="9" spans="1:655" ht="30" x14ac:dyDescent="0.2">
      <c r="A9" s="412"/>
      <c r="B9" s="417"/>
      <c r="C9" s="412"/>
      <c r="D9" s="417"/>
      <c r="E9" s="412"/>
      <c r="F9" s="402"/>
      <c r="G9" s="412"/>
      <c r="H9" s="417"/>
      <c r="I9" s="402"/>
      <c r="J9" s="417"/>
      <c r="K9" s="412"/>
      <c r="L9" s="338" t="s">
        <v>1558</v>
      </c>
      <c r="M9" s="402"/>
      <c r="N9" s="417"/>
      <c r="O9" s="412"/>
      <c r="P9" s="402"/>
      <c r="Q9" s="402"/>
      <c r="R9" s="417"/>
      <c r="S9" s="412"/>
      <c r="T9" s="417"/>
      <c r="U9" s="412"/>
      <c r="V9" s="402"/>
      <c r="W9" s="402"/>
      <c r="X9" s="417"/>
      <c r="Y9" s="412"/>
      <c r="Z9" s="417"/>
      <c r="AA9" s="412"/>
      <c r="AB9" s="402"/>
      <c r="AC9" s="402"/>
      <c r="AD9" s="417"/>
      <c r="AE9" s="412"/>
      <c r="AF9" s="417"/>
      <c r="AG9" s="412"/>
      <c r="AH9" s="402"/>
      <c r="AI9" s="402"/>
      <c r="AJ9" s="417"/>
      <c r="AK9" s="412"/>
      <c r="AL9" s="402"/>
      <c r="AM9" s="402"/>
      <c r="AN9" s="417"/>
      <c r="AO9" s="412"/>
      <c r="AP9" s="402"/>
      <c r="AQ9" s="402"/>
      <c r="AR9" s="417"/>
      <c r="AS9" s="412"/>
      <c r="AT9" s="402"/>
      <c r="AU9" s="402"/>
      <c r="AV9" s="417"/>
      <c r="AW9" s="412"/>
      <c r="AX9" s="402"/>
      <c r="AY9" s="402"/>
      <c r="AZ9" s="417"/>
      <c r="BA9" s="412"/>
      <c r="BB9" s="402"/>
      <c r="BC9" s="402"/>
      <c r="BD9" s="417"/>
      <c r="BE9" s="412"/>
      <c r="BF9" s="417"/>
      <c r="BG9" s="412"/>
      <c r="BH9" s="402"/>
      <c r="BI9" s="402"/>
      <c r="BJ9" s="417"/>
      <c r="BK9" s="412"/>
      <c r="BL9" s="402"/>
      <c r="BM9" s="402"/>
      <c r="BN9" s="417"/>
      <c r="BO9" s="412"/>
      <c r="BP9" s="417"/>
      <c r="BQ9" s="412"/>
      <c r="BR9" s="402"/>
      <c r="BS9" s="402"/>
      <c r="BT9" s="417"/>
      <c r="BU9" s="412"/>
      <c r="BV9" s="417"/>
      <c r="BW9" s="412"/>
      <c r="BX9" s="402"/>
      <c r="BY9" s="402"/>
      <c r="BZ9" s="417"/>
      <c r="CA9" s="412"/>
      <c r="CB9" s="417"/>
      <c r="CC9" s="412"/>
      <c r="CD9" s="402"/>
      <c r="CE9" s="402"/>
      <c r="CF9" s="417"/>
      <c r="CG9" s="412"/>
      <c r="CH9" s="402"/>
      <c r="CI9" s="402"/>
      <c r="CJ9" s="417"/>
      <c r="CK9" s="412"/>
      <c r="CL9" s="402"/>
      <c r="CM9" s="402"/>
      <c r="CN9" s="417"/>
      <c r="CO9" s="412"/>
      <c r="CP9" s="402"/>
      <c r="CQ9" s="402"/>
      <c r="CR9" s="417"/>
      <c r="CS9" s="412"/>
      <c r="CT9" s="402"/>
      <c r="CU9" s="402"/>
      <c r="CV9" s="417"/>
      <c r="CW9" s="412"/>
      <c r="CX9" s="417"/>
      <c r="CY9" s="402"/>
      <c r="CZ9" s="417"/>
      <c r="DA9" s="402"/>
      <c r="DB9" s="417"/>
      <c r="DC9" s="412"/>
      <c r="DD9" s="402"/>
      <c r="DE9" s="402"/>
      <c r="DF9" s="417"/>
      <c r="DG9" s="412"/>
      <c r="DH9" s="402"/>
      <c r="DI9" s="402"/>
      <c r="DJ9" s="417"/>
      <c r="DK9" s="412"/>
      <c r="DL9" s="323" t="s">
        <v>1644</v>
      </c>
      <c r="DM9" s="402"/>
      <c r="DN9" s="417"/>
      <c r="DO9" s="412"/>
      <c r="DP9" s="402"/>
      <c r="DQ9" s="402"/>
      <c r="DR9" s="417"/>
      <c r="DS9" s="412"/>
      <c r="DT9" s="402"/>
      <c r="DU9" s="402"/>
      <c r="DV9" s="417"/>
      <c r="DW9" s="412"/>
      <c r="DX9" s="402"/>
      <c r="DY9" s="402"/>
      <c r="DZ9" s="417"/>
      <c r="EA9" s="412"/>
      <c r="EB9" s="417"/>
      <c r="EC9" s="412"/>
      <c r="ED9" s="402"/>
      <c r="EE9" s="402"/>
      <c r="EF9" s="417"/>
      <c r="EG9" s="412"/>
      <c r="EH9" s="402"/>
      <c r="EI9" s="402"/>
      <c r="EJ9" s="417"/>
      <c r="EK9" s="412"/>
      <c r="EL9" s="402"/>
      <c r="EM9" s="402"/>
      <c r="EN9" s="417"/>
      <c r="EO9" s="412"/>
      <c r="EP9" s="402"/>
      <c r="EQ9" s="402"/>
      <c r="ER9" s="417"/>
      <c r="ES9" s="412"/>
      <c r="ET9" s="402"/>
      <c r="EU9" s="402"/>
      <c r="EV9" s="417"/>
      <c r="EW9" s="412"/>
      <c r="EX9" s="402"/>
      <c r="EY9" s="402"/>
      <c r="EZ9" s="417"/>
      <c r="FA9" s="412"/>
      <c r="FB9" s="417"/>
      <c r="FC9" s="412"/>
      <c r="FD9" s="417"/>
      <c r="FE9" s="412"/>
      <c r="FF9" s="402"/>
      <c r="FG9" s="402"/>
      <c r="FH9" s="417"/>
      <c r="FI9" s="412"/>
      <c r="FJ9" s="319" t="s">
        <v>1660</v>
      </c>
      <c r="FK9" s="412"/>
      <c r="FL9" s="417"/>
      <c r="FM9" s="412"/>
      <c r="FN9" s="402"/>
      <c r="FO9" s="402"/>
      <c r="FP9" s="417"/>
      <c r="FQ9" s="412"/>
      <c r="FR9" s="417"/>
      <c r="FS9" s="412"/>
      <c r="FT9" s="402"/>
      <c r="FU9" s="402"/>
      <c r="FV9" s="417"/>
      <c r="FW9" s="412"/>
      <c r="FX9" s="402"/>
      <c r="FY9" s="402"/>
      <c r="FZ9" s="417"/>
      <c r="GA9" s="412"/>
      <c r="GB9" s="402"/>
      <c r="GC9" s="402"/>
      <c r="GD9" s="417"/>
      <c r="GE9" s="412"/>
      <c r="GF9" s="417"/>
      <c r="GG9" s="412"/>
      <c r="GH9" s="417"/>
      <c r="GI9" s="412"/>
      <c r="GJ9" s="402"/>
      <c r="GK9" s="402"/>
      <c r="GL9" s="417"/>
      <c r="GM9" s="412"/>
      <c r="GN9" s="417"/>
      <c r="GO9" s="412"/>
      <c r="GP9" s="402"/>
      <c r="GQ9" s="402"/>
      <c r="GR9" s="417"/>
      <c r="GS9" s="412"/>
      <c r="GT9" s="417"/>
      <c r="GU9" s="412"/>
      <c r="GV9" s="417"/>
      <c r="GW9" s="412"/>
      <c r="GX9" s="417"/>
      <c r="GY9" s="412"/>
      <c r="GZ9" s="417"/>
      <c r="HA9" s="412"/>
      <c r="HB9" s="417"/>
      <c r="HC9" s="412"/>
      <c r="HD9" s="402"/>
      <c r="HE9" s="402"/>
      <c r="HF9" s="417"/>
      <c r="HG9" s="412"/>
      <c r="HH9" s="417"/>
      <c r="HI9" s="412"/>
      <c r="HJ9" s="402"/>
      <c r="HK9" s="402"/>
      <c r="HL9" s="417"/>
      <c r="HM9" s="412"/>
      <c r="HN9" s="417"/>
      <c r="HO9" s="412"/>
      <c r="HP9" s="402"/>
      <c r="HQ9" s="402"/>
      <c r="HR9" s="417"/>
      <c r="HS9" s="412"/>
      <c r="HT9" s="402"/>
      <c r="HU9" s="402"/>
      <c r="HV9" s="417"/>
      <c r="HW9" s="412"/>
      <c r="HX9" s="417"/>
      <c r="HY9" s="412"/>
      <c r="HZ9" s="402"/>
      <c r="IA9" s="402"/>
      <c r="IB9" s="417"/>
      <c r="IC9" s="412"/>
      <c r="ID9" s="402"/>
      <c r="IE9" s="402"/>
      <c r="IF9" s="417"/>
      <c r="IG9" s="412"/>
      <c r="IH9" s="402"/>
      <c r="II9" s="402"/>
      <c r="IJ9" s="417"/>
      <c r="IK9" s="412"/>
      <c r="IL9" s="417"/>
      <c r="IM9" s="412"/>
      <c r="IN9" s="417"/>
      <c r="IO9" s="412"/>
      <c r="IP9" s="417"/>
      <c r="IQ9" s="412"/>
      <c r="IR9" s="402"/>
      <c r="IS9" s="402"/>
      <c r="IT9" s="417"/>
      <c r="IU9" s="412"/>
      <c r="IV9" s="417"/>
      <c r="IW9" s="412"/>
      <c r="IX9" s="417"/>
      <c r="IY9" s="412"/>
      <c r="IZ9" s="402"/>
      <c r="JA9" s="402"/>
      <c r="JB9" s="417"/>
      <c r="JC9" s="412"/>
      <c r="JD9" s="402"/>
      <c r="JE9" s="402"/>
      <c r="JF9" s="417"/>
      <c r="JG9" s="412"/>
      <c r="JH9" s="417"/>
      <c r="JI9" s="412"/>
      <c r="JJ9" s="417"/>
      <c r="JK9" s="412"/>
      <c r="JL9" s="402"/>
      <c r="JM9" s="402"/>
      <c r="JN9" s="417"/>
      <c r="JO9" s="412"/>
      <c r="JP9" s="402"/>
      <c r="JQ9" s="402"/>
      <c r="JR9" s="417"/>
      <c r="JS9" s="412"/>
      <c r="JT9" s="402"/>
      <c r="JU9" s="402"/>
      <c r="JV9" s="417"/>
      <c r="JW9" s="412"/>
      <c r="JX9" s="402"/>
      <c r="JY9" s="402"/>
      <c r="JZ9" s="417"/>
      <c r="KA9" s="412"/>
      <c r="KB9" s="417"/>
      <c r="KC9" s="412"/>
      <c r="KD9" s="319" t="s">
        <v>1753</v>
      </c>
      <c r="KE9" s="412"/>
      <c r="KF9" s="402"/>
      <c r="KG9" s="402"/>
      <c r="KH9" s="417"/>
      <c r="KI9" s="412"/>
      <c r="KJ9" s="417"/>
      <c r="KK9" s="412"/>
      <c r="KL9" s="417"/>
      <c r="KM9" s="412"/>
      <c r="KN9" s="402"/>
      <c r="KO9" s="402"/>
      <c r="KP9" s="321" t="s">
        <v>1762</v>
      </c>
      <c r="KQ9" s="412"/>
      <c r="KR9" s="402"/>
      <c r="KS9" s="402"/>
      <c r="KT9" s="417"/>
      <c r="KU9" s="412"/>
      <c r="KV9" s="402"/>
      <c r="KW9" s="402"/>
      <c r="KX9" s="417"/>
      <c r="KY9" s="412"/>
      <c r="KZ9" s="402"/>
      <c r="LA9" s="402"/>
      <c r="LB9" s="417"/>
      <c r="LC9" s="412"/>
      <c r="LD9" s="402"/>
      <c r="LE9" s="402"/>
      <c r="LF9" s="417"/>
      <c r="LG9" s="412"/>
      <c r="LH9" s="402"/>
      <c r="LI9" s="402"/>
      <c r="LJ9" s="417"/>
      <c r="LK9" s="412"/>
      <c r="LL9" s="402"/>
      <c r="LM9" s="402"/>
      <c r="LN9" s="417"/>
      <c r="LO9" s="412"/>
      <c r="LP9" s="402"/>
      <c r="LQ9" s="402"/>
      <c r="LR9" s="417"/>
      <c r="LS9" s="412"/>
      <c r="LT9" s="402"/>
      <c r="LU9" s="402"/>
      <c r="LV9" s="417"/>
      <c r="LW9" s="412"/>
      <c r="LX9" s="402"/>
      <c r="LY9" s="402"/>
      <c r="LZ9" s="417"/>
      <c r="MA9" s="412"/>
      <c r="MB9" s="402"/>
      <c r="MC9" s="402"/>
      <c r="MD9" s="417"/>
      <c r="ME9" s="412"/>
      <c r="MF9" s="402"/>
      <c r="MG9" s="402"/>
      <c r="MH9" s="417"/>
      <c r="MI9" s="412"/>
      <c r="MJ9" s="417"/>
      <c r="MK9" s="412"/>
      <c r="ML9" s="417"/>
      <c r="MM9" s="412"/>
      <c r="MN9" s="402"/>
      <c r="MO9" s="402"/>
      <c r="MP9" s="417"/>
      <c r="MQ9" s="412"/>
      <c r="MR9" s="402"/>
      <c r="MS9" s="402"/>
      <c r="MT9" s="319" t="s">
        <v>1804</v>
      </c>
      <c r="MU9" s="412"/>
      <c r="MV9" s="402"/>
      <c r="MW9" s="402"/>
      <c r="MX9" s="417"/>
      <c r="MY9" s="412"/>
      <c r="MZ9" s="417"/>
      <c r="NA9" s="412"/>
      <c r="NB9" s="402"/>
      <c r="NC9" s="402"/>
      <c r="ND9" s="417"/>
      <c r="NE9" s="412"/>
      <c r="NF9" s="402"/>
      <c r="NG9" s="402"/>
      <c r="NH9" s="417"/>
      <c r="NI9" s="412"/>
      <c r="NJ9" s="402"/>
      <c r="NK9" s="402"/>
      <c r="NL9" s="417"/>
      <c r="NM9" s="412"/>
      <c r="NN9" s="417"/>
      <c r="NO9" s="412"/>
      <c r="NP9" s="402"/>
      <c r="NQ9" s="402"/>
      <c r="NR9" s="417"/>
      <c r="NS9" s="412"/>
      <c r="NT9" s="402"/>
      <c r="NU9" s="402"/>
      <c r="NV9" s="417"/>
      <c r="NW9" s="412"/>
      <c r="NX9" s="402"/>
      <c r="NY9" s="402"/>
      <c r="NZ9" s="417"/>
      <c r="OA9" s="412"/>
      <c r="OB9" s="417"/>
      <c r="OC9" s="412"/>
      <c r="OD9" s="417"/>
      <c r="OE9" s="412"/>
      <c r="OF9" s="402"/>
      <c r="OG9" s="402"/>
      <c r="OH9" s="417"/>
      <c r="OI9" s="412"/>
      <c r="OJ9" s="402"/>
      <c r="OK9" s="402"/>
      <c r="OL9" s="417"/>
      <c r="OM9" s="412"/>
      <c r="ON9" s="417"/>
      <c r="OO9" s="412"/>
      <c r="OP9" s="402"/>
      <c r="OQ9" s="402"/>
      <c r="OR9" s="417"/>
      <c r="OS9" s="412"/>
      <c r="OT9" s="417"/>
      <c r="OU9" s="412"/>
      <c r="OV9" s="402"/>
      <c r="OW9" s="402"/>
      <c r="OX9" s="417"/>
      <c r="OY9" s="412"/>
      <c r="OZ9" s="402"/>
      <c r="PA9" s="402"/>
      <c r="PB9" s="417"/>
      <c r="PC9" s="412"/>
      <c r="PD9" s="402"/>
      <c r="PE9" s="402"/>
      <c r="PF9" s="417"/>
      <c r="PG9" s="402"/>
      <c r="PH9" s="417"/>
      <c r="PI9" s="412"/>
      <c r="PJ9" s="417"/>
      <c r="PK9" s="412"/>
      <c r="PL9" s="402"/>
      <c r="PM9" s="402"/>
      <c r="PN9" s="417"/>
      <c r="PO9" s="412"/>
      <c r="PP9" s="402"/>
      <c r="PQ9" s="402"/>
      <c r="PR9" s="417"/>
      <c r="PS9" s="412"/>
      <c r="PT9" s="402"/>
      <c r="PU9" s="402"/>
      <c r="PV9" s="417"/>
      <c r="PW9" s="412"/>
      <c r="PX9" s="402"/>
      <c r="PY9" s="402"/>
      <c r="PZ9" s="417"/>
      <c r="QA9" s="412"/>
      <c r="QB9" s="402"/>
      <c r="QC9" s="402"/>
      <c r="QD9" s="417"/>
      <c r="QE9" s="412"/>
      <c r="QF9" s="402"/>
      <c r="QG9" s="402"/>
      <c r="QH9" s="417"/>
      <c r="QI9" s="412"/>
      <c r="QJ9" s="402"/>
      <c r="QK9" s="402"/>
      <c r="QL9" s="417"/>
      <c r="QM9" s="412"/>
      <c r="QN9" s="402"/>
      <c r="QO9" s="402"/>
      <c r="QP9" s="417"/>
      <c r="QQ9" s="412"/>
      <c r="QR9" s="402"/>
      <c r="QS9" s="402"/>
      <c r="QT9" s="319" t="s">
        <v>1876</v>
      </c>
      <c r="QU9" s="412"/>
      <c r="QV9" s="402"/>
      <c r="QW9" s="402"/>
      <c r="QX9" s="417"/>
      <c r="QY9" s="412"/>
      <c r="QZ9" s="402"/>
      <c r="RA9" s="412"/>
      <c r="RB9" s="402"/>
      <c r="RC9" s="412"/>
      <c r="RD9" s="402"/>
      <c r="RE9" s="402"/>
      <c r="RF9" s="417"/>
      <c r="RG9" s="412"/>
      <c r="RH9" s="402"/>
      <c r="RI9" s="402"/>
      <c r="RJ9" s="417"/>
      <c r="RK9" s="412"/>
      <c r="RL9" s="417"/>
      <c r="RM9" s="412"/>
      <c r="RN9" s="402"/>
      <c r="RO9" s="402"/>
      <c r="RP9" s="417"/>
      <c r="RQ9" s="412"/>
      <c r="RR9" s="402"/>
      <c r="RS9" s="402"/>
      <c r="RT9" s="319" t="s">
        <v>1895</v>
      </c>
      <c r="RU9" s="412"/>
      <c r="RV9" s="402"/>
      <c r="RW9" s="402"/>
      <c r="RX9" s="417"/>
      <c r="RY9" s="412"/>
      <c r="RZ9" s="417"/>
      <c r="SA9" s="412"/>
      <c r="SB9" s="417"/>
      <c r="SC9" s="412"/>
      <c r="SD9" s="402"/>
      <c r="SE9" s="402"/>
      <c r="SF9" s="417"/>
      <c r="SG9" s="412"/>
      <c r="SH9" s="402"/>
      <c r="SI9" s="402"/>
      <c r="SJ9" s="417"/>
      <c r="SK9" s="412"/>
      <c r="SL9" s="417"/>
      <c r="SM9" s="412"/>
      <c r="SN9" s="402"/>
      <c r="SO9" s="402"/>
      <c r="SP9" s="417"/>
      <c r="SQ9" s="412"/>
      <c r="SR9" s="402"/>
      <c r="SS9" s="402"/>
      <c r="ST9" s="417"/>
      <c r="SU9" s="412"/>
      <c r="SV9" s="402"/>
      <c r="SW9" s="402"/>
      <c r="SX9" s="417"/>
      <c r="SY9" s="412"/>
      <c r="SZ9" s="402"/>
      <c r="TA9" s="402"/>
      <c r="TB9" s="417"/>
      <c r="TC9" s="412"/>
      <c r="TD9" s="402"/>
      <c r="TE9" s="402"/>
      <c r="TF9" s="417"/>
      <c r="TG9" s="412"/>
      <c r="TH9" s="402"/>
      <c r="TI9" s="412"/>
      <c r="TJ9" s="417"/>
      <c r="TK9" s="402"/>
      <c r="TL9" s="417"/>
      <c r="TM9" s="412"/>
      <c r="TN9" s="402"/>
      <c r="TO9" s="402"/>
      <c r="TP9" s="417"/>
      <c r="TQ9" s="412"/>
      <c r="TR9" s="319" t="s">
        <v>1935</v>
      </c>
      <c r="TS9" s="402"/>
      <c r="TT9" s="417"/>
      <c r="TU9" s="412"/>
      <c r="TV9" s="402"/>
      <c r="TW9" s="402"/>
      <c r="TX9" s="417"/>
      <c r="TY9" s="412"/>
      <c r="TZ9" s="417"/>
      <c r="UA9" s="412"/>
      <c r="UB9" s="402"/>
      <c r="UC9" s="402"/>
      <c r="UD9" s="417"/>
      <c r="UE9" s="412"/>
      <c r="UF9" s="402"/>
      <c r="UG9" s="402"/>
      <c r="UH9" s="417"/>
      <c r="UI9" s="412"/>
      <c r="UJ9" s="402"/>
      <c r="UK9" s="402"/>
      <c r="UL9" s="417"/>
      <c r="UM9" s="402"/>
      <c r="UN9" s="417"/>
      <c r="UO9" s="412"/>
      <c r="UP9" s="402"/>
      <c r="UQ9" s="402"/>
      <c r="UR9" s="417"/>
      <c r="US9" s="412"/>
      <c r="UT9" s="417"/>
      <c r="UU9" s="412"/>
      <c r="UV9" s="402"/>
      <c r="UW9" s="402"/>
      <c r="UX9" s="417"/>
      <c r="UY9" s="412"/>
      <c r="UZ9" s="402"/>
      <c r="VA9" s="402"/>
      <c r="VB9" s="417"/>
      <c r="VC9" s="412"/>
      <c r="VD9" s="402"/>
      <c r="VE9" s="402"/>
      <c r="VF9" s="417"/>
      <c r="VG9" s="412"/>
      <c r="VH9" s="417"/>
      <c r="VI9" s="412"/>
      <c r="VJ9" s="402"/>
      <c r="VK9" s="402"/>
      <c r="VL9" s="417"/>
      <c r="VM9" s="412"/>
      <c r="VN9" s="402"/>
      <c r="VO9" s="402"/>
      <c r="VP9" s="417"/>
      <c r="VQ9" s="412"/>
      <c r="VR9" s="402"/>
      <c r="VS9" s="402"/>
      <c r="VT9" s="417"/>
      <c r="VU9" s="412"/>
      <c r="VV9" s="417"/>
      <c r="VW9" s="412"/>
      <c r="VX9" s="402"/>
      <c r="VY9" s="412"/>
      <c r="VZ9" s="417"/>
      <c r="WA9" s="412"/>
      <c r="WB9" s="417"/>
      <c r="WC9" s="412"/>
      <c r="WD9" s="402"/>
      <c r="WE9" s="402"/>
      <c r="WF9" s="417"/>
      <c r="WG9" s="412"/>
      <c r="WH9" s="402"/>
      <c r="WI9" s="402"/>
      <c r="WJ9" s="417"/>
      <c r="WK9" s="412"/>
      <c r="WL9" s="402"/>
      <c r="WM9" s="402"/>
      <c r="WN9" s="417"/>
      <c r="WO9" s="412"/>
      <c r="WP9" s="320" t="s">
        <v>1980</v>
      </c>
      <c r="WQ9" s="402"/>
      <c r="WR9" s="417"/>
      <c r="WS9" s="412"/>
      <c r="WT9" s="417"/>
      <c r="WU9" s="412"/>
      <c r="WV9" s="417"/>
      <c r="WW9" s="412"/>
      <c r="WX9" s="417"/>
      <c r="WY9" s="412"/>
      <c r="WZ9" s="402"/>
      <c r="XA9" s="402"/>
      <c r="XB9" s="417"/>
      <c r="XC9" s="412"/>
      <c r="XD9" s="402"/>
      <c r="XE9" s="402"/>
      <c r="XF9" s="417"/>
      <c r="XG9" s="412"/>
      <c r="XH9" s="417"/>
      <c r="XI9" s="412"/>
      <c r="XJ9" s="402"/>
      <c r="XK9" s="402"/>
      <c r="XL9" s="417"/>
      <c r="XM9" s="412"/>
      <c r="XN9" s="417"/>
      <c r="XO9" s="412"/>
      <c r="XP9" s="417"/>
      <c r="XQ9" s="412"/>
      <c r="XR9" s="402"/>
      <c r="XS9" s="402"/>
      <c r="XT9" s="417"/>
      <c r="XU9" s="412"/>
      <c r="XV9" s="417"/>
      <c r="XW9" s="412"/>
      <c r="XX9" s="402"/>
      <c r="XY9" s="402"/>
      <c r="XZ9" s="417"/>
      <c r="YA9" s="412"/>
      <c r="YB9" s="402"/>
      <c r="YC9" s="402"/>
      <c r="YD9" s="417"/>
      <c r="YE9" s="412"/>
    </row>
    <row r="10" spans="1:655" ht="15" x14ac:dyDescent="0.2">
      <c r="A10" s="430">
        <v>2016</v>
      </c>
      <c r="B10" s="457" t="s">
        <v>22</v>
      </c>
      <c r="C10" s="430" t="s">
        <v>22</v>
      </c>
      <c r="D10" s="457" t="s">
        <v>22</v>
      </c>
      <c r="E10" s="430" t="s">
        <v>22</v>
      </c>
      <c r="F10" s="422" t="s">
        <v>22</v>
      </c>
      <c r="G10" s="430" t="s">
        <v>22</v>
      </c>
      <c r="H10" s="530" t="s">
        <v>1734</v>
      </c>
      <c r="I10" s="422" t="str">
        <f ca="1">CHOOSE(WEEKDAY(DATE($A10,H$43,I$42),2),"Monday","Tuesday","Wednesday","Thursday","Friday","Saturday","Sunday")</f>
        <v>Friday</v>
      </c>
      <c r="J10" s="530" t="s">
        <v>1557</v>
      </c>
      <c r="K10" s="430" t="str">
        <f ca="1">CHOOSE(WEEKDAY(DATE($A10,J$43,K$42),2),"Monday","Tuesday","Wednesday","Thursday","Friday","Saturday","Sunday")</f>
        <v>Saturday</v>
      </c>
      <c r="L10" s="422" t="s">
        <v>22</v>
      </c>
      <c r="M10" s="422" t="s">
        <v>22</v>
      </c>
      <c r="N10" s="457" t="s">
        <v>22</v>
      </c>
      <c r="O10" s="430" t="s">
        <v>22</v>
      </c>
      <c r="P10" s="531" t="s">
        <v>1586</v>
      </c>
      <c r="Q10" s="430" t="str">
        <f ca="1">CHOOSE(WEEKDAY(DATE($A10,P$43,Q$42),2),"Monday","Tuesday","Wednesday","Thursday","Friday","Saturday","Sunday")</f>
        <v>Wednesday</v>
      </c>
      <c r="R10" s="457" t="s">
        <v>22</v>
      </c>
      <c r="S10" s="430" t="s">
        <v>22</v>
      </c>
      <c r="T10" s="457" t="s">
        <v>22</v>
      </c>
      <c r="U10" s="430" t="s">
        <v>22</v>
      </c>
      <c r="V10" s="422" t="s">
        <v>22</v>
      </c>
      <c r="W10" s="422" t="s">
        <v>22</v>
      </c>
      <c r="X10" s="530" t="s">
        <v>1558</v>
      </c>
      <c r="Y10" s="430" t="str">
        <f ca="1">CHOOSE(WEEKDAY(DATE($A10,X$43,Y$42),2),"Monday","Tuesday","Wednesday","Thursday","Friday","Saturday","Sunday")</f>
        <v>Sunday</v>
      </c>
      <c r="Z10" s="457" t="s">
        <v>22</v>
      </c>
      <c r="AA10" s="430" t="s">
        <v>22</v>
      </c>
      <c r="AB10" s="422" t="s">
        <v>22</v>
      </c>
      <c r="AC10" s="422" t="s">
        <v>22</v>
      </c>
      <c r="AD10" s="457" t="s">
        <v>22</v>
      </c>
      <c r="AE10" s="430" t="s">
        <v>22</v>
      </c>
      <c r="AF10" s="457" t="s">
        <v>22</v>
      </c>
      <c r="AG10" s="430" t="s">
        <v>22</v>
      </c>
      <c r="AH10" s="422" t="s">
        <v>22</v>
      </c>
      <c r="AI10" s="422" t="s">
        <v>22</v>
      </c>
      <c r="AJ10" s="457" t="s">
        <v>22</v>
      </c>
      <c r="AK10" s="430" t="s">
        <v>22</v>
      </c>
      <c r="AL10" s="422" t="s">
        <v>22</v>
      </c>
      <c r="AM10" s="422" t="s">
        <v>22</v>
      </c>
      <c r="AN10" s="457" t="s">
        <v>22</v>
      </c>
      <c r="AO10" s="430" t="s">
        <v>22</v>
      </c>
      <c r="AP10" s="422" t="s">
        <v>22</v>
      </c>
      <c r="AQ10" s="422" t="s">
        <v>22</v>
      </c>
      <c r="AR10" s="457" t="s">
        <v>22</v>
      </c>
      <c r="AS10" s="430" t="s">
        <v>22</v>
      </c>
      <c r="AT10" s="422" t="s">
        <v>22</v>
      </c>
      <c r="AU10" s="422" t="s">
        <v>22</v>
      </c>
      <c r="AV10" s="457" t="s">
        <v>22</v>
      </c>
      <c r="AW10" s="430" t="s">
        <v>22</v>
      </c>
      <c r="AX10" s="422" t="s">
        <v>22</v>
      </c>
      <c r="AY10" s="422" t="s">
        <v>22</v>
      </c>
      <c r="AZ10" s="457" t="s">
        <v>22</v>
      </c>
      <c r="BA10" s="430" t="s">
        <v>22</v>
      </c>
      <c r="BB10" s="422"/>
      <c r="BC10" s="422"/>
      <c r="BD10" s="457" t="s">
        <v>22</v>
      </c>
      <c r="BE10" s="430" t="s">
        <v>22</v>
      </c>
      <c r="BF10" s="457" t="s">
        <v>22</v>
      </c>
      <c r="BG10" s="430" t="s">
        <v>22</v>
      </c>
      <c r="BH10" s="532" t="s">
        <v>1914</v>
      </c>
      <c r="BI10" s="422" t="str">
        <f ca="1">CHOOSE(WEEKDAY(DATE($A10,BH$43,BI$42),2),"Monday","Tuesday","Wednesday","Thursday","Friday","Saturday","Sunday")</f>
        <v>Friday</v>
      </c>
      <c r="BJ10" s="457" t="s">
        <v>22</v>
      </c>
      <c r="BK10" s="430" t="s">
        <v>22</v>
      </c>
      <c r="BL10" s="422" t="s">
        <v>22</v>
      </c>
      <c r="BM10" s="422" t="s">
        <v>22</v>
      </c>
      <c r="BN10" s="457" t="s">
        <v>22</v>
      </c>
      <c r="BO10" s="430" t="s">
        <v>22</v>
      </c>
      <c r="BP10" s="457" t="s">
        <v>22</v>
      </c>
      <c r="BQ10" s="430" t="s">
        <v>22</v>
      </c>
      <c r="BR10" s="422" t="s">
        <v>22</v>
      </c>
      <c r="BS10" s="422" t="s">
        <v>22</v>
      </c>
      <c r="BT10" s="457" t="s">
        <v>22</v>
      </c>
      <c r="BU10" s="430" t="s">
        <v>22</v>
      </c>
      <c r="BV10" s="457" t="s">
        <v>22</v>
      </c>
      <c r="BW10" s="430" t="s">
        <v>22</v>
      </c>
      <c r="BX10" s="532" t="s">
        <v>1595</v>
      </c>
      <c r="BY10" s="422" t="str">
        <f ca="1">CHOOSE(WEEKDAY(DATE($A10,BX$43,BY$42),2),"Monday","Tuesday","Wednesday","Thursday","Friday","Saturday","Sunday")</f>
        <v>Saturday</v>
      </c>
      <c r="BZ10" s="457" t="s">
        <v>22</v>
      </c>
      <c r="CA10" s="430" t="s">
        <v>22</v>
      </c>
      <c r="CB10" s="457" t="s">
        <v>22</v>
      </c>
      <c r="CC10" s="430" t="s">
        <v>22</v>
      </c>
      <c r="CD10" s="422" t="s">
        <v>22</v>
      </c>
      <c r="CE10" s="422" t="s">
        <v>22</v>
      </c>
      <c r="CF10" s="457" t="s">
        <v>22</v>
      </c>
      <c r="CG10" s="430" t="s">
        <v>22</v>
      </c>
      <c r="CH10" s="422" t="s">
        <v>22</v>
      </c>
      <c r="CI10" s="422" t="s">
        <v>22</v>
      </c>
      <c r="CJ10" s="457" t="s">
        <v>22</v>
      </c>
      <c r="CK10" s="430" t="s">
        <v>22</v>
      </c>
      <c r="CL10" s="532" t="s">
        <v>1611</v>
      </c>
      <c r="CM10" s="422" t="str">
        <f ca="1">CHOOSE(WEEKDAY(DATE($A10,CL$43,CM$42),2),"Monday","Tuesday","Wednesday","Thursday","Friday","Saturday","Sunday")</f>
        <v>Saturday</v>
      </c>
      <c r="CN10" s="457" t="s">
        <v>22</v>
      </c>
      <c r="CO10" s="430" t="s">
        <v>22</v>
      </c>
      <c r="CP10" s="422" t="s">
        <v>22</v>
      </c>
      <c r="CQ10" s="422" t="s">
        <v>22</v>
      </c>
      <c r="CR10" s="457" t="s">
        <v>22</v>
      </c>
      <c r="CS10" s="430" t="s">
        <v>22</v>
      </c>
      <c r="CT10" s="422" t="s">
        <v>22</v>
      </c>
      <c r="CU10" s="422" t="s">
        <v>22</v>
      </c>
      <c r="CV10" s="457" t="s">
        <v>22</v>
      </c>
      <c r="CW10" s="430" t="s">
        <v>22</v>
      </c>
      <c r="CX10" s="457" t="s">
        <v>22</v>
      </c>
      <c r="CY10" s="422" t="s">
        <v>22</v>
      </c>
      <c r="CZ10" s="457" t="s">
        <v>22</v>
      </c>
      <c r="DA10" s="422" t="s">
        <v>22</v>
      </c>
      <c r="DB10" s="457" t="s">
        <v>22</v>
      </c>
      <c r="DC10" s="430" t="s">
        <v>22</v>
      </c>
      <c r="DD10" s="422" t="s">
        <v>22</v>
      </c>
      <c r="DE10" s="422" t="s">
        <v>22</v>
      </c>
      <c r="DF10" s="457" t="s">
        <v>22</v>
      </c>
      <c r="DG10" s="430" t="s">
        <v>22</v>
      </c>
      <c r="DH10" s="532" t="s">
        <v>1624</v>
      </c>
      <c r="DI10" s="422" t="str">
        <f ca="1">CHOOSE(WEEKDAY(DATE($A10,DH$43,DI$42),2),"Monday","Tuesday","Wednesday","Thursday","Friday","Saturday","Sunday")</f>
        <v>Friday</v>
      </c>
      <c r="DJ10" s="457" t="s">
        <v>22</v>
      </c>
      <c r="DK10" s="430" t="s">
        <v>22</v>
      </c>
      <c r="DL10" s="422" t="s">
        <v>22</v>
      </c>
      <c r="DM10" s="422" t="s">
        <v>22</v>
      </c>
      <c r="DN10" s="457" t="s">
        <v>22</v>
      </c>
      <c r="DO10" s="430" t="s">
        <v>22</v>
      </c>
      <c r="DP10" s="422" t="s">
        <v>22</v>
      </c>
      <c r="DQ10" s="422" t="s">
        <v>22</v>
      </c>
      <c r="DR10" s="530" t="s">
        <v>1629</v>
      </c>
      <c r="DS10" s="430" t="str">
        <f ca="1">CHOOSE(WEEKDAY(DATE($A10,DR$43,DS$42),2),"Monday","Tuesday","Wednesday","Thursday","Friday","Saturday","Sunday")</f>
        <v>Wednesday</v>
      </c>
      <c r="DT10" s="422" t="s">
        <v>22</v>
      </c>
      <c r="DU10" s="422" t="s">
        <v>22</v>
      </c>
      <c r="DV10" s="457" t="s">
        <v>22</v>
      </c>
      <c r="DW10" s="430" t="s">
        <v>22</v>
      </c>
      <c r="DX10" s="422" t="s">
        <v>22</v>
      </c>
      <c r="DY10" s="422" t="s">
        <v>22</v>
      </c>
      <c r="DZ10" s="457" t="s">
        <v>22</v>
      </c>
      <c r="EA10" s="430" t="s">
        <v>22</v>
      </c>
      <c r="EB10" s="457" t="s">
        <v>22</v>
      </c>
      <c r="EC10" s="430" t="s">
        <v>22</v>
      </c>
      <c r="ED10" s="422" t="s">
        <v>22</v>
      </c>
      <c r="EE10" s="422" t="s">
        <v>22</v>
      </c>
      <c r="EF10" s="530" t="s">
        <v>1638</v>
      </c>
      <c r="EG10" s="430" t="str">
        <f ca="1">CHOOSE(WEEKDAY(DATE($A10,EF$43,EG$42),2),"Monday","Tuesday","Wednesday","Thursday","Friday","Saturday","Sunday")</f>
        <v>Thursday</v>
      </c>
      <c r="EH10" s="532" t="s">
        <v>1639</v>
      </c>
      <c r="EI10" s="422" t="str">
        <f ca="1">CHOOSE(WEEKDAY(DATE($A10,EH$43,EI$42),2),"Monday","Tuesday","Wednesday","Thursday","Friday","Saturday","Sunday")</f>
        <v>Friday</v>
      </c>
      <c r="EJ10" s="457" t="s">
        <v>22</v>
      </c>
      <c r="EK10" s="430" t="s">
        <v>22</v>
      </c>
      <c r="EL10" s="422" t="s">
        <v>22</v>
      </c>
      <c r="EM10" s="422" t="s">
        <v>22</v>
      </c>
      <c r="EN10" s="457" t="s">
        <v>22</v>
      </c>
      <c r="EO10" s="430" t="s">
        <v>22</v>
      </c>
      <c r="EP10" s="422" t="s">
        <v>22</v>
      </c>
      <c r="EQ10" s="422" t="s">
        <v>22</v>
      </c>
      <c r="ER10" s="457" t="s">
        <v>22</v>
      </c>
      <c r="ES10" s="430" t="s">
        <v>22</v>
      </c>
      <c r="ET10" s="422" t="s">
        <v>22</v>
      </c>
      <c r="EU10" s="422" t="s">
        <v>22</v>
      </c>
      <c r="EV10" s="457" t="s">
        <v>22</v>
      </c>
      <c r="EW10" s="430" t="s">
        <v>22</v>
      </c>
      <c r="EX10" s="422" t="s">
        <v>22</v>
      </c>
      <c r="EY10" s="422" t="s">
        <v>22</v>
      </c>
      <c r="EZ10" s="457" t="s">
        <v>22</v>
      </c>
      <c r="FA10" s="430" t="s">
        <v>22</v>
      </c>
      <c r="FB10" s="457" t="s">
        <v>22</v>
      </c>
      <c r="FC10" s="430" t="s">
        <v>22</v>
      </c>
      <c r="FD10" s="457" t="s">
        <v>22</v>
      </c>
      <c r="FE10" s="430" t="s">
        <v>22</v>
      </c>
      <c r="FF10" s="422" t="s">
        <v>22</v>
      </c>
      <c r="FG10" s="422" t="s">
        <v>22</v>
      </c>
      <c r="FH10" s="457" t="s">
        <v>22</v>
      </c>
      <c r="FI10" s="430" t="s">
        <v>22</v>
      </c>
      <c r="FJ10" s="530" t="s">
        <v>1660</v>
      </c>
      <c r="FK10" s="430" t="str">
        <f ca="1">CHOOSE(WEEKDAY(DATE($A10,FJ$43,FK$42),2),"Monday","Tuesday","Wednesday","Thursday","Friday","Saturday","Sunday")</f>
        <v>Friday</v>
      </c>
      <c r="FL10" s="457" t="s">
        <v>22</v>
      </c>
      <c r="FM10" s="430" t="s">
        <v>22</v>
      </c>
      <c r="FN10" s="422" t="s">
        <v>22</v>
      </c>
      <c r="FO10" s="422" t="s">
        <v>22</v>
      </c>
      <c r="FP10" s="457" t="s">
        <v>22</v>
      </c>
      <c r="FQ10" s="430" t="s">
        <v>22</v>
      </c>
      <c r="FR10" s="457" t="s">
        <v>22</v>
      </c>
      <c r="FS10" s="430" t="s">
        <v>22</v>
      </c>
      <c r="FT10" s="422" t="s">
        <v>22</v>
      </c>
      <c r="FU10" s="422" t="s">
        <v>22</v>
      </c>
      <c r="FV10" s="530" t="s">
        <v>2012</v>
      </c>
      <c r="FW10" s="430" t="str">
        <f ca="1">CHOOSE(WEEKDAY(DATE($A10,FV$43,FW$42),2),"Monday","Tuesday","Wednesday","Thursday","Friday","Saturday","Sunday")</f>
        <v>Friday</v>
      </c>
      <c r="FX10" s="422" t="s">
        <v>22</v>
      </c>
      <c r="FY10" s="422" t="s">
        <v>22</v>
      </c>
      <c r="FZ10" s="530" t="s">
        <v>2015</v>
      </c>
      <c r="GA10" s="430" t="str">
        <f ca="1">CHOOSE(WEEKDAY(DATE($A10,FZ$43,GA$42),2),"Monday","Tuesday","Wednesday","Thursday","Friday","Saturday","Sunday")</f>
        <v>Monday</v>
      </c>
      <c r="GB10" s="422" t="s">
        <v>22</v>
      </c>
      <c r="GC10" s="422" t="s">
        <v>22</v>
      </c>
      <c r="GD10" s="457" t="s">
        <v>22</v>
      </c>
      <c r="GE10" s="430" t="s">
        <v>22</v>
      </c>
      <c r="GF10" s="457" t="s">
        <v>22</v>
      </c>
      <c r="GG10" s="430" t="s">
        <v>22</v>
      </c>
      <c r="GH10" s="457" t="s">
        <v>22</v>
      </c>
      <c r="GI10" s="430" t="s">
        <v>22</v>
      </c>
      <c r="GJ10" s="422" t="s">
        <v>22</v>
      </c>
      <c r="GK10" s="422" t="s">
        <v>22</v>
      </c>
      <c r="GL10" s="457" t="s">
        <v>22</v>
      </c>
      <c r="GM10" s="430" t="s">
        <v>22</v>
      </c>
      <c r="GN10" s="457" t="s">
        <v>22</v>
      </c>
      <c r="GO10" s="430" t="s">
        <v>22</v>
      </c>
      <c r="GP10" s="422" t="s">
        <v>22</v>
      </c>
      <c r="GQ10" s="422" t="s">
        <v>22</v>
      </c>
      <c r="GR10" s="457" t="s">
        <v>22</v>
      </c>
      <c r="GS10" s="430" t="s">
        <v>22</v>
      </c>
      <c r="GT10" s="457" t="s">
        <v>22</v>
      </c>
      <c r="GU10" s="430" t="s">
        <v>22</v>
      </c>
      <c r="GV10" s="457" t="s">
        <v>22</v>
      </c>
      <c r="GW10" s="430" t="s">
        <v>22</v>
      </c>
      <c r="GX10" s="457" t="s">
        <v>22</v>
      </c>
      <c r="GY10" s="430" t="s">
        <v>22</v>
      </c>
      <c r="GZ10" s="457" t="s">
        <v>22</v>
      </c>
      <c r="HA10" s="430" t="s">
        <v>22</v>
      </c>
      <c r="HB10" s="457" t="s">
        <v>22</v>
      </c>
      <c r="HC10" s="430" t="s">
        <v>22</v>
      </c>
      <c r="HD10" s="422" t="s">
        <v>22</v>
      </c>
      <c r="HE10" s="422" t="s">
        <v>22</v>
      </c>
      <c r="HF10" s="457" t="s">
        <v>22</v>
      </c>
      <c r="HG10" s="430" t="s">
        <v>22</v>
      </c>
      <c r="HH10" s="457" t="s">
        <v>22</v>
      </c>
      <c r="HI10" s="430" t="s">
        <v>22</v>
      </c>
      <c r="HJ10" s="422" t="s">
        <v>22</v>
      </c>
      <c r="HK10" s="422" t="s">
        <v>22</v>
      </c>
      <c r="HL10" s="457" t="s">
        <v>22</v>
      </c>
      <c r="HM10" s="430" t="s">
        <v>22</v>
      </c>
      <c r="HN10" s="457" t="s">
        <v>22</v>
      </c>
      <c r="HO10" s="430" t="s">
        <v>22</v>
      </c>
      <c r="HP10" s="532" t="s">
        <v>1711</v>
      </c>
      <c r="HQ10" s="422" t="str">
        <f ca="1">CHOOSE(WEEKDAY(DATE($A10,HP$43,HQ$42),2),"Monday","Tuesday","Wednesday","Thursday","Friday","Saturday","Sunday")</f>
        <v>Friday</v>
      </c>
      <c r="HR10" s="457" t="s">
        <v>22</v>
      </c>
      <c r="HS10" s="430" t="s">
        <v>22</v>
      </c>
      <c r="HT10" s="457" t="s">
        <v>22</v>
      </c>
      <c r="HU10" s="430" t="s">
        <v>22</v>
      </c>
      <c r="HV10" s="530" t="s">
        <v>1710</v>
      </c>
      <c r="HW10" s="430" t="str">
        <f ca="1">CHOOSE(WEEKDAY(DATE($A10,HV$43,HW$42),2),"Monday","Tuesday","Wednesday","Thursday","Friday","Saturday","Sunday")</f>
        <v>Monday</v>
      </c>
      <c r="HX10" s="457" t="s">
        <v>22</v>
      </c>
      <c r="HY10" s="430" t="s">
        <v>22</v>
      </c>
      <c r="HZ10" s="422" t="s">
        <v>22</v>
      </c>
      <c r="IA10" s="422" t="s">
        <v>22</v>
      </c>
      <c r="IB10" s="530" t="s">
        <v>1566</v>
      </c>
      <c r="IC10" s="430" t="str">
        <f ca="1">CHOOSE(WEEKDAY(DATE($A10,IB$43,IC$42),2),"Monday","Tuesday","Wednesday","Thursday","Friday","Saturday","Sunday")</f>
        <v>Friday</v>
      </c>
      <c r="ID10" s="422" t="s">
        <v>22</v>
      </c>
      <c r="IE10" s="422" t="s">
        <v>22</v>
      </c>
      <c r="IF10" s="457" t="s">
        <v>22</v>
      </c>
      <c r="IG10" s="430" t="s">
        <v>22</v>
      </c>
      <c r="IH10" s="422" t="s">
        <v>22</v>
      </c>
      <c r="II10" s="422" t="s">
        <v>22</v>
      </c>
      <c r="IJ10" s="457" t="s">
        <v>22</v>
      </c>
      <c r="IK10" s="430" t="s">
        <v>22</v>
      </c>
      <c r="IL10" s="457" t="s">
        <v>22</v>
      </c>
      <c r="IM10" s="430" t="s">
        <v>22</v>
      </c>
      <c r="IN10" s="457" t="s">
        <v>22</v>
      </c>
      <c r="IO10" s="430" t="s">
        <v>22</v>
      </c>
      <c r="IP10" s="457" t="s">
        <v>22</v>
      </c>
      <c r="IQ10" s="430" t="s">
        <v>22</v>
      </c>
      <c r="IR10" s="422" t="s">
        <v>22</v>
      </c>
      <c r="IS10" s="422" t="s">
        <v>22</v>
      </c>
      <c r="IT10" s="457" t="s">
        <v>22</v>
      </c>
      <c r="IU10" s="430" t="s">
        <v>22</v>
      </c>
      <c r="IV10" s="457" t="s">
        <v>22</v>
      </c>
      <c r="IW10" s="430" t="s">
        <v>22</v>
      </c>
      <c r="IX10" s="457" t="s">
        <v>22</v>
      </c>
      <c r="IY10" s="430" t="s">
        <v>22</v>
      </c>
      <c r="IZ10" s="422" t="s">
        <v>22</v>
      </c>
      <c r="JA10" s="422" t="s">
        <v>22</v>
      </c>
      <c r="JB10" s="457" t="s">
        <v>22</v>
      </c>
      <c r="JC10" s="430" t="s">
        <v>22</v>
      </c>
      <c r="JD10" s="422" t="s">
        <v>22</v>
      </c>
      <c r="JE10" s="422" t="s">
        <v>22</v>
      </c>
      <c r="JF10" s="457" t="s">
        <v>22</v>
      </c>
      <c r="JG10" s="430" t="s">
        <v>22</v>
      </c>
      <c r="JH10" s="457" t="s">
        <v>22</v>
      </c>
      <c r="JI10" s="430" t="s">
        <v>22</v>
      </c>
      <c r="JJ10" s="457" t="s">
        <v>22</v>
      </c>
      <c r="JK10" s="430" t="s">
        <v>22</v>
      </c>
      <c r="JL10" s="422" t="s">
        <v>22</v>
      </c>
      <c r="JM10" s="422" t="s">
        <v>22</v>
      </c>
      <c r="JN10" s="530" t="s">
        <v>2027</v>
      </c>
      <c r="JO10" s="430" t="str">
        <f ca="1">CHOOSE(WEEKDAY(DATE($A10,JN$43,JO$42),2),"Monday","Tuesday","Wednesday","Thursday","Friday","Saturday","Sunday")</f>
        <v>Friday</v>
      </c>
      <c r="JP10" s="422" t="s">
        <v>22</v>
      </c>
      <c r="JQ10" s="422" t="s">
        <v>22</v>
      </c>
      <c r="JR10" s="457" t="s">
        <v>22</v>
      </c>
      <c r="JS10" s="430" t="s">
        <v>22</v>
      </c>
      <c r="JT10" s="422" t="s">
        <v>22</v>
      </c>
      <c r="JU10" s="422" t="s">
        <v>22</v>
      </c>
      <c r="JV10" s="457" t="s">
        <v>22</v>
      </c>
      <c r="JW10" s="430" t="s">
        <v>22</v>
      </c>
      <c r="JX10" s="532" t="s">
        <v>1752</v>
      </c>
      <c r="JY10" s="422" t="str">
        <f ca="1">CHOOSE(WEEKDAY(DATE($A10,JX$43,JY$42),2),"Monday","Tuesday","Wednesday","Thursday","Friday","Saturday","Sunday")</f>
        <v>Thursday</v>
      </c>
      <c r="JZ10" s="457" t="s">
        <v>22</v>
      </c>
      <c r="KA10" s="430" t="s">
        <v>22</v>
      </c>
      <c r="KB10" s="457" t="s">
        <v>22</v>
      </c>
      <c r="KC10" s="430" t="s">
        <v>22</v>
      </c>
      <c r="KD10" s="457" t="s">
        <v>22</v>
      </c>
      <c r="KE10" s="430" t="s">
        <v>22</v>
      </c>
      <c r="KF10" s="422" t="s">
        <v>22</v>
      </c>
      <c r="KG10" s="422" t="s">
        <v>22</v>
      </c>
      <c r="KH10" s="457" t="s">
        <v>22</v>
      </c>
      <c r="KI10" s="430" t="s">
        <v>22</v>
      </c>
      <c r="KJ10" s="457" t="s">
        <v>22</v>
      </c>
      <c r="KK10" s="430" t="s">
        <v>22</v>
      </c>
      <c r="KL10" s="457" t="s">
        <v>22</v>
      </c>
      <c r="KM10" s="430" t="s">
        <v>22</v>
      </c>
      <c r="KN10" s="422" t="s">
        <v>22</v>
      </c>
      <c r="KO10" s="422" t="s">
        <v>22</v>
      </c>
      <c r="KP10" s="457" t="s">
        <v>22</v>
      </c>
      <c r="KQ10" s="430" t="s">
        <v>22</v>
      </c>
      <c r="KR10" s="422" t="s">
        <v>22</v>
      </c>
      <c r="KS10" s="422" t="s">
        <v>22</v>
      </c>
      <c r="KT10" s="457" t="s">
        <v>22</v>
      </c>
      <c r="KU10" s="430" t="s">
        <v>22</v>
      </c>
      <c r="KV10" s="422" t="s">
        <v>22</v>
      </c>
      <c r="KW10" s="422" t="s">
        <v>22</v>
      </c>
      <c r="KX10" s="530" t="s">
        <v>1773</v>
      </c>
      <c r="KY10" s="430" t="str">
        <f ca="1">CHOOSE(WEEKDAY(DATE($A10,KX$43,KY$42),2),"Monday","Tuesday","Wednesday","Thursday","Friday","Saturday","Sunday")</f>
        <v>Friday</v>
      </c>
      <c r="KZ10" s="422" t="s">
        <v>22</v>
      </c>
      <c r="LA10" s="422" t="s">
        <v>22</v>
      </c>
      <c r="LB10" s="457" t="s">
        <v>22</v>
      </c>
      <c r="LC10" s="430" t="s">
        <v>22</v>
      </c>
      <c r="LD10" s="532" t="s">
        <v>1775</v>
      </c>
      <c r="LE10" s="422" t="str">
        <f ca="1">CHOOSE(WEEKDAY(DATE($A10,LD$43,LE$42),2),"Monday","Tuesday","Wednesday","Thursday","Friday","Saturday","Sunday")</f>
        <v>Monday</v>
      </c>
      <c r="LF10" s="457" t="s">
        <v>22</v>
      </c>
      <c r="LG10" s="430" t="s">
        <v>22</v>
      </c>
      <c r="LH10" s="422" t="s">
        <v>22</v>
      </c>
      <c r="LI10" s="422" t="s">
        <v>22</v>
      </c>
      <c r="LJ10" s="530" t="s">
        <v>1781</v>
      </c>
      <c r="LK10" s="430" t="str">
        <f ca="1">CHOOSE(WEEKDAY(DATE($A10,LJ$43,LK$42),2),"Monday","Tuesday","Wednesday","Thursday","Friday","Saturday","Sunday")</f>
        <v>Friday</v>
      </c>
      <c r="LL10" s="422" t="s">
        <v>22</v>
      </c>
      <c r="LM10" s="422" t="s">
        <v>22</v>
      </c>
      <c r="LN10" s="457" t="s">
        <v>22</v>
      </c>
      <c r="LO10" s="430" t="s">
        <v>22</v>
      </c>
      <c r="LP10" s="532" t="s">
        <v>1788</v>
      </c>
      <c r="LQ10" s="422" t="str">
        <f ca="1">CHOOSE(WEEKDAY(DATE($A10,LP$43,LQ$42),2),"Monday","Tuesday","Wednesday","Thursday","Friday","Saturday","Sunday")</f>
        <v>Monday</v>
      </c>
      <c r="LR10" s="530" t="s">
        <v>2017</v>
      </c>
      <c r="LS10" s="430" t="str">
        <f ca="1">CHOOSE(WEEKDAY(DATE($A10,LR$43,LS$42),2),"Monday","Tuesday","Wednesday","Thursday","Friday","Saturday","Sunday")</f>
        <v>Tuesday</v>
      </c>
      <c r="LT10" s="422" t="s">
        <v>22</v>
      </c>
      <c r="LU10" s="422" t="s">
        <v>22</v>
      </c>
      <c r="LV10" s="530" t="s">
        <v>1794</v>
      </c>
      <c r="LW10" s="430" t="str">
        <f ca="1">CHOOSE(WEEKDAY(DATE($A10,LV$43,LW$42),2),"Monday","Tuesday","Wednesday","Thursday","Friday","Saturday","Sunday")</f>
        <v>Friday</v>
      </c>
      <c r="LX10" s="422" t="s">
        <v>22</v>
      </c>
      <c r="LY10" s="422" t="s">
        <v>22</v>
      </c>
      <c r="LZ10" s="457" t="s">
        <v>22</v>
      </c>
      <c r="MA10" s="430" t="s">
        <v>22</v>
      </c>
      <c r="MB10" s="422" t="s">
        <v>22</v>
      </c>
      <c r="MC10" s="422" t="s">
        <v>22</v>
      </c>
      <c r="MD10" s="457" t="s">
        <v>22</v>
      </c>
      <c r="ME10" s="430" t="s">
        <v>22</v>
      </c>
      <c r="MF10" s="422" t="s">
        <v>22</v>
      </c>
      <c r="MG10" s="422" t="s">
        <v>22</v>
      </c>
      <c r="MH10" s="457" t="s">
        <v>22</v>
      </c>
      <c r="MI10" s="430" t="s">
        <v>22</v>
      </c>
      <c r="MJ10" s="457" t="s">
        <v>22</v>
      </c>
      <c r="MK10" s="430" t="s">
        <v>22</v>
      </c>
      <c r="ML10" s="457" t="s">
        <v>22</v>
      </c>
      <c r="MM10" s="430" t="s">
        <v>22</v>
      </c>
      <c r="MN10" s="422" t="s">
        <v>22</v>
      </c>
      <c r="MO10" s="422" t="s">
        <v>22</v>
      </c>
      <c r="MP10" s="457" t="s">
        <v>22</v>
      </c>
      <c r="MQ10" s="430" t="s">
        <v>22</v>
      </c>
      <c r="MR10" s="422" t="s">
        <v>22</v>
      </c>
      <c r="MS10" s="422" t="s">
        <v>22</v>
      </c>
      <c r="MT10" s="457" t="s">
        <v>22</v>
      </c>
      <c r="MU10" s="430" t="s">
        <v>22</v>
      </c>
      <c r="MV10" s="422" t="s">
        <v>22</v>
      </c>
      <c r="MW10" s="422" t="s">
        <v>22</v>
      </c>
      <c r="MX10" s="457" t="s">
        <v>22</v>
      </c>
      <c r="MY10" s="430" t="s">
        <v>22</v>
      </c>
      <c r="MZ10" s="457" t="s">
        <v>22</v>
      </c>
      <c r="NA10" s="430" t="s">
        <v>22</v>
      </c>
      <c r="NB10" s="457" t="s">
        <v>22</v>
      </c>
      <c r="NC10" s="430" t="s">
        <v>22</v>
      </c>
      <c r="ND10" s="457" t="s">
        <v>22</v>
      </c>
      <c r="NE10" s="430" t="s">
        <v>22</v>
      </c>
      <c r="NF10" s="422" t="s">
        <v>22</v>
      </c>
      <c r="NG10" s="422" t="s">
        <v>22</v>
      </c>
      <c r="NH10" s="457" t="s">
        <v>22</v>
      </c>
      <c r="NI10" s="430" t="s">
        <v>22</v>
      </c>
      <c r="NJ10" s="422" t="s">
        <v>22</v>
      </c>
      <c r="NK10" s="422" t="s">
        <v>22</v>
      </c>
      <c r="NL10" s="530" t="s">
        <v>1566</v>
      </c>
      <c r="NM10" s="430" t="str">
        <f ca="1">CHOOSE(WEEKDAY(DATE($A10,NL$43,NM$42),2),"Monday","Tuesday","Wednesday","Thursday","Friday","Saturday","Sunday")</f>
        <v>Friday</v>
      </c>
      <c r="NN10" s="422" t="s">
        <v>22</v>
      </c>
      <c r="NO10" s="430" t="s">
        <v>22</v>
      </c>
      <c r="NP10" s="422" t="s">
        <v>22</v>
      </c>
      <c r="NQ10" s="422" t="s">
        <v>22</v>
      </c>
      <c r="NR10" s="457" t="s">
        <v>22</v>
      </c>
      <c r="NS10" s="430" t="s">
        <v>22</v>
      </c>
      <c r="NT10" s="532" t="s">
        <v>1818</v>
      </c>
      <c r="NU10" s="422" t="str">
        <f ca="1">CHOOSE(WEEKDAY(DATE($A10,NT$43,NU$42),2),"Monday","Tuesday","Wednesday","Thursday","Friday","Saturday","Sunday")</f>
        <v>Tuesday</v>
      </c>
      <c r="NV10" s="457" t="s">
        <v>22</v>
      </c>
      <c r="NW10" s="430" t="s">
        <v>22</v>
      </c>
      <c r="NX10" s="422" t="s">
        <v>22</v>
      </c>
      <c r="NY10" s="422" t="s">
        <v>22</v>
      </c>
      <c r="NZ10" s="457" t="s">
        <v>22</v>
      </c>
      <c r="OA10" s="430" t="s">
        <v>22</v>
      </c>
      <c r="OB10" s="422" t="s">
        <v>22</v>
      </c>
      <c r="OC10" s="422" t="s">
        <v>22</v>
      </c>
      <c r="OD10" s="457" t="s">
        <v>22</v>
      </c>
      <c r="OE10" s="430" t="s">
        <v>22</v>
      </c>
      <c r="OF10" s="422" t="s">
        <v>22</v>
      </c>
      <c r="OG10" s="422" t="s">
        <v>22</v>
      </c>
      <c r="OH10" s="457" t="s">
        <v>22</v>
      </c>
      <c r="OI10" s="430" t="s">
        <v>22</v>
      </c>
      <c r="OJ10" s="532" t="s">
        <v>1828</v>
      </c>
      <c r="OK10" s="422" t="str">
        <f ca="1">CHOOSE(WEEKDAY(DATE($A10,OJ$43,OK$42),2),"Monday","Tuesday","Wednesday","Thursday","Friday","Saturday","Sunday")</f>
        <v>Friday</v>
      </c>
      <c r="OL10" s="457" t="s">
        <v>22</v>
      </c>
      <c r="OM10" s="430" t="s">
        <v>22</v>
      </c>
      <c r="ON10" s="457" t="s">
        <v>22</v>
      </c>
      <c r="OO10" s="430" t="s">
        <v>22</v>
      </c>
      <c r="OP10" s="422" t="s">
        <v>22</v>
      </c>
      <c r="OQ10" s="422" t="s">
        <v>22</v>
      </c>
      <c r="OR10" s="530" t="s">
        <v>1834</v>
      </c>
      <c r="OS10" s="430" t="str">
        <f ca="1">CHOOSE(WEEKDAY(DATE($A10,OR$43,OS$42),2),"Monday","Tuesday","Wednesday","Thursday","Friday","Saturday","Sunday")</f>
        <v>Tuesday</v>
      </c>
      <c r="OT10" s="457" t="s">
        <v>22</v>
      </c>
      <c r="OU10" s="430" t="s">
        <v>22</v>
      </c>
      <c r="OV10" s="422" t="s">
        <v>22</v>
      </c>
      <c r="OW10" s="422" t="s">
        <v>22</v>
      </c>
      <c r="OX10" s="457" t="s">
        <v>22</v>
      </c>
      <c r="OY10" s="430" t="s">
        <v>22</v>
      </c>
      <c r="OZ10" s="422" t="s">
        <v>22</v>
      </c>
      <c r="PA10" s="422" t="s">
        <v>22</v>
      </c>
      <c r="PB10" s="457" t="s">
        <v>22</v>
      </c>
      <c r="PC10" s="430" t="s">
        <v>22</v>
      </c>
      <c r="PD10" s="422" t="s">
        <v>22</v>
      </c>
      <c r="PE10" s="422" t="s">
        <v>22</v>
      </c>
      <c r="PF10" s="457" t="s">
        <v>22</v>
      </c>
      <c r="PG10" s="422" t="s">
        <v>22</v>
      </c>
      <c r="PH10" s="457" t="s">
        <v>22</v>
      </c>
      <c r="PI10" s="430" t="s">
        <v>22</v>
      </c>
      <c r="PJ10" s="457" t="s">
        <v>22</v>
      </c>
      <c r="PK10" s="430" t="s">
        <v>22</v>
      </c>
      <c r="PL10" s="532" t="s">
        <v>2028</v>
      </c>
      <c r="PM10" s="422" t="str">
        <f ca="1">CHOOSE(WEEKDAY(DATE($A10,PL$43,PM$42),2),"Monday","Tuesday","Wednesday","Thursday","Friday","Saturday","Sunday")</f>
        <v>Thursday</v>
      </c>
      <c r="PN10" s="457" t="s">
        <v>22</v>
      </c>
      <c r="PO10" s="430" t="s">
        <v>22</v>
      </c>
      <c r="PP10" s="422" t="s">
        <v>22</v>
      </c>
      <c r="PQ10" s="422" t="s">
        <v>22</v>
      </c>
      <c r="PR10" s="457" t="s">
        <v>22</v>
      </c>
      <c r="PS10" s="430" t="s">
        <v>22</v>
      </c>
      <c r="PT10" s="422" t="s">
        <v>22</v>
      </c>
      <c r="PU10" s="422" t="s">
        <v>22</v>
      </c>
      <c r="PV10" s="457" t="s">
        <v>22</v>
      </c>
      <c r="PW10" s="430" t="s">
        <v>22</v>
      </c>
      <c r="PX10" s="422" t="s">
        <v>22</v>
      </c>
      <c r="PY10" s="422" t="s">
        <v>22</v>
      </c>
      <c r="PZ10" s="457" t="s">
        <v>22</v>
      </c>
      <c r="QA10" s="430" t="s">
        <v>22</v>
      </c>
      <c r="QB10" s="532" t="s">
        <v>1859</v>
      </c>
      <c r="QC10" s="422" t="str">
        <f ca="1">CHOOSE(WEEKDAY(DATE($A10,QB$43,QC$42),2),"Monday","Tuesday","Wednesday","Thursday","Friday","Saturday","Sunday")</f>
        <v>Friday</v>
      </c>
      <c r="QD10" s="457" t="s">
        <v>22</v>
      </c>
      <c r="QE10" s="430" t="s">
        <v>22</v>
      </c>
      <c r="QF10" s="422" t="s">
        <v>22</v>
      </c>
      <c r="QG10" s="422" t="s">
        <v>22</v>
      </c>
      <c r="QH10" s="457" t="s">
        <v>22</v>
      </c>
      <c r="QI10" s="430" t="s">
        <v>22</v>
      </c>
      <c r="QJ10" s="422" t="s">
        <v>22</v>
      </c>
      <c r="QK10" s="422" t="s">
        <v>22</v>
      </c>
      <c r="QL10" s="457" t="s">
        <v>22</v>
      </c>
      <c r="QM10" s="430" t="s">
        <v>22</v>
      </c>
      <c r="QN10" s="533" t="s">
        <v>1871</v>
      </c>
      <c r="QO10" s="422" t="str">
        <f ca="1">CHOOSE(WEEKDAY(DATE($A10,QN$43,QO$42),2),"Monday","Tuesday","Wednesday","Thursday","Friday","Saturday","Sunday")</f>
        <v>Thursday</v>
      </c>
      <c r="QP10" s="457" t="s">
        <v>22</v>
      </c>
      <c r="QQ10" s="430" t="s">
        <v>22</v>
      </c>
      <c r="QR10" s="422" t="s">
        <v>22</v>
      </c>
      <c r="QS10" s="422" t="s">
        <v>22</v>
      </c>
      <c r="QT10" s="457" t="s">
        <v>22</v>
      </c>
      <c r="QU10" s="430" t="s">
        <v>22</v>
      </c>
      <c r="QV10" s="422" t="s">
        <v>22</v>
      </c>
      <c r="QW10" s="422" t="s">
        <v>22</v>
      </c>
      <c r="QX10" s="457" t="s">
        <v>22</v>
      </c>
      <c r="QY10" s="430" t="s">
        <v>22</v>
      </c>
      <c r="QZ10" s="457" t="s">
        <v>22</v>
      </c>
      <c r="RA10" s="430" t="s">
        <v>22</v>
      </c>
      <c r="RB10" s="457" t="s">
        <v>22</v>
      </c>
      <c r="RC10" s="430" t="s">
        <v>22</v>
      </c>
      <c r="RD10" s="532" t="s">
        <v>1643</v>
      </c>
      <c r="RE10" s="422" t="str">
        <f ca="1">CHOOSE(WEEKDAY(DATE($A10,RD$43,RE$42),2),"Monday","Tuesday","Wednesday","Thursday","Friday","Saturday","Sunday")</f>
        <v>Friday</v>
      </c>
      <c r="RF10" s="457" t="s">
        <v>22</v>
      </c>
      <c r="RG10" s="430" t="s">
        <v>22</v>
      </c>
      <c r="RH10" s="422" t="s">
        <v>22</v>
      </c>
      <c r="RI10" s="422" t="s">
        <v>22</v>
      </c>
      <c r="RJ10" s="457" t="s">
        <v>22</v>
      </c>
      <c r="RK10" s="430" t="s">
        <v>22</v>
      </c>
      <c r="RL10" s="457" t="s">
        <v>22</v>
      </c>
      <c r="RM10" s="430" t="s">
        <v>22</v>
      </c>
      <c r="RN10" s="422" t="s">
        <v>22</v>
      </c>
      <c r="RO10" s="422" t="s">
        <v>22</v>
      </c>
      <c r="RP10" s="530" t="s">
        <v>1566</v>
      </c>
      <c r="RQ10" s="430" t="str">
        <f ca="1">CHOOSE(WEEKDAY(DATE($A10,RP$43,RQ$42),2),"Monday","Tuesday","Wednesday","Thursday","Friday","Saturday","Sunday")</f>
        <v>Friday</v>
      </c>
      <c r="RR10" s="422" t="s">
        <v>22</v>
      </c>
      <c r="RS10" s="422" t="s">
        <v>22</v>
      </c>
      <c r="RT10" s="457" t="s">
        <v>22</v>
      </c>
      <c r="RU10" s="430" t="s">
        <v>22</v>
      </c>
      <c r="RV10" s="422" t="s">
        <v>22</v>
      </c>
      <c r="RW10" s="422" t="s">
        <v>22</v>
      </c>
      <c r="RX10" s="457" t="s">
        <v>22</v>
      </c>
      <c r="RY10" s="430" t="s">
        <v>22</v>
      </c>
      <c r="RZ10" s="457" t="s">
        <v>22</v>
      </c>
      <c r="SA10" s="430" t="s">
        <v>22</v>
      </c>
      <c r="SB10" s="457" t="s">
        <v>22</v>
      </c>
      <c r="SC10" s="430" t="s">
        <v>22</v>
      </c>
      <c r="SD10" s="532" t="s">
        <v>1718</v>
      </c>
      <c r="SE10" s="422" t="str">
        <f ca="1">CHOOSE(WEEKDAY(DATE($A10,SD$43,SE$42),2),"Monday","Tuesday","Wednesday","Thursday","Friday","Saturday","Sunday")</f>
        <v>Friday</v>
      </c>
      <c r="SF10" s="457" t="s">
        <v>22</v>
      </c>
      <c r="SG10" s="430" t="s">
        <v>22</v>
      </c>
      <c r="SH10" s="422" t="s">
        <v>22</v>
      </c>
      <c r="SI10" s="422" t="s">
        <v>22</v>
      </c>
      <c r="SJ10" s="457" t="s">
        <v>22</v>
      </c>
      <c r="SK10" s="430" t="s">
        <v>22</v>
      </c>
      <c r="SL10" s="457" t="s">
        <v>22</v>
      </c>
      <c r="SM10" s="430" t="s">
        <v>22</v>
      </c>
      <c r="SN10" s="532" t="s">
        <v>1977</v>
      </c>
      <c r="SO10" s="422" t="str">
        <f ca="1">CHOOSE(WEEKDAY(DATE($A10,SN$43,SO$42),2),"Monday","Tuesday","Wednesday","Thursday","Friday","Saturday","Sunday")</f>
        <v>Friday</v>
      </c>
      <c r="SP10" s="457" t="s">
        <v>22</v>
      </c>
      <c r="SQ10" s="430" t="s">
        <v>22</v>
      </c>
      <c r="SR10" s="422" t="s">
        <v>22</v>
      </c>
      <c r="SS10" s="422" t="s">
        <v>22</v>
      </c>
      <c r="ST10" s="457" t="s">
        <v>22</v>
      </c>
      <c r="SU10" s="430" t="s">
        <v>22</v>
      </c>
      <c r="SV10" s="422" t="s">
        <v>22</v>
      </c>
      <c r="SW10" s="422" t="s">
        <v>22</v>
      </c>
      <c r="SX10" s="457" t="s">
        <v>22</v>
      </c>
      <c r="SY10" s="430" t="s">
        <v>22</v>
      </c>
      <c r="SZ10" s="532" t="s">
        <v>1781</v>
      </c>
      <c r="TA10" s="422" t="str">
        <f ca="1">CHOOSE(WEEKDAY(DATE($A10,SZ$43,TA$42),2),"Monday","Tuesday","Wednesday","Thursday","Friday","Saturday","Sunday")</f>
        <v>Friday</v>
      </c>
      <c r="TB10" s="457" t="s">
        <v>22</v>
      </c>
      <c r="TC10" s="430" t="s">
        <v>22</v>
      </c>
      <c r="TD10" s="422" t="s">
        <v>22</v>
      </c>
      <c r="TE10" s="422" t="s">
        <v>22</v>
      </c>
      <c r="TF10" s="457" t="s">
        <v>22</v>
      </c>
      <c r="TG10" s="430" t="s">
        <v>22</v>
      </c>
      <c r="TH10" s="422" t="s">
        <v>22</v>
      </c>
      <c r="TI10" s="430" t="s">
        <v>22</v>
      </c>
      <c r="TJ10" s="532" t="s">
        <v>1935</v>
      </c>
      <c r="TK10" s="422" t="str">
        <f ca="1">CHOOSE(WEEKDAY(DATE($A10,TJ$43,TK$42),2),"Monday","Tuesday","Wednesday","Thursday","Friday","Saturday","Sunday")</f>
        <v>Wednesday</v>
      </c>
      <c r="TL10" s="457" t="s">
        <v>22</v>
      </c>
      <c r="TM10" s="430" t="s">
        <v>22</v>
      </c>
      <c r="TN10" s="532" t="s">
        <v>1932</v>
      </c>
      <c r="TO10" s="422" t="str">
        <f ca="1">CHOOSE(WEEKDAY(DATE($A10,TN$43,TO$42),2),"Monday","Tuesday","Wednesday","Thursday","Friday","Saturday","Sunday")</f>
        <v>Friday</v>
      </c>
      <c r="TP10" s="457" t="s">
        <v>22</v>
      </c>
      <c r="TQ10" s="430" t="s">
        <v>22</v>
      </c>
      <c r="TR10" s="422" t="s">
        <v>22</v>
      </c>
      <c r="TS10" s="422" t="s">
        <v>22</v>
      </c>
      <c r="TT10" s="457" t="s">
        <v>22</v>
      </c>
      <c r="TU10" s="430" t="s">
        <v>22</v>
      </c>
      <c r="TV10" s="457" t="s">
        <v>22</v>
      </c>
      <c r="TW10" s="430" t="s">
        <v>22</v>
      </c>
      <c r="TX10" s="457" t="s">
        <v>22</v>
      </c>
      <c r="TY10" s="430" t="s">
        <v>22</v>
      </c>
      <c r="TZ10" s="457" t="s">
        <v>22</v>
      </c>
      <c r="UA10" s="430" t="s">
        <v>22</v>
      </c>
      <c r="UB10" s="532" t="s">
        <v>1734</v>
      </c>
      <c r="UC10" s="422" t="str">
        <f ca="1">CHOOSE(WEEKDAY(DATE($A10,UB$43,UC$42),2),"Monday","Tuesday","Wednesday","Thursday","Friday","Saturday","Sunday")</f>
        <v>Friday</v>
      </c>
      <c r="UD10" s="457" t="s">
        <v>22</v>
      </c>
      <c r="UE10" s="430" t="s">
        <v>22</v>
      </c>
      <c r="UF10" s="422" t="s">
        <v>22</v>
      </c>
      <c r="UG10" s="422" t="s">
        <v>22</v>
      </c>
      <c r="UH10" s="457" t="s">
        <v>22</v>
      </c>
      <c r="UI10" s="430" t="s">
        <v>22</v>
      </c>
      <c r="UJ10" s="457" t="s">
        <v>22</v>
      </c>
      <c r="UK10" s="430" t="s">
        <v>22</v>
      </c>
      <c r="UL10" s="422" t="s">
        <v>22</v>
      </c>
      <c r="UM10" s="422" t="s">
        <v>22</v>
      </c>
      <c r="UN10" s="457" t="s">
        <v>22</v>
      </c>
      <c r="UO10" s="430" t="s">
        <v>22</v>
      </c>
      <c r="UP10" s="532" t="s">
        <v>1943</v>
      </c>
      <c r="UQ10" s="422" t="str">
        <f ca="1">CHOOSE(WEEKDAY(DATE($A10,UP$43,UQ$42),2),"Monday","Tuesday","Wednesday","Thursday","Friday","Saturday","Sunday")</f>
        <v>Friday</v>
      </c>
      <c r="UR10" s="457" t="s">
        <v>22</v>
      </c>
      <c r="US10" s="430" t="s">
        <v>22</v>
      </c>
      <c r="UT10" s="457" t="s">
        <v>22</v>
      </c>
      <c r="UU10" s="430" t="s">
        <v>22</v>
      </c>
      <c r="UV10" s="422" t="s">
        <v>22</v>
      </c>
      <c r="UW10" s="422" t="s">
        <v>22</v>
      </c>
      <c r="UX10" s="457" t="s">
        <v>22</v>
      </c>
      <c r="UY10" s="430" t="s">
        <v>22</v>
      </c>
      <c r="UZ10" s="532" t="s">
        <v>1950</v>
      </c>
      <c r="VA10" s="422" t="str">
        <f ca="1">CHOOSE(WEEKDAY(DATE($A10,UZ$43,VA$42),2),"Monday","Tuesday","Wednesday","Thursday","Friday","Saturday","Sunday")</f>
        <v>Wednesday</v>
      </c>
      <c r="VB10" s="457" t="s">
        <v>22</v>
      </c>
      <c r="VC10" s="430" t="s">
        <v>22</v>
      </c>
      <c r="VD10" s="422" t="s">
        <v>22</v>
      </c>
      <c r="VE10" s="422" t="s">
        <v>22</v>
      </c>
      <c r="VF10" s="457" t="s">
        <v>22</v>
      </c>
      <c r="VG10" s="430" t="s">
        <v>22</v>
      </c>
      <c r="VH10" s="457" t="s">
        <v>22</v>
      </c>
      <c r="VI10" s="430" t="s">
        <v>22</v>
      </c>
      <c r="VJ10" s="326" t="s">
        <v>1955</v>
      </c>
      <c r="VK10" s="422" t="str">
        <f ca="1">CHOOSE(WEEKDAY(DATE($A10,VJ$43,VK$42),2),"Monday","Tuesday","Wednesday","Thursday","Friday","Saturday","Sunday")</f>
        <v>Thursday</v>
      </c>
      <c r="VL10" s="457" t="s">
        <v>22</v>
      </c>
      <c r="VM10" s="430" t="s">
        <v>22</v>
      </c>
      <c r="VN10" s="422" t="s">
        <v>22</v>
      </c>
      <c r="VO10" s="422" t="s">
        <v>22</v>
      </c>
      <c r="VP10" s="457" t="s">
        <v>22</v>
      </c>
      <c r="VQ10" s="430" t="s">
        <v>22</v>
      </c>
      <c r="VR10" s="422" t="s">
        <v>22</v>
      </c>
      <c r="VS10" s="422" t="s">
        <v>22</v>
      </c>
      <c r="VT10" s="457" t="s">
        <v>22</v>
      </c>
      <c r="VU10" s="430" t="s">
        <v>22</v>
      </c>
      <c r="VV10" s="531" t="s">
        <v>1963</v>
      </c>
      <c r="VW10" s="430" t="str">
        <f ca="1">CHOOSE(WEEKDAY(DATE($A10,VV$43,VW$42),2),"Monday","Tuesday","Wednesday","Thursday","Friday","Saturday","Sunday")</f>
        <v>Wednesday</v>
      </c>
      <c r="VX10" s="422" t="s">
        <v>22</v>
      </c>
      <c r="VY10" s="430" t="s">
        <v>22</v>
      </c>
      <c r="VZ10" s="530" t="s">
        <v>1971</v>
      </c>
      <c r="WA10" s="430" t="str">
        <f ca="1">CHOOSE(WEEKDAY(DATE($A10,VZ$43,WA$42),2),"Monday","Tuesday","Wednesday","Thursday","Friday","Saturday","Sunday")</f>
        <v>Friday</v>
      </c>
      <c r="WB10" s="422" t="s">
        <v>22</v>
      </c>
      <c r="WC10" s="430" t="s">
        <v>22</v>
      </c>
      <c r="WD10" s="422" t="s">
        <v>22</v>
      </c>
      <c r="WE10" s="422" t="s">
        <v>22</v>
      </c>
      <c r="WF10" s="457" t="s">
        <v>22</v>
      </c>
      <c r="WG10" s="430" t="s">
        <v>22</v>
      </c>
      <c r="WH10" s="532" t="s">
        <v>1973</v>
      </c>
      <c r="WI10" s="422" t="str">
        <f ca="1">CHOOSE(WEEKDAY(DATE($A10,WH$43,WI$42),2),"Monday","Tuesday","Wednesday","Thursday","Friday","Saturday","Sunday")</f>
        <v>Wednesday</v>
      </c>
      <c r="WJ10" s="457" t="s">
        <v>22</v>
      </c>
      <c r="WK10" s="430" t="s">
        <v>22</v>
      </c>
      <c r="WL10" s="532" t="s">
        <v>2029</v>
      </c>
      <c r="WM10" s="422" t="str">
        <f ca="1">CHOOSE(WEEKDAY(DATE($A10,WL$43,WM$42),2),"Monday","Tuesday","Wednesday","Thursday","Friday","Saturday","Sunday")</f>
        <v>Friday</v>
      </c>
      <c r="WN10" s="457" t="s">
        <v>22</v>
      </c>
      <c r="WO10" s="430" t="s">
        <v>22</v>
      </c>
      <c r="WP10" s="422" t="s">
        <v>22</v>
      </c>
      <c r="WQ10" s="422" t="s">
        <v>22</v>
      </c>
      <c r="WR10" s="457" t="s">
        <v>22</v>
      </c>
      <c r="WS10" s="430" t="s">
        <v>22</v>
      </c>
      <c r="WT10" s="457" t="s">
        <v>22</v>
      </c>
      <c r="WU10" s="430" t="s">
        <v>22</v>
      </c>
      <c r="WV10" s="457" t="s">
        <v>22</v>
      </c>
      <c r="WW10" s="430" t="s">
        <v>22</v>
      </c>
      <c r="WX10" s="457" t="s">
        <v>22</v>
      </c>
      <c r="WY10" s="430" t="s">
        <v>22</v>
      </c>
      <c r="WZ10" s="532" t="s">
        <v>2030</v>
      </c>
      <c r="XA10" s="422" t="str">
        <f ca="1">CHOOSE(WEEKDAY(DATE($A10,WZ$43,XA$42),2),"Monday","Tuesday","Wednesday","Thursday","Friday","Saturday","Sunday")</f>
        <v>Friday</v>
      </c>
      <c r="XB10" s="457" t="s">
        <v>22</v>
      </c>
      <c r="XC10" s="430" t="s">
        <v>22</v>
      </c>
      <c r="XD10" s="422" t="s">
        <v>22</v>
      </c>
      <c r="XE10" s="422" t="s">
        <v>22</v>
      </c>
      <c r="XF10" s="457" t="s">
        <v>22</v>
      </c>
      <c r="XG10" s="430" t="s">
        <v>22</v>
      </c>
      <c r="XH10" s="457" t="s">
        <v>22</v>
      </c>
      <c r="XI10" s="430" t="s">
        <v>22</v>
      </c>
      <c r="XJ10" s="532" t="s">
        <v>1991</v>
      </c>
      <c r="XK10" s="422" t="str">
        <f ca="1">CHOOSE(WEEKDAY(DATE($A10,XJ$43,XK$42),2),"Monday","Tuesday","Wednesday","Thursday","Friday","Saturday","Sunday")</f>
        <v>Wednesday</v>
      </c>
      <c r="XL10" s="530" t="s">
        <v>1988</v>
      </c>
      <c r="XM10" s="430" t="str">
        <f ca="1">CHOOSE(WEEKDAY(DATE($A10,XL$43,XM$42),2),"Monday","Tuesday","Wednesday","Thursday","Friday","Saturday","Sunday")</f>
        <v>Thursday</v>
      </c>
      <c r="XN10" s="326" t="s">
        <v>2020</v>
      </c>
      <c r="XO10" s="422" t="str">
        <f ca="1">CHOOSE(WEEKDAY(DATE($A10,XN$43,XO$42),2),"Monday","Tuesday","Wednesday","Thursday","Friday","Saturday","Sunday")</f>
        <v>Friday</v>
      </c>
      <c r="XP10" s="457" t="s">
        <v>22</v>
      </c>
      <c r="XQ10" s="430" t="s">
        <v>22</v>
      </c>
      <c r="XR10" s="422" t="s">
        <v>22</v>
      </c>
      <c r="XS10" s="422" t="s">
        <v>22</v>
      </c>
      <c r="XT10" s="457" t="s">
        <v>22</v>
      </c>
      <c r="XU10" s="430" t="s">
        <v>22</v>
      </c>
      <c r="XV10" s="457" t="s">
        <v>22</v>
      </c>
      <c r="XW10" s="430" t="s">
        <v>22</v>
      </c>
      <c r="XX10" s="422" t="s">
        <v>22</v>
      </c>
      <c r="XY10" s="422" t="s">
        <v>22</v>
      </c>
      <c r="XZ10" s="457" t="s">
        <v>22</v>
      </c>
      <c r="YA10" s="430" t="s">
        <v>22</v>
      </c>
      <c r="YB10" s="422" t="s">
        <v>22</v>
      </c>
      <c r="YC10" s="422" t="s">
        <v>22</v>
      </c>
      <c r="YD10" s="457" t="s">
        <v>22</v>
      </c>
      <c r="YE10" s="430" t="s">
        <v>22</v>
      </c>
    </row>
    <row r="11" spans="1:655" ht="15" x14ac:dyDescent="0.2">
      <c r="A11" s="412"/>
      <c r="B11" s="417"/>
      <c r="C11" s="412"/>
      <c r="D11" s="417"/>
      <c r="E11" s="412"/>
      <c r="F11" s="402"/>
      <c r="G11" s="412"/>
      <c r="H11" s="417"/>
      <c r="I11" s="402"/>
      <c r="J11" s="417"/>
      <c r="K11" s="412"/>
      <c r="L11" s="402"/>
      <c r="M11" s="402"/>
      <c r="N11" s="417"/>
      <c r="O11" s="412"/>
      <c r="P11" s="417"/>
      <c r="Q11" s="412"/>
      <c r="R11" s="417"/>
      <c r="S11" s="412"/>
      <c r="T11" s="417"/>
      <c r="U11" s="412"/>
      <c r="V11" s="402"/>
      <c r="W11" s="402"/>
      <c r="X11" s="417"/>
      <c r="Y11" s="412"/>
      <c r="Z11" s="417"/>
      <c r="AA11" s="412"/>
      <c r="AB11" s="402"/>
      <c r="AC11" s="402"/>
      <c r="AD11" s="417"/>
      <c r="AE11" s="412"/>
      <c r="AF11" s="417"/>
      <c r="AG11" s="412"/>
      <c r="AH11" s="402"/>
      <c r="AI11" s="402"/>
      <c r="AJ11" s="417"/>
      <c r="AK11" s="412"/>
      <c r="AL11" s="402"/>
      <c r="AM11" s="402"/>
      <c r="AN11" s="417"/>
      <c r="AO11" s="412"/>
      <c r="AP11" s="402"/>
      <c r="AQ11" s="402"/>
      <c r="AR11" s="417"/>
      <c r="AS11" s="412"/>
      <c r="AT11" s="402"/>
      <c r="AU11" s="402"/>
      <c r="AV11" s="417"/>
      <c r="AW11" s="412"/>
      <c r="AX11" s="402"/>
      <c r="AY11" s="402"/>
      <c r="AZ11" s="417"/>
      <c r="BA11" s="412"/>
      <c r="BB11" s="402"/>
      <c r="BC11" s="402"/>
      <c r="BD11" s="417"/>
      <c r="BE11" s="412"/>
      <c r="BF11" s="417"/>
      <c r="BG11" s="412"/>
      <c r="BH11" s="402"/>
      <c r="BI11" s="402"/>
      <c r="BJ11" s="417"/>
      <c r="BK11" s="412"/>
      <c r="BL11" s="402"/>
      <c r="BM11" s="402"/>
      <c r="BN11" s="417"/>
      <c r="BO11" s="412"/>
      <c r="BP11" s="417"/>
      <c r="BQ11" s="412"/>
      <c r="BR11" s="402"/>
      <c r="BS11" s="402"/>
      <c r="BT11" s="417"/>
      <c r="BU11" s="412"/>
      <c r="BV11" s="417"/>
      <c r="BW11" s="412"/>
      <c r="BX11" s="402"/>
      <c r="BY11" s="402"/>
      <c r="BZ11" s="417"/>
      <c r="CA11" s="412"/>
      <c r="CB11" s="417"/>
      <c r="CC11" s="412"/>
      <c r="CD11" s="402"/>
      <c r="CE11" s="402"/>
      <c r="CF11" s="417"/>
      <c r="CG11" s="412"/>
      <c r="CH11" s="402"/>
      <c r="CI11" s="402"/>
      <c r="CJ11" s="417"/>
      <c r="CK11" s="412"/>
      <c r="CL11" s="402"/>
      <c r="CM11" s="402"/>
      <c r="CN11" s="417"/>
      <c r="CO11" s="412"/>
      <c r="CP11" s="402"/>
      <c r="CQ11" s="402"/>
      <c r="CR11" s="417"/>
      <c r="CS11" s="412"/>
      <c r="CT11" s="402"/>
      <c r="CU11" s="402"/>
      <c r="CV11" s="417"/>
      <c r="CW11" s="412"/>
      <c r="CX11" s="417"/>
      <c r="CY11" s="402"/>
      <c r="CZ11" s="417"/>
      <c r="DA11" s="402"/>
      <c r="DB11" s="417"/>
      <c r="DC11" s="412"/>
      <c r="DD11" s="402"/>
      <c r="DE11" s="402"/>
      <c r="DF11" s="417"/>
      <c r="DG11" s="412"/>
      <c r="DH11" s="402"/>
      <c r="DI11" s="402"/>
      <c r="DJ11" s="417"/>
      <c r="DK11" s="412"/>
      <c r="DL11" s="402"/>
      <c r="DM11" s="402"/>
      <c r="DN11" s="417"/>
      <c r="DO11" s="412"/>
      <c r="DP11" s="402"/>
      <c r="DQ11" s="402"/>
      <c r="DR11" s="417"/>
      <c r="DS11" s="412"/>
      <c r="DT11" s="402"/>
      <c r="DU11" s="402"/>
      <c r="DV11" s="417"/>
      <c r="DW11" s="412"/>
      <c r="DX11" s="402"/>
      <c r="DY11" s="402"/>
      <c r="DZ11" s="417"/>
      <c r="EA11" s="412"/>
      <c r="EB11" s="417"/>
      <c r="EC11" s="412"/>
      <c r="ED11" s="402"/>
      <c r="EE11" s="402"/>
      <c r="EF11" s="417"/>
      <c r="EG11" s="412"/>
      <c r="EH11" s="402"/>
      <c r="EI11" s="402"/>
      <c r="EJ11" s="417"/>
      <c r="EK11" s="412"/>
      <c r="EL11" s="402"/>
      <c r="EM11" s="402"/>
      <c r="EN11" s="417"/>
      <c r="EO11" s="412"/>
      <c r="EP11" s="402"/>
      <c r="EQ11" s="402"/>
      <c r="ER11" s="417"/>
      <c r="ES11" s="412"/>
      <c r="ET11" s="402"/>
      <c r="EU11" s="402"/>
      <c r="EV11" s="417"/>
      <c r="EW11" s="412"/>
      <c r="EX11" s="402"/>
      <c r="EY11" s="402"/>
      <c r="EZ11" s="417"/>
      <c r="FA11" s="412"/>
      <c r="FB11" s="417"/>
      <c r="FC11" s="412"/>
      <c r="FD11" s="417"/>
      <c r="FE11" s="412"/>
      <c r="FF11" s="402"/>
      <c r="FG11" s="402"/>
      <c r="FH11" s="417"/>
      <c r="FI11" s="412"/>
      <c r="FJ11" s="417"/>
      <c r="FK11" s="412"/>
      <c r="FL11" s="417"/>
      <c r="FM11" s="412"/>
      <c r="FN11" s="402"/>
      <c r="FO11" s="402"/>
      <c r="FP11" s="417"/>
      <c r="FQ11" s="412"/>
      <c r="FR11" s="417"/>
      <c r="FS11" s="412"/>
      <c r="FT11" s="402"/>
      <c r="FU11" s="402"/>
      <c r="FV11" s="417"/>
      <c r="FW11" s="412"/>
      <c r="FX11" s="402"/>
      <c r="FY11" s="402"/>
      <c r="FZ11" s="417"/>
      <c r="GA11" s="412"/>
      <c r="GB11" s="402"/>
      <c r="GC11" s="402"/>
      <c r="GD11" s="417"/>
      <c r="GE11" s="412"/>
      <c r="GF11" s="417"/>
      <c r="GG11" s="412"/>
      <c r="GH11" s="417"/>
      <c r="GI11" s="412"/>
      <c r="GJ11" s="402"/>
      <c r="GK11" s="402"/>
      <c r="GL11" s="417"/>
      <c r="GM11" s="412"/>
      <c r="GN11" s="417"/>
      <c r="GO11" s="412"/>
      <c r="GP11" s="402"/>
      <c r="GQ11" s="402"/>
      <c r="GR11" s="417"/>
      <c r="GS11" s="412"/>
      <c r="GT11" s="417"/>
      <c r="GU11" s="412"/>
      <c r="GV11" s="417"/>
      <c r="GW11" s="412"/>
      <c r="GX11" s="417"/>
      <c r="GY11" s="412"/>
      <c r="GZ11" s="417"/>
      <c r="HA11" s="412"/>
      <c r="HB11" s="417"/>
      <c r="HC11" s="412"/>
      <c r="HD11" s="402"/>
      <c r="HE11" s="402"/>
      <c r="HF11" s="417"/>
      <c r="HG11" s="412"/>
      <c r="HH11" s="417"/>
      <c r="HI11" s="412"/>
      <c r="HJ11" s="402"/>
      <c r="HK11" s="402"/>
      <c r="HL11" s="417"/>
      <c r="HM11" s="412"/>
      <c r="HN11" s="417"/>
      <c r="HO11" s="412"/>
      <c r="HP11" s="402"/>
      <c r="HQ11" s="402"/>
      <c r="HR11" s="417"/>
      <c r="HS11" s="412"/>
      <c r="HT11" s="417"/>
      <c r="HU11" s="412"/>
      <c r="HV11" s="417"/>
      <c r="HW11" s="412"/>
      <c r="HX11" s="417"/>
      <c r="HY11" s="412"/>
      <c r="HZ11" s="402"/>
      <c r="IA11" s="402"/>
      <c r="IB11" s="417"/>
      <c r="IC11" s="412"/>
      <c r="ID11" s="402"/>
      <c r="IE11" s="402"/>
      <c r="IF11" s="417"/>
      <c r="IG11" s="412"/>
      <c r="IH11" s="402"/>
      <c r="II11" s="402"/>
      <c r="IJ11" s="417"/>
      <c r="IK11" s="412"/>
      <c r="IL11" s="417"/>
      <c r="IM11" s="412"/>
      <c r="IN11" s="417"/>
      <c r="IO11" s="412"/>
      <c r="IP11" s="417"/>
      <c r="IQ11" s="412"/>
      <c r="IR11" s="402"/>
      <c r="IS11" s="402"/>
      <c r="IT11" s="417"/>
      <c r="IU11" s="412"/>
      <c r="IV11" s="417"/>
      <c r="IW11" s="412"/>
      <c r="IX11" s="417"/>
      <c r="IY11" s="412"/>
      <c r="IZ11" s="402"/>
      <c r="JA11" s="402"/>
      <c r="JB11" s="417"/>
      <c r="JC11" s="412"/>
      <c r="JD11" s="402"/>
      <c r="JE11" s="402"/>
      <c r="JF11" s="417"/>
      <c r="JG11" s="412"/>
      <c r="JH11" s="417"/>
      <c r="JI11" s="412"/>
      <c r="JJ11" s="417"/>
      <c r="JK11" s="412"/>
      <c r="JL11" s="402"/>
      <c r="JM11" s="402"/>
      <c r="JN11" s="417"/>
      <c r="JO11" s="412"/>
      <c r="JP11" s="402"/>
      <c r="JQ11" s="402"/>
      <c r="JR11" s="417"/>
      <c r="JS11" s="412"/>
      <c r="JT11" s="402"/>
      <c r="JU11" s="402"/>
      <c r="JV11" s="417"/>
      <c r="JW11" s="412"/>
      <c r="JX11" s="402"/>
      <c r="JY11" s="402"/>
      <c r="JZ11" s="417"/>
      <c r="KA11" s="412"/>
      <c r="KB11" s="417"/>
      <c r="KC11" s="412"/>
      <c r="KD11" s="417"/>
      <c r="KE11" s="412"/>
      <c r="KF11" s="402"/>
      <c r="KG11" s="402"/>
      <c r="KH11" s="417"/>
      <c r="KI11" s="412"/>
      <c r="KJ11" s="417"/>
      <c r="KK11" s="412"/>
      <c r="KL11" s="417"/>
      <c r="KM11" s="412"/>
      <c r="KN11" s="402"/>
      <c r="KO11" s="402"/>
      <c r="KP11" s="417"/>
      <c r="KQ11" s="412"/>
      <c r="KR11" s="402"/>
      <c r="KS11" s="402"/>
      <c r="KT11" s="417"/>
      <c r="KU11" s="412"/>
      <c r="KV11" s="402"/>
      <c r="KW11" s="402"/>
      <c r="KX11" s="417"/>
      <c r="KY11" s="412"/>
      <c r="KZ11" s="402"/>
      <c r="LA11" s="402"/>
      <c r="LB11" s="417"/>
      <c r="LC11" s="412"/>
      <c r="LD11" s="402"/>
      <c r="LE11" s="402"/>
      <c r="LF11" s="417"/>
      <c r="LG11" s="412"/>
      <c r="LH11" s="402"/>
      <c r="LI11" s="402"/>
      <c r="LJ11" s="417"/>
      <c r="LK11" s="412"/>
      <c r="LL11" s="402"/>
      <c r="LM11" s="402"/>
      <c r="LN11" s="417"/>
      <c r="LO11" s="412"/>
      <c r="LP11" s="402"/>
      <c r="LQ11" s="402"/>
      <c r="LR11" s="417"/>
      <c r="LS11" s="412"/>
      <c r="LT11" s="402"/>
      <c r="LU11" s="402"/>
      <c r="LV11" s="417"/>
      <c r="LW11" s="412"/>
      <c r="LX11" s="402"/>
      <c r="LY11" s="402"/>
      <c r="LZ11" s="417"/>
      <c r="MA11" s="412"/>
      <c r="MB11" s="402"/>
      <c r="MC11" s="402"/>
      <c r="MD11" s="417"/>
      <c r="ME11" s="412"/>
      <c r="MF11" s="402"/>
      <c r="MG11" s="402"/>
      <c r="MH11" s="417"/>
      <c r="MI11" s="412"/>
      <c r="MJ11" s="417"/>
      <c r="MK11" s="412"/>
      <c r="ML11" s="417"/>
      <c r="MM11" s="412"/>
      <c r="MN11" s="402"/>
      <c r="MO11" s="402"/>
      <c r="MP11" s="417"/>
      <c r="MQ11" s="412"/>
      <c r="MR11" s="402"/>
      <c r="MS11" s="402"/>
      <c r="MT11" s="417"/>
      <c r="MU11" s="412"/>
      <c r="MV11" s="402"/>
      <c r="MW11" s="402"/>
      <c r="MX11" s="417"/>
      <c r="MY11" s="412"/>
      <c r="MZ11" s="417"/>
      <c r="NA11" s="412"/>
      <c r="NB11" s="417"/>
      <c r="NC11" s="412"/>
      <c r="ND11" s="417"/>
      <c r="NE11" s="412"/>
      <c r="NF11" s="402"/>
      <c r="NG11" s="402"/>
      <c r="NH11" s="417"/>
      <c r="NI11" s="412"/>
      <c r="NJ11" s="402"/>
      <c r="NK11" s="402"/>
      <c r="NL11" s="417"/>
      <c r="NM11" s="412"/>
      <c r="NN11" s="402"/>
      <c r="NO11" s="412"/>
      <c r="NP11" s="402"/>
      <c r="NQ11" s="402"/>
      <c r="NR11" s="417"/>
      <c r="NS11" s="412"/>
      <c r="NT11" s="402"/>
      <c r="NU11" s="402"/>
      <c r="NV11" s="417"/>
      <c r="NW11" s="412"/>
      <c r="NX11" s="402"/>
      <c r="NY11" s="402"/>
      <c r="NZ11" s="417"/>
      <c r="OA11" s="412"/>
      <c r="OB11" s="402"/>
      <c r="OC11" s="402"/>
      <c r="OD11" s="417"/>
      <c r="OE11" s="412"/>
      <c r="OF11" s="402"/>
      <c r="OG11" s="402"/>
      <c r="OH11" s="417"/>
      <c r="OI11" s="412"/>
      <c r="OJ11" s="402"/>
      <c r="OK11" s="402"/>
      <c r="OL11" s="417"/>
      <c r="OM11" s="412"/>
      <c r="ON11" s="417"/>
      <c r="OO11" s="412"/>
      <c r="OP11" s="402"/>
      <c r="OQ11" s="402"/>
      <c r="OR11" s="417"/>
      <c r="OS11" s="412"/>
      <c r="OT11" s="417"/>
      <c r="OU11" s="412"/>
      <c r="OV11" s="402"/>
      <c r="OW11" s="402"/>
      <c r="OX11" s="417"/>
      <c r="OY11" s="412"/>
      <c r="OZ11" s="402"/>
      <c r="PA11" s="402"/>
      <c r="PB11" s="417"/>
      <c r="PC11" s="412"/>
      <c r="PD11" s="402"/>
      <c r="PE11" s="402"/>
      <c r="PF11" s="417"/>
      <c r="PG11" s="402"/>
      <c r="PH11" s="417"/>
      <c r="PI11" s="412"/>
      <c r="PJ11" s="417"/>
      <c r="PK11" s="412"/>
      <c r="PL11" s="402"/>
      <c r="PM11" s="402"/>
      <c r="PN11" s="417"/>
      <c r="PO11" s="412"/>
      <c r="PP11" s="402"/>
      <c r="PQ11" s="402"/>
      <c r="PR11" s="417"/>
      <c r="PS11" s="412"/>
      <c r="PT11" s="402"/>
      <c r="PU11" s="402"/>
      <c r="PV11" s="417"/>
      <c r="PW11" s="412"/>
      <c r="PX11" s="402"/>
      <c r="PY11" s="402"/>
      <c r="PZ11" s="417"/>
      <c r="QA11" s="412"/>
      <c r="QB11" s="402"/>
      <c r="QC11" s="402"/>
      <c r="QD11" s="417"/>
      <c r="QE11" s="412"/>
      <c r="QF11" s="402"/>
      <c r="QG11" s="402"/>
      <c r="QH11" s="417"/>
      <c r="QI11" s="412"/>
      <c r="QJ11" s="402"/>
      <c r="QK11" s="402"/>
      <c r="QL11" s="417"/>
      <c r="QM11" s="412"/>
      <c r="QN11" s="402"/>
      <c r="QO11" s="402"/>
      <c r="QP11" s="417"/>
      <c r="QQ11" s="412"/>
      <c r="QR11" s="402"/>
      <c r="QS11" s="402"/>
      <c r="QT11" s="417"/>
      <c r="QU11" s="412"/>
      <c r="QV11" s="402"/>
      <c r="QW11" s="402"/>
      <c r="QX11" s="417"/>
      <c r="QY11" s="412"/>
      <c r="QZ11" s="417"/>
      <c r="RA11" s="412"/>
      <c r="RB11" s="417"/>
      <c r="RC11" s="412"/>
      <c r="RD11" s="402"/>
      <c r="RE11" s="402"/>
      <c r="RF11" s="417"/>
      <c r="RG11" s="412"/>
      <c r="RH11" s="402"/>
      <c r="RI11" s="402"/>
      <c r="RJ11" s="417"/>
      <c r="RK11" s="412"/>
      <c r="RL11" s="417"/>
      <c r="RM11" s="412"/>
      <c r="RN11" s="402"/>
      <c r="RO11" s="402"/>
      <c r="RP11" s="417"/>
      <c r="RQ11" s="412"/>
      <c r="RR11" s="402"/>
      <c r="RS11" s="402"/>
      <c r="RT11" s="417"/>
      <c r="RU11" s="412"/>
      <c r="RV11" s="402"/>
      <c r="RW11" s="402"/>
      <c r="RX11" s="417"/>
      <c r="RY11" s="412"/>
      <c r="RZ11" s="417"/>
      <c r="SA11" s="412"/>
      <c r="SB11" s="417"/>
      <c r="SC11" s="412"/>
      <c r="SD11" s="402"/>
      <c r="SE11" s="402"/>
      <c r="SF11" s="417"/>
      <c r="SG11" s="412"/>
      <c r="SH11" s="402"/>
      <c r="SI11" s="402"/>
      <c r="SJ11" s="417"/>
      <c r="SK11" s="412"/>
      <c r="SL11" s="417"/>
      <c r="SM11" s="412"/>
      <c r="SN11" s="402"/>
      <c r="SO11" s="402"/>
      <c r="SP11" s="417"/>
      <c r="SQ11" s="412"/>
      <c r="SR11" s="402"/>
      <c r="SS11" s="402"/>
      <c r="ST11" s="417"/>
      <c r="SU11" s="412"/>
      <c r="SV11" s="402"/>
      <c r="SW11" s="402"/>
      <c r="SX11" s="417"/>
      <c r="SY11" s="412"/>
      <c r="SZ11" s="402"/>
      <c r="TA11" s="402"/>
      <c r="TB11" s="417"/>
      <c r="TC11" s="412"/>
      <c r="TD11" s="402"/>
      <c r="TE11" s="402"/>
      <c r="TF11" s="417"/>
      <c r="TG11" s="412"/>
      <c r="TH11" s="402"/>
      <c r="TI11" s="412"/>
      <c r="TJ11" s="402"/>
      <c r="TK11" s="402"/>
      <c r="TL11" s="417"/>
      <c r="TM11" s="412"/>
      <c r="TN11" s="402"/>
      <c r="TO11" s="402"/>
      <c r="TP11" s="417"/>
      <c r="TQ11" s="412"/>
      <c r="TR11" s="402"/>
      <c r="TS11" s="402"/>
      <c r="TT11" s="417"/>
      <c r="TU11" s="412"/>
      <c r="TV11" s="417"/>
      <c r="TW11" s="412"/>
      <c r="TX11" s="417"/>
      <c r="TY11" s="412"/>
      <c r="TZ11" s="417"/>
      <c r="UA11" s="412"/>
      <c r="UB11" s="402"/>
      <c r="UC11" s="402"/>
      <c r="UD11" s="417"/>
      <c r="UE11" s="412"/>
      <c r="UF11" s="402"/>
      <c r="UG11" s="402"/>
      <c r="UH11" s="417"/>
      <c r="UI11" s="412"/>
      <c r="UJ11" s="417"/>
      <c r="UK11" s="412"/>
      <c r="UL11" s="402"/>
      <c r="UM11" s="402"/>
      <c r="UN11" s="417"/>
      <c r="UO11" s="412"/>
      <c r="UP11" s="402"/>
      <c r="UQ11" s="402"/>
      <c r="UR11" s="417"/>
      <c r="US11" s="412"/>
      <c r="UT11" s="417"/>
      <c r="UU11" s="412"/>
      <c r="UV11" s="402"/>
      <c r="UW11" s="402"/>
      <c r="UX11" s="417"/>
      <c r="UY11" s="412"/>
      <c r="UZ11" s="402"/>
      <c r="VA11" s="402"/>
      <c r="VB11" s="417"/>
      <c r="VC11" s="412"/>
      <c r="VD11" s="402"/>
      <c r="VE11" s="402"/>
      <c r="VF11" s="417"/>
      <c r="VG11" s="412"/>
      <c r="VH11" s="417"/>
      <c r="VI11" s="412"/>
      <c r="VJ11" s="335" t="s">
        <v>2031</v>
      </c>
      <c r="VK11" s="402"/>
      <c r="VL11" s="417"/>
      <c r="VM11" s="412"/>
      <c r="VN11" s="402"/>
      <c r="VO11" s="402"/>
      <c r="VP11" s="417"/>
      <c r="VQ11" s="412"/>
      <c r="VR11" s="402"/>
      <c r="VS11" s="402"/>
      <c r="VT11" s="417"/>
      <c r="VU11" s="412"/>
      <c r="VV11" s="417"/>
      <c r="VW11" s="412"/>
      <c r="VX11" s="402"/>
      <c r="VY11" s="412"/>
      <c r="VZ11" s="417"/>
      <c r="WA11" s="412"/>
      <c r="WB11" s="402"/>
      <c r="WC11" s="412"/>
      <c r="WD11" s="402"/>
      <c r="WE11" s="402"/>
      <c r="WF11" s="417"/>
      <c r="WG11" s="412"/>
      <c r="WH11" s="402"/>
      <c r="WI11" s="402"/>
      <c r="WJ11" s="417"/>
      <c r="WK11" s="412"/>
      <c r="WL11" s="402"/>
      <c r="WM11" s="402"/>
      <c r="WN11" s="417"/>
      <c r="WO11" s="412"/>
      <c r="WP11" s="402"/>
      <c r="WQ11" s="402"/>
      <c r="WR11" s="417"/>
      <c r="WS11" s="412"/>
      <c r="WT11" s="417"/>
      <c r="WU11" s="412"/>
      <c r="WV11" s="417"/>
      <c r="WW11" s="412"/>
      <c r="WX11" s="417"/>
      <c r="WY11" s="412"/>
      <c r="WZ11" s="402"/>
      <c r="XA11" s="402"/>
      <c r="XB11" s="417"/>
      <c r="XC11" s="412"/>
      <c r="XD11" s="402"/>
      <c r="XE11" s="402"/>
      <c r="XF11" s="417"/>
      <c r="XG11" s="412"/>
      <c r="XH11" s="417"/>
      <c r="XI11" s="412"/>
      <c r="XJ11" s="402"/>
      <c r="XK11" s="402"/>
      <c r="XL11" s="417"/>
      <c r="XM11" s="412"/>
      <c r="XN11" s="332" t="s">
        <v>2020</v>
      </c>
      <c r="XO11" s="402"/>
      <c r="XP11" s="417"/>
      <c r="XQ11" s="412"/>
      <c r="XR11" s="402"/>
      <c r="XS11" s="402"/>
      <c r="XT11" s="417"/>
      <c r="XU11" s="412"/>
      <c r="XV11" s="417"/>
      <c r="XW11" s="412"/>
      <c r="XX11" s="402"/>
      <c r="XY11" s="402"/>
      <c r="XZ11" s="417"/>
      <c r="YA11" s="412"/>
      <c r="YB11" s="402"/>
      <c r="YC11" s="402"/>
      <c r="YD11" s="417"/>
      <c r="YE11" s="412"/>
    </row>
    <row r="12" spans="1:655" ht="12.75" x14ac:dyDescent="0.2">
      <c r="A12" s="412"/>
      <c r="B12" s="417"/>
      <c r="C12" s="412"/>
      <c r="D12" s="417"/>
      <c r="E12" s="412"/>
      <c r="F12" s="402"/>
      <c r="G12" s="412"/>
      <c r="H12" s="417"/>
      <c r="I12" s="402"/>
      <c r="J12" s="417"/>
      <c r="K12" s="412"/>
      <c r="L12" s="402"/>
      <c r="M12" s="402"/>
      <c r="N12" s="417"/>
      <c r="O12" s="412"/>
      <c r="P12" s="417"/>
      <c r="Q12" s="412"/>
      <c r="R12" s="417"/>
      <c r="S12" s="412"/>
      <c r="T12" s="417"/>
      <c r="U12" s="412"/>
      <c r="V12" s="402"/>
      <c r="W12" s="402"/>
      <c r="X12" s="417"/>
      <c r="Y12" s="412"/>
      <c r="Z12" s="417"/>
      <c r="AA12" s="412"/>
      <c r="AB12" s="402"/>
      <c r="AC12" s="402"/>
      <c r="AD12" s="417"/>
      <c r="AE12" s="412"/>
      <c r="AF12" s="417"/>
      <c r="AG12" s="412"/>
      <c r="AH12" s="402"/>
      <c r="AI12" s="402"/>
      <c r="AJ12" s="417"/>
      <c r="AK12" s="412"/>
      <c r="AL12" s="402"/>
      <c r="AM12" s="402"/>
      <c r="AN12" s="417"/>
      <c r="AO12" s="412"/>
      <c r="AP12" s="402"/>
      <c r="AQ12" s="402"/>
      <c r="AR12" s="417"/>
      <c r="AS12" s="412"/>
      <c r="AT12" s="402"/>
      <c r="AU12" s="402"/>
      <c r="AV12" s="417"/>
      <c r="AW12" s="412"/>
      <c r="AX12" s="402"/>
      <c r="AY12" s="402"/>
      <c r="AZ12" s="417"/>
      <c r="BA12" s="412"/>
      <c r="BB12" s="402"/>
      <c r="BC12" s="402"/>
      <c r="BD12" s="417"/>
      <c r="BE12" s="412"/>
      <c r="BF12" s="417"/>
      <c r="BG12" s="412"/>
      <c r="BH12" s="402"/>
      <c r="BI12" s="402"/>
      <c r="BJ12" s="417"/>
      <c r="BK12" s="412"/>
      <c r="BL12" s="402"/>
      <c r="BM12" s="402"/>
      <c r="BN12" s="417"/>
      <c r="BO12" s="412"/>
      <c r="BP12" s="417"/>
      <c r="BQ12" s="412"/>
      <c r="BR12" s="402"/>
      <c r="BS12" s="402"/>
      <c r="BT12" s="417"/>
      <c r="BU12" s="412"/>
      <c r="BV12" s="417"/>
      <c r="BW12" s="412"/>
      <c r="BX12" s="402"/>
      <c r="BY12" s="402"/>
      <c r="BZ12" s="417"/>
      <c r="CA12" s="412"/>
      <c r="CB12" s="417"/>
      <c r="CC12" s="412"/>
      <c r="CD12" s="402"/>
      <c r="CE12" s="402"/>
      <c r="CF12" s="417"/>
      <c r="CG12" s="412"/>
      <c r="CH12" s="402"/>
      <c r="CI12" s="402"/>
      <c r="CJ12" s="417"/>
      <c r="CK12" s="412"/>
      <c r="CL12" s="402"/>
      <c r="CM12" s="402"/>
      <c r="CN12" s="417"/>
      <c r="CO12" s="412"/>
      <c r="CP12" s="402"/>
      <c r="CQ12" s="402"/>
      <c r="CR12" s="417"/>
      <c r="CS12" s="412"/>
      <c r="CT12" s="402"/>
      <c r="CU12" s="402"/>
      <c r="CV12" s="417"/>
      <c r="CW12" s="412"/>
      <c r="CX12" s="417"/>
      <c r="CY12" s="402"/>
      <c r="CZ12" s="417"/>
      <c r="DA12" s="402"/>
      <c r="DB12" s="417"/>
      <c r="DC12" s="412"/>
      <c r="DD12" s="402"/>
      <c r="DE12" s="402"/>
      <c r="DF12" s="417"/>
      <c r="DG12" s="412"/>
      <c r="DH12" s="402"/>
      <c r="DI12" s="402"/>
      <c r="DJ12" s="417"/>
      <c r="DK12" s="412"/>
      <c r="DL12" s="402"/>
      <c r="DM12" s="402"/>
      <c r="DN12" s="417"/>
      <c r="DO12" s="412"/>
      <c r="DP12" s="402"/>
      <c r="DQ12" s="402"/>
      <c r="DR12" s="417"/>
      <c r="DS12" s="412"/>
      <c r="DT12" s="402"/>
      <c r="DU12" s="402"/>
      <c r="DV12" s="417"/>
      <c r="DW12" s="412"/>
      <c r="DX12" s="402"/>
      <c r="DY12" s="402"/>
      <c r="DZ12" s="417"/>
      <c r="EA12" s="412"/>
      <c r="EB12" s="417"/>
      <c r="EC12" s="412"/>
      <c r="ED12" s="402"/>
      <c r="EE12" s="402"/>
      <c r="EF12" s="417"/>
      <c r="EG12" s="412"/>
      <c r="EH12" s="402"/>
      <c r="EI12" s="402"/>
      <c r="EJ12" s="417"/>
      <c r="EK12" s="412"/>
      <c r="EL12" s="402"/>
      <c r="EM12" s="402"/>
      <c r="EN12" s="417"/>
      <c r="EO12" s="412"/>
      <c r="EP12" s="402"/>
      <c r="EQ12" s="402"/>
      <c r="ER12" s="417"/>
      <c r="ES12" s="412"/>
      <c r="ET12" s="402"/>
      <c r="EU12" s="402"/>
      <c r="EV12" s="417"/>
      <c r="EW12" s="412"/>
      <c r="EX12" s="402"/>
      <c r="EY12" s="402"/>
      <c r="EZ12" s="417"/>
      <c r="FA12" s="412"/>
      <c r="FB12" s="417"/>
      <c r="FC12" s="412"/>
      <c r="FD12" s="417"/>
      <c r="FE12" s="412"/>
      <c r="FF12" s="402"/>
      <c r="FG12" s="402"/>
      <c r="FH12" s="417"/>
      <c r="FI12" s="412"/>
      <c r="FJ12" s="417"/>
      <c r="FK12" s="412"/>
      <c r="FL12" s="417"/>
      <c r="FM12" s="412"/>
      <c r="FN12" s="402"/>
      <c r="FO12" s="402"/>
      <c r="FP12" s="417"/>
      <c r="FQ12" s="412"/>
      <c r="FR12" s="417"/>
      <c r="FS12" s="412"/>
      <c r="FT12" s="402"/>
      <c r="FU12" s="402"/>
      <c r="FV12" s="417"/>
      <c r="FW12" s="412"/>
      <c r="FX12" s="402"/>
      <c r="FY12" s="402"/>
      <c r="FZ12" s="534" t="s">
        <v>1901</v>
      </c>
      <c r="GA12" s="412"/>
      <c r="GB12" s="402"/>
      <c r="GC12" s="402"/>
      <c r="GD12" s="417"/>
      <c r="GE12" s="412"/>
      <c r="GF12" s="417"/>
      <c r="GG12" s="412"/>
      <c r="GH12" s="417"/>
      <c r="GI12" s="412"/>
      <c r="GJ12" s="402"/>
      <c r="GK12" s="402"/>
      <c r="GL12" s="417"/>
      <c r="GM12" s="412"/>
      <c r="GN12" s="417"/>
      <c r="GO12" s="412"/>
      <c r="GP12" s="402"/>
      <c r="GQ12" s="402"/>
      <c r="GR12" s="417"/>
      <c r="GS12" s="412"/>
      <c r="GT12" s="417"/>
      <c r="GU12" s="412"/>
      <c r="GV12" s="417"/>
      <c r="GW12" s="412"/>
      <c r="GX12" s="417"/>
      <c r="GY12" s="412"/>
      <c r="GZ12" s="417"/>
      <c r="HA12" s="412"/>
      <c r="HB12" s="417"/>
      <c r="HC12" s="412"/>
      <c r="HD12" s="402"/>
      <c r="HE12" s="402"/>
      <c r="HF12" s="417"/>
      <c r="HG12" s="412"/>
      <c r="HH12" s="417"/>
      <c r="HI12" s="412"/>
      <c r="HJ12" s="402"/>
      <c r="HK12" s="402"/>
      <c r="HL12" s="417"/>
      <c r="HM12" s="412"/>
      <c r="HN12" s="417"/>
      <c r="HO12" s="412"/>
      <c r="HP12" s="402"/>
      <c r="HQ12" s="402"/>
      <c r="HR12" s="417"/>
      <c r="HS12" s="412"/>
      <c r="HT12" s="417"/>
      <c r="HU12" s="412"/>
      <c r="HV12" s="417"/>
      <c r="HW12" s="412"/>
      <c r="HX12" s="417"/>
      <c r="HY12" s="412"/>
      <c r="HZ12" s="402"/>
      <c r="IA12" s="402"/>
      <c r="IB12" s="534" t="s">
        <v>1914</v>
      </c>
      <c r="IC12" s="412"/>
      <c r="ID12" s="402"/>
      <c r="IE12" s="402"/>
      <c r="IF12" s="417"/>
      <c r="IG12" s="412"/>
      <c r="IH12" s="402"/>
      <c r="II12" s="402"/>
      <c r="IJ12" s="417"/>
      <c r="IK12" s="412"/>
      <c r="IL12" s="417"/>
      <c r="IM12" s="412"/>
      <c r="IN12" s="417"/>
      <c r="IO12" s="412"/>
      <c r="IP12" s="417"/>
      <c r="IQ12" s="412"/>
      <c r="IR12" s="402"/>
      <c r="IS12" s="402"/>
      <c r="IT12" s="417"/>
      <c r="IU12" s="412"/>
      <c r="IV12" s="417"/>
      <c r="IW12" s="412"/>
      <c r="IX12" s="417"/>
      <c r="IY12" s="412"/>
      <c r="IZ12" s="402"/>
      <c r="JA12" s="402"/>
      <c r="JB12" s="417"/>
      <c r="JC12" s="412"/>
      <c r="JD12" s="402"/>
      <c r="JE12" s="402"/>
      <c r="JF12" s="417"/>
      <c r="JG12" s="412"/>
      <c r="JH12" s="417"/>
      <c r="JI12" s="412"/>
      <c r="JJ12" s="417"/>
      <c r="JK12" s="412"/>
      <c r="JL12" s="402"/>
      <c r="JM12" s="402"/>
      <c r="JN12" s="417"/>
      <c r="JO12" s="412"/>
      <c r="JP12" s="402"/>
      <c r="JQ12" s="402"/>
      <c r="JR12" s="417"/>
      <c r="JS12" s="412"/>
      <c r="JT12" s="402"/>
      <c r="JU12" s="402"/>
      <c r="JV12" s="417"/>
      <c r="JW12" s="412"/>
      <c r="JX12" s="402"/>
      <c r="JY12" s="402"/>
      <c r="JZ12" s="417"/>
      <c r="KA12" s="412"/>
      <c r="KB12" s="417"/>
      <c r="KC12" s="412"/>
      <c r="KD12" s="417"/>
      <c r="KE12" s="412"/>
      <c r="KF12" s="402"/>
      <c r="KG12" s="402"/>
      <c r="KH12" s="417"/>
      <c r="KI12" s="412"/>
      <c r="KJ12" s="417"/>
      <c r="KK12" s="412"/>
      <c r="KL12" s="417"/>
      <c r="KM12" s="412"/>
      <c r="KN12" s="402"/>
      <c r="KO12" s="402"/>
      <c r="KP12" s="417"/>
      <c r="KQ12" s="412"/>
      <c r="KR12" s="402"/>
      <c r="KS12" s="402"/>
      <c r="KT12" s="417"/>
      <c r="KU12" s="412"/>
      <c r="KV12" s="402"/>
      <c r="KW12" s="402"/>
      <c r="KX12" s="417"/>
      <c r="KY12" s="412"/>
      <c r="KZ12" s="402"/>
      <c r="LA12" s="402"/>
      <c r="LB12" s="417"/>
      <c r="LC12" s="412"/>
      <c r="LD12" s="402"/>
      <c r="LE12" s="402"/>
      <c r="LF12" s="417"/>
      <c r="LG12" s="412"/>
      <c r="LH12" s="402"/>
      <c r="LI12" s="402"/>
      <c r="LJ12" s="417"/>
      <c r="LK12" s="412"/>
      <c r="LL12" s="402"/>
      <c r="LM12" s="402"/>
      <c r="LN12" s="417"/>
      <c r="LO12" s="412"/>
      <c r="LP12" s="402"/>
      <c r="LQ12" s="402"/>
      <c r="LR12" s="417"/>
      <c r="LS12" s="412"/>
      <c r="LT12" s="402"/>
      <c r="LU12" s="402"/>
      <c r="LV12" s="417"/>
      <c r="LW12" s="412"/>
      <c r="LX12" s="402"/>
      <c r="LY12" s="402"/>
      <c r="LZ12" s="417"/>
      <c r="MA12" s="412"/>
      <c r="MB12" s="402"/>
      <c r="MC12" s="402"/>
      <c r="MD12" s="417"/>
      <c r="ME12" s="412"/>
      <c r="MF12" s="402"/>
      <c r="MG12" s="402"/>
      <c r="MH12" s="417"/>
      <c r="MI12" s="412"/>
      <c r="MJ12" s="417"/>
      <c r="MK12" s="412"/>
      <c r="ML12" s="417"/>
      <c r="MM12" s="412"/>
      <c r="MN12" s="402"/>
      <c r="MO12" s="402"/>
      <c r="MP12" s="417"/>
      <c r="MQ12" s="412"/>
      <c r="MR12" s="402"/>
      <c r="MS12" s="402"/>
      <c r="MT12" s="417"/>
      <c r="MU12" s="412"/>
      <c r="MV12" s="402"/>
      <c r="MW12" s="402"/>
      <c r="MX12" s="417"/>
      <c r="MY12" s="412"/>
      <c r="MZ12" s="417"/>
      <c r="NA12" s="412"/>
      <c r="NB12" s="417"/>
      <c r="NC12" s="412"/>
      <c r="ND12" s="417"/>
      <c r="NE12" s="412"/>
      <c r="NF12" s="402"/>
      <c r="NG12" s="402"/>
      <c r="NH12" s="417"/>
      <c r="NI12" s="412"/>
      <c r="NJ12" s="402"/>
      <c r="NK12" s="402"/>
      <c r="NL12" s="534" t="s">
        <v>1914</v>
      </c>
      <c r="NM12" s="412"/>
      <c r="NN12" s="402"/>
      <c r="NO12" s="412"/>
      <c r="NP12" s="402"/>
      <c r="NQ12" s="402"/>
      <c r="NR12" s="417"/>
      <c r="NS12" s="412"/>
      <c r="NT12" s="402"/>
      <c r="NU12" s="402"/>
      <c r="NV12" s="417"/>
      <c r="NW12" s="412"/>
      <c r="NX12" s="402"/>
      <c r="NY12" s="402"/>
      <c r="NZ12" s="417"/>
      <c r="OA12" s="412"/>
      <c r="OB12" s="402"/>
      <c r="OC12" s="402"/>
      <c r="OD12" s="417"/>
      <c r="OE12" s="412"/>
      <c r="OF12" s="402"/>
      <c r="OG12" s="402"/>
      <c r="OH12" s="417"/>
      <c r="OI12" s="412"/>
      <c r="OJ12" s="529" t="s">
        <v>1954</v>
      </c>
      <c r="OK12" s="402"/>
      <c r="OL12" s="417"/>
      <c r="OM12" s="412"/>
      <c r="ON12" s="417"/>
      <c r="OO12" s="412"/>
      <c r="OP12" s="402"/>
      <c r="OQ12" s="402"/>
      <c r="OR12" s="417"/>
      <c r="OS12" s="412"/>
      <c r="OT12" s="417"/>
      <c r="OU12" s="412"/>
      <c r="OV12" s="402"/>
      <c r="OW12" s="402"/>
      <c r="OX12" s="417"/>
      <c r="OY12" s="412"/>
      <c r="OZ12" s="402"/>
      <c r="PA12" s="402"/>
      <c r="PB12" s="417"/>
      <c r="PC12" s="412"/>
      <c r="PD12" s="402"/>
      <c r="PE12" s="402"/>
      <c r="PF12" s="417"/>
      <c r="PG12" s="402"/>
      <c r="PH12" s="417"/>
      <c r="PI12" s="412"/>
      <c r="PJ12" s="417"/>
      <c r="PK12" s="412"/>
      <c r="PL12" s="402"/>
      <c r="PM12" s="402"/>
      <c r="PN12" s="417"/>
      <c r="PO12" s="412"/>
      <c r="PP12" s="402"/>
      <c r="PQ12" s="402"/>
      <c r="PR12" s="417"/>
      <c r="PS12" s="412"/>
      <c r="PT12" s="402"/>
      <c r="PU12" s="402"/>
      <c r="PV12" s="417"/>
      <c r="PW12" s="412"/>
      <c r="PX12" s="402"/>
      <c r="PY12" s="402"/>
      <c r="PZ12" s="417"/>
      <c r="QA12" s="412"/>
      <c r="QB12" s="402"/>
      <c r="QC12" s="402"/>
      <c r="QD12" s="417"/>
      <c r="QE12" s="412"/>
      <c r="QF12" s="402"/>
      <c r="QG12" s="402"/>
      <c r="QH12" s="417"/>
      <c r="QI12" s="412"/>
      <c r="QJ12" s="402"/>
      <c r="QK12" s="402"/>
      <c r="QL12" s="417"/>
      <c r="QM12" s="412"/>
      <c r="QN12" s="402"/>
      <c r="QO12" s="402"/>
      <c r="QP12" s="417"/>
      <c r="QQ12" s="412"/>
      <c r="QR12" s="402"/>
      <c r="QS12" s="402"/>
      <c r="QT12" s="417"/>
      <c r="QU12" s="412"/>
      <c r="QV12" s="402"/>
      <c r="QW12" s="402"/>
      <c r="QX12" s="417"/>
      <c r="QY12" s="412"/>
      <c r="QZ12" s="417"/>
      <c r="RA12" s="412"/>
      <c r="RB12" s="417"/>
      <c r="RC12" s="412"/>
      <c r="RD12" s="529" t="s">
        <v>1883</v>
      </c>
      <c r="RE12" s="402"/>
      <c r="RF12" s="417"/>
      <c r="RG12" s="412"/>
      <c r="RH12" s="402"/>
      <c r="RI12" s="402"/>
      <c r="RJ12" s="417"/>
      <c r="RK12" s="412"/>
      <c r="RL12" s="417"/>
      <c r="RM12" s="412"/>
      <c r="RN12" s="402"/>
      <c r="RO12" s="402"/>
      <c r="RP12" s="417"/>
      <c r="RQ12" s="412"/>
      <c r="RR12" s="402"/>
      <c r="RS12" s="402"/>
      <c r="RT12" s="417"/>
      <c r="RU12" s="412"/>
      <c r="RV12" s="402"/>
      <c r="RW12" s="402"/>
      <c r="RX12" s="417"/>
      <c r="RY12" s="412"/>
      <c r="RZ12" s="417"/>
      <c r="SA12" s="412"/>
      <c r="SB12" s="417"/>
      <c r="SC12" s="412"/>
      <c r="SD12" s="529" t="s">
        <v>1915</v>
      </c>
      <c r="SE12" s="402"/>
      <c r="SF12" s="417"/>
      <c r="SG12" s="412"/>
      <c r="SH12" s="402"/>
      <c r="SI12" s="402"/>
      <c r="SJ12" s="417"/>
      <c r="SK12" s="412"/>
      <c r="SL12" s="417"/>
      <c r="SM12" s="412"/>
      <c r="SN12" s="529" t="s">
        <v>2012</v>
      </c>
      <c r="SO12" s="402"/>
      <c r="SP12" s="417"/>
      <c r="SQ12" s="412"/>
      <c r="SR12" s="402"/>
      <c r="SS12" s="402"/>
      <c r="ST12" s="417"/>
      <c r="SU12" s="412"/>
      <c r="SV12" s="402"/>
      <c r="SW12" s="402"/>
      <c r="SX12" s="417"/>
      <c r="SY12" s="412"/>
      <c r="SZ12" s="402"/>
      <c r="TA12" s="402"/>
      <c r="TB12" s="417"/>
      <c r="TC12" s="412"/>
      <c r="TD12" s="402"/>
      <c r="TE12" s="402"/>
      <c r="TF12" s="417"/>
      <c r="TG12" s="412"/>
      <c r="TH12" s="402"/>
      <c r="TI12" s="412"/>
      <c r="TJ12" s="402"/>
      <c r="TK12" s="402"/>
      <c r="TL12" s="417"/>
      <c r="TM12" s="412"/>
      <c r="TN12" s="529" t="s">
        <v>1935</v>
      </c>
      <c r="TO12" s="402"/>
      <c r="TP12" s="417"/>
      <c r="TQ12" s="412"/>
      <c r="TR12" s="402"/>
      <c r="TS12" s="402"/>
      <c r="TT12" s="417"/>
      <c r="TU12" s="412"/>
      <c r="TV12" s="417"/>
      <c r="TW12" s="412"/>
      <c r="TX12" s="417"/>
      <c r="TY12" s="412"/>
      <c r="TZ12" s="417"/>
      <c r="UA12" s="412"/>
      <c r="UB12" s="402"/>
      <c r="UC12" s="402"/>
      <c r="UD12" s="417"/>
      <c r="UE12" s="412"/>
      <c r="UF12" s="402"/>
      <c r="UG12" s="402"/>
      <c r="UH12" s="417"/>
      <c r="UI12" s="412"/>
      <c r="UJ12" s="417"/>
      <c r="UK12" s="412"/>
      <c r="UL12" s="402"/>
      <c r="UM12" s="402"/>
      <c r="UN12" s="417"/>
      <c r="UO12" s="412"/>
      <c r="UP12" s="529" t="s">
        <v>1604</v>
      </c>
      <c r="UQ12" s="402"/>
      <c r="UR12" s="417"/>
      <c r="US12" s="412"/>
      <c r="UT12" s="417"/>
      <c r="UU12" s="412"/>
      <c r="UV12" s="402"/>
      <c r="UW12" s="402"/>
      <c r="UX12" s="417"/>
      <c r="UY12" s="412"/>
      <c r="UZ12" s="402"/>
      <c r="VA12" s="402"/>
      <c r="VB12" s="417"/>
      <c r="VC12" s="412"/>
      <c r="VD12" s="402"/>
      <c r="VE12" s="402"/>
      <c r="VF12" s="417"/>
      <c r="VG12" s="412"/>
      <c r="VH12" s="417"/>
      <c r="VI12" s="412"/>
      <c r="VJ12" s="529" t="s">
        <v>1971</v>
      </c>
      <c r="VK12" s="402"/>
      <c r="VL12" s="417"/>
      <c r="VM12" s="412"/>
      <c r="VN12" s="402"/>
      <c r="VO12" s="402"/>
      <c r="VP12" s="417"/>
      <c r="VQ12" s="412"/>
      <c r="VR12" s="402"/>
      <c r="VS12" s="402"/>
      <c r="VT12" s="417"/>
      <c r="VU12" s="412"/>
      <c r="VV12" s="417"/>
      <c r="VW12" s="412"/>
      <c r="VX12" s="402"/>
      <c r="VY12" s="412"/>
      <c r="VZ12" s="417"/>
      <c r="WA12" s="412"/>
      <c r="WB12" s="402"/>
      <c r="WC12" s="412"/>
      <c r="WD12" s="402"/>
      <c r="WE12" s="402"/>
      <c r="WF12" s="417"/>
      <c r="WG12" s="412"/>
      <c r="WH12" s="529" t="s">
        <v>1974</v>
      </c>
      <c r="WI12" s="402"/>
      <c r="WJ12" s="417"/>
      <c r="WK12" s="412"/>
      <c r="WL12" s="402"/>
      <c r="WM12" s="402"/>
      <c r="WN12" s="417"/>
      <c r="WO12" s="412"/>
      <c r="WP12" s="402"/>
      <c r="WQ12" s="402"/>
      <c r="WR12" s="417"/>
      <c r="WS12" s="412"/>
      <c r="WT12" s="417"/>
      <c r="WU12" s="412"/>
      <c r="WV12" s="417"/>
      <c r="WW12" s="412"/>
      <c r="WX12" s="417"/>
      <c r="WY12" s="412"/>
      <c r="WZ12" s="402"/>
      <c r="XA12" s="402"/>
      <c r="XB12" s="417"/>
      <c r="XC12" s="412"/>
      <c r="XD12" s="402"/>
      <c r="XE12" s="402"/>
      <c r="XF12" s="417"/>
      <c r="XG12" s="412"/>
      <c r="XH12" s="417"/>
      <c r="XI12" s="412"/>
      <c r="XJ12" s="402"/>
      <c r="XK12" s="402"/>
      <c r="XL12" s="417"/>
      <c r="XM12" s="412"/>
      <c r="XN12" s="529" t="s">
        <v>2001</v>
      </c>
      <c r="XO12" s="402"/>
      <c r="XP12" s="417"/>
      <c r="XQ12" s="412"/>
      <c r="XR12" s="402"/>
      <c r="XS12" s="402"/>
      <c r="XT12" s="417"/>
      <c r="XU12" s="412"/>
      <c r="XV12" s="417"/>
      <c r="XW12" s="412"/>
      <c r="XX12" s="402"/>
      <c r="XY12" s="402"/>
      <c r="XZ12" s="417"/>
      <c r="YA12" s="412"/>
      <c r="YB12" s="402"/>
      <c r="YC12" s="402"/>
      <c r="YD12" s="417"/>
      <c r="YE12" s="412"/>
    </row>
    <row r="13" spans="1:655" ht="12.75" x14ac:dyDescent="0.2">
      <c r="A13" s="398"/>
      <c r="B13" s="396"/>
      <c r="C13" s="398"/>
      <c r="D13" s="396"/>
      <c r="E13" s="398"/>
      <c r="F13" s="397"/>
      <c r="G13" s="398"/>
      <c r="H13" s="396"/>
      <c r="I13" s="397"/>
      <c r="J13" s="396"/>
      <c r="K13" s="398"/>
      <c r="L13" s="397"/>
      <c r="M13" s="397"/>
      <c r="N13" s="396"/>
      <c r="O13" s="398"/>
      <c r="P13" s="396"/>
      <c r="Q13" s="398"/>
      <c r="R13" s="396"/>
      <c r="S13" s="398"/>
      <c r="T13" s="396"/>
      <c r="U13" s="398"/>
      <c r="V13" s="397"/>
      <c r="W13" s="397"/>
      <c r="X13" s="396"/>
      <c r="Y13" s="398"/>
      <c r="Z13" s="396"/>
      <c r="AA13" s="398"/>
      <c r="AB13" s="397"/>
      <c r="AC13" s="397"/>
      <c r="AD13" s="396"/>
      <c r="AE13" s="398"/>
      <c r="AF13" s="396"/>
      <c r="AG13" s="398"/>
      <c r="AH13" s="397"/>
      <c r="AI13" s="397"/>
      <c r="AJ13" s="396"/>
      <c r="AK13" s="398"/>
      <c r="AL13" s="397"/>
      <c r="AM13" s="397"/>
      <c r="AN13" s="396"/>
      <c r="AO13" s="398"/>
      <c r="AP13" s="397"/>
      <c r="AQ13" s="397"/>
      <c r="AR13" s="396"/>
      <c r="AS13" s="398"/>
      <c r="AT13" s="397"/>
      <c r="AU13" s="397"/>
      <c r="AV13" s="396"/>
      <c r="AW13" s="398"/>
      <c r="AX13" s="397"/>
      <c r="AY13" s="397"/>
      <c r="AZ13" s="396"/>
      <c r="BA13" s="398"/>
      <c r="BB13" s="397"/>
      <c r="BC13" s="397"/>
      <c r="BD13" s="396"/>
      <c r="BE13" s="398"/>
      <c r="BF13" s="396"/>
      <c r="BG13" s="398"/>
      <c r="BH13" s="397"/>
      <c r="BI13" s="397"/>
      <c r="BJ13" s="396"/>
      <c r="BK13" s="398"/>
      <c r="BL13" s="397"/>
      <c r="BM13" s="397"/>
      <c r="BN13" s="396"/>
      <c r="BO13" s="398"/>
      <c r="BP13" s="396"/>
      <c r="BQ13" s="398"/>
      <c r="BR13" s="397"/>
      <c r="BS13" s="397"/>
      <c r="BT13" s="396"/>
      <c r="BU13" s="398"/>
      <c r="BV13" s="396"/>
      <c r="BW13" s="398"/>
      <c r="BX13" s="397"/>
      <c r="BY13" s="397"/>
      <c r="BZ13" s="396"/>
      <c r="CA13" s="398"/>
      <c r="CB13" s="396"/>
      <c r="CC13" s="398"/>
      <c r="CD13" s="397"/>
      <c r="CE13" s="397"/>
      <c r="CF13" s="396"/>
      <c r="CG13" s="398"/>
      <c r="CH13" s="397"/>
      <c r="CI13" s="397"/>
      <c r="CJ13" s="396"/>
      <c r="CK13" s="398"/>
      <c r="CL13" s="397"/>
      <c r="CM13" s="397"/>
      <c r="CN13" s="396"/>
      <c r="CO13" s="398"/>
      <c r="CP13" s="397"/>
      <c r="CQ13" s="397"/>
      <c r="CR13" s="396"/>
      <c r="CS13" s="398"/>
      <c r="CT13" s="397"/>
      <c r="CU13" s="397"/>
      <c r="CV13" s="396"/>
      <c r="CW13" s="398"/>
      <c r="CX13" s="396"/>
      <c r="CY13" s="397"/>
      <c r="CZ13" s="396"/>
      <c r="DA13" s="397"/>
      <c r="DB13" s="396"/>
      <c r="DC13" s="398"/>
      <c r="DD13" s="397"/>
      <c r="DE13" s="397"/>
      <c r="DF13" s="396"/>
      <c r="DG13" s="398"/>
      <c r="DH13" s="397"/>
      <c r="DI13" s="397"/>
      <c r="DJ13" s="396"/>
      <c r="DK13" s="398"/>
      <c r="DL13" s="397"/>
      <c r="DM13" s="397"/>
      <c r="DN13" s="396"/>
      <c r="DO13" s="398"/>
      <c r="DP13" s="397"/>
      <c r="DQ13" s="397"/>
      <c r="DR13" s="396"/>
      <c r="DS13" s="398"/>
      <c r="DT13" s="397"/>
      <c r="DU13" s="397"/>
      <c r="DV13" s="396"/>
      <c r="DW13" s="398"/>
      <c r="DX13" s="397"/>
      <c r="DY13" s="397"/>
      <c r="DZ13" s="396"/>
      <c r="EA13" s="398"/>
      <c r="EB13" s="396"/>
      <c r="EC13" s="398"/>
      <c r="ED13" s="397"/>
      <c r="EE13" s="397"/>
      <c r="EF13" s="396"/>
      <c r="EG13" s="398"/>
      <c r="EH13" s="397"/>
      <c r="EI13" s="397"/>
      <c r="EJ13" s="396"/>
      <c r="EK13" s="398"/>
      <c r="EL13" s="397"/>
      <c r="EM13" s="397"/>
      <c r="EN13" s="396"/>
      <c r="EO13" s="398"/>
      <c r="EP13" s="397"/>
      <c r="EQ13" s="397"/>
      <c r="ER13" s="396"/>
      <c r="ES13" s="398"/>
      <c r="ET13" s="397"/>
      <c r="EU13" s="397"/>
      <c r="EV13" s="396"/>
      <c r="EW13" s="398"/>
      <c r="EX13" s="397"/>
      <c r="EY13" s="397"/>
      <c r="EZ13" s="396"/>
      <c r="FA13" s="398"/>
      <c r="FB13" s="396"/>
      <c r="FC13" s="398"/>
      <c r="FD13" s="396"/>
      <c r="FE13" s="398"/>
      <c r="FF13" s="397"/>
      <c r="FG13" s="397"/>
      <c r="FH13" s="396"/>
      <c r="FI13" s="398"/>
      <c r="FJ13" s="396"/>
      <c r="FK13" s="398"/>
      <c r="FL13" s="396"/>
      <c r="FM13" s="398"/>
      <c r="FN13" s="397"/>
      <c r="FO13" s="397"/>
      <c r="FP13" s="396"/>
      <c r="FQ13" s="398"/>
      <c r="FR13" s="396"/>
      <c r="FS13" s="398"/>
      <c r="FT13" s="397"/>
      <c r="FU13" s="397"/>
      <c r="FV13" s="396"/>
      <c r="FW13" s="398"/>
      <c r="FX13" s="397"/>
      <c r="FY13" s="397"/>
      <c r="FZ13" s="396"/>
      <c r="GA13" s="398"/>
      <c r="GB13" s="397"/>
      <c r="GC13" s="397"/>
      <c r="GD13" s="396"/>
      <c r="GE13" s="398"/>
      <c r="GF13" s="396"/>
      <c r="GG13" s="398"/>
      <c r="GH13" s="396"/>
      <c r="GI13" s="398"/>
      <c r="GJ13" s="397"/>
      <c r="GK13" s="397"/>
      <c r="GL13" s="396"/>
      <c r="GM13" s="398"/>
      <c r="GN13" s="396"/>
      <c r="GO13" s="398"/>
      <c r="GP13" s="397"/>
      <c r="GQ13" s="397"/>
      <c r="GR13" s="396"/>
      <c r="GS13" s="398"/>
      <c r="GT13" s="396"/>
      <c r="GU13" s="398"/>
      <c r="GV13" s="396"/>
      <c r="GW13" s="398"/>
      <c r="GX13" s="396"/>
      <c r="GY13" s="398"/>
      <c r="GZ13" s="396"/>
      <c r="HA13" s="398"/>
      <c r="HB13" s="396"/>
      <c r="HC13" s="398"/>
      <c r="HD13" s="397"/>
      <c r="HE13" s="397"/>
      <c r="HF13" s="396"/>
      <c r="HG13" s="398"/>
      <c r="HH13" s="396"/>
      <c r="HI13" s="398"/>
      <c r="HJ13" s="397"/>
      <c r="HK13" s="397"/>
      <c r="HL13" s="396"/>
      <c r="HM13" s="398"/>
      <c r="HN13" s="396"/>
      <c r="HO13" s="398"/>
      <c r="HP13" s="397"/>
      <c r="HQ13" s="397"/>
      <c r="HR13" s="396"/>
      <c r="HS13" s="398"/>
      <c r="HT13" s="396"/>
      <c r="HU13" s="398"/>
      <c r="HV13" s="396"/>
      <c r="HW13" s="398"/>
      <c r="HX13" s="396"/>
      <c r="HY13" s="398"/>
      <c r="HZ13" s="397"/>
      <c r="IA13" s="397"/>
      <c r="IB13" s="396"/>
      <c r="IC13" s="398"/>
      <c r="ID13" s="397"/>
      <c r="IE13" s="397"/>
      <c r="IF13" s="396"/>
      <c r="IG13" s="398"/>
      <c r="IH13" s="397"/>
      <c r="II13" s="397"/>
      <c r="IJ13" s="396"/>
      <c r="IK13" s="398"/>
      <c r="IL13" s="396"/>
      <c r="IM13" s="398"/>
      <c r="IN13" s="396"/>
      <c r="IO13" s="398"/>
      <c r="IP13" s="396"/>
      <c r="IQ13" s="398"/>
      <c r="IR13" s="397"/>
      <c r="IS13" s="397"/>
      <c r="IT13" s="396"/>
      <c r="IU13" s="398"/>
      <c r="IV13" s="396"/>
      <c r="IW13" s="398"/>
      <c r="IX13" s="396"/>
      <c r="IY13" s="398"/>
      <c r="IZ13" s="397"/>
      <c r="JA13" s="397"/>
      <c r="JB13" s="396"/>
      <c r="JC13" s="398"/>
      <c r="JD13" s="397"/>
      <c r="JE13" s="397"/>
      <c r="JF13" s="396"/>
      <c r="JG13" s="398"/>
      <c r="JH13" s="396"/>
      <c r="JI13" s="398"/>
      <c r="JJ13" s="396"/>
      <c r="JK13" s="398"/>
      <c r="JL13" s="397"/>
      <c r="JM13" s="397"/>
      <c r="JN13" s="396"/>
      <c r="JO13" s="398"/>
      <c r="JP13" s="397"/>
      <c r="JQ13" s="397"/>
      <c r="JR13" s="396"/>
      <c r="JS13" s="398"/>
      <c r="JT13" s="397"/>
      <c r="JU13" s="397"/>
      <c r="JV13" s="396"/>
      <c r="JW13" s="398"/>
      <c r="JX13" s="397"/>
      <c r="JY13" s="397"/>
      <c r="JZ13" s="396"/>
      <c r="KA13" s="398"/>
      <c r="KB13" s="396"/>
      <c r="KC13" s="398"/>
      <c r="KD13" s="396"/>
      <c r="KE13" s="398"/>
      <c r="KF13" s="397"/>
      <c r="KG13" s="397"/>
      <c r="KH13" s="396"/>
      <c r="KI13" s="398"/>
      <c r="KJ13" s="396"/>
      <c r="KK13" s="398"/>
      <c r="KL13" s="396"/>
      <c r="KM13" s="398"/>
      <c r="KN13" s="397"/>
      <c r="KO13" s="397"/>
      <c r="KP13" s="396"/>
      <c r="KQ13" s="398"/>
      <c r="KR13" s="397"/>
      <c r="KS13" s="397"/>
      <c r="KT13" s="396"/>
      <c r="KU13" s="398"/>
      <c r="KV13" s="397"/>
      <c r="KW13" s="397"/>
      <c r="KX13" s="396"/>
      <c r="KY13" s="398"/>
      <c r="KZ13" s="397"/>
      <c r="LA13" s="397"/>
      <c r="LB13" s="396"/>
      <c r="LC13" s="398"/>
      <c r="LD13" s="397"/>
      <c r="LE13" s="397"/>
      <c r="LF13" s="396"/>
      <c r="LG13" s="398"/>
      <c r="LH13" s="397"/>
      <c r="LI13" s="397"/>
      <c r="LJ13" s="396"/>
      <c r="LK13" s="398"/>
      <c r="LL13" s="397"/>
      <c r="LM13" s="397"/>
      <c r="LN13" s="396"/>
      <c r="LO13" s="398"/>
      <c r="LP13" s="397"/>
      <c r="LQ13" s="397"/>
      <c r="LR13" s="396"/>
      <c r="LS13" s="398"/>
      <c r="LT13" s="397"/>
      <c r="LU13" s="397"/>
      <c r="LV13" s="396"/>
      <c r="LW13" s="398"/>
      <c r="LX13" s="397"/>
      <c r="LY13" s="397"/>
      <c r="LZ13" s="396"/>
      <c r="MA13" s="398"/>
      <c r="MB13" s="397"/>
      <c r="MC13" s="397"/>
      <c r="MD13" s="396"/>
      <c r="ME13" s="398"/>
      <c r="MF13" s="397"/>
      <c r="MG13" s="397"/>
      <c r="MH13" s="396"/>
      <c r="MI13" s="398"/>
      <c r="MJ13" s="396"/>
      <c r="MK13" s="398"/>
      <c r="ML13" s="396"/>
      <c r="MM13" s="398"/>
      <c r="MN13" s="397"/>
      <c r="MO13" s="397"/>
      <c r="MP13" s="396"/>
      <c r="MQ13" s="398"/>
      <c r="MR13" s="397"/>
      <c r="MS13" s="397"/>
      <c r="MT13" s="396"/>
      <c r="MU13" s="398"/>
      <c r="MV13" s="397"/>
      <c r="MW13" s="397"/>
      <c r="MX13" s="396"/>
      <c r="MY13" s="398"/>
      <c r="MZ13" s="396"/>
      <c r="NA13" s="398"/>
      <c r="NB13" s="396"/>
      <c r="NC13" s="398"/>
      <c r="ND13" s="396"/>
      <c r="NE13" s="398"/>
      <c r="NF13" s="397"/>
      <c r="NG13" s="397"/>
      <c r="NH13" s="396"/>
      <c r="NI13" s="398"/>
      <c r="NJ13" s="397"/>
      <c r="NK13" s="397"/>
      <c r="NL13" s="396"/>
      <c r="NM13" s="398"/>
      <c r="NN13" s="397"/>
      <c r="NO13" s="398"/>
      <c r="NP13" s="397"/>
      <c r="NQ13" s="397"/>
      <c r="NR13" s="396"/>
      <c r="NS13" s="398"/>
      <c r="NT13" s="397"/>
      <c r="NU13" s="397"/>
      <c r="NV13" s="396"/>
      <c r="NW13" s="398"/>
      <c r="NX13" s="397"/>
      <c r="NY13" s="397"/>
      <c r="NZ13" s="396"/>
      <c r="OA13" s="398"/>
      <c r="OB13" s="397"/>
      <c r="OC13" s="397"/>
      <c r="OD13" s="396"/>
      <c r="OE13" s="398"/>
      <c r="OF13" s="397"/>
      <c r="OG13" s="397"/>
      <c r="OH13" s="396"/>
      <c r="OI13" s="398"/>
      <c r="OJ13" s="397"/>
      <c r="OK13" s="397"/>
      <c r="OL13" s="396"/>
      <c r="OM13" s="398"/>
      <c r="ON13" s="396"/>
      <c r="OO13" s="398"/>
      <c r="OP13" s="397"/>
      <c r="OQ13" s="397"/>
      <c r="OR13" s="396"/>
      <c r="OS13" s="398"/>
      <c r="OT13" s="396"/>
      <c r="OU13" s="398"/>
      <c r="OV13" s="397"/>
      <c r="OW13" s="397"/>
      <c r="OX13" s="396"/>
      <c r="OY13" s="398"/>
      <c r="OZ13" s="397"/>
      <c r="PA13" s="397"/>
      <c r="PB13" s="396"/>
      <c r="PC13" s="398"/>
      <c r="PD13" s="397"/>
      <c r="PE13" s="397"/>
      <c r="PF13" s="396"/>
      <c r="PG13" s="397"/>
      <c r="PH13" s="396"/>
      <c r="PI13" s="398"/>
      <c r="PJ13" s="396"/>
      <c r="PK13" s="398"/>
      <c r="PL13" s="397"/>
      <c r="PM13" s="397"/>
      <c r="PN13" s="396"/>
      <c r="PO13" s="398"/>
      <c r="PP13" s="397"/>
      <c r="PQ13" s="397"/>
      <c r="PR13" s="396"/>
      <c r="PS13" s="398"/>
      <c r="PT13" s="397"/>
      <c r="PU13" s="397"/>
      <c r="PV13" s="396"/>
      <c r="PW13" s="398"/>
      <c r="PX13" s="397"/>
      <c r="PY13" s="397"/>
      <c r="PZ13" s="396"/>
      <c r="QA13" s="398"/>
      <c r="QB13" s="397"/>
      <c r="QC13" s="397"/>
      <c r="QD13" s="396"/>
      <c r="QE13" s="398"/>
      <c r="QF13" s="397"/>
      <c r="QG13" s="397"/>
      <c r="QH13" s="396"/>
      <c r="QI13" s="398"/>
      <c r="QJ13" s="397"/>
      <c r="QK13" s="397"/>
      <c r="QL13" s="396"/>
      <c r="QM13" s="398"/>
      <c r="QN13" s="397"/>
      <c r="QO13" s="397"/>
      <c r="QP13" s="396"/>
      <c r="QQ13" s="398"/>
      <c r="QR13" s="397"/>
      <c r="QS13" s="397"/>
      <c r="QT13" s="396"/>
      <c r="QU13" s="398"/>
      <c r="QV13" s="397"/>
      <c r="QW13" s="397"/>
      <c r="QX13" s="396"/>
      <c r="QY13" s="398"/>
      <c r="QZ13" s="396"/>
      <c r="RA13" s="398"/>
      <c r="RB13" s="396"/>
      <c r="RC13" s="398"/>
      <c r="RD13" s="397"/>
      <c r="RE13" s="397"/>
      <c r="RF13" s="396"/>
      <c r="RG13" s="398"/>
      <c r="RH13" s="397"/>
      <c r="RI13" s="397"/>
      <c r="RJ13" s="396"/>
      <c r="RK13" s="398"/>
      <c r="RL13" s="396"/>
      <c r="RM13" s="398"/>
      <c r="RN13" s="397"/>
      <c r="RO13" s="397"/>
      <c r="RP13" s="396"/>
      <c r="RQ13" s="398"/>
      <c r="RR13" s="397"/>
      <c r="RS13" s="397"/>
      <c r="RT13" s="396"/>
      <c r="RU13" s="398"/>
      <c r="RV13" s="397"/>
      <c r="RW13" s="397"/>
      <c r="RX13" s="396"/>
      <c r="RY13" s="398"/>
      <c r="RZ13" s="396"/>
      <c r="SA13" s="398"/>
      <c r="SB13" s="396"/>
      <c r="SC13" s="398"/>
      <c r="SD13" s="397"/>
      <c r="SE13" s="397"/>
      <c r="SF13" s="396"/>
      <c r="SG13" s="398"/>
      <c r="SH13" s="397"/>
      <c r="SI13" s="397"/>
      <c r="SJ13" s="396"/>
      <c r="SK13" s="398"/>
      <c r="SL13" s="396"/>
      <c r="SM13" s="398"/>
      <c r="SN13" s="397"/>
      <c r="SO13" s="397"/>
      <c r="SP13" s="396"/>
      <c r="SQ13" s="398"/>
      <c r="SR13" s="397"/>
      <c r="SS13" s="397"/>
      <c r="ST13" s="396"/>
      <c r="SU13" s="398"/>
      <c r="SV13" s="397"/>
      <c r="SW13" s="397"/>
      <c r="SX13" s="396"/>
      <c r="SY13" s="398"/>
      <c r="SZ13" s="397"/>
      <c r="TA13" s="397"/>
      <c r="TB13" s="396"/>
      <c r="TC13" s="398"/>
      <c r="TD13" s="397"/>
      <c r="TE13" s="397"/>
      <c r="TF13" s="396"/>
      <c r="TG13" s="398"/>
      <c r="TH13" s="397"/>
      <c r="TI13" s="398"/>
      <c r="TJ13" s="397"/>
      <c r="TK13" s="397"/>
      <c r="TL13" s="396"/>
      <c r="TM13" s="398"/>
      <c r="TN13" s="397"/>
      <c r="TO13" s="397"/>
      <c r="TP13" s="396"/>
      <c r="TQ13" s="398"/>
      <c r="TR13" s="397"/>
      <c r="TS13" s="397"/>
      <c r="TT13" s="396"/>
      <c r="TU13" s="398"/>
      <c r="TV13" s="396"/>
      <c r="TW13" s="398"/>
      <c r="TX13" s="396"/>
      <c r="TY13" s="398"/>
      <c r="TZ13" s="396"/>
      <c r="UA13" s="398"/>
      <c r="UB13" s="397"/>
      <c r="UC13" s="397"/>
      <c r="UD13" s="396"/>
      <c r="UE13" s="398"/>
      <c r="UF13" s="397"/>
      <c r="UG13" s="397"/>
      <c r="UH13" s="396"/>
      <c r="UI13" s="398"/>
      <c r="UJ13" s="396"/>
      <c r="UK13" s="398"/>
      <c r="UL13" s="397"/>
      <c r="UM13" s="397"/>
      <c r="UN13" s="396"/>
      <c r="UO13" s="398"/>
      <c r="UP13" s="397"/>
      <c r="UQ13" s="397"/>
      <c r="UR13" s="396"/>
      <c r="US13" s="398"/>
      <c r="UT13" s="396"/>
      <c r="UU13" s="398"/>
      <c r="UV13" s="397"/>
      <c r="UW13" s="397"/>
      <c r="UX13" s="396"/>
      <c r="UY13" s="398"/>
      <c r="UZ13" s="397"/>
      <c r="VA13" s="397"/>
      <c r="VB13" s="396"/>
      <c r="VC13" s="398"/>
      <c r="VD13" s="397"/>
      <c r="VE13" s="397"/>
      <c r="VF13" s="396"/>
      <c r="VG13" s="398"/>
      <c r="VH13" s="396"/>
      <c r="VI13" s="398"/>
      <c r="VJ13" s="397"/>
      <c r="VK13" s="397"/>
      <c r="VL13" s="396"/>
      <c r="VM13" s="398"/>
      <c r="VN13" s="397"/>
      <c r="VO13" s="397"/>
      <c r="VP13" s="396"/>
      <c r="VQ13" s="398"/>
      <c r="VR13" s="397"/>
      <c r="VS13" s="397"/>
      <c r="VT13" s="396"/>
      <c r="VU13" s="398"/>
      <c r="VV13" s="396"/>
      <c r="VW13" s="398"/>
      <c r="VX13" s="397"/>
      <c r="VY13" s="398"/>
      <c r="VZ13" s="396"/>
      <c r="WA13" s="398"/>
      <c r="WB13" s="397"/>
      <c r="WC13" s="398"/>
      <c r="WD13" s="397"/>
      <c r="WE13" s="397"/>
      <c r="WF13" s="396"/>
      <c r="WG13" s="398"/>
      <c r="WH13" s="397"/>
      <c r="WI13" s="397"/>
      <c r="WJ13" s="396"/>
      <c r="WK13" s="398"/>
      <c r="WL13" s="397"/>
      <c r="WM13" s="397"/>
      <c r="WN13" s="396"/>
      <c r="WO13" s="398"/>
      <c r="WP13" s="397"/>
      <c r="WQ13" s="397"/>
      <c r="WR13" s="396"/>
      <c r="WS13" s="398"/>
      <c r="WT13" s="396"/>
      <c r="WU13" s="398"/>
      <c r="WV13" s="396"/>
      <c r="WW13" s="398"/>
      <c r="WX13" s="396"/>
      <c r="WY13" s="398"/>
      <c r="WZ13" s="397"/>
      <c r="XA13" s="397"/>
      <c r="XB13" s="396"/>
      <c r="XC13" s="398"/>
      <c r="XD13" s="397"/>
      <c r="XE13" s="397"/>
      <c r="XF13" s="396"/>
      <c r="XG13" s="398"/>
      <c r="XH13" s="396"/>
      <c r="XI13" s="398"/>
      <c r="XJ13" s="397"/>
      <c r="XK13" s="397"/>
      <c r="XL13" s="396"/>
      <c r="XM13" s="398"/>
      <c r="XN13" s="397"/>
      <c r="XO13" s="397"/>
      <c r="XP13" s="396"/>
      <c r="XQ13" s="398"/>
      <c r="XR13" s="397"/>
      <c r="XS13" s="397"/>
      <c r="XT13" s="396"/>
      <c r="XU13" s="398"/>
      <c r="XV13" s="396"/>
      <c r="XW13" s="398"/>
      <c r="XX13" s="397"/>
      <c r="XY13" s="397"/>
      <c r="XZ13" s="396"/>
      <c r="YA13" s="398"/>
      <c r="YB13" s="397"/>
      <c r="YC13" s="397"/>
      <c r="YD13" s="396"/>
      <c r="YE13" s="398"/>
    </row>
    <row r="14" spans="1:655" ht="15" x14ac:dyDescent="0.2">
      <c r="A14" s="431">
        <v>2017</v>
      </c>
      <c r="B14" s="411" t="s">
        <v>22</v>
      </c>
      <c r="C14" s="431" t="s">
        <v>22</v>
      </c>
      <c r="D14" s="411" t="s">
        <v>22</v>
      </c>
      <c r="E14" s="431" t="s">
        <v>22</v>
      </c>
      <c r="F14" s="410" t="s">
        <v>22</v>
      </c>
      <c r="G14" s="431" t="s">
        <v>22</v>
      </c>
      <c r="H14" s="411" t="s">
        <v>22</v>
      </c>
      <c r="I14" s="410" t="s">
        <v>22</v>
      </c>
      <c r="J14" s="411" t="s">
        <v>22</v>
      </c>
      <c r="K14" s="431" t="s">
        <v>22</v>
      </c>
      <c r="L14" s="410" t="s">
        <v>22</v>
      </c>
      <c r="M14" s="410" t="s">
        <v>22</v>
      </c>
      <c r="N14" s="411" t="s">
        <v>22</v>
      </c>
      <c r="O14" s="431" t="s">
        <v>22</v>
      </c>
      <c r="P14" s="410" t="s">
        <v>22</v>
      </c>
      <c r="Q14" s="410" t="s">
        <v>22</v>
      </c>
      <c r="R14" s="411" t="s">
        <v>22</v>
      </c>
      <c r="S14" s="431" t="s">
        <v>22</v>
      </c>
      <c r="T14" s="411" t="s">
        <v>22</v>
      </c>
      <c r="U14" s="431" t="s">
        <v>22</v>
      </c>
      <c r="V14" s="410" t="s">
        <v>22</v>
      </c>
      <c r="W14" s="410" t="s">
        <v>22</v>
      </c>
      <c r="X14" s="411" t="s">
        <v>22</v>
      </c>
      <c r="Y14" s="431" t="s">
        <v>22</v>
      </c>
      <c r="Z14" s="411" t="s">
        <v>22</v>
      </c>
      <c r="AA14" s="431" t="s">
        <v>22</v>
      </c>
      <c r="AB14" s="410" t="s">
        <v>22</v>
      </c>
      <c r="AC14" s="410" t="s">
        <v>22</v>
      </c>
      <c r="AD14" s="539" t="s">
        <v>1643</v>
      </c>
      <c r="AE14" s="431" t="str">
        <f ca="1">CHOOSE(WEEKDAY(DATE($A14,AD$43,AE$42),2),"Monday","Tuesday","Wednesday","Thursday","Friday","Saturday","Sunday")</f>
        <v>Friday</v>
      </c>
      <c r="AF14" s="411" t="s">
        <v>22</v>
      </c>
      <c r="AG14" s="431" t="s">
        <v>22</v>
      </c>
      <c r="AH14" s="410" t="s">
        <v>22</v>
      </c>
      <c r="AI14" s="410" t="s">
        <v>22</v>
      </c>
      <c r="AJ14" s="411" t="s">
        <v>22</v>
      </c>
      <c r="AK14" s="431" t="s">
        <v>22</v>
      </c>
      <c r="AL14" s="410" t="s">
        <v>22</v>
      </c>
      <c r="AM14" s="410" t="s">
        <v>22</v>
      </c>
      <c r="AN14" s="411" t="s">
        <v>22</v>
      </c>
      <c r="AO14" s="431" t="s">
        <v>22</v>
      </c>
      <c r="AP14" s="410" t="s">
        <v>22</v>
      </c>
      <c r="AQ14" s="410" t="s">
        <v>22</v>
      </c>
      <c r="AR14" s="539" t="s">
        <v>1586</v>
      </c>
      <c r="AS14" s="431" t="str">
        <f ca="1">CHOOSE(WEEKDAY(DATE($A14,AR$43,AS$42),2),"Monday","Tuesday","Wednesday","Thursday","Friday","Saturday","Sunday")</f>
        <v>Friday</v>
      </c>
      <c r="AT14" s="410" t="s">
        <v>22</v>
      </c>
      <c r="AU14" s="410" t="s">
        <v>22</v>
      </c>
      <c r="AV14" s="411" t="s">
        <v>22</v>
      </c>
      <c r="AW14" s="431" t="s">
        <v>22</v>
      </c>
      <c r="AX14" s="410" t="s">
        <v>22</v>
      </c>
      <c r="AY14" s="410" t="s">
        <v>22</v>
      </c>
      <c r="AZ14" s="411" t="s">
        <v>22</v>
      </c>
      <c r="BA14" s="431" t="s">
        <v>22</v>
      </c>
      <c r="BB14" s="410"/>
      <c r="BC14" s="410"/>
      <c r="BD14" s="411" t="s">
        <v>22</v>
      </c>
      <c r="BE14" s="431" t="s">
        <v>22</v>
      </c>
      <c r="BF14" s="411" t="s">
        <v>22</v>
      </c>
      <c r="BG14" s="431" t="s">
        <v>22</v>
      </c>
      <c r="BH14" s="410" t="s">
        <v>22</v>
      </c>
      <c r="BI14" s="410" t="s">
        <v>22</v>
      </c>
      <c r="BJ14" s="411" t="s">
        <v>22</v>
      </c>
      <c r="BK14" s="431" t="s">
        <v>22</v>
      </c>
      <c r="BL14" s="410" t="s">
        <v>22</v>
      </c>
      <c r="BM14" s="410" t="s">
        <v>22</v>
      </c>
      <c r="BN14" s="411" t="s">
        <v>22</v>
      </c>
      <c r="BO14" s="431" t="s">
        <v>22</v>
      </c>
      <c r="BP14" s="411" t="s">
        <v>22</v>
      </c>
      <c r="BQ14" s="431" t="s">
        <v>22</v>
      </c>
      <c r="BR14" s="410" t="s">
        <v>22</v>
      </c>
      <c r="BS14" s="410" t="s">
        <v>22</v>
      </c>
      <c r="BT14" s="411" t="s">
        <v>22</v>
      </c>
      <c r="BU14" s="431" t="s">
        <v>22</v>
      </c>
      <c r="BV14" s="411" t="s">
        <v>22</v>
      </c>
      <c r="BW14" s="431" t="s">
        <v>22</v>
      </c>
      <c r="BX14" s="410" t="s">
        <v>22</v>
      </c>
      <c r="BY14" s="410" t="s">
        <v>22</v>
      </c>
      <c r="BZ14" s="539" t="s">
        <v>1595</v>
      </c>
      <c r="CA14" s="431" t="str">
        <f ca="1">CHOOSE(WEEKDAY(DATE($A14,BZ$43,CA$42),2),"Monday","Tuesday","Wednesday","Thursday","Friday","Saturday","Sunday")</f>
        <v>Tuesday</v>
      </c>
      <c r="CB14" s="411" t="s">
        <v>22</v>
      </c>
      <c r="CC14" s="431" t="s">
        <v>22</v>
      </c>
      <c r="CD14" s="410" t="s">
        <v>22</v>
      </c>
      <c r="CE14" s="410" t="s">
        <v>22</v>
      </c>
      <c r="CF14" s="539" t="s">
        <v>1601</v>
      </c>
      <c r="CG14" s="431" t="str">
        <f ca="1">CHOOSE(WEEKDAY(DATE($A14,CF$43,CG$42),2),"Monday","Tuesday","Wednesday","Thursday","Friday","Saturday","Sunday")</f>
        <v>Friday</v>
      </c>
      <c r="CH14" s="410" t="s">
        <v>22</v>
      </c>
      <c r="CI14" s="410" t="s">
        <v>22</v>
      </c>
      <c r="CJ14" s="411" t="s">
        <v>22</v>
      </c>
      <c r="CK14" s="431" t="s">
        <v>22</v>
      </c>
      <c r="CL14" s="410" t="s">
        <v>22</v>
      </c>
      <c r="CM14" s="410" t="s">
        <v>22</v>
      </c>
      <c r="CN14" s="411" t="s">
        <v>22</v>
      </c>
      <c r="CO14" s="431" t="s">
        <v>22</v>
      </c>
      <c r="CP14" s="550" t="s">
        <v>1611</v>
      </c>
      <c r="CQ14" s="410" t="str">
        <f ca="1">CHOOSE(WEEKDAY(DATE($A14,CP$43,CQ$42),2),"Monday","Tuesday","Wednesday","Thursday","Friday","Saturday","Sunday")</f>
        <v>Wednesday</v>
      </c>
      <c r="CR14" s="539" t="s">
        <v>1614</v>
      </c>
      <c r="CS14" s="431" t="str">
        <f ca="1">CHOOSE(WEEKDAY(DATE($A14,CR$43,CS$42),2),"Monday","Tuesday","Wednesday","Thursday","Friday","Saturday","Sunday")</f>
        <v>Thursday</v>
      </c>
      <c r="CT14" s="410" t="s">
        <v>22</v>
      </c>
      <c r="CU14" s="410" t="s">
        <v>22</v>
      </c>
      <c r="CV14" s="411" t="s">
        <v>22</v>
      </c>
      <c r="CW14" s="431" t="s">
        <v>22</v>
      </c>
      <c r="CX14" s="411" t="s">
        <v>22</v>
      </c>
      <c r="CY14" s="410" t="s">
        <v>22</v>
      </c>
      <c r="CZ14" s="411" t="s">
        <v>22</v>
      </c>
      <c r="DA14" s="410" t="s">
        <v>22</v>
      </c>
      <c r="DB14" s="411" t="s">
        <v>22</v>
      </c>
      <c r="DC14" s="431" t="s">
        <v>22</v>
      </c>
      <c r="DD14" s="410" t="s">
        <v>22</v>
      </c>
      <c r="DE14" s="410" t="s">
        <v>22</v>
      </c>
      <c r="DF14" s="539" t="s">
        <v>2032</v>
      </c>
      <c r="DG14" s="431" t="str">
        <f ca="1">CHOOSE(WEEKDAY(DATE($A14,DF$43,DG$42),2),"Monday","Tuesday","Wednesday","Thursday","Friday","Saturday","Sunday")</f>
        <v>Friday</v>
      </c>
      <c r="DH14" s="410" t="s">
        <v>22</v>
      </c>
      <c r="DI14" s="410" t="s">
        <v>22</v>
      </c>
      <c r="DJ14" s="411" t="s">
        <v>22</v>
      </c>
      <c r="DK14" s="431" t="s">
        <v>22</v>
      </c>
      <c r="DL14" s="410" t="s">
        <v>22</v>
      </c>
      <c r="DM14" s="410" t="s">
        <v>22</v>
      </c>
      <c r="DN14" s="539" t="s">
        <v>1627</v>
      </c>
      <c r="DO14" s="431" t="str">
        <f ca="1">CHOOSE(WEEKDAY(DATE($A14,DN$43,DO$42),2),"Monday","Tuesday","Wednesday","Thursday","Friday","Saturday","Sunday")</f>
        <v>Tuesday</v>
      </c>
      <c r="DP14" s="410" t="s">
        <v>22</v>
      </c>
      <c r="DQ14" s="410" t="s">
        <v>22</v>
      </c>
      <c r="DR14" s="411" t="s">
        <v>22</v>
      </c>
      <c r="DS14" s="431" t="s">
        <v>22</v>
      </c>
      <c r="DT14" s="410" t="s">
        <v>22</v>
      </c>
      <c r="DU14" s="410" t="s">
        <v>22</v>
      </c>
      <c r="DV14" s="411" t="s">
        <v>22</v>
      </c>
      <c r="DW14" s="431" t="s">
        <v>22</v>
      </c>
      <c r="DX14" s="410" t="s">
        <v>22</v>
      </c>
      <c r="DY14" s="410" t="s">
        <v>22</v>
      </c>
      <c r="DZ14" s="411" t="s">
        <v>22</v>
      </c>
      <c r="EA14" s="431" t="s">
        <v>22</v>
      </c>
      <c r="EB14" s="411" t="s">
        <v>22</v>
      </c>
      <c r="EC14" s="431" t="s">
        <v>22</v>
      </c>
      <c r="ED14" s="410" t="s">
        <v>22</v>
      </c>
      <c r="EE14" s="410" t="s">
        <v>22</v>
      </c>
      <c r="EF14" s="539" t="s">
        <v>1638</v>
      </c>
      <c r="EG14" s="431" t="str">
        <f ca="1">CHOOSE(WEEKDAY(DATE($A14,EF$43,EG$42),2),"Monday","Tuesday","Wednesday","Thursday","Friday","Saturday","Sunday")</f>
        <v>Friday</v>
      </c>
      <c r="EH14" s="410" t="s">
        <v>22</v>
      </c>
      <c r="EI14" s="410" t="s">
        <v>22</v>
      </c>
      <c r="EJ14" s="411" t="s">
        <v>22</v>
      </c>
      <c r="EK14" s="431" t="s">
        <v>22</v>
      </c>
      <c r="EL14" s="410" t="s">
        <v>22</v>
      </c>
      <c r="EM14" s="410" t="s">
        <v>22</v>
      </c>
      <c r="EN14" s="411" t="s">
        <v>22</v>
      </c>
      <c r="EO14" s="431" t="s">
        <v>22</v>
      </c>
      <c r="EP14" s="410" t="s">
        <v>22</v>
      </c>
      <c r="EQ14" s="410" t="s">
        <v>22</v>
      </c>
      <c r="ER14" s="411" t="s">
        <v>22</v>
      </c>
      <c r="ES14" s="431" t="s">
        <v>22</v>
      </c>
      <c r="ET14" s="538" t="s">
        <v>1650</v>
      </c>
      <c r="EU14" s="410" t="str">
        <f ca="1">CHOOSE(WEEKDAY(DATE($A14,ET$43,EU$42),2),"Monday","Tuesday","Wednesday","Thursday","Friday","Saturday","Sunday")</f>
        <v>Friday</v>
      </c>
      <c r="EV14" s="411" t="s">
        <v>22</v>
      </c>
      <c r="EW14" s="431" t="s">
        <v>22</v>
      </c>
      <c r="EX14" s="410" t="s">
        <v>22</v>
      </c>
      <c r="EY14" s="410" t="s">
        <v>22</v>
      </c>
      <c r="EZ14" s="411" t="s">
        <v>22</v>
      </c>
      <c r="FA14" s="431" t="s">
        <v>22</v>
      </c>
      <c r="FB14" s="411" t="s">
        <v>22</v>
      </c>
      <c r="FC14" s="431" t="s">
        <v>22</v>
      </c>
      <c r="FD14" s="411" t="s">
        <v>22</v>
      </c>
      <c r="FE14" s="431" t="s">
        <v>22</v>
      </c>
      <c r="FF14" s="410" t="s">
        <v>22</v>
      </c>
      <c r="FG14" s="410" t="s">
        <v>22</v>
      </c>
      <c r="FH14" s="539" t="s">
        <v>1660</v>
      </c>
      <c r="FI14" s="431" t="str">
        <f ca="1">CHOOSE(WEEKDAY(DATE($A14,FH$43,FI$42),2),"Monday","Tuesday","Wednesday","Thursday","Friday","Saturday","Sunday")</f>
        <v>Friday</v>
      </c>
      <c r="FJ14" s="411" t="s">
        <v>22</v>
      </c>
      <c r="FK14" s="431" t="s">
        <v>22</v>
      </c>
      <c r="FL14" s="411" t="s">
        <v>22</v>
      </c>
      <c r="FM14" s="431" t="s">
        <v>22</v>
      </c>
      <c r="FN14" s="410" t="s">
        <v>22</v>
      </c>
      <c r="FO14" s="410" t="s">
        <v>22</v>
      </c>
      <c r="FP14" s="411" t="s">
        <v>22</v>
      </c>
      <c r="FQ14" s="431" t="s">
        <v>22</v>
      </c>
      <c r="FR14" s="411" t="s">
        <v>22</v>
      </c>
      <c r="FS14" s="431" t="s">
        <v>22</v>
      </c>
      <c r="FT14" s="538" t="s">
        <v>1781</v>
      </c>
      <c r="FU14" s="410" t="str">
        <f ca="1">CHOOSE(WEEKDAY(DATE($A14,FT$43,FU$42),2),"Monday","Tuesday","Wednesday","Thursday","Friday","Saturday","Sunday")</f>
        <v>Friday</v>
      </c>
      <c r="FV14" s="411" t="s">
        <v>22</v>
      </c>
      <c r="FW14" s="431" t="s">
        <v>22</v>
      </c>
      <c r="FX14" s="410" t="s">
        <v>22</v>
      </c>
      <c r="FY14" s="410" t="s">
        <v>22</v>
      </c>
      <c r="FZ14" s="411" t="s">
        <v>22</v>
      </c>
      <c r="GA14" s="431" t="s">
        <v>22</v>
      </c>
      <c r="GB14" s="538" t="s">
        <v>2015</v>
      </c>
      <c r="GC14" s="410" t="str">
        <f ca="1">CHOOSE(WEEKDAY(DATE($A14,GB$43,GC$42),2),"Monday","Tuesday","Wednesday","Thursday","Friday","Saturday","Sunday")</f>
        <v>Wednesday</v>
      </c>
      <c r="GD14" s="411" t="s">
        <v>22</v>
      </c>
      <c r="GE14" s="431" t="s">
        <v>22</v>
      </c>
      <c r="GF14" s="411" t="s">
        <v>22</v>
      </c>
      <c r="GG14" s="431" t="s">
        <v>22</v>
      </c>
      <c r="GH14" s="411" t="s">
        <v>22</v>
      </c>
      <c r="GI14" s="431" t="s">
        <v>22</v>
      </c>
      <c r="GJ14" s="410" t="s">
        <v>22</v>
      </c>
      <c r="GK14" s="410" t="s">
        <v>22</v>
      </c>
      <c r="GL14" s="411" t="s">
        <v>22</v>
      </c>
      <c r="GM14" s="431" t="s">
        <v>22</v>
      </c>
      <c r="GN14" s="411" t="s">
        <v>22</v>
      </c>
      <c r="GO14" s="431" t="s">
        <v>22</v>
      </c>
      <c r="GP14" s="410" t="s">
        <v>22</v>
      </c>
      <c r="GQ14" s="410" t="s">
        <v>22</v>
      </c>
      <c r="GR14" s="411" t="s">
        <v>22</v>
      </c>
      <c r="GS14" s="431" t="s">
        <v>22</v>
      </c>
      <c r="GT14" s="411" t="s">
        <v>22</v>
      </c>
      <c r="GU14" s="431" t="s">
        <v>22</v>
      </c>
      <c r="GV14" s="411" t="s">
        <v>22</v>
      </c>
      <c r="GW14" s="431" t="s">
        <v>22</v>
      </c>
      <c r="GX14" s="411" t="s">
        <v>22</v>
      </c>
      <c r="GY14" s="431" t="s">
        <v>22</v>
      </c>
      <c r="GZ14" s="411" t="s">
        <v>22</v>
      </c>
      <c r="HA14" s="431" t="s">
        <v>22</v>
      </c>
      <c r="HB14" s="411" t="s">
        <v>22</v>
      </c>
      <c r="HC14" s="431" t="s">
        <v>22</v>
      </c>
      <c r="HD14" s="410" t="s">
        <v>22</v>
      </c>
      <c r="HE14" s="410" t="s">
        <v>22</v>
      </c>
      <c r="HF14" s="411" t="s">
        <v>22</v>
      </c>
      <c r="HG14" s="431" t="s">
        <v>22</v>
      </c>
      <c r="HH14" s="411" t="s">
        <v>22</v>
      </c>
      <c r="HI14" s="431" t="s">
        <v>22</v>
      </c>
      <c r="HJ14" s="410" t="s">
        <v>22</v>
      </c>
      <c r="HK14" s="410" t="s">
        <v>22</v>
      </c>
      <c r="HL14" s="411" t="s">
        <v>22</v>
      </c>
      <c r="HM14" s="431" t="s">
        <v>22</v>
      </c>
      <c r="HN14" s="539" t="s">
        <v>1988</v>
      </c>
      <c r="HO14" s="431" t="str">
        <f ca="1">CHOOSE(WEEKDAY(DATE($A14,HN$43,HO$42),2),"Monday","Tuesday","Wednesday","Thursday","Friday","Saturday","Sunday")</f>
        <v>Friday</v>
      </c>
      <c r="HP14" s="410" t="s">
        <v>22</v>
      </c>
      <c r="HQ14" s="410" t="s">
        <v>22</v>
      </c>
      <c r="HR14" s="411" t="s">
        <v>22</v>
      </c>
      <c r="HS14" s="431" t="s">
        <v>22</v>
      </c>
      <c r="HT14" s="538" t="s">
        <v>1711</v>
      </c>
      <c r="HU14" s="410" t="str">
        <f ca="1">CHOOSE(WEEKDAY(DATE($A14,HT$43,HU$42),2),"Monday","Tuesday","Wednesday","Thursday","Friday","Saturday","Sunday")</f>
        <v>Monday</v>
      </c>
      <c r="HV14" s="411" t="s">
        <v>22</v>
      </c>
      <c r="HW14" s="431" t="s">
        <v>22</v>
      </c>
      <c r="HX14" s="411" t="s">
        <v>22</v>
      </c>
      <c r="HY14" s="431" t="s">
        <v>22</v>
      </c>
      <c r="HZ14" s="538" t="s">
        <v>1566</v>
      </c>
      <c r="IA14" s="410" t="str">
        <f ca="1">CHOOSE(WEEKDAY(DATE($A14,HZ$43,IA$42),2),"Monday","Tuesday","Wednesday","Thursday","Friday","Saturday","Sunday")</f>
        <v>Friday</v>
      </c>
      <c r="IB14" s="411" t="s">
        <v>22</v>
      </c>
      <c r="IC14" s="431" t="s">
        <v>22</v>
      </c>
      <c r="ID14" s="410" t="s">
        <v>22</v>
      </c>
      <c r="IE14" s="410" t="s">
        <v>22</v>
      </c>
      <c r="IF14" s="411" t="s">
        <v>22</v>
      </c>
      <c r="IG14" s="431" t="s">
        <v>22</v>
      </c>
      <c r="IH14" s="410" t="s">
        <v>22</v>
      </c>
      <c r="II14" s="410" t="s">
        <v>22</v>
      </c>
      <c r="IJ14" s="411" t="s">
        <v>22</v>
      </c>
      <c r="IK14" s="431" t="s">
        <v>22</v>
      </c>
      <c r="IL14" s="411" t="s">
        <v>22</v>
      </c>
      <c r="IM14" s="431" t="s">
        <v>22</v>
      </c>
      <c r="IN14" s="411" t="s">
        <v>22</v>
      </c>
      <c r="IO14" s="431" t="s">
        <v>22</v>
      </c>
      <c r="IP14" s="411" t="s">
        <v>22</v>
      </c>
      <c r="IQ14" s="431" t="s">
        <v>22</v>
      </c>
      <c r="IR14" s="410" t="s">
        <v>22</v>
      </c>
      <c r="IS14" s="410" t="s">
        <v>22</v>
      </c>
      <c r="IT14" s="411" t="s">
        <v>22</v>
      </c>
      <c r="IU14" s="431" t="s">
        <v>22</v>
      </c>
      <c r="IV14" s="411" t="s">
        <v>22</v>
      </c>
      <c r="IW14" s="431" t="s">
        <v>22</v>
      </c>
      <c r="IX14" s="411" t="s">
        <v>22</v>
      </c>
      <c r="IY14" s="431" t="s">
        <v>22</v>
      </c>
      <c r="IZ14" s="538" t="s">
        <v>1730</v>
      </c>
      <c r="JA14" s="410" t="str">
        <f ca="1">CHOOSE(WEEKDAY(DATE($A14,IZ$43,JA$42),2),"Monday","Tuesday","Wednesday","Thursday","Friday","Saturday","Sunday")</f>
        <v>Friday</v>
      </c>
      <c r="JB14" s="411" t="s">
        <v>22</v>
      </c>
      <c r="JC14" s="431" t="s">
        <v>22</v>
      </c>
      <c r="JD14" s="410" t="s">
        <v>22</v>
      </c>
      <c r="JE14" s="410" t="s">
        <v>22</v>
      </c>
      <c r="JF14" s="411" t="s">
        <v>22</v>
      </c>
      <c r="JG14" s="431" t="s">
        <v>22</v>
      </c>
      <c r="JH14" s="411" t="s">
        <v>22</v>
      </c>
      <c r="JI14" s="431" t="s">
        <v>22</v>
      </c>
      <c r="JJ14" s="411" t="s">
        <v>22</v>
      </c>
      <c r="JK14" s="431" t="s">
        <v>22</v>
      </c>
      <c r="JL14" s="538" t="s">
        <v>2006</v>
      </c>
      <c r="JM14" s="410" t="str">
        <f ca="1">CHOOSE(WEEKDAY(DATE($A14,JL$43,JM$42),2),"Monday","Tuesday","Wednesday","Thursday","Friday","Saturday","Sunday")</f>
        <v>Friday</v>
      </c>
      <c r="JN14" s="411" t="s">
        <v>22</v>
      </c>
      <c r="JO14" s="431" t="s">
        <v>22</v>
      </c>
      <c r="JP14" s="410" t="s">
        <v>22</v>
      </c>
      <c r="JQ14" s="410" t="s">
        <v>22</v>
      </c>
      <c r="JR14" s="411" t="s">
        <v>22</v>
      </c>
      <c r="JS14" s="431" t="s">
        <v>22</v>
      </c>
      <c r="JT14" s="410" t="s">
        <v>22</v>
      </c>
      <c r="JU14" s="410" t="s">
        <v>22</v>
      </c>
      <c r="JV14" s="411" t="s">
        <v>22</v>
      </c>
      <c r="JW14" s="431" t="s">
        <v>22</v>
      </c>
      <c r="JX14" s="538" t="s">
        <v>1954</v>
      </c>
      <c r="JY14" s="410" t="str">
        <f ca="1">CHOOSE(WEEKDAY(DATE($A14,JX$43,JY$42),2),"Monday","Tuesday","Wednesday","Thursday","Friday","Saturday","Sunday")</f>
        <v>Friday</v>
      </c>
      <c r="JZ14" s="411" t="s">
        <v>22</v>
      </c>
      <c r="KA14" s="431" t="s">
        <v>22</v>
      </c>
      <c r="KB14" s="411" t="s">
        <v>22</v>
      </c>
      <c r="KC14" s="431" t="s">
        <v>22</v>
      </c>
      <c r="KD14" s="411" t="s">
        <v>22</v>
      </c>
      <c r="KE14" s="431" t="s">
        <v>22</v>
      </c>
      <c r="KF14" s="410" t="s">
        <v>22</v>
      </c>
      <c r="KG14" s="410" t="s">
        <v>22</v>
      </c>
      <c r="KH14" s="411" t="s">
        <v>22</v>
      </c>
      <c r="KI14" s="431" t="s">
        <v>22</v>
      </c>
      <c r="KJ14" s="411" t="s">
        <v>22</v>
      </c>
      <c r="KK14" s="431" t="s">
        <v>22</v>
      </c>
      <c r="KL14" s="539" t="s">
        <v>1759</v>
      </c>
      <c r="KM14" s="431" t="str">
        <f ca="1">CHOOSE(WEEKDAY(DATE($A14,KL$43,KM$42),2),"Monday","Tuesday","Wednesday","Thursday","Friday","Saturday","Sunday")</f>
        <v>Friday</v>
      </c>
      <c r="KN14" s="410" t="s">
        <v>22</v>
      </c>
      <c r="KO14" s="410" t="s">
        <v>22</v>
      </c>
      <c r="KP14" s="411" t="s">
        <v>22</v>
      </c>
      <c r="KQ14" s="431" t="s">
        <v>22</v>
      </c>
      <c r="KR14" s="410" t="s">
        <v>22</v>
      </c>
      <c r="KS14" s="410" t="s">
        <v>22</v>
      </c>
      <c r="KT14" s="539" t="s">
        <v>1761</v>
      </c>
      <c r="KU14" s="431" t="str">
        <f ca="1">CHOOSE(WEEKDAY(DATE($A14,KT$43,KU$42),2),"Monday","Tuesday","Wednesday","Thursday","Friday","Saturday","Sunday")</f>
        <v>Thursday</v>
      </c>
      <c r="KV14" s="538" t="s">
        <v>2033</v>
      </c>
      <c r="KW14" s="410" t="str">
        <f ca="1">CHOOSE(WEEKDAY(DATE($A14,KV$43,KW$42),2),"Monday","Tuesday","Wednesday","Thursday","Friday","Saturday","Sunday")</f>
        <v>Friday</v>
      </c>
      <c r="KX14" s="411" t="s">
        <v>22</v>
      </c>
      <c r="KY14" s="431" t="s">
        <v>22</v>
      </c>
      <c r="KZ14" s="410" t="s">
        <v>22</v>
      </c>
      <c r="LA14" s="410" t="s">
        <v>22</v>
      </c>
      <c r="LB14" s="411" t="s">
        <v>22</v>
      </c>
      <c r="LC14" s="431" t="s">
        <v>22</v>
      </c>
      <c r="LD14" s="410" t="s">
        <v>22</v>
      </c>
      <c r="LE14" s="410" t="s">
        <v>22</v>
      </c>
      <c r="LF14" s="411" t="s">
        <v>22</v>
      </c>
      <c r="LG14" s="431" t="s">
        <v>22</v>
      </c>
      <c r="LH14" s="410" t="s">
        <v>22</v>
      </c>
      <c r="LI14" s="410" t="s">
        <v>22</v>
      </c>
      <c r="LJ14" s="411" t="s">
        <v>22</v>
      </c>
      <c r="LK14" s="431" t="s">
        <v>22</v>
      </c>
      <c r="LL14" s="410" t="s">
        <v>22</v>
      </c>
      <c r="LM14" s="410" t="s">
        <v>22</v>
      </c>
      <c r="LN14" s="411" t="s">
        <v>22</v>
      </c>
      <c r="LO14" s="431" t="s">
        <v>22</v>
      </c>
      <c r="LP14" s="538" t="s">
        <v>1788</v>
      </c>
      <c r="LQ14" s="410" t="str">
        <f ca="1">CHOOSE(WEEKDAY(DATE($A14,LP$43,LQ$42),2),"Monday","Tuesday","Wednesday","Thursday","Friday","Saturday","Sunday")</f>
        <v>Tuesday</v>
      </c>
      <c r="LR14" s="539" t="s">
        <v>2017</v>
      </c>
      <c r="LS14" s="431" t="str">
        <f ca="1">CHOOSE(WEEKDAY(DATE($A14,LR$43,LS$42),2),"Monday","Tuesday","Wednesday","Thursday","Friday","Saturday","Sunday")</f>
        <v>Wednesday</v>
      </c>
      <c r="LT14" s="538" t="s">
        <v>1793</v>
      </c>
      <c r="LU14" s="410" t="str">
        <f ca="1">CHOOSE(WEEKDAY(DATE($A14,LT$43,LU$42),2),"Monday","Tuesday","Wednesday","Thursday","Friday","Saturday","Sunday")</f>
        <v>Friday</v>
      </c>
      <c r="LV14" s="411" t="s">
        <v>22</v>
      </c>
      <c r="LW14" s="431" t="s">
        <v>22</v>
      </c>
      <c r="LX14" s="410" t="s">
        <v>22</v>
      </c>
      <c r="LY14" s="410" t="s">
        <v>22</v>
      </c>
      <c r="LZ14" s="411" t="s">
        <v>22</v>
      </c>
      <c r="MA14" s="431" t="s">
        <v>22</v>
      </c>
      <c r="MB14" s="410" t="s">
        <v>22</v>
      </c>
      <c r="MC14" s="410" t="s">
        <v>22</v>
      </c>
      <c r="MD14" s="411" t="s">
        <v>22</v>
      </c>
      <c r="ME14" s="431" t="s">
        <v>22</v>
      </c>
      <c r="MF14" s="410" t="s">
        <v>22</v>
      </c>
      <c r="MG14" s="410" t="s">
        <v>22</v>
      </c>
      <c r="MH14" s="539" t="s">
        <v>1759</v>
      </c>
      <c r="MI14" s="431" t="str">
        <f ca="1">CHOOSE(WEEKDAY(DATE($A14,MH$43,MI$42),2),"Monday","Tuesday","Wednesday","Thursday","Friday","Saturday","Sunday")</f>
        <v>Friday</v>
      </c>
      <c r="MJ14" s="411" t="s">
        <v>22</v>
      </c>
      <c r="MK14" s="431" t="s">
        <v>22</v>
      </c>
      <c r="ML14" s="411" t="s">
        <v>22</v>
      </c>
      <c r="MM14" s="431" t="s">
        <v>22</v>
      </c>
      <c r="MN14" s="410" t="s">
        <v>22</v>
      </c>
      <c r="MO14" s="410" t="s">
        <v>22</v>
      </c>
      <c r="MP14" s="411" t="s">
        <v>22</v>
      </c>
      <c r="MQ14" s="431" t="s">
        <v>22</v>
      </c>
      <c r="MR14" s="410" t="s">
        <v>22</v>
      </c>
      <c r="MS14" s="410" t="s">
        <v>22</v>
      </c>
      <c r="MT14" s="411" t="s">
        <v>22</v>
      </c>
      <c r="MU14" s="431" t="s">
        <v>22</v>
      </c>
      <c r="MV14" s="538" t="s">
        <v>1734</v>
      </c>
      <c r="MW14" s="410" t="str">
        <f ca="1">CHOOSE(WEEKDAY(DATE($A11,MV$43,MW$42),2),"Monday","Tuesday","Wednesday","Thursday","Friday","Saturday","Sunday")</f>
        <v>Saturday</v>
      </c>
      <c r="MX14" s="411" t="s">
        <v>22</v>
      </c>
      <c r="MY14" s="431" t="s">
        <v>22</v>
      </c>
      <c r="MZ14" s="411" t="s">
        <v>22</v>
      </c>
      <c r="NA14" s="431" t="s">
        <v>22</v>
      </c>
      <c r="NB14" s="410" t="s">
        <v>22</v>
      </c>
      <c r="NC14" s="410" t="s">
        <v>22</v>
      </c>
      <c r="ND14" s="411" t="s">
        <v>22</v>
      </c>
      <c r="NE14" s="431" t="s">
        <v>22</v>
      </c>
      <c r="NF14" s="410" t="s">
        <v>22</v>
      </c>
      <c r="NG14" s="410" t="s">
        <v>22</v>
      </c>
      <c r="NH14" s="411" t="s">
        <v>22</v>
      </c>
      <c r="NI14" s="431" t="s">
        <v>22</v>
      </c>
      <c r="NJ14" s="411" t="s">
        <v>22</v>
      </c>
      <c r="NK14" s="431" t="s">
        <v>22</v>
      </c>
      <c r="NL14" s="411" t="s">
        <v>22</v>
      </c>
      <c r="NM14" s="431" t="s">
        <v>22</v>
      </c>
      <c r="NN14" s="411" t="s">
        <v>22</v>
      </c>
      <c r="NO14" s="431" t="s">
        <v>22</v>
      </c>
      <c r="NP14" s="410" t="s">
        <v>22</v>
      </c>
      <c r="NQ14" s="410" t="s">
        <v>22</v>
      </c>
      <c r="NR14" s="411" t="s">
        <v>22</v>
      </c>
      <c r="NS14" s="431" t="s">
        <v>22</v>
      </c>
      <c r="NT14" s="410" t="s">
        <v>22</v>
      </c>
      <c r="NU14" s="410" t="s">
        <v>22</v>
      </c>
      <c r="NV14" s="411" t="s">
        <v>22</v>
      </c>
      <c r="NW14" s="431" t="s">
        <v>22</v>
      </c>
      <c r="NX14" s="538" t="s">
        <v>1821</v>
      </c>
      <c r="NY14" s="410" t="str">
        <f ca="1">CHOOSE(WEEKDAY(DATE($A14,NX$43,NY$42),2),"Monday","Tuesday","Wednesday","Thursday","Friday","Saturday","Sunday")</f>
        <v>Friday</v>
      </c>
      <c r="NZ14" s="411" t="s">
        <v>22</v>
      </c>
      <c r="OA14" s="431" t="s">
        <v>22</v>
      </c>
      <c r="OB14" s="410" t="s">
        <v>22</v>
      </c>
      <c r="OC14" s="410" t="s">
        <v>22</v>
      </c>
      <c r="OD14" s="411" t="s">
        <v>22</v>
      </c>
      <c r="OE14" s="431" t="s">
        <v>22</v>
      </c>
      <c r="OF14" s="410" t="s">
        <v>22</v>
      </c>
      <c r="OG14" s="410" t="s">
        <v>22</v>
      </c>
      <c r="OH14" s="540" t="s">
        <v>1828</v>
      </c>
      <c r="OI14" s="431" t="str">
        <f ca="1">CHOOSE(WEEKDAY(DATE($A14,OH$43,OI$42),2),"Monday","Tuesday","Wednesday","Thursday","Friday","Saturday","Sunday")</f>
        <v>Friday</v>
      </c>
      <c r="OJ14" s="410" t="s">
        <v>22</v>
      </c>
      <c r="OK14" s="410" t="s">
        <v>22</v>
      </c>
      <c r="OL14" s="411" t="s">
        <v>22</v>
      </c>
      <c r="OM14" s="431" t="s">
        <v>22</v>
      </c>
      <c r="ON14" s="411" t="s">
        <v>22</v>
      </c>
      <c r="OO14" s="431" t="s">
        <v>22</v>
      </c>
      <c r="OP14" s="410" t="s">
        <v>22</v>
      </c>
      <c r="OQ14" s="410" t="s">
        <v>22</v>
      </c>
      <c r="OR14" s="411" t="s">
        <v>22</v>
      </c>
      <c r="OS14" s="431" t="s">
        <v>22</v>
      </c>
      <c r="OT14" s="411" t="s">
        <v>22</v>
      </c>
      <c r="OU14" s="431" t="s">
        <v>22</v>
      </c>
      <c r="OV14" s="410" t="s">
        <v>22</v>
      </c>
      <c r="OW14" s="410" t="s">
        <v>22</v>
      </c>
      <c r="OX14" s="411" t="s">
        <v>22</v>
      </c>
      <c r="OY14" s="431" t="s">
        <v>22</v>
      </c>
      <c r="OZ14" s="410" t="s">
        <v>22</v>
      </c>
      <c r="PA14" s="410" t="s">
        <v>22</v>
      </c>
      <c r="PB14" s="539" t="s">
        <v>1841</v>
      </c>
      <c r="PC14" s="431" t="str">
        <f ca="1">CHOOSE(WEEKDAY(DATE($A14,PB$43,PC$42),2),"Monday","Tuesday","Wednesday","Thursday","Friday","Saturday","Sunday")</f>
        <v>Tuesday</v>
      </c>
      <c r="PD14" s="410" t="s">
        <v>22</v>
      </c>
      <c r="PE14" s="410" t="s">
        <v>22</v>
      </c>
      <c r="PF14" s="411" t="s">
        <v>22</v>
      </c>
      <c r="PG14" s="410" t="s">
        <v>22</v>
      </c>
      <c r="PH14" s="411" t="s">
        <v>22</v>
      </c>
      <c r="PI14" s="431" t="s">
        <v>22</v>
      </c>
      <c r="PJ14" s="411" t="s">
        <v>22</v>
      </c>
      <c r="PK14" s="431" t="s">
        <v>22</v>
      </c>
      <c r="PL14" s="538" t="s">
        <v>1850</v>
      </c>
      <c r="PM14" s="410" t="str">
        <f ca="1">CHOOSE(WEEKDAY(DATE($A14,PL$43,PM$42),2),"Monday","Tuesday","Wednesday","Thursday","Friday","Saturday","Sunday")</f>
        <v>Friday</v>
      </c>
      <c r="PN14" s="411" t="s">
        <v>22</v>
      </c>
      <c r="PO14" s="431" t="s">
        <v>22</v>
      </c>
      <c r="PP14" s="410" t="s">
        <v>22</v>
      </c>
      <c r="PQ14" s="410" t="s">
        <v>22</v>
      </c>
      <c r="PR14" s="411" t="s">
        <v>22</v>
      </c>
      <c r="PS14" s="431" t="s">
        <v>22</v>
      </c>
      <c r="PT14" s="410" t="s">
        <v>22</v>
      </c>
      <c r="PU14" s="410" t="s">
        <v>22</v>
      </c>
      <c r="PV14" s="411" t="s">
        <v>22</v>
      </c>
      <c r="PW14" s="431" t="s">
        <v>22</v>
      </c>
      <c r="PX14" s="410" t="s">
        <v>22</v>
      </c>
      <c r="PY14" s="410" t="s">
        <v>22</v>
      </c>
      <c r="PZ14" s="411" t="s">
        <v>22</v>
      </c>
      <c r="QA14" s="431" t="s">
        <v>22</v>
      </c>
      <c r="QB14" s="538" t="s">
        <v>1859</v>
      </c>
      <c r="QC14" s="410" t="str">
        <f ca="1">CHOOSE(WEEKDAY(DATE($A14,QB$43,QC$42),2),"Monday","Tuesday","Wednesday","Thursday","Friday","Saturday","Sunday")</f>
        <v>Saturday</v>
      </c>
      <c r="QD14" s="411" t="s">
        <v>22</v>
      </c>
      <c r="QE14" s="431" t="s">
        <v>22</v>
      </c>
      <c r="QF14" s="541" t="s">
        <v>1865</v>
      </c>
      <c r="QG14" s="410" t="str">
        <f ca="1">CHOOSE(WEEKDAY(DATE($A14,QF$43,QG$42),2),"Monday","Tuesday","Wednesday","Thursday","Friday","Saturday","Sunday")</f>
        <v>Monday</v>
      </c>
      <c r="QH14" s="411" t="s">
        <v>22</v>
      </c>
      <c r="QI14" s="431" t="s">
        <v>22</v>
      </c>
      <c r="QJ14" s="410" t="s">
        <v>22</v>
      </c>
      <c r="QK14" s="410" t="s">
        <v>22</v>
      </c>
      <c r="QL14" s="411" t="s">
        <v>22</v>
      </c>
      <c r="QM14" s="431" t="s">
        <v>22</v>
      </c>
      <c r="QN14" s="541" t="s">
        <v>1871</v>
      </c>
      <c r="QO14" s="410" t="str">
        <f ca="1">CHOOSE(WEEKDAY(DATE($A14,QN$43,QO$42),2),"Monday","Tuesday","Wednesday","Thursday","Friday","Saturday","Sunday")</f>
        <v>Friday</v>
      </c>
      <c r="QP14" s="411" t="s">
        <v>22</v>
      </c>
      <c r="QQ14" s="431" t="s">
        <v>22</v>
      </c>
      <c r="QR14" s="538" t="s">
        <v>1876</v>
      </c>
      <c r="QS14" s="410" t="str">
        <f ca="1">CHOOSE(WEEKDAY(DATE($A14,QR$43,QS$42),2),"Monday","Tuesday","Wednesday","Thursday","Friday","Saturday","Sunday")</f>
        <v>Sunday</v>
      </c>
      <c r="QT14" s="411" t="s">
        <v>22</v>
      </c>
      <c r="QU14" s="456" t="s">
        <v>22</v>
      </c>
      <c r="QV14" s="538" t="s">
        <v>1876</v>
      </c>
      <c r="QW14" s="410" t="str">
        <f ca="1">CHOOSE(WEEKDAY(DATE($A14,QV$43,QW$42),2),"Monday","Tuesday","Wednesday","Thursday","Friday","Saturday","Sunday")</f>
        <v>Tuesday</v>
      </c>
      <c r="QX14" s="411" t="s">
        <v>22</v>
      </c>
      <c r="QY14" s="431" t="s">
        <v>22</v>
      </c>
      <c r="QZ14" s="410" t="s">
        <v>22</v>
      </c>
      <c r="RA14" s="431" t="s">
        <v>22</v>
      </c>
      <c r="RB14" s="410" t="s">
        <v>22</v>
      </c>
      <c r="RC14" s="431" t="s">
        <v>22</v>
      </c>
      <c r="RD14" s="410" t="s">
        <v>22</v>
      </c>
      <c r="RE14" s="410" t="s">
        <v>22</v>
      </c>
      <c r="RF14" s="411" t="s">
        <v>22</v>
      </c>
      <c r="RG14" s="431" t="s">
        <v>22</v>
      </c>
      <c r="RH14" s="410" t="s">
        <v>22</v>
      </c>
      <c r="RI14" s="410" t="s">
        <v>22</v>
      </c>
      <c r="RJ14" s="411" t="s">
        <v>22</v>
      </c>
      <c r="RK14" s="431" t="s">
        <v>22</v>
      </c>
      <c r="RL14" s="411" t="s">
        <v>22</v>
      </c>
      <c r="RM14" s="431" t="s">
        <v>22</v>
      </c>
      <c r="RN14" s="538" t="s">
        <v>2033</v>
      </c>
      <c r="RO14" s="410" t="str">
        <f ca="1">CHOOSE(WEEKDAY(DATE($A14,RN$43,RO$42),2),"Monday","Tuesday","Wednesday","Thursday","Friday","Saturday","Sunday")</f>
        <v>Friday</v>
      </c>
      <c r="RP14" s="411" t="s">
        <v>22</v>
      </c>
      <c r="RQ14" s="431" t="s">
        <v>22</v>
      </c>
      <c r="RR14" s="410" t="s">
        <v>22</v>
      </c>
      <c r="RS14" s="410" t="s">
        <v>22</v>
      </c>
      <c r="RT14" s="411" t="s">
        <v>22</v>
      </c>
      <c r="RU14" s="431" t="s">
        <v>22</v>
      </c>
      <c r="RV14" s="538" t="s">
        <v>1895</v>
      </c>
      <c r="RW14" s="410" t="str">
        <f ca="1">CHOOSE(WEEKDAY(DATE($A14,RV$43,RW$42),2),"Monday","Tuesday","Wednesday","Thursday","Friday","Saturday","Sunday")</f>
        <v>Tuesday</v>
      </c>
      <c r="RX14" s="411" t="s">
        <v>22</v>
      </c>
      <c r="RY14" s="431" t="s">
        <v>22</v>
      </c>
      <c r="RZ14" s="411" t="s">
        <v>22</v>
      </c>
      <c r="SA14" s="431" t="s">
        <v>22</v>
      </c>
      <c r="SB14" s="411" t="s">
        <v>22</v>
      </c>
      <c r="SC14" s="431" t="s">
        <v>22</v>
      </c>
      <c r="SD14" s="410" t="s">
        <v>22</v>
      </c>
      <c r="SE14" s="410" t="s">
        <v>22</v>
      </c>
      <c r="SF14" s="539" t="s">
        <v>2034</v>
      </c>
      <c r="SG14" s="431" t="str">
        <f ca="1">CHOOSE(WEEKDAY(DATE($A14,SF$43,SG$42),2),"Monday","Tuesday","Wednesday","Thursday","Friday","Saturday","Sunday")</f>
        <v>Monday</v>
      </c>
      <c r="SH14" s="410" t="s">
        <v>22</v>
      </c>
      <c r="SI14" s="410" t="s">
        <v>22</v>
      </c>
      <c r="SJ14" s="411" t="s">
        <v>22</v>
      </c>
      <c r="SK14" s="431" t="s">
        <v>22</v>
      </c>
      <c r="SL14" s="539" t="s">
        <v>1982</v>
      </c>
      <c r="SM14" s="431" t="str">
        <f ca="1">CHOOSE(WEEKDAY(DATE($A14,SL$43,SM$42),2),"Monday","Tuesday","Wednesday","Thursday","Friday","Saturday","Sunday")</f>
        <v>Friday</v>
      </c>
      <c r="SN14" s="410" t="s">
        <v>22</v>
      </c>
      <c r="SO14" s="410" t="s">
        <v>22</v>
      </c>
      <c r="SP14" s="411" t="s">
        <v>22</v>
      </c>
      <c r="SQ14" s="431" t="s">
        <v>22</v>
      </c>
      <c r="SR14" s="410" t="s">
        <v>22</v>
      </c>
      <c r="SS14" s="410" t="s">
        <v>22</v>
      </c>
      <c r="ST14" s="411" t="s">
        <v>22</v>
      </c>
      <c r="SU14" s="431" t="s">
        <v>22</v>
      </c>
      <c r="SV14" s="410" t="s">
        <v>22</v>
      </c>
      <c r="SW14" s="410" t="s">
        <v>22</v>
      </c>
      <c r="SX14" s="539" t="s">
        <v>1974</v>
      </c>
      <c r="SY14" s="431" t="str">
        <f ca="1">CHOOSE(WEEKDAY(DATE($A14,SX$43,SY$42),2),"Monday","Tuesday","Wednesday","Thursday","Friday","Saturday","Sunday")</f>
        <v>Friday</v>
      </c>
      <c r="SZ14" s="410" t="s">
        <v>22</v>
      </c>
      <c r="TA14" s="410" t="s">
        <v>22</v>
      </c>
      <c r="TB14" s="411" t="s">
        <v>22</v>
      </c>
      <c r="TC14" s="431" t="s">
        <v>22</v>
      </c>
      <c r="TD14" s="410" t="s">
        <v>22</v>
      </c>
      <c r="TE14" s="410" t="s">
        <v>22</v>
      </c>
      <c r="TF14" s="411" t="s">
        <v>22</v>
      </c>
      <c r="TG14" s="431" t="s">
        <v>22</v>
      </c>
      <c r="TH14" s="410" t="s">
        <v>22</v>
      </c>
      <c r="TI14" s="431" t="s">
        <v>22</v>
      </c>
      <c r="TJ14" s="411" t="s">
        <v>22</v>
      </c>
      <c r="TK14" s="410" t="s">
        <v>22</v>
      </c>
      <c r="TL14" s="539" t="s">
        <v>1932</v>
      </c>
      <c r="TM14" s="431" t="str">
        <f ca="1">CHOOSE(WEEKDAY(DATE($A14,TL$43,TM$42),2),"Monday","Tuesday","Wednesday","Thursday","Friday","Saturday","Sunday")</f>
        <v>Friday</v>
      </c>
      <c r="TN14" s="410" t="s">
        <v>22</v>
      </c>
      <c r="TO14" s="410" t="s">
        <v>22</v>
      </c>
      <c r="TP14" s="411" t="s">
        <v>22</v>
      </c>
      <c r="TQ14" s="431" t="s">
        <v>22</v>
      </c>
      <c r="TR14" s="410" t="s">
        <v>22</v>
      </c>
      <c r="TS14" s="410" t="s">
        <v>22</v>
      </c>
      <c r="TT14" s="411" t="s">
        <v>22</v>
      </c>
      <c r="TU14" s="431" t="s">
        <v>22</v>
      </c>
      <c r="TV14" s="539" t="s">
        <v>1935</v>
      </c>
      <c r="TW14" s="431" t="str">
        <f ca="1">CHOOSE(WEEKDAY(DATE($A14,TV$43,TW$42),2),"Monday","Tuesday","Wednesday","Thursday","Friday","Saturday","Sunday")</f>
        <v>Wednesday</v>
      </c>
      <c r="TX14" s="411" t="s">
        <v>22</v>
      </c>
      <c r="TY14" s="431" t="s">
        <v>22</v>
      </c>
      <c r="TZ14" s="411" t="s">
        <v>22</v>
      </c>
      <c r="UA14" s="431" t="s">
        <v>22</v>
      </c>
      <c r="UB14" s="410" t="s">
        <v>22</v>
      </c>
      <c r="UC14" s="410" t="s">
        <v>22</v>
      </c>
      <c r="UD14" s="411" t="s">
        <v>22</v>
      </c>
      <c r="UE14" s="431" t="s">
        <v>22</v>
      </c>
      <c r="UF14" s="410" t="s">
        <v>22</v>
      </c>
      <c r="UG14" s="410" t="s">
        <v>22</v>
      </c>
      <c r="UH14" s="411" t="s">
        <v>22</v>
      </c>
      <c r="UI14" s="431" t="s">
        <v>22</v>
      </c>
      <c r="UJ14" s="411" t="s">
        <v>22</v>
      </c>
      <c r="UK14" s="431" t="s">
        <v>22</v>
      </c>
      <c r="UL14" s="410" t="s">
        <v>22</v>
      </c>
      <c r="UM14" s="410" t="s">
        <v>22</v>
      </c>
      <c r="UN14" s="411" t="s">
        <v>22</v>
      </c>
      <c r="UO14" s="431" t="s">
        <v>22</v>
      </c>
      <c r="UP14" s="410" t="s">
        <v>22</v>
      </c>
      <c r="UQ14" s="410" t="s">
        <v>22</v>
      </c>
      <c r="UR14" s="411" t="s">
        <v>22</v>
      </c>
      <c r="US14" s="431" t="s">
        <v>22</v>
      </c>
      <c r="UT14" s="411" t="s">
        <v>22</v>
      </c>
      <c r="UU14" s="431" t="s">
        <v>22</v>
      </c>
      <c r="UV14" s="410" t="s">
        <v>22</v>
      </c>
      <c r="UW14" s="410" t="s">
        <v>22</v>
      </c>
      <c r="UX14" s="411" t="s">
        <v>22</v>
      </c>
      <c r="UY14" s="431" t="s">
        <v>22</v>
      </c>
      <c r="UZ14" s="410" t="s">
        <v>22</v>
      </c>
      <c r="VA14" s="410" t="s">
        <v>22</v>
      </c>
      <c r="VB14" s="411" t="s">
        <v>22</v>
      </c>
      <c r="VC14" s="431" t="s">
        <v>22</v>
      </c>
      <c r="VD14" s="410" t="s">
        <v>22</v>
      </c>
      <c r="VE14" s="410" t="s">
        <v>22</v>
      </c>
      <c r="VF14" s="411" t="s">
        <v>22</v>
      </c>
      <c r="VG14" s="431" t="s">
        <v>22</v>
      </c>
      <c r="VH14" s="411" t="s">
        <v>22</v>
      </c>
      <c r="VI14" s="431" t="s">
        <v>22</v>
      </c>
      <c r="VJ14" s="538" t="s">
        <v>1955</v>
      </c>
      <c r="VK14" s="410" t="str">
        <f ca="1">CHOOSE(WEEKDAY(DATE($A14,VJ$43,VK$42),2),"Monday","Tuesday","Wednesday","Thursday","Friday","Saturday","Sunday")</f>
        <v>Friday</v>
      </c>
      <c r="VL14" s="411" t="s">
        <v>22</v>
      </c>
      <c r="VM14" s="431" t="s">
        <v>22</v>
      </c>
      <c r="VN14" s="410" t="s">
        <v>22</v>
      </c>
      <c r="VO14" s="410" t="s">
        <v>22</v>
      </c>
      <c r="VP14" s="411" t="s">
        <v>22</v>
      </c>
      <c r="VQ14" s="431" t="s">
        <v>22</v>
      </c>
      <c r="VR14" s="410" t="s">
        <v>22</v>
      </c>
      <c r="VS14" s="410" t="s">
        <v>22</v>
      </c>
      <c r="VT14" s="411" t="s">
        <v>22</v>
      </c>
      <c r="VU14" s="431" t="s">
        <v>22</v>
      </c>
      <c r="VV14" s="411" t="s">
        <v>22</v>
      </c>
      <c r="VW14" s="431" t="s">
        <v>22</v>
      </c>
      <c r="VX14" s="538" t="s">
        <v>1759</v>
      </c>
      <c r="VY14" s="431" t="str">
        <f ca="1">CHOOSE(WEEKDAY(DATE($A14,VX$43,VY$42),2),"Monday","Tuesday","Wednesday","Thursday","Friday","Saturday","Sunday")</f>
        <v>Friday</v>
      </c>
      <c r="VZ14" s="411" t="s">
        <v>22</v>
      </c>
      <c r="WA14" s="431" t="s">
        <v>22</v>
      </c>
      <c r="WB14" s="411" t="s">
        <v>22</v>
      </c>
      <c r="WC14" s="431" t="s">
        <v>22</v>
      </c>
      <c r="WD14" s="410" t="s">
        <v>22</v>
      </c>
      <c r="WE14" s="410" t="s">
        <v>22</v>
      </c>
      <c r="WF14" s="411" t="s">
        <v>22</v>
      </c>
      <c r="WG14" s="431" t="s">
        <v>22</v>
      </c>
      <c r="WH14" s="410" t="s">
        <v>22</v>
      </c>
      <c r="WI14" s="410" t="s">
        <v>22</v>
      </c>
      <c r="WJ14" s="539" t="s">
        <v>1566</v>
      </c>
      <c r="WK14" s="431" t="str">
        <f ca="1">CHOOSE(WEEKDAY(DATE($A14,WJ$43,WK$42),2),"Monday","Tuesday","Wednesday","Thursday","Friday","Saturday","Sunday")</f>
        <v>Friday</v>
      </c>
      <c r="WL14" s="410" t="s">
        <v>22</v>
      </c>
      <c r="WM14" s="410" t="s">
        <v>22</v>
      </c>
      <c r="WN14" s="411" t="s">
        <v>22</v>
      </c>
      <c r="WO14" s="431" t="s">
        <v>22</v>
      </c>
      <c r="WP14" s="410" t="s">
        <v>22</v>
      </c>
      <c r="WQ14" s="410" t="s">
        <v>22</v>
      </c>
      <c r="WR14" s="411" t="s">
        <v>22</v>
      </c>
      <c r="WS14" s="431" t="s">
        <v>22</v>
      </c>
      <c r="WT14" s="411" t="s">
        <v>22</v>
      </c>
      <c r="WU14" s="431" t="s">
        <v>22</v>
      </c>
      <c r="WV14" s="411" t="s">
        <v>22</v>
      </c>
      <c r="WW14" s="431" t="s">
        <v>22</v>
      </c>
      <c r="WX14" s="411" t="s">
        <v>22</v>
      </c>
      <c r="WY14" s="431" t="s">
        <v>22</v>
      </c>
      <c r="WZ14" s="410" t="s">
        <v>22</v>
      </c>
      <c r="XA14" s="410" t="s">
        <v>22</v>
      </c>
      <c r="XB14" s="539" t="s">
        <v>1987</v>
      </c>
      <c r="XC14" s="431" t="str">
        <f ca="1">CHOOSE(WEEKDAY(DATE($A14,XB$43,XC$42),2),"Monday","Tuesday","Wednesday","Thursday","Friday","Saturday","Sunday")</f>
        <v>Sunday</v>
      </c>
      <c r="XD14" s="410" t="s">
        <v>22</v>
      </c>
      <c r="XE14" s="410" t="s">
        <v>22</v>
      </c>
      <c r="XF14" s="411" t="s">
        <v>22</v>
      </c>
      <c r="XG14" s="431" t="s">
        <v>22</v>
      </c>
      <c r="XH14" s="411" t="s">
        <v>22</v>
      </c>
      <c r="XI14" s="431" t="s">
        <v>22</v>
      </c>
      <c r="XJ14" s="410" t="s">
        <v>22</v>
      </c>
      <c r="XK14" s="410" t="s">
        <v>22</v>
      </c>
      <c r="XL14" s="319" t="s">
        <v>2020</v>
      </c>
      <c r="XM14" s="431" t="str">
        <f ca="1">CHOOSE(WEEKDAY(DATE($A14,XL$43,XM$42),2),"Monday","Tuesday","Wednesday","Thursday","Friday","Saturday","Sunday")</f>
        <v>Friday</v>
      </c>
      <c r="XN14" s="410" t="s">
        <v>22</v>
      </c>
      <c r="XO14" s="410" t="s">
        <v>22</v>
      </c>
      <c r="XP14" s="411" t="s">
        <v>22</v>
      </c>
      <c r="XQ14" s="431" t="s">
        <v>22</v>
      </c>
      <c r="XR14" s="410" t="s">
        <v>22</v>
      </c>
      <c r="XS14" s="410" t="s">
        <v>22</v>
      </c>
      <c r="XT14" s="411" t="s">
        <v>22</v>
      </c>
      <c r="XU14" s="431" t="s">
        <v>22</v>
      </c>
      <c r="XV14" s="411" t="s">
        <v>22</v>
      </c>
      <c r="XW14" s="431" t="s">
        <v>22</v>
      </c>
      <c r="XX14" s="538" t="s">
        <v>2020</v>
      </c>
      <c r="XY14" s="410" t="str">
        <f ca="1">CHOOSE(WEEKDAY(DATE($A14,XX$43,XY$42),2),"Monday","Tuesday","Wednesday","Thursday","Friday","Saturday","Sunday")</f>
        <v>Thursday</v>
      </c>
      <c r="XZ14" s="539" t="s">
        <v>2003</v>
      </c>
      <c r="YA14" s="431" t="str">
        <f ca="1">CHOOSE(WEEKDAY(DATE($A14,XZ$43,YA$42),2),"Monday","Tuesday","Wednesday","Thursday","Friday","Saturday","Sunday")</f>
        <v>Friday</v>
      </c>
      <c r="YB14" s="410" t="s">
        <v>22</v>
      </c>
      <c r="YC14" s="410" t="s">
        <v>22</v>
      </c>
      <c r="YD14" s="539" t="s">
        <v>2003</v>
      </c>
      <c r="YE14" s="431" t="str">
        <f ca="1">CHOOSE(WEEKDAY(DATE($A14,YD$43,YE$42),2),"Monday","Tuesday","Wednesday","Thursday","Friday","Saturday","Sunday")</f>
        <v>Sunday</v>
      </c>
    </row>
    <row r="15" spans="1:655" ht="15" x14ac:dyDescent="0.2">
      <c r="A15" s="412"/>
      <c r="B15" s="417"/>
      <c r="C15" s="412"/>
      <c r="D15" s="417"/>
      <c r="E15" s="412"/>
      <c r="F15" s="402"/>
      <c r="G15" s="412"/>
      <c r="H15" s="417"/>
      <c r="I15" s="402"/>
      <c r="J15" s="417"/>
      <c r="K15" s="412"/>
      <c r="L15" s="402"/>
      <c r="M15" s="402"/>
      <c r="N15" s="417"/>
      <c r="O15" s="412"/>
      <c r="P15" s="402"/>
      <c r="Q15" s="402"/>
      <c r="R15" s="417"/>
      <c r="S15" s="412"/>
      <c r="T15" s="417"/>
      <c r="U15" s="412"/>
      <c r="V15" s="402"/>
      <c r="W15" s="402"/>
      <c r="X15" s="417"/>
      <c r="Y15" s="412"/>
      <c r="Z15" s="417"/>
      <c r="AA15" s="412"/>
      <c r="AB15" s="402"/>
      <c r="AC15" s="402"/>
      <c r="AD15" s="417"/>
      <c r="AE15" s="412"/>
      <c r="AF15" s="417"/>
      <c r="AG15" s="412"/>
      <c r="AH15" s="402"/>
      <c r="AI15" s="402"/>
      <c r="AJ15" s="417"/>
      <c r="AK15" s="412"/>
      <c r="AL15" s="402"/>
      <c r="AM15" s="402"/>
      <c r="AN15" s="417"/>
      <c r="AO15" s="412"/>
      <c r="AP15" s="402"/>
      <c r="AQ15" s="402"/>
      <c r="AR15" s="417"/>
      <c r="AS15" s="412"/>
      <c r="AT15" s="402"/>
      <c r="AU15" s="402"/>
      <c r="AV15" s="417"/>
      <c r="AW15" s="412"/>
      <c r="AX15" s="402"/>
      <c r="AY15" s="402"/>
      <c r="AZ15" s="417"/>
      <c r="BA15" s="412"/>
      <c r="BB15" s="402"/>
      <c r="BC15" s="402"/>
      <c r="BD15" s="417"/>
      <c r="BE15" s="412"/>
      <c r="BF15" s="417"/>
      <c r="BG15" s="412"/>
      <c r="BH15" s="402"/>
      <c r="BI15" s="402"/>
      <c r="BJ15" s="417"/>
      <c r="BK15" s="412"/>
      <c r="BL15" s="402"/>
      <c r="BM15" s="402"/>
      <c r="BN15" s="417"/>
      <c r="BO15" s="412"/>
      <c r="BP15" s="417"/>
      <c r="BQ15" s="412"/>
      <c r="BR15" s="402"/>
      <c r="BS15" s="402"/>
      <c r="BT15" s="417"/>
      <c r="BU15" s="412"/>
      <c r="BV15" s="417"/>
      <c r="BW15" s="412"/>
      <c r="BX15" s="402"/>
      <c r="BY15" s="402"/>
      <c r="BZ15" s="417"/>
      <c r="CA15" s="412"/>
      <c r="CB15" s="417"/>
      <c r="CC15" s="412"/>
      <c r="CD15" s="402"/>
      <c r="CE15" s="402"/>
      <c r="CF15" s="417"/>
      <c r="CG15" s="412"/>
      <c r="CH15" s="402"/>
      <c r="CI15" s="402"/>
      <c r="CJ15" s="417"/>
      <c r="CK15" s="412"/>
      <c r="CL15" s="402"/>
      <c r="CM15" s="402"/>
      <c r="CN15" s="417"/>
      <c r="CO15" s="412"/>
      <c r="CP15" s="402"/>
      <c r="CQ15" s="402"/>
      <c r="CR15" s="417"/>
      <c r="CS15" s="412"/>
      <c r="CT15" s="402"/>
      <c r="CU15" s="402"/>
      <c r="CV15" s="417"/>
      <c r="CW15" s="412"/>
      <c r="CX15" s="417"/>
      <c r="CY15" s="402"/>
      <c r="CZ15" s="417"/>
      <c r="DA15" s="402"/>
      <c r="DB15" s="417"/>
      <c r="DC15" s="412"/>
      <c r="DD15" s="402"/>
      <c r="DE15" s="402"/>
      <c r="DF15" s="417"/>
      <c r="DG15" s="412"/>
      <c r="DH15" s="402"/>
      <c r="DI15" s="402"/>
      <c r="DJ15" s="417"/>
      <c r="DK15" s="412"/>
      <c r="DL15" s="402"/>
      <c r="DM15" s="402"/>
      <c r="DN15" s="417"/>
      <c r="DO15" s="412"/>
      <c r="DP15" s="402"/>
      <c r="DQ15" s="402"/>
      <c r="DR15" s="417"/>
      <c r="DS15" s="412"/>
      <c r="DT15" s="402"/>
      <c r="DU15" s="402"/>
      <c r="DV15" s="417"/>
      <c r="DW15" s="412"/>
      <c r="DX15" s="402"/>
      <c r="DY15" s="402"/>
      <c r="DZ15" s="417"/>
      <c r="EA15" s="412"/>
      <c r="EB15" s="417"/>
      <c r="EC15" s="412"/>
      <c r="ED15" s="402"/>
      <c r="EE15" s="402"/>
      <c r="EF15" s="417"/>
      <c r="EG15" s="412"/>
      <c r="EH15" s="402"/>
      <c r="EI15" s="402"/>
      <c r="EJ15" s="417"/>
      <c r="EK15" s="412"/>
      <c r="EL15" s="402"/>
      <c r="EM15" s="402"/>
      <c r="EN15" s="417"/>
      <c r="EO15" s="412"/>
      <c r="EP15" s="402"/>
      <c r="EQ15" s="402"/>
      <c r="ER15" s="417"/>
      <c r="ES15" s="412"/>
      <c r="ET15" s="402"/>
      <c r="EU15" s="402"/>
      <c r="EV15" s="417"/>
      <c r="EW15" s="412"/>
      <c r="EX15" s="402"/>
      <c r="EY15" s="402"/>
      <c r="EZ15" s="417"/>
      <c r="FA15" s="412"/>
      <c r="FB15" s="417"/>
      <c r="FC15" s="412"/>
      <c r="FD15" s="417"/>
      <c r="FE15" s="412"/>
      <c r="FF15" s="402"/>
      <c r="FG15" s="402"/>
      <c r="FH15" s="417"/>
      <c r="FI15" s="412"/>
      <c r="FJ15" s="417"/>
      <c r="FK15" s="412"/>
      <c r="FL15" s="417"/>
      <c r="FM15" s="412"/>
      <c r="FN15" s="402"/>
      <c r="FO15" s="402"/>
      <c r="FP15" s="417"/>
      <c r="FQ15" s="412"/>
      <c r="FR15" s="417"/>
      <c r="FS15" s="412"/>
      <c r="FT15" s="402"/>
      <c r="FU15" s="402"/>
      <c r="FV15" s="417"/>
      <c r="FW15" s="412"/>
      <c r="FX15" s="402"/>
      <c r="FY15" s="402"/>
      <c r="FZ15" s="417"/>
      <c r="GA15" s="412"/>
      <c r="GB15" s="402"/>
      <c r="GC15" s="402"/>
      <c r="GD15" s="417"/>
      <c r="GE15" s="412"/>
      <c r="GF15" s="417"/>
      <c r="GG15" s="412"/>
      <c r="GH15" s="417"/>
      <c r="GI15" s="412"/>
      <c r="GJ15" s="402"/>
      <c r="GK15" s="402"/>
      <c r="GL15" s="417"/>
      <c r="GM15" s="412"/>
      <c r="GN15" s="417"/>
      <c r="GO15" s="412"/>
      <c r="GP15" s="402"/>
      <c r="GQ15" s="402"/>
      <c r="GR15" s="417"/>
      <c r="GS15" s="412"/>
      <c r="GT15" s="417"/>
      <c r="GU15" s="412"/>
      <c r="GV15" s="417"/>
      <c r="GW15" s="412"/>
      <c r="GX15" s="417"/>
      <c r="GY15" s="412"/>
      <c r="GZ15" s="417"/>
      <c r="HA15" s="412"/>
      <c r="HB15" s="417"/>
      <c r="HC15" s="412"/>
      <c r="HD15" s="402"/>
      <c r="HE15" s="402"/>
      <c r="HF15" s="417"/>
      <c r="HG15" s="412"/>
      <c r="HH15" s="417"/>
      <c r="HI15" s="412"/>
      <c r="HJ15" s="402"/>
      <c r="HK15" s="402"/>
      <c r="HL15" s="417"/>
      <c r="HM15" s="412"/>
      <c r="HN15" s="417"/>
      <c r="HO15" s="412"/>
      <c r="HP15" s="402"/>
      <c r="HQ15" s="402"/>
      <c r="HR15" s="417"/>
      <c r="HS15" s="412"/>
      <c r="HT15" s="402"/>
      <c r="HU15" s="402"/>
      <c r="HV15" s="417"/>
      <c r="HW15" s="412"/>
      <c r="HX15" s="417"/>
      <c r="HY15" s="412"/>
      <c r="HZ15" s="402"/>
      <c r="IA15" s="402"/>
      <c r="IB15" s="417"/>
      <c r="IC15" s="412"/>
      <c r="ID15" s="402"/>
      <c r="IE15" s="402"/>
      <c r="IF15" s="417"/>
      <c r="IG15" s="412"/>
      <c r="IH15" s="402"/>
      <c r="II15" s="402"/>
      <c r="IJ15" s="417"/>
      <c r="IK15" s="412"/>
      <c r="IL15" s="417"/>
      <c r="IM15" s="412"/>
      <c r="IN15" s="417"/>
      <c r="IO15" s="412"/>
      <c r="IP15" s="417"/>
      <c r="IQ15" s="412"/>
      <c r="IR15" s="402"/>
      <c r="IS15" s="402"/>
      <c r="IT15" s="417"/>
      <c r="IU15" s="412"/>
      <c r="IV15" s="417"/>
      <c r="IW15" s="412"/>
      <c r="IX15" s="417"/>
      <c r="IY15" s="412"/>
      <c r="IZ15" s="402"/>
      <c r="JA15" s="402"/>
      <c r="JB15" s="417"/>
      <c r="JC15" s="412"/>
      <c r="JD15" s="402"/>
      <c r="JE15" s="402"/>
      <c r="JF15" s="417"/>
      <c r="JG15" s="412"/>
      <c r="JH15" s="417"/>
      <c r="JI15" s="412"/>
      <c r="JJ15" s="417"/>
      <c r="JK15" s="412"/>
      <c r="JL15" s="402"/>
      <c r="JM15" s="402"/>
      <c r="JN15" s="417"/>
      <c r="JO15" s="412"/>
      <c r="JP15" s="402"/>
      <c r="JQ15" s="402"/>
      <c r="JR15" s="417"/>
      <c r="JS15" s="412"/>
      <c r="JT15" s="402"/>
      <c r="JU15" s="402"/>
      <c r="JV15" s="417"/>
      <c r="JW15" s="412"/>
      <c r="JX15" s="402"/>
      <c r="JY15" s="402"/>
      <c r="JZ15" s="417"/>
      <c r="KA15" s="412"/>
      <c r="KB15" s="417"/>
      <c r="KC15" s="412"/>
      <c r="KD15" s="417"/>
      <c r="KE15" s="412"/>
      <c r="KF15" s="402"/>
      <c r="KG15" s="402"/>
      <c r="KH15" s="417"/>
      <c r="KI15" s="412"/>
      <c r="KJ15" s="417"/>
      <c r="KK15" s="412"/>
      <c r="KL15" s="417"/>
      <c r="KM15" s="412"/>
      <c r="KN15" s="402"/>
      <c r="KO15" s="402"/>
      <c r="KP15" s="417"/>
      <c r="KQ15" s="412"/>
      <c r="KR15" s="402"/>
      <c r="KS15" s="402"/>
      <c r="KT15" s="417"/>
      <c r="KU15" s="412"/>
      <c r="KV15" s="402"/>
      <c r="KW15" s="402"/>
      <c r="KX15" s="417"/>
      <c r="KY15" s="412"/>
      <c r="KZ15" s="402"/>
      <c r="LA15" s="402"/>
      <c r="LB15" s="417"/>
      <c r="LC15" s="412"/>
      <c r="LD15" s="402"/>
      <c r="LE15" s="402"/>
      <c r="LF15" s="417"/>
      <c r="LG15" s="412"/>
      <c r="LH15" s="402"/>
      <c r="LI15" s="402"/>
      <c r="LJ15" s="417"/>
      <c r="LK15" s="412"/>
      <c r="LL15" s="402"/>
      <c r="LM15" s="402"/>
      <c r="LN15" s="417"/>
      <c r="LO15" s="412"/>
      <c r="LP15" s="402"/>
      <c r="LQ15" s="402"/>
      <c r="LR15" s="417"/>
      <c r="LS15" s="412"/>
      <c r="LT15" s="402"/>
      <c r="LU15" s="402"/>
      <c r="LV15" s="417"/>
      <c r="LW15" s="412"/>
      <c r="LX15" s="402"/>
      <c r="LY15" s="402"/>
      <c r="LZ15" s="417"/>
      <c r="MA15" s="412"/>
      <c r="MB15" s="402"/>
      <c r="MC15" s="402"/>
      <c r="MD15" s="417"/>
      <c r="ME15" s="412"/>
      <c r="MF15" s="402"/>
      <c r="MG15" s="402"/>
      <c r="MH15" s="417"/>
      <c r="MI15" s="412"/>
      <c r="MJ15" s="417"/>
      <c r="MK15" s="412"/>
      <c r="ML15" s="417"/>
      <c r="MM15" s="412"/>
      <c r="MN15" s="402"/>
      <c r="MO15" s="402"/>
      <c r="MP15" s="417"/>
      <c r="MQ15" s="412"/>
      <c r="MR15" s="402"/>
      <c r="MS15" s="402"/>
      <c r="MT15" s="417"/>
      <c r="MU15" s="412"/>
      <c r="MV15" s="402"/>
      <c r="MW15" s="402"/>
      <c r="MX15" s="417"/>
      <c r="MY15" s="412"/>
      <c r="MZ15" s="417"/>
      <c r="NA15" s="412"/>
      <c r="NB15" s="402"/>
      <c r="NC15" s="402"/>
      <c r="ND15" s="417"/>
      <c r="NE15" s="412"/>
      <c r="NF15" s="402"/>
      <c r="NG15" s="402"/>
      <c r="NH15" s="417"/>
      <c r="NI15" s="412"/>
      <c r="NJ15" s="417"/>
      <c r="NK15" s="412"/>
      <c r="NL15" s="417"/>
      <c r="NM15" s="412"/>
      <c r="NN15" s="417"/>
      <c r="NO15" s="412"/>
      <c r="NP15" s="402"/>
      <c r="NQ15" s="402"/>
      <c r="NR15" s="417"/>
      <c r="NS15" s="412"/>
      <c r="NT15" s="402"/>
      <c r="NU15" s="402"/>
      <c r="NV15" s="417"/>
      <c r="NW15" s="412"/>
      <c r="NX15" s="402"/>
      <c r="NY15" s="402"/>
      <c r="NZ15" s="417"/>
      <c r="OA15" s="412"/>
      <c r="OB15" s="402"/>
      <c r="OC15" s="402"/>
      <c r="OD15" s="417"/>
      <c r="OE15" s="412"/>
      <c r="OF15" s="402"/>
      <c r="OG15" s="402"/>
      <c r="OH15" s="417"/>
      <c r="OI15" s="412"/>
      <c r="OJ15" s="402"/>
      <c r="OK15" s="402"/>
      <c r="OL15" s="417"/>
      <c r="OM15" s="412"/>
      <c r="ON15" s="417"/>
      <c r="OO15" s="412"/>
      <c r="OP15" s="402"/>
      <c r="OQ15" s="402"/>
      <c r="OR15" s="417"/>
      <c r="OS15" s="412"/>
      <c r="OT15" s="417"/>
      <c r="OU15" s="412"/>
      <c r="OV15" s="402"/>
      <c r="OW15" s="402"/>
      <c r="OX15" s="417"/>
      <c r="OY15" s="412"/>
      <c r="OZ15" s="402"/>
      <c r="PA15" s="402"/>
      <c r="PB15" s="417"/>
      <c r="PC15" s="412"/>
      <c r="PD15" s="402"/>
      <c r="PE15" s="402"/>
      <c r="PF15" s="417"/>
      <c r="PG15" s="402"/>
      <c r="PH15" s="417"/>
      <c r="PI15" s="412"/>
      <c r="PJ15" s="417"/>
      <c r="PK15" s="412"/>
      <c r="PL15" s="402"/>
      <c r="PM15" s="402"/>
      <c r="PN15" s="417"/>
      <c r="PO15" s="412"/>
      <c r="PP15" s="402"/>
      <c r="PQ15" s="402"/>
      <c r="PR15" s="417"/>
      <c r="PS15" s="412"/>
      <c r="PT15" s="402"/>
      <c r="PU15" s="402"/>
      <c r="PV15" s="417"/>
      <c r="PW15" s="412"/>
      <c r="PX15" s="402"/>
      <c r="PY15" s="402"/>
      <c r="PZ15" s="417"/>
      <c r="QA15" s="412"/>
      <c r="QB15" s="402"/>
      <c r="QC15" s="402"/>
      <c r="QD15" s="417"/>
      <c r="QE15" s="412"/>
      <c r="QF15" s="402"/>
      <c r="QG15" s="402"/>
      <c r="QH15" s="417"/>
      <c r="QI15" s="412"/>
      <c r="QJ15" s="402"/>
      <c r="QK15" s="402"/>
      <c r="QL15" s="417"/>
      <c r="QM15" s="412"/>
      <c r="QN15" s="402"/>
      <c r="QO15" s="402"/>
      <c r="QP15" s="417"/>
      <c r="QQ15" s="412"/>
      <c r="QR15" s="402"/>
      <c r="QS15" s="402"/>
      <c r="QT15" s="417"/>
      <c r="QU15" s="412"/>
      <c r="QV15" s="402"/>
      <c r="QW15" s="402"/>
      <c r="QX15" s="417"/>
      <c r="QY15" s="412"/>
      <c r="QZ15" s="402"/>
      <c r="RA15" s="412"/>
      <c r="RB15" s="402"/>
      <c r="RC15" s="412"/>
      <c r="RD15" s="402"/>
      <c r="RE15" s="402"/>
      <c r="RF15" s="417"/>
      <c r="RG15" s="412"/>
      <c r="RH15" s="402"/>
      <c r="RI15" s="402"/>
      <c r="RJ15" s="417"/>
      <c r="RK15" s="412"/>
      <c r="RL15" s="417"/>
      <c r="RM15" s="412"/>
      <c r="RN15" s="402"/>
      <c r="RO15" s="402"/>
      <c r="RP15" s="417"/>
      <c r="RQ15" s="412"/>
      <c r="RR15" s="402"/>
      <c r="RS15" s="402"/>
      <c r="RT15" s="417"/>
      <c r="RU15" s="412"/>
      <c r="RV15" s="402"/>
      <c r="RW15" s="402"/>
      <c r="RX15" s="417"/>
      <c r="RY15" s="412"/>
      <c r="RZ15" s="417"/>
      <c r="SA15" s="412"/>
      <c r="SB15" s="417"/>
      <c r="SC15" s="412"/>
      <c r="SD15" s="402"/>
      <c r="SE15" s="402"/>
      <c r="SF15" s="417"/>
      <c r="SG15" s="412"/>
      <c r="SH15" s="402"/>
      <c r="SI15" s="402"/>
      <c r="SJ15" s="417"/>
      <c r="SK15" s="412"/>
      <c r="SL15" s="417"/>
      <c r="SM15" s="412"/>
      <c r="SN15" s="402"/>
      <c r="SO15" s="402"/>
      <c r="SP15" s="417"/>
      <c r="SQ15" s="412"/>
      <c r="SR15" s="402"/>
      <c r="SS15" s="402"/>
      <c r="ST15" s="417"/>
      <c r="SU15" s="412"/>
      <c r="SV15" s="402"/>
      <c r="SW15" s="402"/>
      <c r="SX15" s="417"/>
      <c r="SY15" s="412"/>
      <c r="SZ15" s="402"/>
      <c r="TA15" s="402"/>
      <c r="TB15" s="417"/>
      <c r="TC15" s="412"/>
      <c r="TD15" s="402"/>
      <c r="TE15" s="402"/>
      <c r="TF15" s="417"/>
      <c r="TG15" s="412"/>
      <c r="TH15" s="402"/>
      <c r="TI15" s="412"/>
      <c r="TJ15" s="417"/>
      <c r="TK15" s="402"/>
      <c r="TL15" s="417"/>
      <c r="TM15" s="412"/>
      <c r="TN15" s="402"/>
      <c r="TO15" s="402"/>
      <c r="TP15" s="417"/>
      <c r="TQ15" s="412"/>
      <c r="TR15" s="402"/>
      <c r="TS15" s="402"/>
      <c r="TT15" s="417"/>
      <c r="TU15" s="412"/>
      <c r="TV15" s="417"/>
      <c r="TW15" s="412"/>
      <c r="TX15" s="417"/>
      <c r="TY15" s="412"/>
      <c r="TZ15" s="417"/>
      <c r="UA15" s="412"/>
      <c r="UB15" s="402"/>
      <c r="UC15" s="402"/>
      <c r="UD15" s="417"/>
      <c r="UE15" s="412"/>
      <c r="UF15" s="402"/>
      <c r="UG15" s="402"/>
      <c r="UH15" s="417"/>
      <c r="UI15" s="412"/>
      <c r="UJ15" s="417"/>
      <c r="UK15" s="412"/>
      <c r="UL15" s="402"/>
      <c r="UM15" s="402"/>
      <c r="UN15" s="417"/>
      <c r="UO15" s="412"/>
      <c r="UP15" s="402"/>
      <c r="UQ15" s="402"/>
      <c r="UR15" s="417"/>
      <c r="US15" s="412"/>
      <c r="UT15" s="417"/>
      <c r="UU15" s="412"/>
      <c r="UV15" s="402"/>
      <c r="UW15" s="402"/>
      <c r="UX15" s="417"/>
      <c r="UY15" s="412"/>
      <c r="UZ15" s="402"/>
      <c r="VA15" s="402"/>
      <c r="VB15" s="417"/>
      <c r="VC15" s="412"/>
      <c r="VD15" s="402"/>
      <c r="VE15" s="402"/>
      <c r="VF15" s="417"/>
      <c r="VG15" s="412"/>
      <c r="VH15" s="417"/>
      <c r="VI15" s="412"/>
      <c r="VJ15" s="402"/>
      <c r="VK15" s="402"/>
      <c r="VL15" s="417"/>
      <c r="VM15" s="412"/>
      <c r="VN15" s="402"/>
      <c r="VO15" s="402"/>
      <c r="VP15" s="417"/>
      <c r="VQ15" s="412"/>
      <c r="VR15" s="402"/>
      <c r="VS15" s="402"/>
      <c r="VT15" s="417"/>
      <c r="VU15" s="412"/>
      <c r="VV15" s="417"/>
      <c r="VW15" s="412"/>
      <c r="VX15" s="402"/>
      <c r="VY15" s="412"/>
      <c r="VZ15" s="417"/>
      <c r="WA15" s="412"/>
      <c r="WB15" s="417"/>
      <c r="WC15" s="412"/>
      <c r="WD15" s="402"/>
      <c r="WE15" s="402"/>
      <c r="WF15" s="417"/>
      <c r="WG15" s="412"/>
      <c r="WH15" s="402"/>
      <c r="WI15" s="402"/>
      <c r="WJ15" s="417"/>
      <c r="WK15" s="412"/>
      <c r="WL15" s="402"/>
      <c r="WM15" s="402"/>
      <c r="WN15" s="417"/>
      <c r="WO15" s="412"/>
      <c r="WP15" s="402"/>
      <c r="WQ15" s="402"/>
      <c r="WR15" s="417"/>
      <c r="WS15" s="412"/>
      <c r="WT15" s="417"/>
      <c r="WU15" s="412"/>
      <c r="WV15" s="417"/>
      <c r="WW15" s="412"/>
      <c r="WX15" s="417"/>
      <c r="WY15" s="412"/>
      <c r="WZ15" s="402"/>
      <c r="XA15" s="402"/>
      <c r="XB15" s="417"/>
      <c r="XC15" s="412"/>
      <c r="XD15" s="402"/>
      <c r="XE15" s="402"/>
      <c r="XF15" s="417"/>
      <c r="XG15" s="412"/>
      <c r="XH15" s="417"/>
      <c r="XI15" s="412"/>
      <c r="XJ15" s="402"/>
      <c r="XK15" s="402"/>
      <c r="XL15" s="319" t="s">
        <v>1994</v>
      </c>
      <c r="XM15" s="412"/>
      <c r="XN15" s="402"/>
      <c r="XO15" s="402"/>
      <c r="XP15" s="417"/>
      <c r="XQ15" s="412"/>
      <c r="XR15" s="402"/>
      <c r="XS15" s="402"/>
      <c r="XT15" s="417"/>
      <c r="XU15" s="412"/>
      <c r="XV15" s="417"/>
      <c r="XW15" s="412"/>
      <c r="XX15" s="402"/>
      <c r="XY15" s="402"/>
      <c r="XZ15" s="417"/>
      <c r="YA15" s="412"/>
      <c r="YB15" s="402"/>
      <c r="YC15" s="402"/>
      <c r="YD15" s="417"/>
      <c r="YE15" s="412"/>
    </row>
    <row r="16" spans="1:655" ht="12.75" x14ac:dyDescent="0.2">
      <c r="A16" s="412"/>
      <c r="B16" s="417"/>
      <c r="C16" s="412"/>
      <c r="D16" s="417"/>
      <c r="E16" s="412"/>
      <c r="F16" s="402"/>
      <c r="G16" s="412"/>
      <c r="H16" s="417"/>
      <c r="I16" s="402"/>
      <c r="J16" s="417"/>
      <c r="K16" s="412"/>
      <c r="L16" s="402"/>
      <c r="M16" s="402"/>
      <c r="N16" s="417"/>
      <c r="O16" s="412"/>
      <c r="P16" s="402"/>
      <c r="Q16" s="402"/>
      <c r="R16" s="417"/>
      <c r="S16" s="412"/>
      <c r="T16" s="417"/>
      <c r="U16" s="412"/>
      <c r="V16" s="402"/>
      <c r="W16" s="402"/>
      <c r="X16" s="417"/>
      <c r="Y16" s="412"/>
      <c r="Z16" s="417"/>
      <c r="AA16" s="412"/>
      <c r="AB16" s="402"/>
      <c r="AC16" s="402"/>
      <c r="AD16" s="539" t="s">
        <v>1883</v>
      </c>
      <c r="AE16" s="412"/>
      <c r="AF16" s="417"/>
      <c r="AG16" s="412"/>
      <c r="AH16" s="402"/>
      <c r="AI16" s="402"/>
      <c r="AJ16" s="417"/>
      <c r="AK16" s="412"/>
      <c r="AL16" s="402"/>
      <c r="AM16" s="402"/>
      <c r="AN16" s="417"/>
      <c r="AO16" s="412"/>
      <c r="AP16" s="402"/>
      <c r="AQ16" s="402"/>
      <c r="AR16" s="417"/>
      <c r="AS16" s="412"/>
      <c r="AT16" s="402"/>
      <c r="AU16" s="402"/>
      <c r="AV16" s="417"/>
      <c r="AW16" s="412"/>
      <c r="AX16" s="402"/>
      <c r="AY16" s="402"/>
      <c r="AZ16" s="417"/>
      <c r="BA16" s="412"/>
      <c r="BB16" s="402"/>
      <c r="BC16" s="402"/>
      <c r="BD16" s="417"/>
      <c r="BE16" s="412"/>
      <c r="BF16" s="417"/>
      <c r="BG16" s="412"/>
      <c r="BH16" s="402"/>
      <c r="BI16" s="402"/>
      <c r="BJ16" s="417"/>
      <c r="BK16" s="412"/>
      <c r="BL16" s="402"/>
      <c r="BM16" s="402"/>
      <c r="BN16" s="417"/>
      <c r="BO16" s="412"/>
      <c r="BP16" s="417"/>
      <c r="BQ16" s="412"/>
      <c r="BR16" s="402"/>
      <c r="BS16" s="402"/>
      <c r="BT16" s="417"/>
      <c r="BU16" s="412"/>
      <c r="BV16" s="417"/>
      <c r="BW16" s="412"/>
      <c r="BX16" s="402"/>
      <c r="BY16" s="402"/>
      <c r="BZ16" s="417"/>
      <c r="CA16" s="412"/>
      <c r="CB16" s="417"/>
      <c r="CC16" s="412"/>
      <c r="CD16" s="402"/>
      <c r="CE16" s="402"/>
      <c r="CF16" s="417"/>
      <c r="CG16" s="412"/>
      <c r="CH16" s="402"/>
      <c r="CI16" s="402"/>
      <c r="CJ16" s="417"/>
      <c r="CK16" s="412"/>
      <c r="CL16" s="402"/>
      <c r="CM16" s="402"/>
      <c r="CN16" s="417"/>
      <c r="CO16" s="412"/>
      <c r="CP16" s="538" t="s">
        <v>1578</v>
      </c>
      <c r="CQ16" s="402"/>
      <c r="CR16" s="417"/>
      <c r="CS16" s="412"/>
      <c r="CT16" s="402"/>
      <c r="CU16" s="402"/>
      <c r="CV16" s="417"/>
      <c r="CW16" s="412"/>
      <c r="CX16" s="417"/>
      <c r="CY16" s="402"/>
      <c r="CZ16" s="417"/>
      <c r="DA16" s="402"/>
      <c r="DB16" s="417"/>
      <c r="DC16" s="412"/>
      <c r="DD16" s="402"/>
      <c r="DE16" s="402"/>
      <c r="DF16" s="417"/>
      <c r="DG16" s="412"/>
      <c r="DH16" s="402"/>
      <c r="DI16" s="402"/>
      <c r="DJ16" s="417"/>
      <c r="DK16" s="412"/>
      <c r="DL16" s="402"/>
      <c r="DM16" s="402"/>
      <c r="DN16" s="417"/>
      <c r="DO16" s="412"/>
      <c r="DP16" s="402"/>
      <c r="DQ16" s="402"/>
      <c r="DR16" s="417"/>
      <c r="DS16" s="412"/>
      <c r="DT16" s="402"/>
      <c r="DU16" s="402"/>
      <c r="DV16" s="417"/>
      <c r="DW16" s="412"/>
      <c r="DX16" s="402"/>
      <c r="DY16" s="402"/>
      <c r="DZ16" s="417"/>
      <c r="EA16" s="412"/>
      <c r="EB16" s="417"/>
      <c r="EC16" s="412"/>
      <c r="ED16" s="402"/>
      <c r="EE16" s="402"/>
      <c r="EF16" s="417"/>
      <c r="EG16" s="412"/>
      <c r="EH16" s="402"/>
      <c r="EI16" s="402"/>
      <c r="EJ16" s="417"/>
      <c r="EK16" s="412"/>
      <c r="EL16" s="402"/>
      <c r="EM16" s="402"/>
      <c r="EN16" s="417"/>
      <c r="EO16" s="412"/>
      <c r="EP16" s="402"/>
      <c r="EQ16" s="402"/>
      <c r="ER16" s="417"/>
      <c r="ES16" s="412"/>
      <c r="ET16" s="402"/>
      <c r="EU16" s="402"/>
      <c r="EV16" s="417"/>
      <c r="EW16" s="412"/>
      <c r="EX16" s="402"/>
      <c r="EY16" s="402"/>
      <c r="EZ16" s="417"/>
      <c r="FA16" s="412"/>
      <c r="FB16" s="417"/>
      <c r="FC16" s="412"/>
      <c r="FD16" s="417"/>
      <c r="FE16" s="412"/>
      <c r="FF16" s="402"/>
      <c r="FG16" s="402"/>
      <c r="FH16" s="417"/>
      <c r="FI16" s="412"/>
      <c r="FJ16" s="417"/>
      <c r="FK16" s="412"/>
      <c r="FL16" s="417"/>
      <c r="FM16" s="412"/>
      <c r="FN16" s="402"/>
      <c r="FO16" s="402"/>
      <c r="FP16" s="417"/>
      <c r="FQ16" s="412"/>
      <c r="FR16" s="417"/>
      <c r="FS16" s="412"/>
      <c r="FT16" s="538" t="s">
        <v>1643</v>
      </c>
      <c r="FU16" s="402"/>
      <c r="FV16" s="417"/>
      <c r="FW16" s="412"/>
      <c r="FX16" s="402"/>
      <c r="FY16" s="402"/>
      <c r="FZ16" s="417"/>
      <c r="GA16" s="412"/>
      <c r="GB16" s="402"/>
      <c r="GC16" s="402"/>
      <c r="GD16" s="417"/>
      <c r="GE16" s="412"/>
      <c r="GF16" s="417"/>
      <c r="GG16" s="412"/>
      <c r="GH16" s="417"/>
      <c r="GI16" s="412"/>
      <c r="GJ16" s="402"/>
      <c r="GK16" s="402"/>
      <c r="GL16" s="417"/>
      <c r="GM16" s="412"/>
      <c r="GN16" s="417"/>
      <c r="GO16" s="412"/>
      <c r="GP16" s="402"/>
      <c r="GQ16" s="402"/>
      <c r="GR16" s="417"/>
      <c r="GS16" s="412"/>
      <c r="GT16" s="417"/>
      <c r="GU16" s="412"/>
      <c r="GV16" s="417"/>
      <c r="GW16" s="412"/>
      <c r="GX16" s="417"/>
      <c r="GY16" s="412"/>
      <c r="GZ16" s="417"/>
      <c r="HA16" s="412"/>
      <c r="HB16" s="417"/>
      <c r="HC16" s="412"/>
      <c r="HD16" s="402"/>
      <c r="HE16" s="402"/>
      <c r="HF16" s="417"/>
      <c r="HG16" s="412"/>
      <c r="HH16" s="417"/>
      <c r="HI16" s="412"/>
      <c r="HJ16" s="402"/>
      <c r="HK16" s="402"/>
      <c r="HL16" s="417"/>
      <c r="HM16" s="412"/>
      <c r="HN16" s="417"/>
      <c r="HO16" s="412"/>
      <c r="HP16" s="402"/>
      <c r="HQ16" s="402"/>
      <c r="HR16" s="417"/>
      <c r="HS16" s="412"/>
      <c r="HT16" s="402"/>
      <c r="HU16" s="402"/>
      <c r="HV16" s="417"/>
      <c r="HW16" s="412"/>
      <c r="HX16" s="417"/>
      <c r="HY16" s="412"/>
      <c r="HZ16" s="402"/>
      <c r="IA16" s="402"/>
      <c r="IB16" s="417"/>
      <c r="IC16" s="412"/>
      <c r="ID16" s="402"/>
      <c r="IE16" s="402"/>
      <c r="IF16" s="417"/>
      <c r="IG16" s="412"/>
      <c r="IH16" s="402"/>
      <c r="II16" s="402"/>
      <c r="IJ16" s="417"/>
      <c r="IK16" s="412"/>
      <c r="IL16" s="417"/>
      <c r="IM16" s="412"/>
      <c r="IN16" s="417"/>
      <c r="IO16" s="412"/>
      <c r="IP16" s="417"/>
      <c r="IQ16" s="412"/>
      <c r="IR16" s="402"/>
      <c r="IS16" s="402"/>
      <c r="IT16" s="417"/>
      <c r="IU16" s="412"/>
      <c r="IV16" s="417"/>
      <c r="IW16" s="412"/>
      <c r="IX16" s="417"/>
      <c r="IY16" s="412"/>
      <c r="IZ16" s="402"/>
      <c r="JA16" s="402"/>
      <c r="JB16" s="417"/>
      <c r="JC16" s="412"/>
      <c r="JD16" s="402"/>
      <c r="JE16" s="402"/>
      <c r="JF16" s="417"/>
      <c r="JG16" s="412"/>
      <c r="JH16" s="417"/>
      <c r="JI16" s="412"/>
      <c r="JJ16" s="417"/>
      <c r="JK16" s="412"/>
      <c r="JL16" s="402"/>
      <c r="JM16" s="402"/>
      <c r="JN16" s="417"/>
      <c r="JO16" s="412"/>
      <c r="JP16" s="402"/>
      <c r="JQ16" s="402"/>
      <c r="JR16" s="417"/>
      <c r="JS16" s="412"/>
      <c r="JT16" s="402"/>
      <c r="JU16" s="402"/>
      <c r="JV16" s="417"/>
      <c r="JW16" s="412"/>
      <c r="JX16" s="402"/>
      <c r="JY16" s="402"/>
      <c r="JZ16" s="417"/>
      <c r="KA16" s="412"/>
      <c r="KB16" s="417"/>
      <c r="KC16" s="412"/>
      <c r="KD16" s="417"/>
      <c r="KE16" s="412"/>
      <c r="KF16" s="402"/>
      <c r="KG16" s="402"/>
      <c r="KH16" s="417"/>
      <c r="KI16" s="412"/>
      <c r="KJ16" s="417"/>
      <c r="KK16" s="412"/>
      <c r="KL16" s="417"/>
      <c r="KM16" s="412"/>
      <c r="KN16" s="402"/>
      <c r="KO16" s="402"/>
      <c r="KP16" s="417"/>
      <c r="KQ16" s="412"/>
      <c r="KR16" s="402"/>
      <c r="KS16" s="402"/>
      <c r="KT16" s="417"/>
      <c r="KU16" s="412"/>
      <c r="KV16" s="402"/>
      <c r="KW16" s="402"/>
      <c r="KX16" s="417"/>
      <c r="KY16" s="412"/>
      <c r="KZ16" s="402"/>
      <c r="LA16" s="402"/>
      <c r="LB16" s="417"/>
      <c r="LC16" s="412"/>
      <c r="LD16" s="402"/>
      <c r="LE16" s="402"/>
      <c r="LF16" s="417"/>
      <c r="LG16" s="412"/>
      <c r="LH16" s="402"/>
      <c r="LI16" s="402"/>
      <c r="LJ16" s="417"/>
      <c r="LK16" s="412"/>
      <c r="LL16" s="402"/>
      <c r="LM16" s="402"/>
      <c r="LN16" s="417"/>
      <c r="LO16" s="412"/>
      <c r="LP16" s="402"/>
      <c r="LQ16" s="402"/>
      <c r="LR16" s="417"/>
      <c r="LS16" s="412"/>
      <c r="LT16" s="402"/>
      <c r="LU16" s="402"/>
      <c r="LV16" s="417"/>
      <c r="LW16" s="412"/>
      <c r="LX16" s="402"/>
      <c r="LY16" s="402"/>
      <c r="LZ16" s="417"/>
      <c r="MA16" s="412"/>
      <c r="MB16" s="402"/>
      <c r="MC16" s="402"/>
      <c r="MD16" s="417"/>
      <c r="ME16" s="412"/>
      <c r="MF16" s="402"/>
      <c r="MG16" s="402"/>
      <c r="MH16" s="417"/>
      <c r="MI16" s="412"/>
      <c r="MJ16" s="417"/>
      <c r="MK16" s="412"/>
      <c r="ML16" s="417"/>
      <c r="MM16" s="412"/>
      <c r="MN16" s="402"/>
      <c r="MO16" s="402"/>
      <c r="MP16" s="417"/>
      <c r="MQ16" s="412"/>
      <c r="MR16" s="402"/>
      <c r="MS16" s="402"/>
      <c r="MT16" s="417"/>
      <c r="MU16" s="412"/>
      <c r="MV16" s="402"/>
      <c r="MW16" s="402"/>
      <c r="MX16" s="417"/>
      <c r="MY16" s="412"/>
      <c r="MZ16" s="417"/>
      <c r="NA16" s="412"/>
      <c r="NB16" s="402"/>
      <c r="NC16" s="402"/>
      <c r="ND16" s="417"/>
      <c r="NE16" s="412"/>
      <c r="NF16" s="402"/>
      <c r="NG16" s="402"/>
      <c r="NH16" s="417"/>
      <c r="NI16" s="412"/>
      <c r="NJ16" s="417"/>
      <c r="NK16" s="412"/>
      <c r="NL16" s="417"/>
      <c r="NM16" s="412"/>
      <c r="NN16" s="417"/>
      <c r="NO16" s="412"/>
      <c r="NP16" s="402"/>
      <c r="NQ16" s="402"/>
      <c r="NR16" s="417"/>
      <c r="NS16" s="412"/>
      <c r="NT16" s="402"/>
      <c r="NU16" s="402"/>
      <c r="NV16" s="417"/>
      <c r="NW16" s="412"/>
      <c r="NX16" s="402"/>
      <c r="NY16" s="402"/>
      <c r="NZ16" s="417"/>
      <c r="OA16" s="412"/>
      <c r="OB16" s="402"/>
      <c r="OC16" s="402"/>
      <c r="OD16" s="417"/>
      <c r="OE16" s="412"/>
      <c r="OF16" s="402"/>
      <c r="OG16" s="402"/>
      <c r="OH16" s="539" t="s">
        <v>2033</v>
      </c>
      <c r="OI16" s="412"/>
      <c r="OJ16" s="402"/>
      <c r="OK16" s="402"/>
      <c r="OL16" s="417"/>
      <c r="OM16" s="412"/>
      <c r="ON16" s="417"/>
      <c r="OO16" s="412"/>
      <c r="OP16" s="402"/>
      <c r="OQ16" s="402"/>
      <c r="OR16" s="417"/>
      <c r="OS16" s="412"/>
      <c r="OT16" s="417"/>
      <c r="OU16" s="412"/>
      <c r="OV16" s="402"/>
      <c r="OW16" s="402"/>
      <c r="OX16" s="417"/>
      <c r="OY16" s="412"/>
      <c r="OZ16" s="402"/>
      <c r="PA16" s="402"/>
      <c r="PB16" s="417"/>
      <c r="PC16" s="412"/>
      <c r="PD16" s="402"/>
      <c r="PE16" s="402"/>
      <c r="PF16" s="417"/>
      <c r="PG16" s="402"/>
      <c r="PH16" s="417"/>
      <c r="PI16" s="412"/>
      <c r="PJ16" s="417"/>
      <c r="PK16" s="412"/>
      <c r="PL16" s="402"/>
      <c r="PM16" s="402"/>
      <c r="PN16" s="417"/>
      <c r="PO16" s="412"/>
      <c r="PP16" s="402"/>
      <c r="PQ16" s="402"/>
      <c r="PR16" s="417"/>
      <c r="PS16" s="412"/>
      <c r="PT16" s="402"/>
      <c r="PU16" s="402"/>
      <c r="PV16" s="417"/>
      <c r="PW16" s="412"/>
      <c r="PX16" s="402"/>
      <c r="PY16" s="402"/>
      <c r="PZ16" s="417"/>
      <c r="QA16" s="412"/>
      <c r="QB16" s="402"/>
      <c r="QC16" s="402"/>
      <c r="QD16" s="417"/>
      <c r="QE16" s="412"/>
      <c r="QF16" s="402"/>
      <c r="QG16" s="402"/>
      <c r="QH16" s="417"/>
      <c r="QI16" s="412"/>
      <c r="QJ16" s="402"/>
      <c r="QK16" s="402"/>
      <c r="QL16" s="417"/>
      <c r="QM16" s="412"/>
      <c r="QN16" s="402"/>
      <c r="QO16" s="402"/>
      <c r="QP16" s="417"/>
      <c r="QQ16" s="412"/>
      <c r="QR16" s="402"/>
      <c r="QS16" s="402"/>
      <c r="QT16" s="417"/>
      <c r="QU16" s="412"/>
      <c r="QV16" s="402"/>
      <c r="QW16" s="402"/>
      <c r="QX16" s="417"/>
      <c r="QY16" s="412"/>
      <c r="QZ16" s="402"/>
      <c r="RA16" s="412"/>
      <c r="RB16" s="402"/>
      <c r="RC16" s="412"/>
      <c r="RD16" s="402"/>
      <c r="RE16" s="402"/>
      <c r="RF16" s="417"/>
      <c r="RG16" s="412"/>
      <c r="RH16" s="402"/>
      <c r="RI16" s="402"/>
      <c r="RJ16" s="417"/>
      <c r="RK16" s="412"/>
      <c r="RL16" s="417"/>
      <c r="RM16" s="412"/>
      <c r="RN16" s="402"/>
      <c r="RO16" s="402"/>
      <c r="RP16" s="417"/>
      <c r="RQ16" s="412"/>
      <c r="RR16" s="402"/>
      <c r="RS16" s="402"/>
      <c r="RT16" s="417"/>
      <c r="RU16" s="412"/>
      <c r="RV16" s="402"/>
      <c r="RW16" s="402"/>
      <c r="RX16" s="417"/>
      <c r="RY16" s="412"/>
      <c r="RZ16" s="417"/>
      <c r="SA16" s="412"/>
      <c r="SB16" s="417"/>
      <c r="SC16" s="412"/>
      <c r="SD16" s="402"/>
      <c r="SE16" s="402"/>
      <c r="SF16" s="417"/>
      <c r="SG16" s="412"/>
      <c r="SH16" s="402"/>
      <c r="SI16" s="402"/>
      <c r="SJ16" s="417"/>
      <c r="SK16" s="412"/>
      <c r="SL16" s="417"/>
      <c r="SM16" s="412"/>
      <c r="SN16" s="402"/>
      <c r="SO16" s="402"/>
      <c r="SP16" s="417"/>
      <c r="SQ16" s="412"/>
      <c r="SR16" s="402"/>
      <c r="SS16" s="402"/>
      <c r="ST16" s="417"/>
      <c r="SU16" s="412"/>
      <c r="SV16" s="402"/>
      <c r="SW16" s="402"/>
      <c r="SX16" s="417"/>
      <c r="SY16" s="412"/>
      <c r="SZ16" s="402"/>
      <c r="TA16" s="402"/>
      <c r="TB16" s="417"/>
      <c r="TC16" s="412"/>
      <c r="TD16" s="402"/>
      <c r="TE16" s="402"/>
      <c r="TF16" s="417"/>
      <c r="TG16" s="412"/>
      <c r="TH16" s="402"/>
      <c r="TI16" s="412"/>
      <c r="TJ16" s="417"/>
      <c r="TK16" s="402"/>
      <c r="TL16" s="539" t="s">
        <v>1935</v>
      </c>
      <c r="TM16" s="412"/>
      <c r="TN16" s="402"/>
      <c r="TO16" s="402"/>
      <c r="TP16" s="417"/>
      <c r="TQ16" s="412"/>
      <c r="TR16" s="402"/>
      <c r="TS16" s="402"/>
      <c r="TT16" s="417"/>
      <c r="TU16" s="412"/>
      <c r="TV16" s="417"/>
      <c r="TW16" s="412"/>
      <c r="TX16" s="417"/>
      <c r="TY16" s="412"/>
      <c r="TZ16" s="417"/>
      <c r="UA16" s="412"/>
      <c r="UB16" s="402"/>
      <c r="UC16" s="402"/>
      <c r="UD16" s="417"/>
      <c r="UE16" s="412"/>
      <c r="UF16" s="402"/>
      <c r="UG16" s="402"/>
      <c r="UH16" s="417"/>
      <c r="UI16" s="412"/>
      <c r="UJ16" s="417"/>
      <c r="UK16" s="412"/>
      <c r="UL16" s="402"/>
      <c r="UM16" s="402"/>
      <c r="UN16" s="417"/>
      <c r="UO16" s="412"/>
      <c r="UP16" s="402"/>
      <c r="UQ16" s="402"/>
      <c r="UR16" s="417"/>
      <c r="US16" s="412"/>
      <c r="UT16" s="417"/>
      <c r="UU16" s="412"/>
      <c r="UV16" s="402"/>
      <c r="UW16" s="402"/>
      <c r="UX16" s="417"/>
      <c r="UY16" s="412"/>
      <c r="UZ16" s="402"/>
      <c r="VA16" s="402"/>
      <c r="VB16" s="417"/>
      <c r="VC16" s="412"/>
      <c r="VD16" s="402"/>
      <c r="VE16" s="402"/>
      <c r="VF16" s="417"/>
      <c r="VG16" s="412"/>
      <c r="VH16" s="417"/>
      <c r="VI16" s="412"/>
      <c r="VJ16" s="549" t="s">
        <v>1966</v>
      </c>
      <c r="VK16" s="402"/>
      <c r="VL16" s="417"/>
      <c r="VM16" s="412"/>
      <c r="VN16" s="402"/>
      <c r="VO16" s="402"/>
      <c r="VP16" s="417"/>
      <c r="VQ16" s="412"/>
      <c r="VR16" s="402"/>
      <c r="VS16" s="402"/>
      <c r="VT16" s="417"/>
      <c r="VU16" s="412"/>
      <c r="VV16" s="417"/>
      <c r="VW16" s="412"/>
      <c r="VX16" s="402"/>
      <c r="VY16" s="412"/>
      <c r="VZ16" s="417"/>
      <c r="WA16" s="412"/>
      <c r="WB16" s="417"/>
      <c r="WC16" s="412"/>
      <c r="WD16" s="402"/>
      <c r="WE16" s="402"/>
      <c r="WF16" s="417"/>
      <c r="WG16" s="412"/>
      <c r="WH16" s="402"/>
      <c r="WI16" s="402"/>
      <c r="WJ16" s="417"/>
      <c r="WK16" s="412"/>
      <c r="WL16" s="402"/>
      <c r="WM16" s="402"/>
      <c r="WN16" s="417"/>
      <c r="WO16" s="412"/>
      <c r="WP16" s="402"/>
      <c r="WQ16" s="402"/>
      <c r="WR16" s="417"/>
      <c r="WS16" s="412"/>
      <c r="WT16" s="417"/>
      <c r="WU16" s="412"/>
      <c r="WV16" s="417"/>
      <c r="WW16" s="412"/>
      <c r="WX16" s="417"/>
      <c r="WY16" s="412"/>
      <c r="WZ16" s="402"/>
      <c r="XA16" s="402"/>
      <c r="XB16" s="417"/>
      <c r="XC16" s="412"/>
      <c r="XD16" s="402"/>
      <c r="XE16" s="402"/>
      <c r="XF16" s="417"/>
      <c r="XG16" s="412"/>
      <c r="XH16" s="417"/>
      <c r="XI16" s="412"/>
      <c r="XJ16" s="402"/>
      <c r="XK16" s="402"/>
      <c r="XL16" s="539" t="s">
        <v>2001</v>
      </c>
      <c r="XM16" s="412"/>
      <c r="XN16" s="402"/>
      <c r="XO16" s="402"/>
      <c r="XP16" s="417"/>
      <c r="XQ16" s="412"/>
      <c r="XR16" s="402"/>
      <c r="XS16" s="402"/>
      <c r="XT16" s="417"/>
      <c r="XU16" s="412"/>
      <c r="XV16" s="417"/>
      <c r="XW16" s="412"/>
      <c r="XX16" s="402"/>
      <c r="XY16" s="402"/>
      <c r="XZ16" s="417"/>
      <c r="YA16" s="412"/>
      <c r="YB16" s="402"/>
      <c r="YC16" s="402"/>
      <c r="YD16" s="417"/>
      <c r="YE16" s="412"/>
    </row>
    <row r="17" spans="1:655" ht="12.75" x14ac:dyDescent="0.2">
      <c r="A17" s="412"/>
      <c r="B17" s="417"/>
      <c r="C17" s="412"/>
      <c r="D17" s="417"/>
      <c r="E17" s="412"/>
      <c r="F17" s="402"/>
      <c r="G17" s="412"/>
      <c r="H17" s="417"/>
      <c r="I17" s="402"/>
      <c r="J17" s="417"/>
      <c r="K17" s="412"/>
      <c r="L17" s="402"/>
      <c r="M17" s="402"/>
      <c r="N17" s="417"/>
      <c r="O17" s="412"/>
      <c r="P17" s="402"/>
      <c r="Q17" s="402"/>
      <c r="R17" s="417"/>
      <c r="S17" s="412"/>
      <c r="T17" s="417"/>
      <c r="U17" s="412"/>
      <c r="V17" s="402"/>
      <c r="W17" s="402"/>
      <c r="X17" s="417"/>
      <c r="Y17" s="412"/>
      <c r="Z17" s="417"/>
      <c r="AA17" s="412"/>
      <c r="AB17" s="402"/>
      <c r="AC17" s="402"/>
      <c r="AD17" s="417"/>
      <c r="AE17" s="412"/>
      <c r="AF17" s="417"/>
      <c r="AG17" s="412"/>
      <c r="AH17" s="402"/>
      <c r="AI17" s="402"/>
      <c r="AJ17" s="417"/>
      <c r="AK17" s="412"/>
      <c r="AL17" s="402"/>
      <c r="AM17" s="402"/>
      <c r="AN17" s="417"/>
      <c r="AO17" s="412"/>
      <c r="AP17" s="402"/>
      <c r="AQ17" s="402"/>
      <c r="AR17" s="417"/>
      <c r="AS17" s="412"/>
      <c r="AT17" s="402"/>
      <c r="AU17" s="402"/>
      <c r="AV17" s="417"/>
      <c r="AW17" s="412"/>
      <c r="AX17" s="402"/>
      <c r="AY17" s="402"/>
      <c r="AZ17" s="417"/>
      <c r="BA17" s="412"/>
      <c r="BB17" s="402"/>
      <c r="BC17" s="402"/>
      <c r="BD17" s="417"/>
      <c r="BE17" s="412"/>
      <c r="BF17" s="417"/>
      <c r="BG17" s="412"/>
      <c r="BH17" s="402"/>
      <c r="BI17" s="402"/>
      <c r="BJ17" s="417"/>
      <c r="BK17" s="412"/>
      <c r="BL17" s="402"/>
      <c r="BM17" s="402"/>
      <c r="BN17" s="417"/>
      <c r="BO17" s="412"/>
      <c r="BP17" s="417"/>
      <c r="BQ17" s="412"/>
      <c r="BR17" s="402"/>
      <c r="BS17" s="402"/>
      <c r="BT17" s="417"/>
      <c r="BU17" s="412"/>
      <c r="BV17" s="417"/>
      <c r="BW17" s="412"/>
      <c r="BX17" s="402"/>
      <c r="BY17" s="402"/>
      <c r="BZ17" s="417"/>
      <c r="CA17" s="412"/>
      <c r="CB17" s="417"/>
      <c r="CC17" s="412"/>
      <c r="CD17" s="402"/>
      <c r="CE17" s="402"/>
      <c r="CF17" s="417"/>
      <c r="CG17" s="412"/>
      <c r="CH17" s="402"/>
      <c r="CI17" s="402"/>
      <c r="CJ17" s="417"/>
      <c r="CK17" s="412"/>
      <c r="CL17" s="402"/>
      <c r="CM17" s="402"/>
      <c r="CN17" s="417"/>
      <c r="CO17" s="412"/>
      <c r="CP17" s="402"/>
      <c r="CQ17" s="397"/>
      <c r="CR17" s="417"/>
      <c r="CS17" s="412"/>
      <c r="CT17" s="402"/>
      <c r="CU17" s="402"/>
      <c r="CV17" s="417"/>
      <c r="CW17" s="412"/>
      <c r="CX17" s="417"/>
      <c r="CY17" s="402"/>
      <c r="CZ17" s="417"/>
      <c r="DA17" s="402"/>
      <c r="DB17" s="417"/>
      <c r="DC17" s="412"/>
      <c r="DD17" s="402"/>
      <c r="DE17" s="402"/>
      <c r="DF17" s="417"/>
      <c r="DG17" s="412"/>
      <c r="DH17" s="402"/>
      <c r="DI17" s="402"/>
      <c r="DJ17" s="417"/>
      <c r="DK17" s="412"/>
      <c r="DL17" s="402"/>
      <c r="DM17" s="402"/>
      <c r="DN17" s="417"/>
      <c r="DO17" s="412"/>
      <c r="DP17" s="402"/>
      <c r="DQ17" s="402"/>
      <c r="DR17" s="417"/>
      <c r="DS17" s="412"/>
      <c r="DT17" s="402"/>
      <c r="DU17" s="402"/>
      <c r="DV17" s="417"/>
      <c r="DW17" s="412"/>
      <c r="DX17" s="402"/>
      <c r="DY17" s="402"/>
      <c r="DZ17" s="417"/>
      <c r="EA17" s="412"/>
      <c r="EB17" s="417"/>
      <c r="EC17" s="412"/>
      <c r="ED17" s="402"/>
      <c r="EE17" s="402"/>
      <c r="EF17" s="417"/>
      <c r="EG17" s="412"/>
      <c r="EH17" s="402"/>
      <c r="EI17" s="402"/>
      <c r="EJ17" s="417"/>
      <c r="EK17" s="412"/>
      <c r="EL17" s="402"/>
      <c r="EM17" s="402"/>
      <c r="EN17" s="417"/>
      <c r="EO17" s="412"/>
      <c r="EP17" s="402"/>
      <c r="EQ17" s="402"/>
      <c r="ER17" s="417"/>
      <c r="ES17" s="412"/>
      <c r="ET17" s="402"/>
      <c r="EU17" s="402"/>
      <c r="EV17" s="417"/>
      <c r="EW17" s="412"/>
      <c r="EX17" s="402"/>
      <c r="EY17" s="402"/>
      <c r="EZ17" s="417"/>
      <c r="FA17" s="412"/>
      <c r="FB17" s="417"/>
      <c r="FC17" s="412"/>
      <c r="FD17" s="417"/>
      <c r="FE17" s="412"/>
      <c r="FF17" s="402"/>
      <c r="FG17" s="402"/>
      <c r="FH17" s="417"/>
      <c r="FI17" s="398"/>
      <c r="FJ17" s="417"/>
      <c r="FK17" s="412"/>
      <c r="FL17" s="417"/>
      <c r="FM17" s="412"/>
      <c r="FN17" s="402"/>
      <c r="FO17" s="402"/>
      <c r="FP17" s="417"/>
      <c r="FQ17" s="412"/>
      <c r="FR17" s="417"/>
      <c r="FS17" s="412"/>
      <c r="FT17" s="402"/>
      <c r="FU17" s="397"/>
      <c r="FV17" s="417"/>
      <c r="FW17" s="412"/>
      <c r="FX17" s="402"/>
      <c r="FY17" s="402"/>
      <c r="FZ17" s="417"/>
      <c r="GA17" s="412"/>
      <c r="GB17" s="402"/>
      <c r="GC17" s="402"/>
      <c r="GD17" s="417"/>
      <c r="GE17" s="412"/>
      <c r="GF17" s="417"/>
      <c r="GG17" s="412"/>
      <c r="GH17" s="417"/>
      <c r="GI17" s="412"/>
      <c r="GJ17" s="402"/>
      <c r="GK17" s="402"/>
      <c r="GL17" s="417"/>
      <c r="GM17" s="412"/>
      <c r="GN17" s="417"/>
      <c r="GO17" s="412"/>
      <c r="GP17" s="402"/>
      <c r="GQ17" s="402"/>
      <c r="GR17" s="417"/>
      <c r="GS17" s="412"/>
      <c r="GT17" s="417"/>
      <c r="GU17" s="412"/>
      <c r="GV17" s="417"/>
      <c r="GW17" s="412"/>
      <c r="GX17" s="417"/>
      <c r="GY17" s="412"/>
      <c r="GZ17" s="417"/>
      <c r="HA17" s="412"/>
      <c r="HB17" s="417"/>
      <c r="HC17" s="412"/>
      <c r="HD17" s="402"/>
      <c r="HE17" s="402"/>
      <c r="HF17" s="417"/>
      <c r="HG17" s="412"/>
      <c r="HH17" s="417"/>
      <c r="HI17" s="412"/>
      <c r="HJ17" s="402"/>
      <c r="HK17" s="402"/>
      <c r="HL17" s="417"/>
      <c r="HM17" s="412"/>
      <c r="HN17" s="417"/>
      <c r="HO17" s="412"/>
      <c r="HP17" s="402"/>
      <c r="HQ17" s="402"/>
      <c r="HR17" s="417"/>
      <c r="HS17" s="412"/>
      <c r="HT17" s="402"/>
      <c r="HU17" s="402"/>
      <c r="HV17" s="417"/>
      <c r="HW17" s="412"/>
      <c r="HX17" s="417"/>
      <c r="HY17" s="412"/>
      <c r="HZ17" s="402"/>
      <c r="IA17" s="402"/>
      <c r="IB17" s="417"/>
      <c r="IC17" s="412"/>
      <c r="ID17" s="402"/>
      <c r="IE17" s="402"/>
      <c r="IF17" s="417"/>
      <c r="IG17" s="412"/>
      <c r="IH17" s="402"/>
      <c r="II17" s="402"/>
      <c r="IJ17" s="417"/>
      <c r="IK17" s="412"/>
      <c r="IL17" s="417"/>
      <c r="IM17" s="412"/>
      <c r="IN17" s="417"/>
      <c r="IO17" s="412"/>
      <c r="IP17" s="417"/>
      <c r="IQ17" s="412"/>
      <c r="IR17" s="402"/>
      <c r="IS17" s="402"/>
      <c r="IT17" s="417"/>
      <c r="IU17" s="412"/>
      <c r="IV17" s="417"/>
      <c r="IW17" s="412"/>
      <c r="IX17" s="417"/>
      <c r="IY17" s="412"/>
      <c r="IZ17" s="402"/>
      <c r="JA17" s="402"/>
      <c r="JB17" s="417"/>
      <c r="JC17" s="412"/>
      <c r="JD17" s="402"/>
      <c r="JE17" s="402"/>
      <c r="JF17" s="417"/>
      <c r="JG17" s="412"/>
      <c r="JH17" s="417"/>
      <c r="JI17" s="412"/>
      <c r="JJ17" s="417"/>
      <c r="JK17" s="412"/>
      <c r="JL17" s="402"/>
      <c r="JM17" s="402"/>
      <c r="JN17" s="417"/>
      <c r="JO17" s="412"/>
      <c r="JP17" s="402"/>
      <c r="JQ17" s="402"/>
      <c r="JR17" s="417"/>
      <c r="JS17" s="412"/>
      <c r="JT17" s="402"/>
      <c r="JU17" s="402"/>
      <c r="JV17" s="417"/>
      <c r="JW17" s="412"/>
      <c r="JX17" s="402"/>
      <c r="JY17" s="402"/>
      <c r="JZ17" s="417"/>
      <c r="KA17" s="412"/>
      <c r="KB17" s="417"/>
      <c r="KC17" s="412"/>
      <c r="KD17" s="417"/>
      <c r="KE17" s="412"/>
      <c r="KF17" s="402"/>
      <c r="KG17" s="402"/>
      <c r="KH17" s="417"/>
      <c r="KI17" s="412"/>
      <c r="KJ17" s="417"/>
      <c r="KK17" s="412"/>
      <c r="KL17" s="417"/>
      <c r="KM17" s="412"/>
      <c r="KN17" s="402"/>
      <c r="KO17" s="402"/>
      <c r="KP17" s="417"/>
      <c r="KQ17" s="412"/>
      <c r="KR17" s="402"/>
      <c r="KS17" s="402"/>
      <c r="KT17" s="417"/>
      <c r="KU17" s="412"/>
      <c r="KV17" s="402"/>
      <c r="KW17" s="402"/>
      <c r="KX17" s="417"/>
      <c r="KY17" s="412"/>
      <c r="KZ17" s="402"/>
      <c r="LA17" s="402"/>
      <c r="LB17" s="417"/>
      <c r="LC17" s="412"/>
      <c r="LD17" s="402"/>
      <c r="LE17" s="402"/>
      <c r="LF17" s="417"/>
      <c r="LG17" s="412"/>
      <c r="LH17" s="402"/>
      <c r="LI17" s="402"/>
      <c r="LJ17" s="417"/>
      <c r="LK17" s="412"/>
      <c r="LL17" s="402"/>
      <c r="LM17" s="402"/>
      <c r="LN17" s="417"/>
      <c r="LO17" s="412"/>
      <c r="LP17" s="402"/>
      <c r="LQ17" s="402"/>
      <c r="LR17" s="417"/>
      <c r="LS17" s="412"/>
      <c r="LT17" s="402"/>
      <c r="LU17" s="402"/>
      <c r="LV17" s="417"/>
      <c r="LW17" s="412"/>
      <c r="LX17" s="402"/>
      <c r="LY17" s="402"/>
      <c r="LZ17" s="417"/>
      <c r="MA17" s="412"/>
      <c r="MB17" s="402"/>
      <c r="MC17" s="402"/>
      <c r="MD17" s="417"/>
      <c r="ME17" s="412"/>
      <c r="MF17" s="402"/>
      <c r="MG17" s="402"/>
      <c r="MH17" s="417"/>
      <c r="MI17" s="412"/>
      <c r="MJ17" s="417"/>
      <c r="MK17" s="412"/>
      <c r="ML17" s="417"/>
      <c r="MM17" s="412"/>
      <c r="MN17" s="402"/>
      <c r="MO17" s="402"/>
      <c r="MP17" s="417"/>
      <c r="MQ17" s="412"/>
      <c r="MR17" s="402"/>
      <c r="MS17" s="402"/>
      <c r="MT17" s="417"/>
      <c r="MU17" s="412"/>
      <c r="MV17" s="402"/>
      <c r="MW17" s="402"/>
      <c r="MX17" s="417"/>
      <c r="MY17" s="412"/>
      <c r="MZ17" s="417"/>
      <c r="NA17" s="412"/>
      <c r="NB17" s="402"/>
      <c r="NC17" s="402"/>
      <c r="ND17" s="417"/>
      <c r="NE17" s="412"/>
      <c r="NF17" s="402"/>
      <c r="NG17" s="402"/>
      <c r="NH17" s="417"/>
      <c r="NI17" s="412"/>
      <c r="NJ17" s="417"/>
      <c r="NK17" s="412"/>
      <c r="NL17" s="417"/>
      <c r="NM17" s="412"/>
      <c r="NN17" s="417"/>
      <c r="NO17" s="412"/>
      <c r="NP17" s="402"/>
      <c r="NQ17" s="402"/>
      <c r="NR17" s="417"/>
      <c r="NS17" s="412"/>
      <c r="NT17" s="402"/>
      <c r="NU17" s="402"/>
      <c r="NV17" s="417"/>
      <c r="NW17" s="412"/>
      <c r="NX17" s="402"/>
      <c r="NY17" s="402"/>
      <c r="NZ17" s="417"/>
      <c r="OA17" s="412"/>
      <c r="OB17" s="402"/>
      <c r="OC17" s="402"/>
      <c r="OD17" s="417"/>
      <c r="OE17" s="412"/>
      <c r="OF17" s="402"/>
      <c r="OG17" s="402"/>
      <c r="OH17" s="417"/>
      <c r="OI17" s="398"/>
      <c r="OJ17" s="402"/>
      <c r="OK17" s="402"/>
      <c r="OL17" s="417"/>
      <c r="OM17" s="412"/>
      <c r="ON17" s="417"/>
      <c r="OO17" s="412"/>
      <c r="OP17" s="402"/>
      <c r="OQ17" s="402"/>
      <c r="OR17" s="417"/>
      <c r="OS17" s="412"/>
      <c r="OT17" s="417"/>
      <c r="OU17" s="412"/>
      <c r="OV17" s="402"/>
      <c r="OW17" s="402"/>
      <c r="OX17" s="417"/>
      <c r="OY17" s="412"/>
      <c r="OZ17" s="402"/>
      <c r="PA17" s="402"/>
      <c r="PB17" s="417"/>
      <c r="PC17" s="412"/>
      <c r="PD17" s="402"/>
      <c r="PE17" s="402"/>
      <c r="PF17" s="417"/>
      <c r="PG17" s="402"/>
      <c r="PH17" s="417"/>
      <c r="PI17" s="412"/>
      <c r="PJ17" s="417"/>
      <c r="PK17" s="412"/>
      <c r="PL17" s="402"/>
      <c r="PM17" s="402"/>
      <c r="PN17" s="417"/>
      <c r="PO17" s="412"/>
      <c r="PP17" s="402"/>
      <c r="PQ17" s="402"/>
      <c r="PR17" s="417"/>
      <c r="PS17" s="412"/>
      <c r="PT17" s="402"/>
      <c r="PU17" s="402"/>
      <c r="PV17" s="417"/>
      <c r="PW17" s="412"/>
      <c r="PX17" s="402"/>
      <c r="PY17" s="402"/>
      <c r="PZ17" s="417"/>
      <c r="QA17" s="412"/>
      <c r="QB17" s="402"/>
      <c r="QC17" s="402"/>
      <c r="QD17" s="417"/>
      <c r="QE17" s="412"/>
      <c r="QF17" s="402"/>
      <c r="QG17" s="402"/>
      <c r="QH17" s="417"/>
      <c r="QI17" s="412"/>
      <c r="QJ17" s="402"/>
      <c r="QK17" s="402"/>
      <c r="QL17" s="417"/>
      <c r="QM17" s="412"/>
      <c r="QN17" s="402"/>
      <c r="QO17" s="402"/>
      <c r="QP17" s="417"/>
      <c r="QQ17" s="412"/>
      <c r="QR17" s="402"/>
      <c r="QS17" s="402"/>
      <c r="QT17" s="417"/>
      <c r="QU17" s="398"/>
      <c r="QV17" s="402"/>
      <c r="QW17" s="402"/>
      <c r="QX17" s="417"/>
      <c r="QY17" s="412"/>
      <c r="QZ17" s="402"/>
      <c r="RA17" s="412"/>
      <c r="RB17" s="402"/>
      <c r="RC17" s="412"/>
      <c r="RD17" s="402"/>
      <c r="RE17" s="402"/>
      <c r="RF17" s="417"/>
      <c r="RG17" s="412"/>
      <c r="RH17" s="402"/>
      <c r="RI17" s="402"/>
      <c r="RJ17" s="417"/>
      <c r="RK17" s="412"/>
      <c r="RL17" s="417"/>
      <c r="RM17" s="412"/>
      <c r="RN17" s="402"/>
      <c r="RO17" s="402"/>
      <c r="RP17" s="417"/>
      <c r="RQ17" s="412"/>
      <c r="RR17" s="402"/>
      <c r="RS17" s="402"/>
      <c r="RT17" s="417"/>
      <c r="RU17" s="412"/>
      <c r="RV17" s="402"/>
      <c r="RW17" s="402"/>
      <c r="RX17" s="417"/>
      <c r="RY17" s="412"/>
      <c r="RZ17" s="417"/>
      <c r="SA17" s="412"/>
      <c r="SB17" s="417"/>
      <c r="SC17" s="412"/>
      <c r="SD17" s="402"/>
      <c r="SE17" s="402"/>
      <c r="SF17" s="417"/>
      <c r="SG17" s="412"/>
      <c r="SH17" s="402"/>
      <c r="SI17" s="402"/>
      <c r="SJ17" s="417"/>
      <c r="SK17" s="412"/>
      <c r="SL17" s="417"/>
      <c r="SM17" s="412"/>
      <c r="SN17" s="402"/>
      <c r="SO17" s="402"/>
      <c r="SP17" s="417"/>
      <c r="SQ17" s="412"/>
      <c r="SR17" s="402"/>
      <c r="SS17" s="402"/>
      <c r="ST17" s="417"/>
      <c r="SU17" s="412"/>
      <c r="SV17" s="402"/>
      <c r="SW17" s="402"/>
      <c r="SX17" s="417"/>
      <c r="SY17" s="412"/>
      <c r="SZ17" s="402"/>
      <c r="TA17" s="402"/>
      <c r="TB17" s="417"/>
      <c r="TC17" s="412"/>
      <c r="TD17" s="402"/>
      <c r="TE17" s="402"/>
      <c r="TF17" s="417"/>
      <c r="TG17" s="412"/>
      <c r="TH17" s="402"/>
      <c r="TI17" s="412"/>
      <c r="TJ17" s="417"/>
      <c r="TK17" s="402"/>
      <c r="TL17" s="417"/>
      <c r="TM17" s="398"/>
      <c r="TN17" s="402"/>
      <c r="TO17" s="402"/>
      <c r="TP17" s="417"/>
      <c r="TQ17" s="412"/>
      <c r="TR17" s="402"/>
      <c r="TS17" s="402"/>
      <c r="TT17" s="417"/>
      <c r="TU17" s="412"/>
      <c r="TV17" s="417"/>
      <c r="TW17" s="412"/>
      <c r="TX17" s="417"/>
      <c r="TY17" s="412"/>
      <c r="TZ17" s="417"/>
      <c r="UA17" s="412"/>
      <c r="UB17" s="402"/>
      <c r="UC17" s="402"/>
      <c r="UD17" s="417"/>
      <c r="UE17" s="412"/>
      <c r="UF17" s="402"/>
      <c r="UG17" s="402"/>
      <c r="UH17" s="417"/>
      <c r="UI17" s="412"/>
      <c r="UJ17" s="417"/>
      <c r="UK17" s="412"/>
      <c r="UL17" s="402"/>
      <c r="UM17" s="402"/>
      <c r="UN17" s="417"/>
      <c r="UO17" s="412"/>
      <c r="UP17" s="402"/>
      <c r="UQ17" s="402"/>
      <c r="UR17" s="417"/>
      <c r="US17" s="412"/>
      <c r="UT17" s="417"/>
      <c r="UU17" s="412"/>
      <c r="UV17" s="402"/>
      <c r="UW17" s="402"/>
      <c r="UX17" s="417"/>
      <c r="UY17" s="412"/>
      <c r="UZ17" s="402"/>
      <c r="VA17" s="402"/>
      <c r="VB17" s="417"/>
      <c r="VC17" s="412"/>
      <c r="VD17" s="402"/>
      <c r="VE17" s="402"/>
      <c r="VF17" s="417"/>
      <c r="VG17" s="412"/>
      <c r="VH17" s="417"/>
      <c r="VI17" s="412"/>
      <c r="VJ17" s="402"/>
      <c r="VK17" s="397"/>
      <c r="VL17" s="417"/>
      <c r="VM17" s="412"/>
      <c r="VN17" s="402"/>
      <c r="VO17" s="402"/>
      <c r="VP17" s="417"/>
      <c r="VQ17" s="412"/>
      <c r="VR17" s="402"/>
      <c r="VS17" s="402"/>
      <c r="VT17" s="417"/>
      <c r="VU17" s="412"/>
      <c r="VV17" s="417"/>
      <c r="VW17" s="412"/>
      <c r="VX17" s="402"/>
      <c r="VY17" s="412"/>
      <c r="VZ17" s="417"/>
      <c r="WA17" s="412"/>
      <c r="WB17" s="417"/>
      <c r="WC17" s="412"/>
      <c r="WD17" s="402"/>
      <c r="WE17" s="402"/>
      <c r="WF17" s="417"/>
      <c r="WG17" s="412"/>
      <c r="WH17" s="402"/>
      <c r="WI17" s="402"/>
      <c r="WJ17" s="417"/>
      <c r="WK17" s="412"/>
      <c r="WL17" s="402"/>
      <c r="WM17" s="402"/>
      <c r="WN17" s="417"/>
      <c r="WO17" s="412"/>
      <c r="WP17" s="402"/>
      <c r="WQ17" s="402"/>
      <c r="WR17" s="417"/>
      <c r="WS17" s="412"/>
      <c r="WT17" s="417"/>
      <c r="WU17" s="412"/>
      <c r="WV17" s="417"/>
      <c r="WW17" s="412"/>
      <c r="WX17" s="417"/>
      <c r="WY17" s="412"/>
      <c r="WZ17" s="402"/>
      <c r="XA17" s="402"/>
      <c r="XB17" s="417"/>
      <c r="XC17" s="412"/>
      <c r="XD17" s="402"/>
      <c r="XE17" s="402"/>
      <c r="XF17" s="417"/>
      <c r="XG17" s="412"/>
      <c r="XH17" s="417"/>
      <c r="XI17" s="412"/>
      <c r="XJ17" s="402"/>
      <c r="XK17" s="402"/>
      <c r="XL17" s="417"/>
      <c r="XM17" s="398"/>
      <c r="XN17" s="402"/>
      <c r="XO17" s="402"/>
      <c r="XP17" s="417"/>
      <c r="XQ17" s="412"/>
      <c r="XR17" s="402"/>
      <c r="XS17" s="402"/>
      <c r="XT17" s="417"/>
      <c r="XU17" s="412"/>
      <c r="XV17" s="417"/>
      <c r="XW17" s="412"/>
      <c r="XX17" s="402"/>
      <c r="XY17" s="402"/>
      <c r="XZ17" s="417"/>
      <c r="YA17" s="412"/>
      <c r="YB17" s="402"/>
      <c r="YC17" s="402"/>
      <c r="YD17" s="417"/>
      <c r="YE17" s="412"/>
    </row>
    <row r="18" spans="1:655" ht="15" x14ac:dyDescent="0.2">
      <c r="A18" s="430">
        <v>2018</v>
      </c>
      <c r="B18" s="457" t="s">
        <v>22</v>
      </c>
      <c r="C18" s="430" t="s">
        <v>22</v>
      </c>
      <c r="D18" s="457" t="s">
        <v>22</v>
      </c>
      <c r="E18" s="430" t="s">
        <v>22</v>
      </c>
      <c r="F18" s="422" t="s">
        <v>22</v>
      </c>
      <c r="G18" s="430" t="s">
        <v>22</v>
      </c>
      <c r="H18" s="457" t="s">
        <v>22</v>
      </c>
      <c r="I18" s="422" t="s">
        <v>22</v>
      </c>
      <c r="J18" s="457" t="s">
        <v>22</v>
      </c>
      <c r="K18" s="430" t="s">
        <v>22</v>
      </c>
      <c r="L18" s="422" t="s">
        <v>22</v>
      </c>
      <c r="M18" s="422" t="s">
        <v>22</v>
      </c>
      <c r="N18" s="457" t="s">
        <v>22</v>
      </c>
      <c r="O18" s="430" t="s">
        <v>22</v>
      </c>
      <c r="P18" s="422" t="s">
        <v>22</v>
      </c>
      <c r="Q18" s="422" t="s">
        <v>22</v>
      </c>
      <c r="R18" s="457" t="s">
        <v>22</v>
      </c>
      <c r="S18" s="430" t="s">
        <v>22</v>
      </c>
      <c r="T18" s="457" t="s">
        <v>22</v>
      </c>
      <c r="U18" s="430" t="s">
        <v>22</v>
      </c>
      <c r="V18" s="422" t="s">
        <v>22</v>
      </c>
      <c r="W18" s="422" t="s">
        <v>22</v>
      </c>
      <c r="X18" s="457" t="s">
        <v>22</v>
      </c>
      <c r="Y18" s="430" t="s">
        <v>22</v>
      </c>
      <c r="Z18" s="457" t="s">
        <v>22</v>
      </c>
      <c r="AA18" s="430" t="s">
        <v>22</v>
      </c>
      <c r="AB18" s="422" t="s">
        <v>22</v>
      </c>
      <c r="AC18" s="422" t="s">
        <v>22</v>
      </c>
      <c r="AD18" s="457" t="s">
        <v>22</v>
      </c>
      <c r="AE18" s="430" t="s">
        <v>22</v>
      </c>
      <c r="AF18" s="457" t="s">
        <v>22</v>
      </c>
      <c r="AG18" s="430" t="s">
        <v>22</v>
      </c>
      <c r="AH18" s="422" t="s">
        <v>22</v>
      </c>
      <c r="AI18" s="422" t="s">
        <v>22</v>
      </c>
      <c r="AJ18" s="457" t="s">
        <v>22</v>
      </c>
      <c r="AK18" s="430" t="s">
        <v>22</v>
      </c>
      <c r="AL18" s="422" t="s">
        <v>22</v>
      </c>
      <c r="AM18" s="422" t="s">
        <v>22</v>
      </c>
      <c r="AN18" s="457" t="s">
        <v>22</v>
      </c>
      <c r="AO18" s="430" t="s">
        <v>22</v>
      </c>
      <c r="AP18" s="532" t="s">
        <v>2033</v>
      </c>
      <c r="AQ18" s="422" t="str">
        <f ca="1">CHOOSE(WEEKDAY(DATE($A18,AP$43,AQ$42),2),"Monday","Tuesday","Wednesday","Thursday","Friday","Saturday","Sunday")</f>
        <v>Friday</v>
      </c>
      <c r="AR18" s="457" t="s">
        <v>22</v>
      </c>
      <c r="AS18" s="430" t="s">
        <v>22</v>
      </c>
      <c r="AT18" s="422" t="s">
        <v>22</v>
      </c>
      <c r="AU18" s="422" t="s">
        <v>22</v>
      </c>
      <c r="AV18" s="457" t="s">
        <v>22</v>
      </c>
      <c r="AW18" s="430" t="s">
        <v>22</v>
      </c>
      <c r="AX18" s="422" t="s">
        <v>22</v>
      </c>
      <c r="AY18" s="422" t="s">
        <v>22</v>
      </c>
      <c r="AZ18" s="457" t="s">
        <v>22</v>
      </c>
      <c r="BA18" s="430" t="s">
        <v>22</v>
      </c>
      <c r="BB18" s="532" t="s">
        <v>1578</v>
      </c>
      <c r="BC18" s="422" t="str">
        <f ca="1">CHOOSE(WEEKDAY(DATE($A18,BB$43,BC$42),2),"Monday","Tuesday","Wednesday","Thursday","Friday","Saturday","Sunday")</f>
        <v>Friday</v>
      </c>
      <c r="BD18" s="457" t="s">
        <v>22</v>
      </c>
      <c r="BE18" s="430" t="s">
        <v>22</v>
      </c>
      <c r="BF18" s="457" t="s">
        <v>22</v>
      </c>
      <c r="BG18" s="430" t="s">
        <v>22</v>
      </c>
      <c r="BH18" s="422" t="s">
        <v>22</v>
      </c>
      <c r="BI18" s="422" t="s">
        <v>22</v>
      </c>
      <c r="BJ18" s="457" t="s">
        <v>22</v>
      </c>
      <c r="BK18" s="430" t="s">
        <v>22</v>
      </c>
      <c r="BL18" s="422" t="s">
        <v>22</v>
      </c>
      <c r="BM18" s="422" t="s">
        <v>22</v>
      </c>
      <c r="BN18" s="457" t="s">
        <v>22</v>
      </c>
      <c r="BO18" s="430" t="s">
        <v>22</v>
      </c>
      <c r="BP18" s="530" t="s">
        <v>1586</v>
      </c>
      <c r="BQ18" s="430" t="str">
        <f ca="1">CHOOSE(WEEKDAY(DATE($A18,BP$43,BQ$42),2),"Monday","Tuesday","Wednesday","Thursday","Friday","Saturday","Sunday")</f>
        <v>Friday</v>
      </c>
      <c r="BR18" s="422" t="s">
        <v>22</v>
      </c>
      <c r="BS18" s="422" t="s">
        <v>22</v>
      </c>
      <c r="BT18" s="457" t="s">
        <v>22</v>
      </c>
      <c r="BU18" s="430" t="s">
        <v>22</v>
      </c>
      <c r="BV18" s="457" t="s">
        <v>22</v>
      </c>
      <c r="BW18" s="430" t="s">
        <v>22</v>
      </c>
      <c r="BX18" s="422" t="s">
        <v>22</v>
      </c>
      <c r="BY18" s="422" t="s">
        <v>22</v>
      </c>
      <c r="BZ18" s="530" t="s">
        <v>1595</v>
      </c>
      <c r="CA18" s="430" t="str">
        <f ca="1">CHOOSE(WEEKDAY(DATE($A18,BZ$43,CA$42),2),"Monday","Tuesday","Wednesday","Thursday","Friday","Saturday","Sunday")</f>
        <v>Wednesday</v>
      </c>
      <c r="CB18" s="457" t="s">
        <v>22</v>
      </c>
      <c r="CC18" s="430" t="s">
        <v>22</v>
      </c>
      <c r="CD18" s="326" t="s">
        <v>1566</v>
      </c>
      <c r="CE18" s="422" t="str">
        <f ca="1">CHOOSE(WEEKDAY(DATE($A18,CD$43,CE$42),2),"Monday","Tuesday","Wednesday","Thursday","Friday","Saturday","Sunday")</f>
        <v>Friday</v>
      </c>
      <c r="CF18" s="457" t="s">
        <v>22</v>
      </c>
      <c r="CG18" s="430" t="s">
        <v>22</v>
      </c>
      <c r="CH18" s="422" t="s">
        <v>22</v>
      </c>
      <c r="CI18" s="422" t="s">
        <v>22</v>
      </c>
      <c r="CJ18" s="457" t="s">
        <v>22</v>
      </c>
      <c r="CK18" s="430" t="s">
        <v>22</v>
      </c>
      <c r="CL18" s="422" t="s">
        <v>22</v>
      </c>
      <c r="CM18" s="422" t="s">
        <v>22</v>
      </c>
      <c r="CN18" s="457" t="s">
        <v>22</v>
      </c>
      <c r="CO18" s="430" t="s">
        <v>22</v>
      </c>
      <c r="CP18" s="532" t="s">
        <v>1611</v>
      </c>
      <c r="CQ18" s="422" t="str">
        <f ca="1">CHOOSE(WEEKDAY(DATE($A18,CP$43,CQ$42),2),"Monday","Tuesday","Wednesday","Thursday","Friday","Saturday","Sunday")</f>
        <v>Thursday</v>
      </c>
      <c r="CR18" s="457" t="s">
        <v>22</v>
      </c>
      <c r="CS18" s="430" t="s">
        <v>22</v>
      </c>
      <c r="CT18" s="422" t="s">
        <v>22</v>
      </c>
      <c r="CU18" s="422" t="s">
        <v>22</v>
      </c>
      <c r="CV18" s="457" t="s">
        <v>22</v>
      </c>
      <c r="CW18" s="430" t="s">
        <v>22</v>
      </c>
      <c r="CX18" s="457" t="s">
        <v>22</v>
      </c>
      <c r="CY18" s="422" t="s">
        <v>22</v>
      </c>
      <c r="CZ18" s="457" t="s">
        <v>22</v>
      </c>
      <c r="DA18" s="422" t="s">
        <v>22</v>
      </c>
      <c r="DB18" s="457" t="s">
        <v>22</v>
      </c>
      <c r="DC18" s="430" t="s">
        <v>22</v>
      </c>
      <c r="DD18" s="532" t="s">
        <v>1793</v>
      </c>
      <c r="DE18" s="422" t="str">
        <f ca="1">CHOOSE(WEEKDAY(DATE($A18,DD$43,DE$42),2),"Monday","Tuesday","Wednesday","Thursday","Friday","Saturday","Sunday")</f>
        <v>Friday</v>
      </c>
      <c r="DF18" s="457" t="s">
        <v>22</v>
      </c>
      <c r="DG18" s="430" t="s">
        <v>22</v>
      </c>
      <c r="DH18" s="422" t="s">
        <v>22</v>
      </c>
      <c r="DI18" s="422" t="s">
        <v>22</v>
      </c>
      <c r="DJ18" s="457" t="s">
        <v>22</v>
      </c>
      <c r="DK18" s="430" t="s">
        <v>22</v>
      </c>
      <c r="DL18" s="422" t="s">
        <v>22</v>
      </c>
      <c r="DM18" s="422" t="s">
        <v>22</v>
      </c>
      <c r="DN18" s="457" t="s">
        <v>22</v>
      </c>
      <c r="DO18" s="430" t="s">
        <v>22</v>
      </c>
      <c r="DP18" s="532" t="s">
        <v>1627</v>
      </c>
      <c r="DQ18" s="422" t="str">
        <f ca="1">CHOOSE(WEEKDAY(DATE($A18,DP$43,DQ$42),2),"Monday","Tuesday","Wednesday","Thursday","Friday","Saturday","Sunday")</f>
        <v>Thursday</v>
      </c>
      <c r="DR18" s="457" t="s">
        <v>22</v>
      </c>
      <c r="DS18" s="430" t="s">
        <v>22</v>
      </c>
      <c r="DT18" s="422" t="s">
        <v>22</v>
      </c>
      <c r="DU18" s="422" t="s">
        <v>22</v>
      </c>
      <c r="DV18" s="457" t="s">
        <v>22</v>
      </c>
      <c r="DW18" s="430" t="s">
        <v>22</v>
      </c>
      <c r="DX18" s="422" t="s">
        <v>22</v>
      </c>
      <c r="DY18" s="422" t="s">
        <v>22</v>
      </c>
      <c r="DZ18" s="457" t="s">
        <v>22</v>
      </c>
      <c r="EA18" s="430" t="s">
        <v>22</v>
      </c>
      <c r="EB18" s="457" t="s">
        <v>22</v>
      </c>
      <c r="EC18" s="430" t="s">
        <v>22</v>
      </c>
      <c r="ED18" s="532" t="s">
        <v>1638</v>
      </c>
      <c r="EE18" s="422" t="str">
        <f ca="1">CHOOSE(WEEKDAY(DATE($A18,ED$43,EE$42),2),"Monday","Tuesday","Wednesday","Thursday","Friday","Saturday","Sunday")</f>
        <v>Friday</v>
      </c>
      <c r="EF18" s="457" t="s">
        <v>22</v>
      </c>
      <c r="EG18" s="430" t="s">
        <v>22</v>
      </c>
      <c r="EH18" s="422" t="s">
        <v>22</v>
      </c>
      <c r="EI18" s="422" t="s">
        <v>22</v>
      </c>
      <c r="EJ18" s="530" t="s">
        <v>1644</v>
      </c>
      <c r="EK18" s="430" t="str">
        <f ca="1">CHOOSE(WEEKDAY(DATE($A18,EJ$43,EK$42),2),"Monday","Tuesday","Wednesday","Thursday","Friday","Saturday","Sunday")</f>
        <v>Monday</v>
      </c>
      <c r="EL18" s="422" t="s">
        <v>22</v>
      </c>
      <c r="EM18" s="422" t="s">
        <v>22</v>
      </c>
      <c r="EN18" s="457" t="s">
        <v>22</v>
      </c>
      <c r="EO18" s="430" t="s">
        <v>22</v>
      </c>
      <c r="EP18" s="422" t="s">
        <v>22</v>
      </c>
      <c r="EQ18" s="422" t="s">
        <v>22</v>
      </c>
      <c r="ER18" s="530" t="s">
        <v>2012</v>
      </c>
      <c r="ES18" s="430" t="str">
        <f ca="1">CHOOSE(WEEKDAY(DATE($A18,ER$43,ES$42),2),"Monday","Tuesday","Wednesday","Thursday","Friday","Saturday","Sunday")</f>
        <v>Friday</v>
      </c>
      <c r="ET18" s="422" t="s">
        <v>22</v>
      </c>
      <c r="EU18" s="422" t="s">
        <v>22</v>
      </c>
      <c r="EV18" s="457" t="s">
        <v>22</v>
      </c>
      <c r="EW18" s="430" t="s">
        <v>22</v>
      </c>
      <c r="EX18" s="422" t="s">
        <v>22</v>
      </c>
      <c r="EY18" s="422" t="s">
        <v>22</v>
      </c>
      <c r="EZ18" s="457" t="s">
        <v>22</v>
      </c>
      <c r="FA18" s="430" t="s">
        <v>22</v>
      </c>
      <c r="FB18" s="457" t="s">
        <v>22</v>
      </c>
      <c r="FC18" s="430" t="s">
        <v>22</v>
      </c>
      <c r="FD18" s="457" t="s">
        <v>22</v>
      </c>
      <c r="FE18" s="430" t="s">
        <v>22</v>
      </c>
      <c r="FF18" s="422" t="s">
        <v>22</v>
      </c>
      <c r="FG18" s="422" t="s">
        <v>22</v>
      </c>
      <c r="FH18" s="327" t="s">
        <v>1660</v>
      </c>
      <c r="FI18" s="431" t="str">
        <f ca="1">CHOOSE(WEEKDAY(DATE($A18,FH$43,FI$42),2),"Monday","Tuesday","Wednesday","Thursday","Friday","Saturday","Sunday")</f>
        <v>Saturday</v>
      </c>
      <c r="FJ18" s="530" t="s">
        <v>1660</v>
      </c>
      <c r="FK18" s="430" t="str">
        <f ca="1">CHOOSE(WEEKDAY(DATE($A18,FJ$43,FK$42),2),"Monday","Tuesday","Wednesday","Thursday","Friday","Saturday","Sunday")</f>
        <v>Sunday</v>
      </c>
      <c r="FL18" s="457" t="s">
        <v>22</v>
      </c>
      <c r="FM18" s="430" t="s">
        <v>22</v>
      </c>
      <c r="FN18" s="422" t="s">
        <v>22</v>
      </c>
      <c r="FO18" s="422" t="s">
        <v>22</v>
      </c>
      <c r="FP18" s="457" t="s">
        <v>22</v>
      </c>
      <c r="FQ18" s="430" t="s">
        <v>22</v>
      </c>
      <c r="FR18" s="327" t="s">
        <v>1995</v>
      </c>
      <c r="FS18" s="430" t="str">
        <f ca="1">CHOOSE(WEEKDAY(DATE($A18,FR$43,FS$42),2),"Monday","Tuesday","Wednesday","Thursday","Friday","Saturday","Sunday")</f>
        <v>Friday</v>
      </c>
      <c r="FT18" s="422" t="s">
        <v>22</v>
      </c>
      <c r="FU18" s="422" t="s">
        <v>22</v>
      </c>
      <c r="FV18" s="457" t="s">
        <v>22</v>
      </c>
      <c r="FW18" s="430" t="s">
        <v>22</v>
      </c>
      <c r="FX18" s="422" t="s">
        <v>22</v>
      </c>
      <c r="FY18" s="422" t="s">
        <v>22</v>
      </c>
      <c r="FZ18" s="457" t="s">
        <v>22</v>
      </c>
      <c r="GA18" s="430" t="s">
        <v>22</v>
      </c>
      <c r="GB18" s="532" t="s">
        <v>2015</v>
      </c>
      <c r="GC18" s="422" t="str">
        <f ca="1">CHOOSE(WEEKDAY(DATE($A18,GB$43,GC$42),2),"Monday","Tuesday","Wednesday","Thursday","Friday","Saturday","Sunday")</f>
        <v>Thursday</v>
      </c>
      <c r="GD18" s="327" t="s">
        <v>1982</v>
      </c>
      <c r="GE18" s="430" t="str">
        <f ca="1">CHOOSE(WEEKDAY(DATE($A18,GD$43,GE$42),2),"Monday","Tuesday","Wednesday","Thursday","Friday","Saturday","Sunday")</f>
        <v>Friday</v>
      </c>
      <c r="GF18" s="457" t="s">
        <v>22</v>
      </c>
      <c r="GG18" s="430" t="s">
        <v>22</v>
      </c>
      <c r="GH18" s="457" t="s">
        <v>22</v>
      </c>
      <c r="GI18" s="430" t="s">
        <v>22</v>
      </c>
      <c r="GJ18" s="422" t="s">
        <v>22</v>
      </c>
      <c r="GK18" s="422" t="s">
        <v>22</v>
      </c>
      <c r="GL18" s="457" t="s">
        <v>22</v>
      </c>
      <c r="GM18" s="430" t="s">
        <v>22</v>
      </c>
      <c r="GN18" s="457" t="s">
        <v>22</v>
      </c>
      <c r="GO18" s="430" t="s">
        <v>22</v>
      </c>
      <c r="GP18" s="422" t="s">
        <v>22</v>
      </c>
      <c r="GQ18" s="422" t="s">
        <v>22</v>
      </c>
      <c r="GR18" s="457" t="s">
        <v>22</v>
      </c>
      <c r="GS18" s="430" t="s">
        <v>22</v>
      </c>
      <c r="GT18" s="457" t="s">
        <v>22</v>
      </c>
      <c r="GU18" s="430" t="s">
        <v>22</v>
      </c>
      <c r="GV18" s="457" t="s">
        <v>22</v>
      </c>
      <c r="GW18" s="430" t="s">
        <v>22</v>
      </c>
      <c r="GX18" s="457" t="s">
        <v>22</v>
      </c>
      <c r="GY18" s="430" t="s">
        <v>22</v>
      </c>
      <c r="GZ18" s="457" t="s">
        <v>22</v>
      </c>
      <c r="HA18" s="430" t="s">
        <v>22</v>
      </c>
      <c r="HB18" s="457" t="s">
        <v>22</v>
      </c>
      <c r="HC18" s="430" t="s">
        <v>22</v>
      </c>
      <c r="HD18" s="422" t="s">
        <v>22</v>
      </c>
      <c r="HE18" s="422" t="s">
        <v>22</v>
      </c>
      <c r="HF18" s="457" t="s">
        <v>22</v>
      </c>
      <c r="HG18" s="430" t="s">
        <v>22</v>
      </c>
      <c r="HH18" s="457" t="s">
        <v>22</v>
      </c>
      <c r="HI18" s="430" t="s">
        <v>22</v>
      </c>
      <c r="HJ18" s="457" t="s">
        <v>22</v>
      </c>
      <c r="HK18" s="430" t="s">
        <v>22</v>
      </c>
      <c r="HL18" s="532" t="s">
        <v>1711</v>
      </c>
      <c r="HM18" s="422" t="str">
        <f ca="1">CHOOSE(WEEKDAY(DATE($A18,HL$43,HM$42),2),"Monday","Tuesday","Wednesday","Thursday","Friday","Saturday","Sunday")</f>
        <v>Friday</v>
      </c>
      <c r="HN18" s="457" t="s">
        <v>22</v>
      </c>
      <c r="HO18" s="430" t="s">
        <v>22</v>
      </c>
      <c r="HP18" s="422" t="s">
        <v>22</v>
      </c>
      <c r="HQ18" s="422" t="s">
        <v>22</v>
      </c>
      <c r="HR18" s="457" t="s">
        <v>22</v>
      </c>
      <c r="HS18" s="430" t="s">
        <v>22</v>
      </c>
      <c r="HT18" s="457" t="s">
        <v>22</v>
      </c>
      <c r="HU18" s="430" t="s">
        <v>22</v>
      </c>
      <c r="HV18" s="457" t="s">
        <v>22</v>
      </c>
      <c r="HW18" s="430" t="s">
        <v>22</v>
      </c>
      <c r="HX18" s="457" t="s">
        <v>22</v>
      </c>
      <c r="HY18" s="430" t="s">
        <v>22</v>
      </c>
      <c r="HZ18" s="422" t="s">
        <v>22</v>
      </c>
      <c r="IA18" s="422" t="s">
        <v>22</v>
      </c>
      <c r="IB18" s="457" t="s">
        <v>22</v>
      </c>
      <c r="IC18" s="430" t="s">
        <v>22</v>
      </c>
      <c r="ID18" s="422" t="s">
        <v>22</v>
      </c>
      <c r="IE18" s="422" t="s">
        <v>22</v>
      </c>
      <c r="IF18" s="457" t="s">
        <v>22</v>
      </c>
      <c r="IG18" s="430" t="s">
        <v>22</v>
      </c>
      <c r="IH18" s="422" t="s">
        <v>22</v>
      </c>
      <c r="II18" s="422" t="s">
        <v>22</v>
      </c>
      <c r="IJ18" s="457" t="s">
        <v>22</v>
      </c>
      <c r="IK18" s="430" t="s">
        <v>22</v>
      </c>
      <c r="IL18" s="457" t="s">
        <v>22</v>
      </c>
      <c r="IM18" s="430" t="s">
        <v>22</v>
      </c>
      <c r="IN18" s="457" t="s">
        <v>22</v>
      </c>
      <c r="IO18" s="430" t="s">
        <v>22</v>
      </c>
      <c r="IP18" s="457" t="s">
        <v>22</v>
      </c>
      <c r="IQ18" s="430" t="s">
        <v>22</v>
      </c>
      <c r="IR18" s="422" t="s">
        <v>22</v>
      </c>
      <c r="IS18" s="422" t="s">
        <v>22</v>
      </c>
      <c r="IT18" s="457" t="s">
        <v>22</v>
      </c>
      <c r="IU18" s="430" t="s">
        <v>22</v>
      </c>
      <c r="IV18" s="457" t="s">
        <v>22</v>
      </c>
      <c r="IW18" s="430" t="s">
        <v>22</v>
      </c>
      <c r="IX18" s="457" t="s">
        <v>22</v>
      </c>
      <c r="IY18" s="430" t="s">
        <v>22</v>
      </c>
      <c r="IZ18" s="422" t="s">
        <v>22</v>
      </c>
      <c r="JA18" s="422" t="s">
        <v>22</v>
      </c>
      <c r="JB18" s="457" t="s">
        <v>22</v>
      </c>
      <c r="JC18" s="430" t="s">
        <v>22</v>
      </c>
      <c r="JD18" s="422" t="s">
        <v>22</v>
      </c>
      <c r="JE18" s="422" t="s">
        <v>22</v>
      </c>
      <c r="JF18" s="457" t="s">
        <v>22</v>
      </c>
      <c r="JG18" s="430" t="s">
        <v>22</v>
      </c>
      <c r="JH18" s="457" t="s">
        <v>22</v>
      </c>
      <c r="JI18" s="430" t="s">
        <v>22</v>
      </c>
      <c r="JJ18" s="457" t="s">
        <v>22</v>
      </c>
      <c r="JK18" s="430" t="s">
        <v>22</v>
      </c>
      <c r="JL18" s="422" t="s">
        <v>22</v>
      </c>
      <c r="JM18" s="422" t="s">
        <v>22</v>
      </c>
      <c r="JN18" s="457" t="s">
        <v>22</v>
      </c>
      <c r="JO18" s="430" t="s">
        <v>22</v>
      </c>
      <c r="JP18" s="422" t="s">
        <v>22</v>
      </c>
      <c r="JQ18" s="422" t="s">
        <v>22</v>
      </c>
      <c r="JR18" s="457" t="s">
        <v>22</v>
      </c>
      <c r="JS18" s="430" t="s">
        <v>22</v>
      </c>
      <c r="JT18" s="422" t="s">
        <v>22</v>
      </c>
      <c r="JU18" s="422" t="s">
        <v>22</v>
      </c>
      <c r="JV18" s="457" t="s">
        <v>22</v>
      </c>
      <c r="JW18" s="430" t="s">
        <v>22</v>
      </c>
      <c r="JX18" s="422" t="s">
        <v>22</v>
      </c>
      <c r="JY18" s="422" t="s">
        <v>22</v>
      </c>
      <c r="JZ18" s="457" t="s">
        <v>22</v>
      </c>
      <c r="KA18" s="430" t="s">
        <v>22</v>
      </c>
      <c r="KB18" s="457" t="s">
        <v>22</v>
      </c>
      <c r="KC18" s="430" t="s">
        <v>22</v>
      </c>
      <c r="KD18" s="457" t="s">
        <v>22</v>
      </c>
      <c r="KE18" s="430" t="s">
        <v>22</v>
      </c>
      <c r="KF18" s="422" t="s">
        <v>22</v>
      </c>
      <c r="KG18" s="422" t="s">
        <v>22</v>
      </c>
      <c r="KH18" s="457" t="s">
        <v>22</v>
      </c>
      <c r="KI18" s="430" t="s">
        <v>22</v>
      </c>
      <c r="KJ18" s="457" t="s">
        <v>22</v>
      </c>
      <c r="KK18" s="430" t="s">
        <v>22</v>
      </c>
      <c r="KL18" s="457" t="s">
        <v>22</v>
      </c>
      <c r="KM18" s="430" t="s">
        <v>22</v>
      </c>
      <c r="KN18" s="422" t="s">
        <v>22</v>
      </c>
      <c r="KO18" s="422" t="s">
        <v>22</v>
      </c>
      <c r="KP18" s="457" t="s">
        <v>22</v>
      </c>
      <c r="KQ18" s="430" t="s">
        <v>22</v>
      </c>
      <c r="KR18" s="422" t="s">
        <v>22</v>
      </c>
      <c r="KS18" s="422" t="s">
        <v>22</v>
      </c>
      <c r="KT18" s="457" t="s">
        <v>22</v>
      </c>
      <c r="KU18" s="430" t="s">
        <v>22</v>
      </c>
      <c r="KV18" s="532" t="s">
        <v>2035</v>
      </c>
      <c r="KW18" s="422" t="str">
        <f ca="1">CHOOSE(WEEKDAY(DATE($A18,KV$43,KW$42),2),"Monday","Tuesday","Wednesday","Thursday","Friday","Saturday","Sunday")</f>
        <v>Saturday</v>
      </c>
      <c r="KX18" s="457" t="s">
        <v>22</v>
      </c>
      <c r="KY18" s="430" t="s">
        <v>22</v>
      </c>
      <c r="KZ18" s="422" t="s">
        <v>22</v>
      </c>
      <c r="LA18" s="422" t="s">
        <v>22</v>
      </c>
      <c r="LB18" s="457" t="s">
        <v>22</v>
      </c>
      <c r="LC18" s="430" t="s">
        <v>22</v>
      </c>
      <c r="LD18" s="422" t="s">
        <v>22</v>
      </c>
      <c r="LE18" s="422" t="s">
        <v>22</v>
      </c>
      <c r="LF18" s="530" t="s">
        <v>1761</v>
      </c>
      <c r="LG18" s="430" t="str">
        <f ca="1">CHOOSE(WEEKDAY(DATE($A18,LF$43,LG$42),2),"Monday","Tuesday","Wednesday","Thursday","Friday","Saturday","Sunday")</f>
        <v>Thursday</v>
      </c>
      <c r="LH18" s="422" t="s">
        <v>22</v>
      </c>
      <c r="LI18" s="422" t="s">
        <v>22</v>
      </c>
      <c r="LJ18" s="457" t="s">
        <v>22</v>
      </c>
      <c r="LK18" s="430" t="s">
        <v>22</v>
      </c>
      <c r="LL18" s="422" t="s">
        <v>22</v>
      </c>
      <c r="LM18" s="422" t="s">
        <v>22</v>
      </c>
      <c r="LN18" s="457" t="s">
        <v>22</v>
      </c>
      <c r="LO18" s="430" t="s">
        <v>22</v>
      </c>
      <c r="LP18" s="532" t="s">
        <v>1788</v>
      </c>
      <c r="LQ18" s="422" t="str">
        <f ca="1">CHOOSE(WEEKDAY(DATE($A18,LP$43,LQ$42),2),"Monday","Tuesday","Wednesday","Thursday","Friday","Saturday","Sunday")</f>
        <v>Wednesday</v>
      </c>
      <c r="LR18" s="530" t="s">
        <v>2036</v>
      </c>
      <c r="LS18" s="430" t="str">
        <f ca="1">CHOOSE(WEEKDAY(DATE($A18,LR$43,LS$42),2),"Monday","Tuesday","Wednesday","Thursday","Friday","Saturday","Sunday")</f>
        <v>Thursday</v>
      </c>
      <c r="LT18" s="422" t="s">
        <v>22</v>
      </c>
      <c r="LU18" s="422" t="s">
        <v>22</v>
      </c>
      <c r="LV18" s="457" t="s">
        <v>22</v>
      </c>
      <c r="LW18" s="430" t="s">
        <v>22</v>
      </c>
      <c r="LX18" s="422" t="s">
        <v>22</v>
      </c>
      <c r="LY18" s="422" t="s">
        <v>22</v>
      </c>
      <c r="LZ18" s="457" t="s">
        <v>22</v>
      </c>
      <c r="MA18" s="430" t="s">
        <v>22</v>
      </c>
      <c r="MB18" s="422" t="s">
        <v>22</v>
      </c>
      <c r="MC18" s="422" t="s">
        <v>22</v>
      </c>
      <c r="MD18" s="457" t="s">
        <v>22</v>
      </c>
      <c r="ME18" s="430" t="s">
        <v>22</v>
      </c>
      <c r="MF18" s="532" t="s">
        <v>1982</v>
      </c>
      <c r="MG18" s="422" t="str">
        <f ca="1">CHOOSE(WEEKDAY(DATE($A18,MF$43,MG$42),2),"Monday","Tuesday","Wednesday","Thursday","Friday","Saturday","Sunday")</f>
        <v>Friday</v>
      </c>
      <c r="MH18" s="457" t="s">
        <v>22</v>
      </c>
      <c r="MI18" s="430" t="s">
        <v>22</v>
      </c>
      <c r="MJ18" s="457" t="s">
        <v>22</v>
      </c>
      <c r="MK18" s="430" t="s">
        <v>22</v>
      </c>
      <c r="ML18" s="457" t="s">
        <v>22</v>
      </c>
      <c r="MM18" s="430" t="s">
        <v>22</v>
      </c>
      <c r="MN18" s="422" t="s">
        <v>22</v>
      </c>
      <c r="MO18" s="422" t="s">
        <v>22</v>
      </c>
      <c r="MP18" s="457" t="s">
        <v>22</v>
      </c>
      <c r="MQ18" s="430" t="s">
        <v>22</v>
      </c>
      <c r="MR18" s="422" t="s">
        <v>22</v>
      </c>
      <c r="MS18" s="422" t="s">
        <v>22</v>
      </c>
      <c r="MT18" s="457" t="s">
        <v>22</v>
      </c>
      <c r="MU18" s="430" t="s">
        <v>22</v>
      </c>
      <c r="MV18" s="457" t="s">
        <v>22</v>
      </c>
      <c r="MW18" s="430" t="s">
        <v>22</v>
      </c>
      <c r="MX18" s="457" t="s">
        <v>22</v>
      </c>
      <c r="MY18" s="430" t="s">
        <v>22</v>
      </c>
      <c r="MZ18" s="457" t="s">
        <v>22</v>
      </c>
      <c r="NA18" s="430" t="s">
        <v>22</v>
      </c>
      <c r="NB18" s="422" t="s">
        <v>22</v>
      </c>
      <c r="NC18" s="422" t="s">
        <v>22</v>
      </c>
      <c r="ND18" s="457" t="s">
        <v>22</v>
      </c>
      <c r="NE18" s="430" t="s">
        <v>22</v>
      </c>
      <c r="NF18" s="422" t="s">
        <v>22</v>
      </c>
      <c r="NG18" s="422" t="s">
        <v>22</v>
      </c>
      <c r="NH18" s="457" t="s">
        <v>22</v>
      </c>
      <c r="NI18" s="430" t="s">
        <v>22</v>
      </c>
      <c r="NJ18" s="422" t="s">
        <v>22</v>
      </c>
      <c r="NK18" s="422" t="s">
        <v>22</v>
      </c>
      <c r="NL18" s="457" t="s">
        <v>22</v>
      </c>
      <c r="NM18" s="430" t="s">
        <v>22</v>
      </c>
      <c r="NN18" s="457" t="s">
        <v>22</v>
      </c>
      <c r="NO18" s="430" t="s">
        <v>22</v>
      </c>
      <c r="NP18" s="422" t="s">
        <v>22</v>
      </c>
      <c r="NQ18" s="422" t="s">
        <v>22</v>
      </c>
      <c r="NR18" s="457" t="s">
        <v>22</v>
      </c>
      <c r="NS18" s="430" t="s">
        <v>22</v>
      </c>
      <c r="NT18" s="532" t="s">
        <v>2037</v>
      </c>
      <c r="NU18" s="422" t="str">
        <f ca="1">CHOOSE(WEEKDAY(DATE($A18,NT$43,NU$42),2),"Monday","Tuesday","Wednesday","Thursday","Friday","Saturday","Sunday")</f>
        <v>Thursday</v>
      </c>
      <c r="NV18" s="422" t="s">
        <v>22</v>
      </c>
      <c r="NW18" s="430" t="s">
        <v>22</v>
      </c>
      <c r="NX18" s="422" t="s">
        <v>22</v>
      </c>
      <c r="NY18" s="422" t="s">
        <v>22</v>
      </c>
      <c r="NZ18" s="457" t="s">
        <v>22</v>
      </c>
      <c r="OA18" s="430" t="s">
        <v>22</v>
      </c>
      <c r="OB18" s="422" t="s">
        <v>22</v>
      </c>
      <c r="OC18" s="422" t="s">
        <v>22</v>
      </c>
      <c r="OD18" s="457" t="s">
        <v>22</v>
      </c>
      <c r="OE18" s="430" t="s">
        <v>22</v>
      </c>
      <c r="OF18" s="422" t="s">
        <v>22</v>
      </c>
      <c r="OG18" s="422" t="s">
        <v>22</v>
      </c>
      <c r="OH18" s="457" t="s">
        <v>22</v>
      </c>
      <c r="OI18" s="430" t="s">
        <v>22</v>
      </c>
      <c r="OJ18" s="422" t="s">
        <v>22</v>
      </c>
      <c r="OK18" s="422" t="s">
        <v>22</v>
      </c>
      <c r="OL18" s="457" t="s">
        <v>22</v>
      </c>
      <c r="OM18" s="430" t="s">
        <v>22</v>
      </c>
      <c r="ON18" s="457" t="s">
        <v>22</v>
      </c>
      <c r="OO18" s="430" t="s">
        <v>22</v>
      </c>
      <c r="OP18" s="457" t="s">
        <v>22</v>
      </c>
      <c r="OQ18" s="430" t="s">
        <v>22</v>
      </c>
      <c r="OR18" s="457" t="s">
        <v>22</v>
      </c>
      <c r="OS18" s="430" t="s">
        <v>22</v>
      </c>
      <c r="OT18" s="457" t="s">
        <v>22</v>
      </c>
      <c r="OU18" s="430" t="s">
        <v>22</v>
      </c>
      <c r="OV18" s="422" t="s">
        <v>22</v>
      </c>
      <c r="OW18" s="422" t="s">
        <v>22</v>
      </c>
      <c r="OX18" s="457" t="s">
        <v>22</v>
      </c>
      <c r="OY18" s="430" t="s">
        <v>22</v>
      </c>
      <c r="OZ18" s="422" t="s">
        <v>22</v>
      </c>
      <c r="PA18" s="422" t="s">
        <v>22</v>
      </c>
      <c r="PB18" s="457" t="s">
        <v>22</v>
      </c>
      <c r="PC18" s="430" t="s">
        <v>22</v>
      </c>
      <c r="PD18" s="532" t="s">
        <v>2017</v>
      </c>
      <c r="PE18" s="422" t="str">
        <f ca="1">CHOOSE(WEEKDAY(DATE($A18,PD$43,PE$42),2),"Monday","Tuesday","Wednesday","Thursday","Friday","Saturday","Sunday")</f>
        <v>Thursday</v>
      </c>
      <c r="PF18" s="457" t="s">
        <v>22</v>
      </c>
      <c r="PG18" s="430" t="s">
        <v>22</v>
      </c>
      <c r="PH18" s="457" t="s">
        <v>22</v>
      </c>
      <c r="PI18" s="430" t="s">
        <v>22</v>
      </c>
      <c r="PJ18" s="457" t="s">
        <v>22</v>
      </c>
      <c r="PK18" s="430" t="s">
        <v>22</v>
      </c>
      <c r="PL18" s="422" t="s">
        <v>22</v>
      </c>
      <c r="PM18" s="422" t="s">
        <v>22</v>
      </c>
      <c r="PN18" s="457" t="s">
        <v>22</v>
      </c>
      <c r="PO18" s="430" t="s">
        <v>22</v>
      </c>
      <c r="PP18" s="422" t="s">
        <v>22</v>
      </c>
      <c r="PQ18" s="422" t="s">
        <v>22</v>
      </c>
      <c r="PR18" s="457" t="s">
        <v>22</v>
      </c>
      <c r="PS18" s="430" t="s">
        <v>22</v>
      </c>
      <c r="PT18" s="422" t="s">
        <v>22</v>
      </c>
      <c r="PU18" s="422" t="s">
        <v>22</v>
      </c>
      <c r="PV18" s="457" t="s">
        <v>22</v>
      </c>
      <c r="PW18" s="430" t="s">
        <v>22</v>
      </c>
      <c r="PX18" s="532" t="s">
        <v>1859</v>
      </c>
      <c r="PY18" s="422" t="str">
        <f ca="1">CHOOSE(WEEKDAY(DATE($A18,PX$43,PY$42),2),"Monday","Tuesday","Wednesday","Thursday","Friday","Saturday","Sunday")</f>
        <v>Friday</v>
      </c>
      <c r="PZ18" s="457" t="s">
        <v>22</v>
      </c>
      <c r="QA18" s="430" t="s">
        <v>22</v>
      </c>
      <c r="QB18" s="422" t="s">
        <v>22</v>
      </c>
      <c r="QC18" s="422" t="s">
        <v>22</v>
      </c>
      <c r="QD18" s="457" t="s">
        <v>22</v>
      </c>
      <c r="QE18" s="430" t="s">
        <v>22</v>
      </c>
      <c r="QF18" s="422" t="s">
        <v>22</v>
      </c>
      <c r="QG18" s="422" t="s">
        <v>22</v>
      </c>
      <c r="QH18" s="457" t="s">
        <v>22</v>
      </c>
      <c r="QI18" s="430" t="s">
        <v>22</v>
      </c>
      <c r="QJ18" s="422" t="s">
        <v>22</v>
      </c>
      <c r="QK18" s="422" t="s">
        <v>22</v>
      </c>
      <c r="QL18" s="530" t="s">
        <v>2025</v>
      </c>
      <c r="QM18" s="430" t="str">
        <f ca="1">CHOOSE(WEEKDAY(DATE($A18,QL$43,QM$42),2),"Monday","Tuesday","Wednesday","Thursday","Friday","Saturday","Sunday")</f>
        <v>Friday</v>
      </c>
      <c r="QN18" s="422" t="s">
        <v>22</v>
      </c>
      <c r="QO18" s="422" t="s">
        <v>22</v>
      </c>
      <c r="QP18" s="457" t="s">
        <v>22</v>
      </c>
      <c r="QQ18" s="430" t="s">
        <v>22</v>
      </c>
      <c r="QR18" s="422" t="s">
        <v>22</v>
      </c>
      <c r="QS18" s="422" t="s">
        <v>22</v>
      </c>
      <c r="QT18" s="457" t="s">
        <v>22</v>
      </c>
      <c r="QU18" s="430" t="s">
        <v>22</v>
      </c>
      <c r="QV18" s="422" t="s">
        <v>22</v>
      </c>
      <c r="QW18" s="422" t="s">
        <v>22</v>
      </c>
      <c r="QX18" s="457" t="s">
        <v>22</v>
      </c>
      <c r="QY18" s="430" t="s">
        <v>22</v>
      </c>
      <c r="QZ18" s="422" t="s">
        <v>22</v>
      </c>
      <c r="RA18" s="430" t="s">
        <v>22</v>
      </c>
      <c r="RB18" s="422" t="s">
        <v>22</v>
      </c>
      <c r="RC18" s="430" t="s">
        <v>22</v>
      </c>
      <c r="RD18" s="422" t="s">
        <v>22</v>
      </c>
      <c r="RE18" s="422" t="s">
        <v>22</v>
      </c>
      <c r="RF18" s="457" t="s">
        <v>22</v>
      </c>
      <c r="RG18" s="430" t="s">
        <v>22</v>
      </c>
      <c r="RH18" s="422" t="s">
        <v>22</v>
      </c>
      <c r="RI18" s="422" t="s">
        <v>22</v>
      </c>
      <c r="RJ18" s="457" t="s">
        <v>22</v>
      </c>
      <c r="RK18" s="430" t="s">
        <v>22</v>
      </c>
      <c r="RL18" s="457" t="s">
        <v>22</v>
      </c>
      <c r="RM18" s="430" t="s">
        <v>22</v>
      </c>
      <c r="RN18" s="422" t="s">
        <v>22</v>
      </c>
      <c r="RO18" s="422" t="s">
        <v>22</v>
      </c>
      <c r="RP18" s="457" t="s">
        <v>22</v>
      </c>
      <c r="RQ18" s="430" t="s">
        <v>22</v>
      </c>
      <c r="RR18" s="422" t="s">
        <v>22</v>
      </c>
      <c r="RS18" s="422" t="s">
        <v>22</v>
      </c>
      <c r="RT18" s="457" t="s">
        <v>22</v>
      </c>
      <c r="RU18" s="430" t="s">
        <v>22</v>
      </c>
      <c r="RV18" s="532" t="s">
        <v>1895</v>
      </c>
      <c r="RW18" s="422" t="str">
        <f ca="1">CHOOSE(WEEKDAY(DATE($A18,RV$43,RW$42),2),"Monday","Tuesday","Wednesday","Thursday","Friday","Saturday","Sunday")</f>
        <v>Wednesday</v>
      </c>
      <c r="RX18" s="457" t="s">
        <v>22</v>
      </c>
      <c r="RY18" s="430" t="s">
        <v>22</v>
      </c>
      <c r="RZ18" s="457" t="s">
        <v>22</v>
      </c>
      <c r="SA18" s="430" t="s">
        <v>22</v>
      </c>
      <c r="SB18" s="457" t="s">
        <v>22</v>
      </c>
      <c r="SC18" s="430" t="s">
        <v>22</v>
      </c>
      <c r="SD18" s="422" t="s">
        <v>22</v>
      </c>
      <c r="SE18" s="422" t="s">
        <v>22</v>
      </c>
      <c r="SF18" s="457" t="s">
        <v>22</v>
      </c>
      <c r="SG18" s="430" t="s">
        <v>22</v>
      </c>
      <c r="SH18" s="422" t="s">
        <v>22</v>
      </c>
      <c r="SI18" s="422" t="s">
        <v>22</v>
      </c>
      <c r="SJ18" s="457" t="s">
        <v>22</v>
      </c>
      <c r="SK18" s="430" t="s">
        <v>22</v>
      </c>
      <c r="SL18" s="457" t="s">
        <v>22</v>
      </c>
      <c r="SM18" s="430" t="s">
        <v>22</v>
      </c>
      <c r="SN18" s="422" t="s">
        <v>22</v>
      </c>
      <c r="SO18" s="422" t="s">
        <v>22</v>
      </c>
      <c r="SP18" s="457" t="s">
        <v>22</v>
      </c>
      <c r="SQ18" s="430" t="s">
        <v>22</v>
      </c>
      <c r="SR18" s="422" t="s">
        <v>22</v>
      </c>
      <c r="SS18" s="422" t="s">
        <v>22</v>
      </c>
      <c r="ST18" s="457" t="s">
        <v>22</v>
      </c>
      <c r="SU18" s="430" t="s">
        <v>22</v>
      </c>
      <c r="SV18" s="422" t="s">
        <v>22</v>
      </c>
      <c r="SW18" s="422" t="s">
        <v>22</v>
      </c>
      <c r="SX18" s="457" t="s">
        <v>22</v>
      </c>
      <c r="SY18" s="430" t="s">
        <v>22</v>
      </c>
      <c r="SZ18" s="422" t="s">
        <v>22</v>
      </c>
      <c r="TA18" s="422" t="s">
        <v>22</v>
      </c>
      <c r="TB18" s="457" t="s">
        <v>22</v>
      </c>
      <c r="TC18" s="430" t="s">
        <v>22</v>
      </c>
      <c r="TD18" s="422" t="s">
        <v>22</v>
      </c>
      <c r="TE18" s="422" t="s">
        <v>22</v>
      </c>
      <c r="TF18" s="457" t="s">
        <v>22</v>
      </c>
      <c r="TG18" s="430" t="s">
        <v>22</v>
      </c>
      <c r="TH18" s="457" t="s">
        <v>22</v>
      </c>
      <c r="TI18" s="430" t="s">
        <v>22</v>
      </c>
      <c r="TJ18" s="530" t="s">
        <v>1935</v>
      </c>
      <c r="TK18" s="422" t="str">
        <f ca="1">CHOOSE(WEEKDAY(DATE($A18,TJ$43,TK$42),2),"Monday","Tuesday","Wednesday","Thursday","Friday","Saturday","Sunday")</f>
        <v>Friday</v>
      </c>
      <c r="TL18" s="457" t="s">
        <v>22</v>
      </c>
      <c r="TM18" s="430" t="s">
        <v>22</v>
      </c>
      <c r="TN18" s="422" t="s">
        <v>22</v>
      </c>
      <c r="TO18" s="422" t="s">
        <v>22</v>
      </c>
      <c r="TP18" s="457" t="s">
        <v>22</v>
      </c>
      <c r="TQ18" s="430" t="s">
        <v>22</v>
      </c>
      <c r="TR18" s="530" t="s">
        <v>1932</v>
      </c>
      <c r="TS18" s="422" t="str">
        <f ca="1">CHOOSE(WEEKDAY(DATE($A18,TR$43,TS$42),2),"Monday","Tuesday","Wednesday","Thursday","Friday","Saturday","Sunday")</f>
        <v>Tuesday</v>
      </c>
      <c r="TT18" s="457" t="s">
        <v>22</v>
      </c>
      <c r="TU18" s="430" t="s">
        <v>22</v>
      </c>
      <c r="TV18" s="530" t="s">
        <v>1935</v>
      </c>
      <c r="TW18" s="422" t="str">
        <f ca="1">CHOOSE(WEEKDAY(DATE($A18,TV$43,TW$42),2),"Monday","Tuesday","Wednesday","Thursday","Friday","Saturday","Sunday")</f>
        <v>Thursday</v>
      </c>
      <c r="TX18" s="457" t="s">
        <v>22</v>
      </c>
      <c r="TY18" s="430" t="s">
        <v>22</v>
      </c>
      <c r="TZ18" s="422" t="s">
        <v>22</v>
      </c>
      <c r="UA18" s="422" t="s">
        <v>22</v>
      </c>
      <c r="UB18" s="457" t="s">
        <v>22</v>
      </c>
      <c r="UC18" s="422" t="s">
        <v>22</v>
      </c>
      <c r="UD18" s="457" t="s">
        <v>22</v>
      </c>
      <c r="UE18" s="430" t="s">
        <v>22</v>
      </c>
      <c r="UF18" s="422" t="s">
        <v>22</v>
      </c>
      <c r="UG18" s="422" t="s">
        <v>22</v>
      </c>
      <c r="UH18" s="457" t="s">
        <v>22</v>
      </c>
      <c r="UI18" s="430" t="s">
        <v>22</v>
      </c>
      <c r="UJ18" s="457" t="s">
        <v>22</v>
      </c>
      <c r="UK18" s="430" t="s">
        <v>22</v>
      </c>
      <c r="UL18" s="532" t="s">
        <v>1944</v>
      </c>
      <c r="UM18" s="422" t="str">
        <f ca="1">CHOOSE(WEEKDAY(DATE($A18,UL$43,UM$42),2),"Monday","Tuesday","Wednesday","Thursday","Friday","Saturday","Sunday")</f>
        <v>Friday</v>
      </c>
      <c r="UN18" s="457" t="s">
        <v>22</v>
      </c>
      <c r="UO18" s="430" t="s">
        <v>22</v>
      </c>
      <c r="UP18" s="532" t="s">
        <v>1943</v>
      </c>
      <c r="UQ18" s="422" t="str">
        <f ca="1">CHOOSE(WEEKDAY(DATE($A18,UP$43,UQ$42),2),"Monday","Tuesday","Wednesday","Thursday","Friday","Saturday","Sunday")</f>
        <v>Sunday</v>
      </c>
      <c r="UR18" s="457" t="s">
        <v>22</v>
      </c>
      <c r="US18" s="430" t="s">
        <v>22</v>
      </c>
      <c r="UT18" s="457" t="s">
        <v>22</v>
      </c>
      <c r="UU18" s="430" t="s">
        <v>22</v>
      </c>
      <c r="UV18" s="422" t="s">
        <v>22</v>
      </c>
      <c r="UW18" s="422" t="s">
        <v>22</v>
      </c>
      <c r="UX18" s="530" t="s">
        <v>1949</v>
      </c>
      <c r="UY18" s="430" t="str">
        <f ca="1">CHOOSE(WEEKDAY(DATE($A18,UX$43,UY$42),2),"Monday","Tuesday","Wednesday","Thursday","Friday","Saturday","Sunday")</f>
        <v>Thursday</v>
      </c>
      <c r="UZ18" s="422" t="s">
        <v>22</v>
      </c>
      <c r="VA18" s="422" t="s">
        <v>22</v>
      </c>
      <c r="VB18" s="457" t="s">
        <v>22</v>
      </c>
      <c r="VC18" s="430" t="s">
        <v>22</v>
      </c>
      <c r="VD18" s="422" t="s">
        <v>22</v>
      </c>
      <c r="VE18" s="422" t="s">
        <v>22</v>
      </c>
      <c r="VF18" s="457" t="s">
        <v>22</v>
      </c>
      <c r="VG18" s="430" t="s">
        <v>22</v>
      </c>
      <c r="VH18" s="457" t="s">
        <v>22</v>
      </c>
      <c r="VI18" s="430" t="s">
        <v>22</v>
      </c>
      <c r="VJ18" s="422" t="s">
        <v>22</v>
      </c>
      <c r="VK18" s="422" t="s">
        <v>22</v>
      </c>
      <c r="VL18" s="457" t="s">
        <v>22</v>
      </c>
      <c r="VM18" s="430" t="s">
        <v>22</v>
      </c>
      <c r="VN18" s="422" t="s">
        <v>22</v>
      </c>
      <c r="VO18" s="422" t="s">
        <v>22</v>
      </c>
      <c r="VP18" s="457" t="s">
        <v>22</v>
      </c>
      <c r="VQ18" s="430" t="s">
        <v>22</v>
      </c>
      <c r="VR18" s="422" t="s">
        <v>22</v>
      </c>
      <c r="VS18" s="422" t="s">
        <v>22</v>
      </c>
      <c r="VT18" s="457" t="s">
        <v>22</v>
      </c>
      <c r="VU18" s="430" t="s">
        <v>22</v>
      </c>
      <c r="VV18" s="457" t="s">
        <v>22</v>
      </c>
      <c r="VW18" s="430" t="s">
        <v>22</v>
      </c>
      <c r="VX18" s="422" t="s">
        <v>22</v>
      </c>
      <c r="VY18" s="430" t="s">
        <v>22</v>
      </c>
      <c r="VZ18" s="457" t="s">
        <v>22</v>
      </c>
      <c r="WA18" s="430" t="s">
        <v>22</v>
      </c>
      <c r="WB18" s="457" t="s">
        <v>22</v>
      </c>
      <c r="WC18" s="430" t="s">
        <v>22</v>
      </c>
      <c r="WD18" s="422" t="s">
        <v>22</v>
      </c>
      <c r="WE18" s="422" t="s">
        <v>22</v>
      </c>
      <c r="WF18" s="457" t="s">
        <v>22</v>
      </c>
      <c r="WG18" s="430" t="s">
        <v>22</v>
      </c>
      <c r="WH18" s="422" t="s">
        <v>22</v>
      </c>
      <c r="WI18" s="422" t="s">
        <v>22</v>
      </c>
      <c r="WJ18" s="457" t="s">
        <v>22</v>
      </c>
      <c r="WK18" s="430" t="s">
        <v>22</v>
      </c>
      <c r="WL18" s="422" t="s">
        <v>22</v>
      </c>
      <c r="WM18" s="422" t="s">
        <v>22</v>
      </c>
      <c r="WN18" s="457" t="s">
        <v>22</v>
      </c>
      <c r="WO18" s="430" t="s">
        <v>22</v>
      </c>
      <c r="WP18" s="422" t="s">
        <v>22</v>
      </c>
      <c r="WQ18" s="422" t="s">
        <v>22</v>
      </c>
      <c r="WR18" s="457" t="s">
        <v>22</v>
      </c>
      <c r="WS18" s="430" t="s">
        <v>22</v>
      </c>
      <c r="WT18" s="457" t="s">
        <v>22</v>
      </c>
      <c r="WU18" s="430" t="s">
        <v>22</v>
      </c>
      <c r="WV18" s="457" t="s">
        <v>22</v>
      </c>
      <c r="WW18" s="430" t="s">
        <v>22</v>
      </c>
      <c r="WX18" s="457" t="s">
        <v>22</v>
      </c>
      <c r="WY18" s="430" t="s">
        <v>22</v>
      </c>
      <c r="WZ18" s="422" t="s">
        <v>22</v>
      </c>
      <c r="XA18" s="422" t="s">
        <v>22</v>
      </c>
      <c r="XB18" s="457" t="s">
        <v>22</v>
      </c>
      <c r="XC18" s="430" t="s">
        <v>22</v>
      </c>
      <c r="XD18" s="422" t="s">
        <v>22</v>
      </c>
      <c r="XE18" s="422" t="s">
        <v>22</v>
      </c>
      <c r="XF18" s="457" t="s">
        <v>22</v>
      </c>
      <c r="XG18" s="430" t="s">
        <v>22</v>
      </c>
      <c r="XH18" s="457" t="s">
        <v>22</v>
      </c>
      <c r="XI18" s="430" t="s">
        <v>22</v>
      </c>
      <c r="XJ18" s="327" t="s">
        <v>2020</v>
      </c>
      <c r="XK18" s="422" t="str">
        <f ca="1">CHOOSE(WEEKDAY(DATE($A18,XJ$43,XK$42),2),"Monday","Tuesday","Wednesday","Thursday","Friday","Saturday","Sunday")</f>
        <v>Friday</v>
      </c>
      <c r="XL18" s="457" t="s">
        <v>22</v>
      </c>
      <c r="XM18" s="430" t="s">
        <v>22</v>
      </c>
      <c r="XN18" s="422" t="s">
        <v>22</v>
      </c>
      <c r="XO18" s="422" t="s">
        <v>22</v>
      </c>
      <c r="XP18" s="530" t="s">
        <v>1994</v>
      </c>
      <c r="XQ18" s="430" t="str">
        <f ca="1">CHOOSE(WEEKDAY(DATE($A18,XP$43,XQ$42),2),"Monday","Tuesday","Wednesday","Thursday","Friday","Saturday","Sunday")</f>
        <v>Monday</v>
      </c>
      <c r="XR18" s="422" t="s">
        <v>22</v>
      </c>
      <c r="XS18" s="422" t="s">
        <v>22</v>
      </c>
      <c r="XT18" s="457" t="s">
        <v>22</v>
      </c>
      <c r="XU18" s="422" t="s">
        <v>22</v>
      </c>
      <c r="XV18" s="530" t="s">
        <v>2020</v>
      </c>
      <c r="XW18" s="430" t="str">
        <f ca="1">CHOOSE(WEEKDAY(DATE($A18,XV$43,XW$42),2),"Monday","Tuesday","Wednesday","Thursday","Friday","Saturday","Sunday")</f>
        <v>Thursday</v>
      </c>
      <c r="XX18" s="457" t="s">
        <v>22</v>
      </c>
      <c r="XY18" s="430" t="s">
        <v>22</v>
      </c>
      <c r="XZ18" s="457" t="s">
        <v>22</v>
      </c>
      <c r="YA18" s="430" t="s">
        <v>22</v>
      </c>
      <c r="YB18" s="422" t="s">
        <v>22</v>
      </c>
      <c r="YC18" s="422" t="s">
        <v>22</v>
      </c>
      <c r="YD18" s="530" t="s">
        <v>2003</v>
      </c>
      <c r="YE18" s="430" t="str">
        <f ca="1">CHOOSE(WEEKDAY(DATE($A18,YD$43,YE$42),2),"Monday","Tuesday","Wednesday","Thursday","Friday","Saturday","Sunday")</f>
        <v>Monday</v>
      </c>
    </row>
    <row r="19" spans="1:655" ht="12.75" x14ac:dyDescent="0.2">
      <c r="A19" s="412"/>
      <c r="B19" s="417"/>
      <c r="C19" s="412"/>
      <c r="D19" s="417"/>
      <c r="E19" s="412"/>
      <c r="F19" s="402"/>
      <c r="G19" s="412"/>
      <c r="H19" s="417"/>
      <c r="I19" s="402"/>
      <c r="J19" s="417"/>
      <c r="K19" s="412"/>
      <c r="L19" s="402"/>
      <c r="M19" s="402"/>
      <c r="N19" s="417"/>
      <c r="O19" s="412"/>
      <c r="P19" s="402"/>
      <c r="Q19" s="402"/>
      <c r="R19" s="417"/>
      <c r="S19" s="412"/>
      <c r="T19" s="417"/>
      <c r="U19" s="412"/>
      <c r="V19" s="402"/>
      <c r="W19" s="402"/>
      <c r="X19" s="417"/>
      <c r="Y19" s="412"/>
      <c r="Z19" s="417"/>
      <c r="AA19" s="412"/>
      <c r="AB19" s="402"/>
      <c r="AC19" s="402"/>
      <c r="AD19" s="417"/>
      <c r="AE19" s="412"/>
      <c r="AF19" s="417"/>
      <c r="AG19" s="412"/>
      <c r="AH19" s="402"/>
      <c r="AI19" s="402"/>
      <c r="AJ19" s="417"/>
      <c r="AK19" s="412"/>
      <c r="AL19" s="402"/>
      <c r="AM19" s="402"/>
      <c r="AN19" s="417"/>
      <c r="AO19" s="412"/>
      <c r="AP19" s="402"/>
      <c r="AQ19" s="402"/>
      <c r="AR19" s="417"/>
      <c r="AS19" s="412"/>
      <c r="AT19" s="402"/>
      <c r="AU19" s="402"/>
      <c r="AV19" s="417"/>
      <c r="AW19" s="412"/>
      <c r="AX19" s="402"/>
      <c r="AY19" s="402"/>
      <c r="AZ19" s="417"/>
      <c r="BA19" s="412"/>
      <c r="BB19" s="402"/>
      <c r="BC19" s="402"/>
      <c r="BD19" s="417"/>
      <c r="BE19" s="412"/>
      <c r="BF19" s="417"/>
      <c r="BG19" s="412"/>
      <c r="BH19" s="402"/>
      <c r="BI19" s="402"/>
      <c r="BJ19" s="417"/>
      <c r="BK19" s="412"/>
      <c r="BL19" s="402"/>
      <c r="BM19" s="402"/>
      <c r="BN19" s="417"/>
      <c r="BO19" s="412"/>
      <c r="BP19" s="417"/>
      <c r="BQ19" s="412"/>
      <c r="BR19" s="402"/>
      <c r="BS19" s="402"/>
      <c r="BT19" s="417"/>
      <c r="BU19" s="412"/>
      <c r="BV19" s="417"/>
      <c r="BW19" s="412"/>
      <c r="BX19" s="402"/>
      <c r="BY19" s="402"/>
      <c r="BZ19" s="417"/>
      <c r="CA19" s="412"/>
      <c r="CB19" s="417"/>
      <c r="CC19" s="412"/>
      <c r="CD19" s="529" t="s">
        <v>1759</v>
      </c>
      <c r="CE19" s="402"/>
      <c r="CF19" s="417"/>
      <c r="CG19" s="412"/>
      <c r="CH19" s="402"/>
      <c r="CI19" s="402"/>
      <c r="CJ19" s="417"/>
      <c r="CK19" s="412"/>
      <c r="CL19" s="402"/>
      <c r="CM19" s="402"/>
      <c r="CN19" s="417"/>
      <c r="CO19" s="412"/>
      <c r="CP19" s="402"/>
      <c r="CQ19" s="402"/>
      <c r="CR19" s="417"/>
      <c r="CS19" s="412"/>
      <c r="CT19" s="402"/>
      <c r="CU19" s="402"/>
      <c r="CV19" s="417"/>
      <c r="CW19" s="412"/>
      <c r="CX19" s="417"/>
      <c r="CY19" s="402"/>
      <c r="CZ19" s="417"/>
      <c r="DA19" s="402"/>
      <c r="DB19" s="417"/>
      <c r="DC19" s="412"/>
      <c r="DD19" s="402"/>
      <c r="DE19" s="402"/>
      <c r="DF19" s="417"/>
      <c r="DG19" s="412"/>
      <c r="DH19" s="402"/>
      <c r="DI19" s="402"/>
      <c r="DJ19" s="417"/>
      <c r="DK19" s="412"/>
      <c r="DL19" s="402"/>
      <c r="DM19" s="402"/>
      <c r="DN19" s="417"/>
      <c r="DO19" s="412"/>
      <c r="DP19" s="402"/>
      <c r="DQ19" s="402"/>
      <c r="DR19" s="417"/>
      <c r="DS19" s="412"/>
      <c r="DT19" s="402"/>
      <c r="DU19" s="402"/>
      <c r="DV19" s="417"/>
      <c r="DW19" s="412"/>
      <c r="DX19" s="402"/>
      <c r="DY19" s="402"/>
      <c r="DZ19" s="417"/>
      <c r="EA19" s="412"/>
      <c r="EB19" s="417"/>
      <c r="EC19" s="412"/>
      <c r="ED19" s="402"/>
      <c r="EE19" s="402"/>
      <c r="EF19" s="417"/>
      <c r="EG19" s="412"/>
      <c r="EH19" s="402"/>
      <c r="EI19" s="402"/>
      <c r="EJ19" s="417"/>
      <c r="EK19" s="412"/>
      <c r="EL19" s="402"/>
      <c r="EM19" s="402"/>
      <c r="EN19" s="417"/>
      <c r="EO19" s="412"/>
      <c r="EP19" s="402"/>
      <c r="EQ19" s="402"/>
      <c r="ER19" s="417"/>
      <c r="ES19" s="412"/>
      <c r="ET19" s="402"/>
      <c r="EU19" s="402"/>
      <c r="EV19" s="417"/>
      <c r="EW19" s="412"/>
      <c r="EX19" s="402"/>
      <c r="EY19" s="402"/>
      <c r="EZ19" s="417"/>
      <c r="FA19" s="412"/>
      <c r="FB19" s="417"/>
      <c r="FC19" s="412"/>
      <c r="FD19" s="417"/>
      <c r="FE19" s="412"/>
      <c r="FF19" s="402"/>
      <c r="FG19" s="402"/>
      <c r="FH19" s="534" t="s">
        <v>1660</v>
      </c>
      <c r="FI19" s="412"/>
      <c r="FJ19" s="417"/>
      <c r="FK19" s="412"/>
      <c r="FL19" s="417"/>
      <c r="FM19" s="412"/>
      <c r="FN19" s="402"/>
      <c r="FO19" s="402"/>
      <c r="FP19" s="417"/>
      <c r="FQ19" s="412"/>
      <c r="FR19" s="536" t="s">
        <v>1661</v>
      </c>
      <c r="FS19" s="412"/>
      <c r="FT19" s="402"/>
      <c r="FU19" s="402"/>
      <c r="FV19" s="417"/>
      <c r="FW19" s="412"/>
      <c r="FX19" s="402"/>
      <c r="FY19" s="402"/>
      <c r="FZ19" s="417"/>
      <c r="GA19" s="412"/>
      <c r="GB19" s="402"/>
      <c r="GC19" s="402"/>
      <c r="GD19" s="534" t="s">
        <v>1988</v>
      </c>
      <c r="GE19" s="412"/>
      <c r="GF19" s="417"/>
      <c r="GG19" s="412"/>
      <c r="GH19" s="417"/>
      <c r="GI19" s="412"/>
      <c r="GJ19" s="402"/>
      <c r="GK19" s="402"/>
      <c r="GL19" s="417"/>
      <c r="GM19" s="412"/>
      <c r="GN19" s="417"/>
      <c r="GO19" s="412"/>
      <c r="GP19" s="402"/>
      <c r="GQ19" s="402"/>
      <c r="GR19" s="417"/>
      <c r="GS19" s="412"/>
      <c r="GT19" s="417"/>
      <c r="GU19" s="412"/>
      <c r="GV19" s="417"/>
      <c r="GW19" s="412"/>
      <c r="GX19" s="417"/>
      <c r="GY19" s="412"/>
      <c r="GZ19" s="417"/>
      <c r="HA19" s="412"/>
      <c r="HB19" s="417"/>
      <c r="HC19" s="412"/>
      <c r="HD19" s="402"/>
      <c r="HE19" s="402"/>
      <c r="HF19" s="417"/>
      <c r="HG19" s="412"/>
      <c r="HH19" s="417"/>
      <c r="HI19" s="412"/>
      <c r="HJ19" s="417"/>
      <c r="HK19" s="412"/>
      <c r="HL19" s="402"/>
      <c r="HM19" s="402"/>
      <c r="HN19" s="417"/>
      <c r="HO19" s="412"/>
      <c r="HP19" s="402"/>
      <c r="HQ19" s="402"/>
      <c r="HR19" s="417"/>
      <c r="HS19" s="412"/>
      <c r="HT19" s="417"/>
      <c r="HU19" s="412"/>
      <c r="HV19" s="417"/>
      <c r="HW19" s="412"/>
      <c r="HX19" s="417"/>
      <c r="HY19" s="412"/>
      <c r="HZ19" s="402"/>
      <c r="IA19" s="402"/>
      <c r="IB19" s="417"/>
      <c r="IC19" s="412"/>
      <c r="ID19" s="402"/>
      <c r="IE19" s="402"/>
      <c r="IF19" s="417"/>
      <c r="IG19" s="412"/>
      <c r="IH19" s="402"/>
      <c r="II19" s="402"/>
      <c r="IJ19" s="417"/>
      <c r="IK19" s="412"/>
      <c r="IL19" s="417"/>
      <c r="IM19" s="412"/>
      <c r="IN19" s="417"/>
      <c r="IO19" s="412"/>
      <c r="IP19" s="417"/>
      <c r="IQ19" s="412"/>
      <c r="IR19" s="402"/>
      <c r="IS19" s="402"/>
      <c r="IT19" s="417"/>
      <c r="IU19" s="412"/>
      <c r="IV19" s="417"/>
      <c r="IW19" s="412"/>
      <c r="IX19" s="417"/>
      <c r="IY19" s="412"/>
      <c r="IZ19" s="402"/>
      <c r="JA19" s="402"/>
      <c r="JB19" s="417"/>
      <c r="JC19" s="412"/>
      <c r="JD19" s="402"/>
      <c r="JE19" s="402"/>
      <c r="JF19" s="417"/>
      <c r="JG19" s="412"/>
      <c r="JH19" s="417"/>
      <c r="JI19" s="412"/>
      <c r="JJ19" s="417"/>
      <c r="JK19" s="412"/>
      <c r="JL19" s="402"/>
      <c r="JM19" s="402"/>
      <c r="JN19" s="417"/>
      <c r="JO19" s="412"/>
      <c r="JP19" s="402"/>
      <c r="JQ19" s="402"/>
      <c r="JR19" s="417"/>
      <c r="JS19" s="412"/>
      <c r="JT19" s="402"/>
      <c r="JU19" s="402"/>
      <c r="JV19" s="417"/>
      <c r="JW19" s="412"/>
      <c r="JX19" s="402"/>
      <c r="JY19" s="402"/>
      <c r="JZ19" s="417"/>
      <c r="KA19" s="412"/>
      <c r="KB19" s="417"/>
      <c r="KC19" s="412"/>
      <c r="KD19" s="417"/>
      <c r="KE19" s="412"/>
      <c r="KF19" s="402"/>
      <c r="KG19" s="402"/>
      <c r="KH19" s="417"/>
      <c r="KI19" s="412"/>
      <c r="KJ19" s="417"/>
      <c r="KK19" s="412"/>
      <c r="KL19" s="417"/>
      <c r="KM19" s="412"/>
      <c r="KN19" s="402"/>
      <c r="KO19" s="402"/>
      <c r="KP19" s="417"/>
      <c r="KQ19" s="412"/>
      <c r="KR19" s="402"/>
      <c r="KS19" s="402"/>
      <c r="KT19" s="417"/>
      <c r="KU19" s="412"/>
      <c r="KV19" s="402"/>
      <c r="KW19" s="402"/>
      <c r="KX19" s="417"/>
      <c r="KY19" s="412"/>
      <c r="KZ19" s="402"/>
      <c r="LA19" s="402"/>
      <c r="LB19" s="417"/>
      <c r="LC19" s="412"/>
      <c r="LD19" s="402"/>
      <c r="LE19" s="402"/>
      <c r="LF19" s="417"/>
      <c r="LG19" s="412"/>
      <c r="LH19" s="402"/>
      <c r="LI19" s="402"/>
      <c r="LJ19" s="417"/>
      <c r="LK19" s="412"/>
      <c r="LL19" s="402"/>
      <c r="LM19" s="402"/>
      <c r="LN19" s="417"/>
      <c r="LO19" s="412"/>
      <c r="LP19" s="402"/>
      <c r="LQ19" s="402"/>
      <c r="LR19" s="417"/>
      <c r="LS19" s="412"/>
      <c r="LT19" s="402"/>
      <c r="LU19" s="402"/>
      <c r="LV19" s="417"/>
      <c r="LW19" s="412"/>
      <c r="LX19" s="402"/>
      <c r="LY19" s="402"/>
      <c r="LZ19" s="417"/>
      <c r="MA19" s="412"/>
      <c r="MB19" s="402"/>
      <c r="MC19" s="402"/>
      <c r="MD19" s="417"/>
      <c r="ME19" s="412"/>
      <c r="MF19" s="402"/>
      <c r="MG19" s="402"/>
      <c r="MH19" s="417"/>
      <c r="MI19" s="412"/>
      <c r="MJ19" s="417"/>
      <c r="MK19" s="412"/>
      <c r="ML19" s="417"/>
      <c r="MM19" s="412"/>
      <c r="MN19" s="402"/>
      <c r="MO19" s="402"/>
      <c r="MP19" s="417"/>
      <c r="MQ19" s="412"/>
      <c r="MR19" s="402"/>
      <c r="MS19" s="402"/>
      <c r="MT19" s="417"/>
      <c r="MU19" s="412"/>
      <c r="MV19" s="417"/>
      <c r="MW19" s="412"/>
      <c r="MX19" s="417"/>
      <c r="MY19" s="412"/>
      <c r="MZ19" s="417"/>
      <c r="NA19" s="412"/>
      <c r="NB19" s="402"/>
      <c r="NC19" s="402"/>
      <c r="ND19" s="417"/>
      <c r="NE19" s="412"/>
      <c r="NF19" s="402"/>
      <c r="NG19" s="402"/>
      <c r="NH19" s="417"/>
      <c r="NI19" s="412"/>
      <c r="NJ19" s="402"/>
      <c r="NK19" s="402"/>
      <c r="NL19" s="417"/>
      <c r="NM19" s="412"/>
      <c r="NN19" s="417"/>
      <c r="NO19" s="412"/>
      <c r="NP19" s="402"/>
      <c r="NQ19" s="402"/>
      <c r="NR19" s="417"/>
      <c r="NS19" s="412"/>
      <c r="NT19" s="402"/>
      <c r="NU19" s="402"/>
      <c r="NV19" s="402"/>
      <c r="NW19" s="412"/>
      <c r="NX19" s="402"/>
      <c r="NY19" s="402"/>
      <c r="NZ19" s="417"/>
      <c r="OA19" s="412"/>
      <c r="OB19" s="402"/>
      <c r="OC19" s="402"/>
      <c r="OD19" s="417"/>
      <c r="OE19" s="412"/>
      <c r="OF19" s="402"/>
      <c r="OG19" s="402"/>
      <c r="OH19" s="417"/>
      <c r="OI19" s="412"/>
      <c r="OJ19" s="402"/>
      <c r="OK19" s="402"/>
      <c r="OL19" s="417"/>
      <c r="OM19" s="412"/>
      <c r="ON19" s="417"/>
      <c r="OO19" s="412"/>
      <c r="OP19" s="417"/>
      <c r="OQ19" s="412"/>
      <c r="OR19" s="417"/>
      <c r="OS19" s="412"/>
      <c r="OT19" s="417"/>
      <c r="OU19" s="412"/>
      <c r="OV19" s="402"/>
      <c r="OW19" s="402"/>
      <c r="OX19" s="417"/>
      <c r="OY19" s="412"/>
      <c r="OZ19" s="402"/>
      <c r="PA19" s="402"/>
      <c r="PB19" s="417"/>
      <c r="PC19" s="412"/>
      <c r="PD19" s="402"/>
      <c r="PE19" s="402"/>
      <c r="PF19" s="417"/>
      <c r="PG19" s="412"/>
      <c r="PH19" s="417"/>
      <c r="PI19" s="412"/>
      <c r="PJ19" s="417"/>
      <c r="PK19" s="412"/>
      <c r="PL19" s="402"/>
      <c r="PM19" s="402"/>
      <c r="PN19" s="417"/>
      <c r="PO19" s="412"/>
      <c r="PP19" s="402"/>
      <c r="PQ19" s="402"/>
      <c r="PR19" s="417"/>
      <c r="PS19" s="412"/>
      <c r="PT19" s="402"/>
      <c r="PU19" s="402"/>
      <c r="PV19" s="417"/>
      <c r="PW19" s="412"/>
      <c r="PX19" s="402"/>
      <c r="PY19" s="402"/>
      <c r="PZ19" s="417"/>
      <c r="QA19" s="412"/>
      <c r="QB19" s="402"/>
      <c r="QC19" s="402"/>
      <c r="QD19" s="417"/>
      <c r="QE19" s="412"/>
      <c r="QF19" s="402"/>
      <c r="QG19" s="402"/>
      <c r="QH19" s="417"/>
      <c r="QI19" s="412"/>
      <c r="QJ19" s="402"/>
      <c r="QK19" s="402"/>
      <c r="QL19" s="417"/>
      <c r="QM19" s="412"/>
      <c r="QN19" s="402"/>
      <c r="QO19" s="402"/>
      <c r="QP19" s="417"/>
      <c r="QQ19" s="412"/>
      <c r="QR19" s="402"/>
      <c r="QS19" s="402"/>
      <c r="QT19" s="417"/>
      <c r="QU19" s="412"/>
      <c r="QV19" s="402"/>
      <c r="QW19" s="402"/>
      <c r="QX19" s="417"/>
      <c r="QY19" s="412"/>
      <c r="QZ19" s="402"/>
      <c r="RA19" s="412"/>
      <c r="RB19" s="402"/>
      <c r="RC19" s="412"/>
      <c r="RD19" s="402"/>
      <c r="RE19" s="402"/>
      <c r="RF19" s="417"/>
      <c r="RG19" s="412"/>
      <c r="RH19" s="402"/>
      <c r="RI19" s="402"/>
      <c r="RJ19" s="417"/>
      <c r="RK19" s="412"/>
      <c r="RL19" s="417"/>
      <c r="RM19" s="412"/>
      <c r="RN19" s="402"/>
      <c r="RO19" s="402"/>
      <c r="RP19" s="417"/>
      <c r="RQ19" s="412"/>
      <c r="RR19" s="402"/>
      <c r="RS19" s="402"/>
      <c r="RT19" s="417"/>
      <c r="RU19" s="412"/>
      <c r="RV19" s="402"/>
      <c r="RW19" s="402"/>
      <c r="RX19" s="417"/>
      <c r="RY19" s="412"/>
      <c r="RZ19" s="417"/>
      <c r="SA19" s="412"/>
      <c r="SB19" s="417"/>
      <c r="SC19" s="412"/>
      <c r="SD19" s="402"/>
      <c r="SE19" s="402"/>
      <c r="SF19" s="417"/>
      <c r="SG19" s="412"/>
      <c r="SH19" s="402"/>
      <c r="SI19" s="402"/>
      <c r="SJ19" s="417"/>
      <c r="SK19" s="412"/>
      <c r="SL19" s="417"/>
      <c r="SM19" s="412"/>
      <c r="SN19" s="402"/>
      <c r="SO19" s="402"/>
      <c r="SP19" s="417"/>
      <c r="SQ19" s="412"/>
      <c r="SR19" s="402"/>
      <c r="SS19" s="402"/>
      <c r="ST19" s="417"/>
      <c r="SU19" s="412"/>
      <c r="SV19" s="402"/>
      <c r="SW19" s="402"/>
      <c r="SX19" s="417"/>
      <c r="SY19" s="412"/>
      <c r="SZ19" s="402"/>
      <c r="TA19" s="402"/>
      <c r="TB19" s="417"/>
      <c r="TC19" s="412"/>
      <c r="TD19" s="402"/>
      <c r="TE19" s="402"/>
      <c r="TF19" s="417"/>
      <c r="TG19" s="412"/>
      <c r="TH19" s="417"/>
      <c r="TI19" s="412"/>
      <c r="TJ19" s="417"/>
      <c r="TK19" s="402"/>
      <c r="TL19" s="417"/>
      <c r="TM19" s="412"/>
      <c r="TN19" s="402"/>
      <c r="TO19" s="402"/>
      <c r="TP19" s="417"/>
      <c r="TQ19" s="412"/>
      <c r="TR19" s="417"/>
      <c r="TS19" s="402"/>
      <c r="TT19" s="417"/>
      <c r="TU19" s="412"/>
      <c r="TV19" s="417"/>
      <c r="TW19" s="402"/>
      <c r="TX19" s="417"/>
      <c r="TY19" s="412"/>
      <c r="TZ19" s="402"/>
      <c r="UA19" s="402"/>
      <c r="UB19" s="417"/>
      <c r="UC19" s="402"/>
      <c r="UD19" s="417"/>
      <c r="UE19" s="412"/>
      <c r="UF19" s="402"/>
      <c r="UG19" s="402"/>
      <c r="UH19" s="417"/>
      <c r="UI19" s="412"/>
      <c r="UJ19" s="417"/>
      <c r="UK19" s="412"/>
      <c r="UL19" s="402"/>
      <c r="UM19" s="402"/>
      <c r="UN19" s="417"/>
      <c r="UO19" s="412"/>
      <c r="UP19" s="402"/>
      <c r="UQ19" s="402"/>
      <c r="UR19" s="417"/>
      <c r="US19" s="412"/>
      <c r="UT19" s="417"/>
      <c r="UU19" s="412"/>
      <c r="UV19" s="402"/>
      <c r="UW19" s="402"/>
      <c r="UX19" s="417"/>
      <c r="UY19" s="412"/>
      <c r="UZ19" s="402"/>
      <c r="VA19" s="402"/>
      <c r="VB19" s="417"/>
      <c r="VC19" s="412"/>
      <c r="VD19" s="402"/>
      <c r="VE19" s="402"/>
      <c r="VF19" s="417"/>
      <c r="VG19" s="412"/>
      <c r="VH19" s="417"/>
      <c r="VI19" s="412"/>
      <c r="VJ19" s="402"/>
      <c r="VK19" s="402"/>
      <c r="VL19" s="417"/>
      <c r="VM19" s="412"/>
      <c r="VN19" s="402"/>
      <c r="VO19" s="402"/>
      <c r="VP19" s="417"/>
      <c r="VQ19" s="412"/>
      <c r="VR19" s="402"/>
      <c r="VS19" s="402"/>
      <c r="VT19" s="417"/>
      <c r="VU19" s="412"/>
      <c r="VV19" s="417"/>
      <c r="VW19" s="412"/>
      <c r="VX19" s="402"/>
      <c r="VY19" s="412"/>
      <c r="VZ19" s="417"/>
      <c r="WA19" s="412"/>
      <c r="WB19" s="417"/>
      <c r="WC19" s="412"/>
      <c r="WD19" s="402"/>
      <c r="WE19" s="402"/>
      <c r="WF19" s="417"/>
      <c r="WG19" s="412"/>
      <c r="WH19" s="402"/>
      <c r="WI19" s="402"/>
      <c r="WJ19" s="417"/>
      <c r="WK19" s="412"/>
      <c r="WL19" s="402"/>
      <c r="WM19" s="402"/>
      <c r="WN19" s="417"/>
      <c r="WO19" s="412"/>
      <c r="WP19" s="402"/>
      <c r="WQ19" s="402"/>
      <c r="WR19" s="417"/>
      <c r="WS19" s="412"/>
      <c r="WT19" s="417"/>
      <c r="WU19" s="412"/>
      <c r="WV19" s="417"/>
      <c r="WW19" s="412"/>
      <c r="WX19" s="417"/>
      <c r="WY19" s="412"/>
      <c r="WZ19" s="402"/>
      <c r="XA19" s="402"/>
      <c r="XB19" s="417"/>
      <c r="XC19" s="412"/>
      <c r="XD19" s="402"/>
      <c r="XE19" s="402"/>
      <c r="XF19" s="417"/>
      <c r="XG19" s="412"/>
      <c r="XH19" s="417"/>
      <c r="XI19" s="412"/>
      <c r="XJ19" s="534" t="s">
        <v>2001</v>
      </c>
      <c r="XK19" s="402"/>
      <c r="XL19" s="417"/>
      <c r="XM19" s="412"/>
      <c r="XN19" s="402"/>
      <c r="XO19" s="402"/>
      <c r="XP19" s="417"/>
      <c r="XQ19" s="412"/>
      <c r="XR19" s="402"/>
      <c r="XS19" s="402"/>
      <c r="XT19" s="417"/>
      <c r="XU19" s="402"/>
      <c r="XV19" s="417"/>
      <c r="XW19" s="412"/>
      <c r="XX19" s="417"/>
      <c r="XY19" s="412"/>
      <c r="XZ19" s="417"/>
      <c r="YA19" s="412"/>
      <c r="YB19" s="402"/>
      <c r="YC19" s="402"/>
      <c r="YD19" s="417"/>
      <c r="YE19" s="412"/>
    </row>
    <row r="20" spans="1:655" ht="12.75" x14ac:dyDescent="0.2">
      <c r="A20" s="398"/>
      <c r="B20" s="396"/>
      <c r="C20" s="398"/>
      <c r="D20" s="396"/>
      <c r="E20" s="398"/>
      <c r="F20" s="397"/>
      <c r="G20" s="398"/>
      <c r="H20" s="396"/>
      <c r="I20" s="397"/>
      <c r="J20" s="396"/>
      <c r="K20" s="398"/>
      <c r="L20" s="397"/>
      <c r="M20" s="397"/>
      <c r="N20" s="396"/>
      <c r="O20" s="398"/>
      <c r="P20" s="397"/>
      <c r="Q20" s="397"/>
      <c r="R20" s="396"/>
      <c r="S20" s="398"/>
      <c r="T20" s="396"/>
      <c r="U20" s="398"/>
      <c r="V20" s="397"/>
      <c r="W20" s="397"/>
      <c r="X20" s="396"/>
      <c r="Y20" s="398"/>
      <c r="Z20" s="396"/>
      <c r="AA20" s="398"/>
      <c r="AB20" s="397"/>
      <c r="AC20" s="397"/>
      <c r="AD20" s="396"/>
      <c r="AE20" s="398"/>
      <c r="AF20" s="396"/>
      <c r="AG20" s="398"/>
      <c r="AH20" s="397"/>
      <c r="AI20" s="397"/>
      <c r="AJ20" s="396"/>
      <c r="AK20" s="398"/>
      <c r="AL20" s="397"/>
      <c r="AM20" s="397"/>
      <c r="AN20" s="396"/>
      <c r="AO20" s="398"/>
      <c r="AP20" s="397"/>
      <c r="AQ20" s="397"/>
      <c r="AR20" s="396"/>
      <c r="AS20" s="398"/>
      <c r="AT20" s="397"/>
      <c r="AU20" s="397"/>
      <c r="AV20" s="396"/>
      <c r="AW20" s="398"/>
      <c r="AX20" s="397"/>
      <c r="AY20" s="397"/>
      <c r="AZ20" s="396"/>
      <c r="BA20" s="398"/>
      <c r="BB20" s="397"/>
      <c r="BC20" s="397"/>
      <c r="BD20" s="396"/>
      <c r="BE20" s="398"/>
      <c r="BF20" s="396"/>
      <c r="BG20" s="398"/>
      <c r="BH20" s="397"/>
      <c r="BI20" s="397"/>
      <c r="BJ20" s="396"/>
      <c r="BK20" s="398"/>
      <c r="BL20" s="397"/>
      <c r="BM20" s="397"/>
      <c r="BN20" s="396"/>
      <c r="BO20" s="398"/>
      <c r="BP20" s="396"/>
      <c r="BQ20" s="398"/>
      <c r="BR20" s="397"/>
      <c r="BS20" s="397"/>
      <c r="BT20" s="396"/>
      <c r="BU20" s="398"/>
      <c r="BV20" s="396"/>
      <c r="BW20" s="398"/>
      <c r="BX20" s="397"/>
      <c r="BY20" s="397"/>
      <c r="BZ20" s="396"/>
      <c r="CA20" s="398"/>
      <c r="CB20" s="396"/>
      <c r="CC20" s="398"/>
      <c r="CD20" s="397"/>
      <c r="CE20" s="397"/>
      <c r="CF20" s="396"/>
      <c r="CG20" s="398"/>
      <c r="CH20" s="397"/>
      <c r="CI20" s="397"/>
      <c r="CJ20" s="396"/>
      <c r="CK20" s="398"/>
      <c r="CL20" s="397"/>
      <c r="CM20" s="397"/>
      <c r="CN20" s="396"/>
      <c r="CO20" s="398"/>
      <c r="CP20" s="397"/>
      <c r="CQ20" s="397"/>
      <c r="CR20" s="396"/>
      <c r="CS20" s="398"/>
      <c r="CT20" s="397"/>
      <c r="CU20" s="397"/>
      <c r="CV20" s="396"/>
      <c r="CW20" s="398"/>
      <c r="CX20" s="396"/>
      <c r="CY20" s="397"/>
      <c r="CZ20" s="396"/>
      <c r="DA20" s="397"/>
      <c r="DB20" s="396"/>
      <c r="DC20" s="398"/>
      <c r="DD20" s="397"/>
      <c r="DE20" s="397"/>
      <c r="DF20" s="396"/>
      <c r="DG20" s="398"/>
      <c r="DH20" s="397"/>
      <c r="DI20" s="397"/>
      <c r="DJ20" s="396"/>
      <c r="DK20" s="398"/>
      <c r="DL20" s="397"/>
      <c r="DM20" s="397"/>
      <c r="DN20" s="396"/>
      <c r="DO20" s="398"/>
      <c r="DP20" s="397"/>
      <c r="DQ20" s="397"/>
      <c r="DR20" s="396"/>
      <c r="DS20" s="398"/>
      <c r="DT20" s="397"/>
      <c r="DU20" s="397"/>
      <c r="DV20" s="396"/>
      <c r="DW20" s="398"/>
      <c r="DX20" s="397"/>
      <c r="DY20" s="397"/>
      <c r="DZ20" s="396"/>
      <c r="EA20" s="398"/>
      <c r="EB20" s="396"/>
      <c r="EC20" s="398"/>
      <c r="ED20" s="397"/>
      <c r="EE20" s="397"/>
      <c r="EF20" s="396"/>
      <c r="EG20" s="398"/>
      <c r="EH20" s="397"/>
      <c r="EI20" s="397"/>
      <c r="EJ20" s="396"/>
      <c r="EK20" s="398"/>
      <c r="EL20" s="397"/>
      <c r="EM20" s="397"/>
      <c r="EN20" s="396"/>
      <c r="EO20" s="398"/>
      <c r="EP20" s="397"/>
      <c r="EQ20" s="397"/>
      <c r="ER20" s="396"/>
      <c r="ES20" s="398"/>
      <c r="ET20" s="397"/>
      <c r="EU20" s="397"/>
      <c r="EV20" s="396"/>
      <c r="EW20" s="398"/>
      <c r="EX20" s="397"/>
      <c r="EY20" s="397"/>
      <c r="EZ20" s="396"/>
      <c r="FA20" s="398"/>
      <c r="FB20" s="396"/>
      <c r="FC20" s="398"/>
      <c r="FD20" s="396"/>
      <c r="FE20" s="398"/>
      <c r="FF20" s="397"/>
      <c r="FG20" s="397"/>
      <c r="FH20" s="396"/>
      <c r="FI20" s="398"/>
      <c r="FJ20" s="396"/>
      <c r="FK20" s="398"/>
      <c r="FL20" s="396"/>
      <c r="FM20" s="398"/>
      <c r="FN20" s="397"/>
      <c r="FO20" s="397"/>
      <c r="FP20" s="396"/>
      <c r="FQ20" s="398"/>
      <c r="FR20" s="396"/>
      <c r="FS20" s="398"/>
      <c r="FT20" s="397"/>
      <c r="FU20" s="397"/>
      <c r="FV20" s="396"/>
      <c r="FW20" s="398"/>
      <c r="FX20" s="397"/>
      <c r="FY20" s="397"/>
      <c r="FZ20" s="396"/>
      <c r="GA20" s="398"/>
      <c r="GB20" s="397"/>
      <c r="GC20" s="397"/>
      <c r="GD20" s="396"/>
      <c r="GE20" s="398"/>
      <c r="GF20" s="396"/>
      <c r="GG20" s="398"/>
      <c r="GH20" s="396"/>
      <c r="GI20" s="398"/>
      <c r="GJ20" s="397"/>
      <c r="GK20" s="397"/>
      <c r="GL20" s="396"/>
      <c r="GM20" s="398"/>
      <c r="GN20" s="396"/>
      <c r="GO20" s="398"/>
      <c r="GP20" s="397"/>
      <c r="GQ20" s="397"/>
      <c r="GR20" s="396"/>
      <c r="GS20" s="398"/>
      <c r="GT20" s="396"/>
      <c r="GU20" s="398"/>
      <c r="GV20" s="396"/>
      <c r="GW20" s="398"/>
      <c r="GX20" s="396"/>
      <c r="GY20" s="398"/>
      <c r="GZ20" s="396"/>
      <c r="HA20" s="398"/>
      <c r="HB20" s="396"/>
      <c r="HC20" s="398"/>
      <c r="HD20" s="397"/>
      <c r="HE20" s="397"/>
      <c r="HF20" s="396"/>
      <c r="HG20" s="398"/>
      <c r="HH20" s="396"/>
      <c r="HI20" s="398"/>
      <c r="HJ20" s="396"/>
      <c r="HK20" s="398"/>
      <c r="HL20" s="397"/>
      <c r="HM20" s="397"/>
      <c r="HN20" s="396"/>
      <c r="HO20" s="398"/>
      <c r="HP20" s="397"/>
      <c r="HQ20" s="397"/>
      <c r="HR20" s="396"/>
      <c r="HS20" s="398"/>
      <c r="HT20" s="396"/>
      <c r="HU20" s="398"/>
      <c r="HV20" s="396"/>
      <c r="HW20" s="398"/>
      <c r="HX20" s="396"/>
      <c r="HY20" s="398"/>
      <c r="HZ20" s="397"/>
      <c r="IA20" s="397"/>
      <c r="IB20" s="396"/>
      <c r="IC20" s="398"/>
      <c r="ID20" s="397"/>
      <c r="IE20" s="397"/>
      <c r="IF20" s="396"/>
      <c r="IG20" s="398"/>
      <c r="IH20" s="397"/>
      <c r="II20" s="397"/>
      <c r="IJ20" s="396"/>
      <c r="IK20" s="398"/>
      <c r="IL20" s="396"/>
      <c r="IM20" s="398"/>
      <c r="IN20" s="396"/>
      <c r="IO20" s="398"/>
      <c r="IP20" s="396"/>
      <c r="IQ20" s="398"/>
      <c r="IR20" s="397"/>
      <c r="IS20" s="397"/>
      <c r="IT20" s="396"/>
      <c r="IU20" s="398"/>
      <c r="IV20" s="396"/>
      <c r="IW20" s="398"/>
      <c r="IX20" s="396"/>
      <c r="IY20" s="398"/>
      <c r="IZ20" s="397"/>
      <c r="JA20" s="397"/>
      <c r="JB20" s="396"/>
      <c r="JC20" s="398"/>
      <c r="JD20" s="397"/>
      <c r="JE20" s="397"/>
      <c r="JF20" s="396"/>
      <c r="JG20" s="398"/>
      <c r="JH20" s="396"/>
      <c r="JI20" s="398"/>
      <c r="JJ20" s="396"/>
      <c r="JK20" s="398"/>
      <c r="JL20" s="397"/>
      <c r="JM20" s="397"/>
      <c r="JN20" s="396"/>
      <c r="JO20" s="398"/>
      <c r="JP20" s="397"/>
      <c r="JQ20" s="397"/>
      <c r="JR20" s="396"/>
      <c r="JS20" s="398"/>
      <c r="JT20" s="397"/>
      <c r="JU20" s="397"/>
      <c r="JV20" s="396"/>
      <c r="JW20" s="398"/>
      <c r="JX20" s="397"/>
      <c r="JY20" s="397"/>
      <c r="JZ20" s="396"/>
      <c r="KA20" s="398"/>
      <c r="KB20" s="396"/>
      <c r="KC20" s="398"/>
      <c r="KD20" s="396"/>
      <c r="KE20" s="398"/>
      <c r="KF20" s="397"/>
      <c r="KG20" s="397"/>
      <c r="KH20" s="396"/>
      <c r="KI20" s="398"/>
      <c r="KJ20" s="396"/>
      <c r="KK20" s="398"/>
      <c r="KL20" s="396"/>
      <c r="KM20" s="398"/>
      <c r="KN20" s="397"/>
      <c r="KO20" s="397"/>
      <c r="KP20" s="396"/>
      <c r="KQ20" s="398"/>
      <c r="KR20" s="397"/>
      <c r="KS20" s="397"/>
      <c r="KT20" s="396"/>
      <c r="KU20" s="398"/>
      <c r="KV20" s="397"/>
      <c r="KW20" s="397"/>
      <c r="KX20" s="396"/>
      <c r="KY20" s="398"/>
      <c r="KZ20" s="397"/>
      <c r="LA20" s="397"/>
      <c r="LB20" s="396"/>
      <c r="LC20" s="398"/>
      <c r="LD20" s="397"/>
      <c r="LE20" s="397"/>
      <c r="LF20" s="396"/>
      <c r="LG20" s="398"/>
      <c r="LH20" s="397"/>
      <c r="LI20" s="397"/>
      <c r="LJ20" s="396"/>
      <c r="LK20" s="398"/>
      <c r="LL20" s="397"/>
      <c r="LM20" s="397"/>
      <c r="LN20" s="396"/>
      <c r="LO20" s="398"/>
      <c r="LP20" s="397"/>
      <c r="LQ20" s="397"/>
      <c r="LR20" s="396"/>
      <c r="LS20" s="398"/>
      <c r="LT20" s="397"/>
      <c r="LU20" s="397"/>
      <c r="LV20" s="396"/>
      <c r="LW20" s="398"/>
      <c r="LX20" s="397"/>
      <c r="LY20" s="397"/>
      <c r="LZ20" s="396"/>
      <c r="MA20" s="398"/>
      <c r="MB20" s="397"/>
      <c r="MC20" s="397"/>
      <c r="MD20" s="396"/>
      <c r="ME20" s="398"/>
      <c r="MF20" s="397"/>
      <c r="MG20" s="397"/>
      <c r="MH20" s="396"/>
      <c r="MI20" s="398"/>
      <c r="MJ20" s="396"/>
      <c r="MK20" s="398"/>
      <c r="ML20" s="396"/>
      <c r="MM20" s="398"/>
      <c r="MN20" s="397"/>
      <c r="MO20" s="397"/>
      <c r="MP20" s="396"/>
      <c r="MQ20" s="398"/>
      <c r="MR20" s="397"/>
      <c r="MS20" s="397"/>
      <c r="MT20" s="396"/>
      <c r="MU20" s="398"/>
      <c r="MV20" s="396"/>
      <c r="MW20" s="398"/>
      <c r="MX20" s="396"/>
      <c r="MY20" s="398"/>
      <c r="MZ20" s="396"/>
      <c r="NA20" s="398"/>
      <c r="NB20" s="397"/>
      <c r="NC20" s="397"/>
      <c r="ND20" s="396"/>
      <c r="NE20" s="398"/>
      <c r="NF20" s="397"/>
      <c r="NG20" s="397"/>
      <c r="NH20" s="396"/>
      <c r="NI20" s="398"/>
      <c r="NJ20" s="397"/>
      <c r="NK20" s="397"/>
      <c r="NL20" s="396"/>
      <c r="NM20" s="398"/>
      <c r="NN20" s="396"/>
      <c r="NO20" s="398"/>
      <c r="NP20" s="397"/>
      <c r="NQ20" s="397"/>
      <c r="NR20" s="396"/>
      <c r="NS20" s="398"/>
      <c r="NT20" s="397"/>
      <c r="NU20" s="397"/>
      <c r="NV20" s="397"/>
      <c r="NW20" s="398"/>
      <c r="NX20" s="397"/>
      <c r="NY20" s="397"/>
      <c r="NZ20" s="396"/>
      <c r="OA20" s="398"/>
      <c r="OB20" s="397"/>
      <c r="OC20" s="397"/>
      <c r="OD20" s="396"/>
      <c r="OE20" s="398"/>
      <c r="OF20" s="397"/>
      <c r="OG20" s="397"/>
      <c r="OH20" s="396"/>
      <c r="OI20" s="398"/>
      <c r="OJ20" s="397"/>
      <c r="OK20" s="397"/>
      <c r="OL20" s="396"/>
      <c r="OM20" s="398"/>
      <c r="ON20" s="396"/>
      <c r="OO20" s="398"/>
      <c r="OP20" s="396"/>
      <c r="OQ20" s="398"/>
      <c r="OR20" s="396"/>
      <c r="OS20" s="398"/>
      <c r="OT20" s="396"/>
      <c r="OU20" s="398"/>
      <c r="OV20" s="397"/>
      <c r="OW20" s="397"/>
      <c r="OX20" s="396"/>
      <c r="OY20" s="398"/>
      <c r="OZ20" s="397"/>
      <c r="PA20" s="397"/>
      <c r="PB20" s="396"/>
      <c r="PC20" s="398"/>
      <c r="PD20" s="397"/>
      <c r="PE20" s="397"/>
      <c r="PF20" s="396"/>
      <c r="PG20" s="398"/>
      <c r="PH20" s="396"/>
      <c r="PI20" s="398"/>
      <c r="PJ20" s="396"/>
      <c r="PK20" s="398"/>
      <c r="PL20" s="397"/>
      <c r="PM20" s="397"/>
      <c r="PN20" s="396"/>
      <c r="PO20" s="398"/>
      <c r="PP20" s="397"/>
      <c r="PQ20" s="397"/>
      <c r="PR20" s="396"/>
      <c r="PS20" s="398"/>
      <c r="PT20" s="397"/>
      <c r="PU20" s="397"/>
      <c r="PV20" s="396"/>
      <c r="PW20" s="398"/>
      <c r="PX20" s="397"/>
      <c r="PY20" s="397"/>
      <c r="PZ20" s="396"/>
      <c r="QA20" s="398"/>
      <c r="QB20" s="397"/>
      <c r="QC20" s="397"/>
      <c r="QD20" s="396"/>
      <c r="QE20" s="398"/>
      <c r="QF20" s="397"/>
      <c r="QG20" s="397"/>
      <c r="QH20" s="396"/>
      <c r="QI20" s="398"/>
      <c r="QJ20" s="397"/>
      <c r="QK20" s="397"/>
      <c r="QL20" s="396"/>
      <c r="QM20" s="398"/>
      <c r="QN20" s="397"/>
      <c r="QO20" s="397"/>
      <c r="QP20" s="396"/>
      <c r="QQ20" s="398"/>
      <c r="QR20" s="397"/>
      <c r="QS20" s="397"/>
      <c r="QT20" s="396"/>
      <c r="QU20" s="398"/>
      <c r="QV20" s="397"/>
      <c r="QW20" s="397"/>
      <c r="QX20" s="396"/>
      <c r="QY20" s="398"/>
      <c r="QZ20" s="397"/>
      <c r="RA20" s="398"/>
      <c r="RB20" s="397"/>
      <c r="RC20" s="398"/>
      <c r="RD20" s="397"/>
      <c r="RE20" s="397"/>
      <c r="RF20" s="396"/>
      <c r="RG20" s="398"/>
      <c r="RH20" s="397"/>
      <c r="RI20" s="397"/>
      <c r="RJ20" s="396"/>
      <c r="RK20" s="398"/>
      <c r="RL20" s="396"/>
      <c r="RM20" s="398"/>
      <c r="RN20" s="397"/>
      <c r="RO20" s="397"/>
      <c r="RP20" s="396"/>
      <c r="RQ20" s="398"/>
      <c r="RR20" s="397"/>
      <c r="RS20" s="397"/>
      <c r="RT20" s="396"/>
      <c r="RU20" s="398"/>
      <c r="RV20" s="397"/>
      <c r="RW20" s="397"/>
      <c r="RX20" s="396"/>
      <c r="RY20" s="398"/>
      <c r="RZ20" s="396"/>
      <c r="SA20" s="398"/>
      <c r="SB20" s="396"/>
      <c r="SC20" s="398"/>
      <c r="SD20" s="397"/>
      <c r="SE20" s="397"/>
      <c r="SF20" s="396"/>
      <c r="SG20" s="398"/>
      <c r="SH20" s="397"/>
      <c r="SI20" s="397"/>
      <c r="SJ20" s="396"/>
      <c r="SK20" s="398"/>
      <c r="SL20" s="396"/>
      <c r="SM20" s="398"/>
      <c r="SN20" s="397"/>
      <c r="SO20" s="397"/>
      <c r="SP20" s="396"/>
      <c r="SQ20" s="398"/>
      <c r="SR20" s="397"/>
      <c r="SS20" s="397"/>
      <c r="ST20" s="396"/>
      <c r="SU20" s="398"/>
      <c r="SV20" s="397"/>
      <c r="SW20" s="397"/>
      <c r="SX20" s="396"/>
      <c r="SY20" s="398"/>
      <c r="SZ20" s="397"/>
      <c r="TA20" s="397"/>
      <c r="TB20" s="396"/>
      <c r="TC20" s="398"/>
      <c r="TD20" s="397"/>
      <c r="TE20" s="397"/>
      <c r="TF20" s="396"/>
      <c r="TG20" s="398"/>
      <c r="TH20" s="396"/>
      <c r="TI20" s="398"/>
      <c r="TJ20" s="396"/>
      <c r="TK20" s="397"/>
      <c r="TL20" s="396"/>
      <c r="TM20" s="398"/>
      <c r="TN20" s="397"/>
      <c r="TO20" s="397"/>
      <c r="TP20" s="396"/>
      <c r="TQ20" s="398"/>
      <c r="TR20" s="396"/>
      <c r="TS20" s="397"/>
      <c r="TT20" s="396"/>
      <c r="TU20" s="398"/>
      <c r="TV20" s="396"/>
      <c r="TW20" s="397"/>
      <c r="TX20" s="396"/>
      <c r="TY20" s="398"/>
      <c r="TZ20" s="397"/>
      <c r="UA20" s="397"/>
      <c r="UB20" s="396"/>
      <c r="UC20" s="397"/>
      <c r="UD20" s="396"/>
      <c r="UE20" s="398"/>
      <c r="UF20" s="397"/>
      <c r="UG20" s="397"/>
      <c r="UH20" s="396"/>
      <c r="UI20" s="398"/>
      <c r="UJ20" s="396"/>
      <c r="UK20" s="398"/>
      <c r="UL20" s="397"/>
      <c r="UM20" s="397"/>
      <c r="UN20" s="396"/>
      <c r="UO20" s="398"/>
      <c r="UP20" s="397"/>
      <c r="UQ20" s="397"/>
      <c r="UR20" s="396"/>
      <c r="US20" s="398"/>
      <c r="UT20" s="396"/>
      <c r="UU20" s="398"/>
      <c r="UV20" s="397"/>
      <c r="UW20" s="397"/>
      <c r="UX20" s="396"/>
      <c r="UY20" s="398"/>
      <c r="UZ20" s="397"/>
      <c r="VA20" s="397"/>
      <c r="VB20" s="396"/>
      <c r="VC20" s="398"/>
      <c r="VD20" s="397"/>
      <c r="VE20" s="397"/>
      <c r="VF20" s="396"/>
      <c r="VG20" s="398"/>
      <c r="VH20" s="396"/>
      <c r="VI20" s="398"/>
      <c r="VJ20" s="397"/>
      <c r="VK20" s="397"/>
      <c r="VL20" s="396"/>
      <c r="VM20" s="398"/>
      <c r="VN20" s="397"/>
      <c r="VO20" s="397"/>
      <c r="VP20" s="396"/>
      <c r="VQ20" s="398"/>
      <c r="VR20" s="397"/>
      <c r="VS20" s="397"/>
      <c r="VT20" s="396"/>
      <c r="VU20" s="398"/>
      <c r="VV20" s="396"/>
      <c r="VW20" s="398"/>
      <c r="VX20" s="397"/>
      <c r="VY20" s="398"/>
      <c r="VZ20" s="396"/>
      <c r="WA20" s="398"/>
      <c r="WB20" s="396"/>
      <c r="WC20" s="398"/>
      <c r="WD20" s="397"/>
      <c r="WE20" s="397"/>
      <c r="WF20" s="396"/>
      <c r="WG20" s="398"/>
      <c r="WH20" s="397"/>
      <c r="WI20" s="397"/>
      <c r="WJ20" s="396"/>
      <c r="WK20" s="398"/>
      <c r="WL20" s="397"/>
      <c r="WM20" s="397"/>
      <c r="WN20" s="396"/>
      <c r="WO20" s="398"/>
      <c r="WP20" s="397"/>
      <c r="WQ20" s="397"/>
      <c r="WR20" s="396"/>
      <c r="WS20" s="398"/>
      <c r="WT20" s="396"/>
      <c r="WU20" s="398"/>
      <c r="WV20" s="396"/>
      <c r="WW20" s="398"/>
      <c r="WX20" s="396"/>
      <c r="WY20" s="398"/>
      <c r="WZ20" s="397"/>
      <c r="XA20" s="397"/>
      <c r="XB20" s="396"/>
      <c r="XC20" s="398"/>
      <c r="XD20" s="397"/>
      <c r="XE20" s="397"/>
      <c r="XF20" s="396"/>
      <c r="XG20" s="398"/>
      <c r="XH20" s="396"/>
      <c r="XI20" s="398"/>
      <c r="XJ20" s="396"/>
      <c r="XK20" s="397"/>
      <c r="XL20" s="396"/>
      <c r="XM20" s="398"/>
      <c r="XN20" s="397"/>
      <c r="XO20" s="397"/>
      <c r="XP20" s="396"/>
      <c r="XQ20" s="398"/>
      <c r="XR20" s="397"/>
      <c r="XS20" s="397"/>
      <c r="XT20" s="396"/>
      <c r="XU20" s="397"/>
      <c r="XV20" s="396"/>
      <c r="XW20" s="398"/>
      <c r="XX20" s="396"/>
      <c r="XY20" s="398"/>
      <c r="XZ20" s="396"/>
      <c r="YA20" s="398"/>
      <c r="YB20" s="397"/>
      <c r="YC20" s="397"/>
      <c r="YD20" s="396"/>
      <c r="YE20" s="398"/>
    </row>
    <row r="21" spans="1:655" ht="15" x14ac:dyDescent="0.2">
      <c r="A21" s="431">
        <v>2019</v>
      </c>
      <c r="B21" s="411" t="s">
        <v>22</v>
      </c>
      <c r="C21" s="431" t="s">
        <v>22</v>
      </c>
      <c r="D21" s="411" t="s">
        <v>22</v>
      </c>
      <c r="E21" s="431" t="s">
        <v>22</v>
      </c>
      <c r="F21" s="410" t="s">
        <v>22</v>
      </c>
      <c r="G21" s="431" t="s">
        <v>22</v>
      </c>
      <c r="H21" s="411" t="s">
        <v>22</v>
      </c>
      <c r="I21" s="410" t="s">
        <v>22</v>
      </c>
      <c r="J21" s="411" t="s">
        <v>22</v>
      </c>
      <c r="K21" s="431" t="s">
        <v>22</v>
      </c>
      <c r="L21" s="410" t="s">
        <v>22</v>
      </c>
      <c r="M21" s="410" t="s">
        <v>22</v>
      </c>
      <c r="N21" s="411" t="s">
        <v>22</v>
      </c>
      <c r="O21" s="431" t="s">
        <v>22</v>
      </c>
      <c r="P21" s="410" t="s">
        <v>22</v>
      </c>
      <c r="Q21" s="410" t="s">
        <v>22</v>
      </c>
      <c r="R21" s="411" t="s">
        <v>22</v>
      </c>
      <c r="S21" s="431" t="s">
        <v>22</v>
      </c>
      <c r="T21" s="411" t="s">
        <v>22</v>
      </c>
      <c r="U21" s="431" t="s">
        <v>22</v>
      </c>
      <c r="V21" s="410" t="s">
        <v>22</v>
      </c>
      <c r="W21" s="410" t="s">
        <v>22</v>
      </c>
      <c r="X21" s="411" t="s">
        <v>22</v>
      </c>
      <c r="Y21" s="431" t="s">
        <v>22</v>
      </c>
      <c r="Z21" s="411" t="s">
        <v>22</v>
      </c>
      <c r="AA21" s="431" t="s">
        <v>22</v>
      </c>
      <c r="AB21" s="410" t="s">
        <v>22</v>
      </c>
      <c r="AC21" s="410" t="s">
        <v>22</v>
      </c>
      <c r="AD21" s="411" t="s">
        <v>22</v>
      </c>
      <c r="AE21" s="431" t="s">
        <v>22</v>
      </c>
      <c r="AF21" s="411" t="s">
        <v>22</v>
      </c>
      <c r="AG21" s="431" t="s">
        <v>22</v>
      </c>
      <c r="AH21" s="410" t="s">
        <v>22</v>
      </c>
      <c r="AI21" s="410" t="s">
        <v>22</v>
      </c>
      <c r="AJ21" s="411" t="s">
        <v>22</v>
      </c>
      <c r="AK21" s="431" t="s">
        <v>22</v>
      </c>
      <c r="AL21" s="410" t="s">
        <v>22</v>
      </c>
      <c r="AM21" s="410" t="s">
        <v>22</v>
      </c>
      <c r="AN21" s="539" t="s">
        <v>1568</v>
      </c>
      <c r="AO21" s="431" t="str">
        <f ca="1">CHOOSE(WEEKDAY(DATE($A21,AN$43,AO$42),2),"Monday","Tuesday","Wednesday","Thursday","Friday","Saturday","Sunday")</f>
        <v>Friday</v>
      </c>
      <c r="AP21" s="410" t="s">
        <v>22</v>
      </c>
      <c r="AQ21" s="410" t="s">
        <v>22</v>
      </c>
      <c r="AR21" s="411" t="s">
        <v>22</v>
      </c>
      <c r="AS21" s="431" t="s">
        <v>22</v>
      </c>
      <c r="AT21" s="410" t="s">
        <v>22</v>
      </c>
      <c r="AU21" s="410" t="s">
        <v>22</v>
      </c>
      <c r="AV21" s="411" t="s">
        <v>22</v>
      </c>
      <c r="AW21" s="431" t="s">
        <v>22</v>
      </c>
      <c r="AX21" s="410" t="s">
        <v>22</v>
      </c>
      <c r="AY21" s="410" t="s">
        <v>22</v>
      </c>
      <c r="AZ21" s="411" t="s">
        <v>22</v>
      </c>
      <c r="BA21" s="431" t="s">
        <v>22</v>
      </c>
      <c r="BB21" s="410"/>
      <c r="BC21" s="410"/>
      <c r="BD21" s="411" t="s">
        <v>22</v>
      </c>
      <c r="BE21" s="431" t="s">
        <v>22</v>
      </c>
      <c r="BF21" s="411" t="s">
        <v>22</v>
      </c>
      <c r="BG21" s="431" t="s">
        <v>22</v>
      </c>
      <c r="BH21" s="538" t="s">
        <v>1585</v>
      </c>
      <c r="BI21" s="410" t="str">
        <f ca="1">CHOOSE(WEEKDAY(DATE($A21,BH$43,BI$42),2),"Monday","Tuesday","Wednesday","Thursday","Friday","Saturday","Sunday")</f>
        <v>Tuesday</v>
      </c>
      <c r="BJ21" s="411" t="s">
        <v>22</v>
      </c>
      <c r="BK21" s="431" t="s">
        <v>22</v>
      </c>
      <c r="BL21" s="410" t="s">
        <v>22</v>
      </c>
      <c r="BM21" s="410" t="s">
        <v>22</v>
      </c>
      <c r="BN21" s="411" t="s">
        <v>22</v>
      </c>
      <c r="BO21" s="431" t="s">
        <v>22</v>
      </c>
      <c r="BP21" s="411" t="s">
        <v>22</v>
      </c>
      <c r="BQ21" s="431" t="s">
        <v>22</v>
      </c>
      <c r="BR21" s="410" t="s">
        <v>22</v>
      </c>
      <c r="BS21" s="410" t="s">
        <v>22</v>
      </c>
      <c r="BT21" s="411" t="s">
        <v>22</v>
      </c>
      <c r="BU21" s="431" t="s">
        <v>22</v>
      </c>
      <c r="BV21" s="411" t="s">
        <v>22</v>
      </c>
      <c r="BW21" s="431" t="s">
        <v>22</v>
      </c>
      <c r="BX21" s="410" t="s">
        <v>22</v>
      </c>
      <c r="BY21" s="410" t="s">
        <v>22</v>
      </c>
      <c r="BZ21" s="539" t="s">
        <v>1595</v>
      </c>
      <c r="CA21" s="431" t="str">
        <f ca="1">CHOOSE(WEEKDAY(DATE($A21,BZ$43,CA$42),2),"Monday","Tuesday","Wednesday","Thursday","Friday","Saturday","Sunday")</f>
        <v>Thursday</v>
      </c>
      <c r="CB21" s="411" t="s">
        <v>22</v>
      </c>
      <c r="CC21" s="431" t="s">
        <v>22</v>
      </c>
      <c r="CD21" s="410" t="s">
        <v>22</v>
      </c>
      <c r="CE21" s="410" t="s">
        <v>22</v>
      </c>
      <c r="CF21" s="411" t="s">
        <v>22</v>
      </c>
      <c r="CG21" s="431" t="s">
        <v>22</v>
      </c>
      <c r="CH21" s="538" t="s">
        <v>1602</v>
      </c>
      <c r="CI21" s="410" t="str">
        <f ca="1">CHOOSE(WEEKDAY(DATE($A21,CH$43,CI$42),2),"Monday","Tuesday","Wednesday","Thursday","Friday","Saturday","Sunday")</f>
        <v>Monday</v>
      </c>
      <c r="CJ21" s="411" t="s">
        <v>22</v>
      </c>
      <c r="CK21" s="431" t="s">
        <v>22</v>
      </c>
      <c r="CL21" s="410" t="s">
        <v>22</v>
      </c>
      <c r="CM21" s="410" t="s">
        <v>22</v>
      </c>
      <c r="CN21" s="411" t="s">
        <v>22</v>
      </c>
      <c r="CO21" s="431" t="s">
        <v>22</v>
      </c>
      <c r="CP21" s="550" t="s">
        <v>1611</v>
      </c>
      <c r="CQ21" s="410" t="str">
        <f ca="1">CHOOSE(WEEKDAY(DATE($A21,CP$43,CQ$42),2),"Monday","Tuesday","Wednesday","Thursday","Friday","Saturday","Sunday")</f>
        <v>Friday</v>
      </c>
      <c r="CR21" s="411" t="s">
        <v>22</v>
      </c>
      <c r="CS21" s="431" t="s">
        <v>22</v>
      </c>
      <c r="CT21" s="410" t="s">
        <v>22</v>
      </c>
      <c r="CU21" s="410" t="s">
        <v>22</v>
      </c>
      <c r="CV21" s="411" t="s">
        <v>22</v>
      </c>
      <c r="CW21" s="431" t="s">
        <v>22</v>
      </c>
      <c r="CX21" s="411" t="s">
        <v>22</v>
      </c>
      <c r="CY21" s="410" t="s">
        <v>22</v>
      </c>
      <c r="CZ21" s="411" t="s">
        <v>22</v>
      </c>
      <c r="DA21" s="410" t="s">
        <v>22</v>
      </c>
      <c r="DB21" s="411" t="s">
        <v>22</v>
      </c>
      <c r="DC21" s="431" t="s">
        <v>22</v>
      </c>
      <c r="DD21" s="410" t="s">
        <v>22</v>
      </c>
      <c r="DE21" s="410" t="s">
        <v>22</v>
      </c>
      <c r="DF21" s="411" t="s">
        <v>22</v>
      </c>
      <c r="DG21" s="431" t="s">
        <v>22</v>
      </c>
      <c r="DH21" s="410" t="s">
        <v>22</v>
      </c>
      <c r="DI21" s="410" t="s">
        <v>22</v>
      </c>
      <c r="DJ21" s="411" t="s">
        <v>22</v>
      </c>
      <c r="DK21" s="431" t="s">
        <v>22</v>
      </c>
      <c r="DL21" s="410" t="s">
        <v>22</v>
      </c>
      <c r="DM21" s="410" t="s">
        <v>22</v>
      </c>
      <c r="DN21" s="411" t="s">
        <v>22</v>
      </c>
      <c r="DO21" s="431" t="s">
        <v>22</v>
      </c>
      <c r="DP21" s="538" t="s">
        <v>1627</v>
      </c>
      <c r="DQ21" s="410" t="str">
        <f ca="1">CHOOSE(WEEKDAY(DATE($A21,DP$43,DQ$42),2),"Monday","Tuesday","Wednesday","Thursday","Friday","Saturday","Sunday")</f>
        <v>Friday</v>
      </c>
      <c r="DR21" s="411" t="s">
        <v>22</v>
      </c>
      <c r="DS21" s="431" t="s">
        <v>22</v>
      </c>
      <c r="DT21" s="410" t="s">
        <v>22</v>
      </c>
      <c r="DU21" s="410" t="s">
        <v>22</v>
      </c>
      <c r="DV21" s="411" t="s">
        <v>22</v>
      </c>
      <c r="DW21" s="431" t="s">
        <v>22</v>
      </c>
      <c r="DX21" s="410" t="s">
        <v>22</v>
      </c>
      <c r="DY21" s="410" t="s">
        <v>22</v>
      </c>
      <c r="DZ21" s="411" t="s">
        <v>22</v>
      </c>
      <c r="EA21" s="431" t="s">
        <v>22</v>
      </c>
      <c r="EB21" s="411" t="s">
        <v>22</v>
      </c>
      <c r="EC21" s="431" t="s">
        <v>22</v>
      </c>
      <c r="ED21" s="410" t="s">
        <v>22</v>
      </c>
      <c r="EE21" s="410" t="s">
        <v>22</v>
      </c>
      <c r="EF21" s="411" t="s">
        <v>22</v>
      </c>
      <c r="EG21" s="431" t="s">
        <v>22</v>
      </c>
      <c r="EH21" s="410" t="s">
        <v>22</v>
      </c>
      <c r="EI21" s="410" t="s">
        <v>22</v>
      </c>
      <c r="EJ21" s="539" t="s">
        <v>1644</v>
      </c>
      <c r="EK21" s="431" t="str">
        <f ca="1">CHOOSE(WEEKDAY(DATE($A21,EJ$43,EK$42),2),"Monday","Tuesday","Wednesday","Thursday","Friday","Saturday","Sunday")</f>
        <v>Tuesday</v>
      </c>
      <c r="EL21" s="410" t="s">
        <v>22</v>
      </c>
      <c r="EM21" s="410" t="s">
        <v>22</v>
      </c>
      <c r="EN21" s="411" t="s">
        <v>22</v>
      </c>
      <c r="EO21" s="431" t="s">
        <v>22</v>
      </c>
      <c r="EP21" s="538" t="s">
        <v>2036</v>
      </c>
      <c r="EQ21" s="410" t="str">
        <f ca="1">CHOOSE(WEEKDAY(DATE($A21,EP$43,EQ$42),2),"Monday","Tuesday","Wednesday","Thursday","Friday","Saturday","Sunday")</f>
        <v>Friday</v>
      </c>
      <c r="ER21" s="411" t="s">
        <v>22</v>
      </c>
      <c r="ES21" s="431" t="s">
        <v>22</v>
      </c>
      <c r="ET21" s="410" t="s">
        <v>22</v>
      </c>
      <c r="EU21" s="410" t="s">
        <v>22</v>
      </c>
      <c r="EV21" s="411" t="s">
        <v>22</v>
      </c>
      <c r="EW21" s="431" t="s">
        <v>22</v>
      </c>
      <c r="EX21" s="410" t="s">
        <v>22</v>
      </c>
      <c r="EY21" s="410" t="s">
        <v>22</v>
      </c>
      <c r="EZ21" s="411" t="s">
        <v>22</v>
      </c>
      <c r="FA21" s="431" t="s">
        <v>22</v>
      </c>
      <c r="FB21" s="411" t="s">
        <v>22</v>
      </c>
      <c r="FC21" s="431" t="s">
        <v>22</v>
      </c>
      <c r="FD21" s="411" t="s">
        <v>22</v>
      </c>
      <c r="FE21" s="431" t="s">
        <v>22</v>
      </c>
      <c r="FF21" s="410" t="s">
        <v>22</v>
      </c>
      <c r="FG21" s="410" t="s">
        <v>22</v>
      </c>
      <c r="FH21" s="411" t="s">
        <v>22</v>
      </c>
      <c r="FI21" s="431" t="s">
        <v>22</v>
      </c>
      <c r="FJ21" s="319" t="s">
        <v>1660</v>
      </c>
      <c r="FK21" s="431" t="str">
        <f ca="1">CHOOSE(WEEKDAY(DATE($A21,FJ$43,FK$42),2),"Monday","Tuesday","Wednesday","Thursday","Friday","Saturday","Sunday")</f>
        <v>Monday</v>
      </c>
      <c r="FL21" s="411" t="s">
        <v>22</v>
      </c>
      <c r="FM21" s="431" t="s">
        <v>22</v>
      </c>
      <c r="FN21" s="410" t="s">
        <v>22</v>
      </c>
      <c r="FO21" s="410" t="s">
        <v>22</v>
      </c>
      <c r="FP21" s="411" t="s">
        <v>22</v>
      </c>
      <c r="FQ21" s="431" t="s">
        <v>22</v>
      </c>
      <c r="FR21" s="411" t="s">
        <v>22</v>
      </c>
      <c r="FS21" s="431" t="s">
        <v>22</v>
      </c>
      <c r="FT21" s="410" t="s">
        <v>22</v>
      </c>
      <c r="FU21" s="410" t="s">
        <v>22</v>
      </c>
      <c r="FV21" s="411" t="s">
        <v>22</v>
      </c>
      <c r="FW21" s="431" t="s">
        <v>22</v>
      </c>
      <c r="FX21" s="410" t="s">
        <v>22</v>
      </c>
      <c r="FY21" s="410" t="s">
        <v>22</v>
      </c>
      <c r="FZ21" s="411" t="s">
        <v>22</v>
      </c>
      <c r="GA21" s="431" t="s">
        <v>22</v>
      </c>
      <c r="GB21" s="411" t="s">
        <v>22</v>
      </c>
      <c r="GC21" s="431" t="s">
        <v>22</v>
      </c>
      <c r="GD21" s="411" t="s">
        <v>22</v>
      </c>
      <c r="GE21" s="431" t="s">
        <v>22</v>
      </c>
      <c r="GF21" s="411" t="s">
        <v>22</v>
      </c>
      <c r="GG21" s="431" t="s">
        <v>22</v>
      </c>
      <c r="GH21" s="411" t="s">
        <v>22</v>
      </c>
      <c r="GI21" s="431" t="s">
        <v>22</v>
      </c>
      <c r="GJ21" s="410" t="s">
        <v>22</v>
      </c>
      <c r="GK21" s="410" t="s">
        <v>22</v>
      </c>
      <c r="GL21" s="411" t="s">
        <v>22</v>
      </c>
      <c r="GM21" s="431" t="s">
        <v>22</v>
      </c>
      <c r="GN21" s="411" t="s">
        <v>22</v>
      </c>
      <c r="GO21" s="431" t="s">
        <v>22</v>
      </c>
      <c r="GP21" s="410" t="s">
        <v>22</v>
      </c>
      <c r="GQ21" s="410" t="s">
        <v>22</v>
      </c>
      <c r="GR21" s="411" t="s">
        <v>22</v>
      </c>
      <c r="GS21" s="431" t="s">
        <v>22</v>
      </c>
      <c r="GT21" s="411" t="s">
        <v>22</v>
      </c>
      <c r="GU21" s="431" t="s">
        <v>22</v>
      </c>
      <c r="GV21" s="411" t="s">
        <v>22</v>
      </c>
      <c r="GW21" s="431" t="s">
        <v>22</v>
      </c>
      <c r="GX21" s="411" t="s">
        <v>22</v>
      </c>
      <c r="GY21" s="431" t="s">
        <v>22</v>
      </c>
      <c r="GZ21" s="411" t="s">
        <v>22</v>
      </c>
      <c r="HA21" s="431" t="s">
        <v>22</v>
      </c>
      <c r="HB21" s="411" t="s">
        <v>22</v>
      </c>
      <c r="HC21" s="431" t="s">
        <v>22</v>
      </c>
      <c r="HD21" s="410" t="s">
        <v>22</v>
      </c>
      <c r="HE21" s="410" t="s">
        <v>22</v>
      </c>
      <c r="HF21" s="411" t="s">
        <v>22</v>
      </c>
      <c r="HG21" s="431" t="s">
        <v>22</v>
      </c>
      <c r="HH21" s="411" t="s">
        <v>22</v>
      </c>
      <c r="HI21" s="431" t="s">
        <v>22</v>
      </c>
      <c r="HJ21" s="410" t="s">
        <v>22</v>
      </c>
      <c r="HK21" s="410" t="s">
        <v>22</v>
      </c>
      <c r="HL21" s="411" t="s">
        <v>22</v>
      </c>
      <c r="HM21" s="431" t="s">
        <v>22</v>
      </c>
      <c r="HN21" s="411" t="s">
        <v>22</v>
      </c>
      <c r="HO21" s="431" t="s">
        <v>22</v>
      </c>
      <c r="HP21" s="410" t="s">
        <v>22</v>
      </c>
      <c r="HQ21" s="410" t="s">
        <v>22</v>
      </c>
      <c r="HR21" s="411" t="s">
        <v>22</v>
      </c>
      <c r="HS21" s="431" t="s">
        <v>22</v>
      </c>
      <c r="HT21" s="538" t="s">
        <v>1711</v>
      </c>
      <c r="HU21" s="410" t="str">
        <f ca="1">CHOOSE(WEEKDAY(DATE($A21,HT$43,HU$42),2),"Monday","Tuesday","Wednesday","Thursday","Friday","Saturday","Sunday")</f>
        <v>Wednesday</v>
      </c>
      <c r="HV21" s="411" t="s">
        <v>22</v>
      </c>
      <c r="HW21" s="431" t="s">
        <v>22</v>
      </c>
      <c r="HX21" s="411" t="s">
        <v>22</v>
      </c>
      <c r="HY21" s="431" t="s">
        <v>22</v>
      </c>
      <c r="HZ21" s="410" t="s">
        <v>22</v>
      </c>
      <c r="IA21" s="410" t="s">
        <v>22</v>
      </c>
      <c r="IB21" s="411" t="s">
        <v>22</v>
      </c>
      <c r="IC21" s="431" t="s">
        <v>22</v>
      </c>
      <c r="ID21" s="538" t="s">
        <v>1715</v>
      </c>
      <c r="IE21" s="410" t="str">
        <f ca="1">CHOOSE(WEEKDAY(DATE($A21,ID$43,IE$42),2),"Monday","Tuesday","Wednesday","Thursday","Friday","Saturday","Sunday")</f>
        <v>Tuesday</v>
      </c>
      <c r="IF21" s="411" t="s">
        <v>22</v>
      </c>
      <c r="IG21" s="431" t="s">
        <v>22</v>
      </c>
      <c r="IH21" s="410" t="s">
        <v>22</v>
      </c>
      <c r="II21" s="410" t="s">
        <v>22</v>
      </c>
      <c r="IJ21" s="411" t="s">
        <v>22</v>
      </c>
      <c r="IK21" s="431" t="s">
        <v>22</v>
      </c>
      <c r="IL21" s="411" t="s">
        <v>22</v>
      </c>
      <c r="IM21" s="431" t="s">
        <v>22</v>
      </c>
      <c r="IN21" s="411" t="s">
        <v>22</v>
      </c>
      <c r="IO21" s="431" t="s">
        <v>22</v>
      </c>
      <c r="IP21" s="411" t="s">
        <v>22</v>
      </c>
      <c r="IQ21" s="431" t="s">
        <v>22</v>
      </c>
      <c r="IR21" s="410" t="s">
        <v>22</v>
      </c>
      <c r="IS21" s="410" t="s">
        <v>22</v>
      </c>
      <c r="IT21" s="411" t="s">
        <v>22</v>
      </c>
      <c r="IU21" s="431" t="s">
        <v>22</v>
      </c>
      <c r="IV21" s="411" t="s">
        <v>22</v>
      </c>
      <c r="IW21" s="431" t="s">
        <v>22</v>
      </c>
      <c r="IX21" s="411" t="s">
        <v>22</v>
      </c>
      <c r="IY21" s="431" t="s">
        <v>22</v>
      </c>
      <c r="IZ21" s="410" t="s">
        <v>22</v>
      </c>
      <c r="JA21" s="410" t="s">
        <v>22</v>
      </c>
      <c r="JB21" s="411" t="s">
        <v>22</v>
      </c>
      <c r="JC21" s="431" t="s">
        <v>22</v>
      </c>
      <c r="JD21" s="410" t="s">
        <v>22</v>
      </c>
      <c r="JE21" s="410" t="s">
        <v>22</v>
      </c>
      <c r="JF21" s="411" t="s">
        <v>22</v>
      </c>
      <c r="JG21" s="431" t="s">
        <v>22</v>
      </c>
      <c r="JH21" s="411" t="s">
        <v>22</v>
      </c>
      <c r="JI21" s="431" t="s">
        <v>22</v>
      </c>
      <c r="JJ21" s="411" t="s">
        <v>22</v>
      </c>
      <c r="JK21" s="431" t="s">
        <v>22</v>
      </c>
      <c r="JL21" s="410" t="s">
        <v>22</v>
      </c>
      <c r="JM21" s="410" t="s">
        <v>22</v>
      </c>
      <c r="JN21" s="411" t="s">
        <v>22</v>
      </c>
      <c r="JO21" s="431" t="s">
        <v>22</v>
      </c>
      <c r="JP21" s="410" t="s">
        <v>22</v>
      </c>
      <c r="JQ21" s="410" t="s">
        <v>22</v>
      </c>
      <c r="JR21" s="411" t="s">
        <v>22</v>
      </c>
      <c r="JS21" s="431" t="s">
        <v>22</v>
      </c>
      <c r="JT21" s="538" t="s">
        <v>2006</v>
      </c>
      <c r="JU21" s="410" t="str">
        <f ca="1">CHOOSE(WEEKDAY(DATE($A21,JT$43,JU$42),2),"Monday","Tuesday","Wednesday","Thursday","Friday","Saturday","Sunday")</f>
        <v>Thursday</v>
      </c>
      <c r="JV21" s="411" t="s">
        <v>22</v>
      </c>
      <c r="JW21" s="431" t="s">
        <v>22</v>
      </c>
      <c r="JX21" s="410" t="s">
        <v>22</v>
      </c>
      <c r="JY21" s="410" t="s">
        <v>22</v>
      </c>
      <c r="JZ21" s="411" t="s">
        <v>22</v>
      </c>
      <c r="KA21" s="431" t="s">
        <v>22</v>
      </c>
      <c r="KB21" s="411" t="s">
        <v>22</v>
      </c>
      <c r="KC21" s="431" t="s">
        <v>22</v>
      </c>
      <c r="KD21" s="539" t="s">
        <v>1752</v>
      </c>
      <c r="KE21" s="431" t="str">
        <f ca="1">CHOOSE(WEEKDAY(DATE($A21,KD$43,KE$42),2),"Monday","Tuesday","Wednesday","Thursday","Friday","Saturday","Sunday")</f>
        <v>Wednesday</v>
      </c>
      <c r="KF21" s="410" t="s">
        <v>22</v>
      </c>
      <c r="KG21" s="410" t="s">
        <v>22</v>
      </c>
      <c r="KH21" s="411" t="s">
        <v>22</v>
      </c>
      <c r="KI21" s="431" t="s">
        <v>22</v>
      </c>
      <c r="KJ21" s="411" t="s">
        <v>22</v>
      </c>
      <c r="KK21" s="431" t="s">
        <v>22</v>
      </c>
      <c r="KL21" s="411" t="s">
        <v>22</v>
      </c>
      <c r="KM21" s="431" t="s">
        <v>22</v>
      </c>
      <c r="KN21" s="410" t="s">
        <v>22</v>
      </c>
      <c r="KO21" s="410" t="s">
        <v>22</v>
      </c>
      <c r="KP21" s="411" t="s">
        <v>22</v>
      </c>
      <c r="KQ21" s="431" t="s">
        <v>22</v>
      </c>
      <c r="KR21" s="538" t="s">
        <v>1766</v>
      </c>
      <c r="KS21" s="410" t="str">
        <f ca="1">CHOOSE(WEEKDAY(DATE($A21,KR$43,KS$42),2),"Monday","Tuesday","Wednesday","Thursday","Friday","Saturday","Sunday")</f>
        <v>Friday</v>
      </c>
      <c r="KT21" s="411" t="s">
        <v>22</v>
      </c>
      <c r="KU21" s="431" t="s">
        <v>22</v>
      </c>
      <c r="KV21" s="410" t="s">
        <v>22</v>
      </c>
      <c r="KW21" s="410" t="s">
        <v>22</v>
      </c>
      <c r="KX21" s="411" t="s">
        <v>22</v>
      </c>
      <c r="KY21" s="431" t="s">
        <v>22</v>
      </c>
      <c r="KZ21" s="538" t="s">
        <v>1761</v>
      </c>
      <c r="LA21" s="410" t="str">
        <f ca="1">CHOOSE(WEEKDAY(DATE($A21,KZ$43,LA$42),2),"Monday","Tuesday","Wednesday","Thursday","Friday","Saturday","Sunday")</f>
        <v>Tuesday</v>
      </c>
      <c r="LB21" s="411" t="s">
        <v>22</v>
      </c>
      <c r="LC21" s="431" t="s">
        <v>22</v>
      </c>
      <c r="LD21" s="410" t="s">
        <v>22</v>
      </c>
      <c r="LE21" s="410" t="s">
        <v>22</v>
      </c>
      <c r="LF21" s="539" t="s">
        <v>2033</v>
      </c>
      <c r="LG21" s="431" t="str">
        <f ca="1">CHOOSE(WEEKDAY(DATE($A21,LF$43,LG$42),2),"Monday","Tuesday","Wednesday","Thursday","Friday","Saturday","Sunday")</f>
        <v>Friday</v>
      </c>
      <c r="LH21" s="410" t="s">
        <v>22</v>
      </c>
      <c r="LI21" s="410" t="s">
        <v>22</v>
      </c>
      <c r="LJ21" s="411" t="s">
        <v>22</v>
      </c>
      <c r="LK21" s="431" t="s">
        <v>22</v>
      </c>
      <c r="LL21" s="538" t="s">
        <v>1761</v>
      </c>
      <c r="LM21" s="410" t="str">
        <f ca="1">CHOOSE(WEEKDAY(DATE($A21,LL$43,LM$42),2),"Monday","Tuesday","Wednesday","Thursday","Friday","Saturday","Sunday")</f>
        <v>Tuesday</v>
      </c>
      <c r="LN21" s="411" t="s">
        <v>22</v>
      </c>
      <c r="LO21" s="431" t="s">
        <v>22</v>
      </c>
      <c r="LP21" s="538" t="s">
        <v>1788</v>
      </c>
      <c r="LQ21" s="410" t="str">
        <f ca="1">CHOOSE(WEEKDAY(DATE($A21,LP$43,LQ$42),2),"Monday","Tuesday","Wednesday","Thursday","Friday","Saturday","Sunday")</f>
        <v>Thursday</v>
      </c>
      <c r="LR21" s="539" t="s">
        <v>2038</v>
      </c>
      <c r="LS21" s="431" t="str">
        <f ca="1">CHOOSE(WEEKDAY(DATE($A21,LR$43,LS$42),2),"Monday","Tuesday","Wednesday","Thursday","Friday","Saturday","Sunday")</f>
        <v>Friday</v>
      </c>
      <c r="LT21" s="410" t="s">
        <v>22</v>
      </c>
      <c r="LU21" s="410" t="s">
        <v>22</v>
      </c>
      <c r="LV21" s="411" t="s">
        <v>22</v>
      </c>
      <c r="LW21" s="431" t="s">
        <v>22</v>
      </c>
      <c r="LX21" s="410" t="s">
        <v>22</v>
      </c>
      <c r="LY21" s="410" t="s">
        <v>22</v>
      </c>
      <c r="LZ21" s="411" t="s">
        <v>22</v>
      </c>
      <c r="MA21" s="431" t="s">
        <v>22</v>
      </c>
      <c r="MB21" s="410" t="s">
        <v>22</v>
      </c>
      <c r="MC21" s="410" t="s">
        <v>22</v>
      </c>
      <c r="MD21" s="319" t="s">
        <v>1805</v>
      </c>
      <c r="ME21" s="431" t="str">
        <f ca="1">CHOOSE(WEEKDAY(DATE($A21,MD$43,ME$42),2),"Monday","Tuesday","Wednesday","Thursday","Friday","Saturday","Sunday")</f>
        <v>Friday</v>
      </c>
      <c r="MF21" s="410" t="s">
        <v>22</v>
      </c>
      <c r="MG21" s="410" t="s">
        <v>22</v>
      </c>
      <c r="MH21" s="411" t="s">
        <v>22</v>
      </c>
      <c r="MI21" s="431" t="s">
        <v>22</v>
      </c>
      <c r="MJ21" s="411" t="s">
        <v>22</v>
      </c>
      <c r="MK21" s="431" t="s">
        <v>22</v>
      </c>
      <c r="ML21" s="411" t="s">
        <v>22</v>
      </c>
      <c r="MM21" s="431" t="s">
        <v>22</v>
      </c>
      <c r="MN21" s="410" t="s">
        <v>22</v>
      </c>
      <c r="MO21" s="410" t="s">
        <v>22</v>
      </c>
      <c r="MP21" s="411" t="s">
        <v>22</v>
      </c>
      <c r="MQ21" s="431" t="s">
        <v>22</v>
      </c>
      <c r="MR21" s="538" t="s">
        <v>1773</v>
      </c>
      <c r="MS21" s="410" t="str">
        <f ca="1">CHOOSE(WEEKDAY(DATE($A21,MR$43,MS$42),2),"Monday","Tuesday","Wednesday","Thursday","Friday","Saturday","Sunday")</f>
        <v>Friday</v>
      </c>
      <c r="MT21" s="411" t="s">
        <v>22</v>
      </c>
      <c r="MU21" s="431" t="s">
        <v>22</v>
      </c>
      <c r="MV21" s="410" t="s">
        <v>22</v>
      </c>
      <c r="MW21" s="410" t="s">
        <v>22</v>
      </c>
      <c r="MX21" s="411" t="s">
        <v>22</v>
      </c>
      <c r="MY21" s="431" t="s">
        <v>22</v>
      </c>
      <c r="MZ21" s="411" t="s">
        <v>22</v>
      </c>
      <c r="NA21" s="431" t="s">
        <v>22</v>
      </c>
      <c r="NB21" s="410" t="s">
        <v>22</v>
      </c>
      <c r="NC21" s="410" t="s">
        <v>22</v>
      </c>
      <c r="ND21" s="411" t="s">
        <v>22</v>
      </c>
      <c r="NE21" s="431" t="s">
        <v>22</v>
      </c>
      <c r="NF21" s="541" t="s">
        <v>1813</v>
      </c>
      <c r="NG21" s="410" t="str">
        <f ca="1">CHOOSE(WEEKDAY(DATE($A21,NF$43,NG$42),2),"Monday","Tuesday","Wednesday","Thursday","Friday","Saturday","Sunday")</f>
        <v>Friday</v>
      </c>
      <c r="NH21" s="411" t="s">
        <v>22</v>
      </c>
      <c r="NI21" s="431" t="s">
        <v>22</v>
      </c>
      <c r="NJ21" s="410" t="s">
        <v>22</v>
      </c>
      <c r="NK21" s="410" t="s">
        <v>22</v>
      </c>
      <c r="NL21" s="411" t="s">
        <v>22</v>
      </c>
      <c r="NM21" s="431" t="s">
        <v>22</v>
      </c>
      <c r="NN21" s="411" t="s">
        <v>22</v>
      </c>
      <c r="NO21" s="431" t="s">
        <v>22</v>
      </c>
      <c r="NP21" s="410" t="s">
        <v>22</v>
      </c>
      <c r="NQ21" s="410" t="s">
        <v>22</v>
      </c>
      <c r="NR21" s="411" t="s">
        <v>22</v>
      </c>
      <c r="NS21" s="431" t="s">
        <v>22</v>
      </c>
      <c r="NT21" s="410" t="s">
        <v>22</v>
      </c>
      <c r="NU21" s="410" t="s">
        <v>22</v>
      </c>
      <c r="NV21" s="411" t="s">
        <v>22</v>
      </c>
      <c r="NW21" s="431" t="s">
        <v>22</v>
      </c>
      <c r="NX21" s="410" t="s">
        <v>22</v>
      </c>
      <c r="NY21" s="410" t="s">
        <v>22</v>
      </c>
      <c r="NZ21" s="411" t="s">
        <v>22</v>
      </c>
      <c r="OA21" s="431" t="s">
        <v>22</v>
      </c>
      <c r="OB21" s="410" t="s">
        <v>22</v>
      </c>
      <c r="OC21" s="410" t="s">
        <v>22</v>
      </c>
      <c r="OD21" s="539" t="s">
        <v>1804</v>
      </c>
      <c r="OE21" s="431" t="str">
        <f ca="1">CHOOSE(WEEKDAY(DATE($A21,OD$43,OE$42),2),"Monday","Tuesday","Wednesday","Thursday","Friday","Saturday","Sunday")</f>
        <v>Friday</v>
      </c>
      <c r="OF21" s="538" t="s">
        <v>2039</v>
      </c>
      <c r="OG21" s="410" t="str">
        <f ca="1">CHOOSE(WEEKDAY(DATE($A21,OF$43,OG$42),2),"Monday","Tuesday","Wednesday","Thursday","Friday","Saturday","Sunday")</f>
        <v>Saturday</v>
      </c>
      <c r="OH21" s="411" t="s">
        <v>22</v>
      </c>
      <c r="OI21" s="431" t="s">
        <v>22</v>
      </c>
      <c r="OJ21" s="410" t="s">
        <v>22</v>
      </c>
      <c r="OK21" s="410" t="s">
        <v>22</v>
      </c>
      <c r="OL21" s="411" t="s">
        <v>22</v>
      </c>
      <c r="OM21" s="431" t="s">
        <v>22</v>
      </c>
      <c r="ON21" s="411" t="s">
        <v>22</v>
      </c>
      <c r="OO21" s="431" t="s">
        <v>22</v>
      </c>
      <c r="OP21" s="410" t="s">
        <v>22</v>
      </c>
      <c r="OQ21" s="410" t="s">
        <v>22</v>
      </c>
      <c r="OR21" s="411" t="s">
        <v>22</v>
      </c>
      <c r="OS21" s="431" t="s">
        <v>22</v>
      </c>
      <c r="OT21" s="411" t="s">
        <v>22</v>
      </c>
      <c r="OU21" s="431" t="s">
        <v>22</v>
      </c>
      <c r="OV21" s="410" t="s">
        <v>22</v>
      </c>
      <c r="OW21" s="410" t="s">
        <v>22</v>
      </c>
      <c r="OX21" s="411" t="s">
        <v>22</v>
      </c>
      <c r="OY21" s="431" t="s">
        <v>22</v>
      </c>
      <c r="OZ21" s="410" t="s">
        <v>22</v>
      </c>
      <c r="PA21" s="410" t="s">
        <v>22</v>
      </c>
      <c r="PB21" s="411" t="s">
        <v>22</v>
      </c>
      <c r="PC21" s="431" t="s">
        <v>22</v>
      </c>
      <c r="PD21" s="538" t="s">
        <v>2017</v>
      </c>
      <c r="PE21" s="410" t="str">
        <f ca="1">CHOOSE(WEEKDAY(DATE($A21,PD$43,PE$42),2),"Monday","Tuesday","Wednesday","Thursday","Friday","Saturday","Sunday")</f>
        <v>Friday</v>
      </c>
      <c r="PF21" s="411" t="s">
        <v>22</v>
      </c>
      <c r="PG21" s="431" t="s">
        <v>22</v>
      </c>
      <c r="PH21" s="411" t="s">
        <v>22</v>
      </c>
      <c r="PI21" s="431" t="s">
        <v>22</v>
      </c>
      <c r="PJ21" s="411" t="s">
        <v>22</v>
      </c>
      <c r="PK21" s="431" t="s">
        <v>22</v>
      </c>
      <c r="PL21" s="410" t="s">
        <v>22</v>
      </c>
      <c r="PM21" s="410" t="s">
        <v>22</v>
      </c>
      <c r="PN21" s="411" t="s">
        <v>22</v>
      </c>
      <c r="PO21" s="431" t="s">
        <v>22</v>
      </c>
      <c r="PP21" s="410" t="s">
        <v>22</v>
      </c>
      <c r="PQ21" s="410" t="s">
        <v>22</v>
      </c>
      <c r="PR21" s="411" t="s">
        <v>22</v>
      </c>
      <c r="PS21" s="431" t="s">
        <v>22</v>
      </c>
      <c r="PT21" s="410" t="s">
        <v>22</v>
      </c>
      <c r="PU21" s="410" t="s">
        <v>22</v>
      </c>
      <c r="PV21" s="539" t="s">
        <v>1859</v>
      </c>
      <c r="PW21" s="431" t="str">
        <f ca="1">CHOOSE(WEEKDAY(DATE($A21,PV$43,PW$42),2),"Monday","Tuesday","Wednesday","Thursday","Friday","Saturday","Sunday")</f>
        <v>Friday</v>
      </c>
      <c r="PX21" s="410" t="s">
        <v>22</v>
      </c>
      <c r="PY21" s="410" t="s">
        <v>22</v>
      </c>
      <c r="PZ21" s="411" t="s">
        <v>22</v>
      </c>
      <c r="QA21" s="431" t="s">
        <v>22</v>
      </c>
      <c r="QB21" s="410" t="s">
        <v>22</v>
      </c>
      <c r="QC21" s="410" t="s">
        <v>22</v>
      </c>
      <c r="QD21" s="411" t="s">
        <v>22</v>
      </c>
      <c r="QE21" s="431" t="s">
        <v>22</v>
      </c>
      <c r="QF21" s="410" t="s">
        <v>22</v>
      </c>
      <c r="QG21" s="410" t="s">
        <v>22</v>
      </c>
      <c r="QH21" s="411" t="s">
        <v>22</v>
      </c>
      <c r="QI21" s="431" t="s">
        <v>22</v>
      </c>
      <c r="QJ21" s="320" t="s">
        <v>2025</v>
      </c>
      <c r="QK21" s="410" t="str">
        <f ca="1">CHOOSE(WEEKDAY(DATE($A21,QJ$43,QK$42),2),"Monday","Tuesday","Wednesday","Thursday","Friday","Saturday","Sunday")</f>
        <v>Friday</v>
      </c>
      <c r="QL21" s="411" t="s">
        <v>22</v>
      </c>
      <c r="QM21" s="431" t="s">
        <v>22</v>
      </c>
      <c r="QN21" s="410" t="s">
        <v>22</v>
      </c>
      <c r="QO21" s="410" t="s">
        <v>22</v>
      </c>
      <c r="QP21" s="411" t="s">
        <v>22</v>
      </c>
      <c r="QQ21" s="431" t="s">
        <v>22</v>
      </c>
      <c r="QR21" s="410" t="s">
        <v>22</v>
      </c>
      <c r="QS21" s="410" t="s">
        <v>22</v>
      </c>
      <c r="QT21" s="540" t="s">
        <v>1876</v>
      </c>
      <c r="QU21" s="456" t="str">
        <f ca="1">CHOOSE(WEEKDAY(DATE($A21,QT$43,QU$42),2),"Monday","Tuesday","Wednesday","Thursday","Friday","Saturday","Sunday")</f>
        <v>Wednesday</v>
      </c>
      <c r="QV21" s="410" t="s">
        <v>22</v>
      </c>
      <c r="QW21" s="410" t="s">
        <v>22</v>
      </c>
      <c r="QX21" s="411" t="s">
        <v>22</v>
      </c>
      <c r="QY21" s="431" t="s">
        <v>22</v>
      </c>
      <c r="QZ21" s="410" t="s">
        <v>22</v>
      </c>
      <c r="RA21" s="431" t="s">
        <v>22</v>
      </c>
      <c r="RB21" s="410" t="s">
        <v>22</v>
      </c>
      <c r="RC21" s="431" t="s">
        <v>22</v>
      </c>
      <c r="RD21" s="410" t="s">
        <v>22</v>
      </c>
      <c r="RE21" s="410" t="s">
        <v>22</v>
      </c>
      <c r="RF21" s="411" t="s">
        <v>22</v>
      </c>
      <c r="RG21" s="431" t="s">
        <v>22</v>
      </c>
      <c r="RH21" s="410" t="s">
        <v>22</v>
      </c>
      <c r="RI21" s="410" t="s">
        <v>22</v>
      </c>
      <c r="RJ21" s="411" t="s">
        <v>22</v>
      </c>
      <c r="RK21" s="431" t="s">
        <v>22</v>
      </c>
      <c r="RL21" s="411" t="s">
        <v>22</v>
      </c>
      <c r="RM21" s="431" t="s">
        <v>22</v>
      </c>
      <c r="RN21" s="410" t="s">
        <v>22</v>
      </c>
      <c r="RO21" s="410" t="s">
        <v>22</v>
      </c>
      <c r="RP21" s="411" t="s">
        <v>22</v>
      </c>
      <c r="RQ21" s="431" t="s">
        <v>22</v>
      </c>
      <c r="RR21" s="538" t="s">
        <v>1893</v>
      </c>
      <c r="RS21" s="410" t="str">
        <f ca="1">CHOOSE(WEEKDAY(DATE($A21,RR$43,RS$42),2),"Monday","Tuesday","Wednesday","Thursday","Friday","Saturday","Sunday")</f>
        <v>Tuesday</v>
      </c>
      <c r="RT21" s="411" t="s">
        <v>22</v>
      </c>
      <c r="RU21" s="431" t="s">
        <v>22</v>
      </c>
      <c r="RV21" s="541" t="s">
        <v>1895</v>
      </c>
      <c r="RW21" s="410" t="str">
        <f ca="1">CHOOSE(WEEKDAY(DATE($A21,RV$43,RW$42),2),"Monday","Tuesday","Wednesday","Thursday","Friday","Saturday","Sunday")</f>
        <v>Thursday</v>
      </c>
      <c r="RX21" s="411" t="s">
        <v>22</v>
      </c>
      <c r="RY21" s="431" t="s">
        <v>22</v>
      </c>
      <c r="RZ21" s="411" t="s">
        <v>22</v>
      </c>
      <c r="SA21" s="431" t="s">
        <v>22</v>
      </c>
      <c r="SB21" s="411" t="s">
        <v>22</v>
      </c>
      <c r="SC21" s="431" t="s">
        <v>22</v>
      </c>
      <c r="SD21" s="410" t="s">
        <v>22</v>
      </c>
      <c r="SE21" s="410" t="s">
        <v>22</v>
      </c>
      <c r="SF21" s="411" t="s">
        <v>22</v>
      </c>
      <c r="SG21" s="431" t="s">
        <v>22</v>
      </c>
      <c r="SH21" s="410" t="s">
        <v>22</v>
      </c>
      <c r="SI21" s="410" t="s">
        <v>22</v>
      </c>
      <c r="SJ21" s="411" t="s">
        <v>22</v>
      </c>
      <c r="SK21" s="431" t="s">
        <v>22</v>
      </c>
      <c r="SL21" s="411" t="s">
        <v>22</v>
      </c>
      <c r="SM21" s="431" t="s">
        <v>22</v>
      </c>
      <c r="SN21" s="410" t="s">
        <v>22</v>
      </c>
      <c r="SO21" s="410" t="s">
        <v>22</v>
      </c>
      <c r="SP21" s="411" t="s">
        <v>22</v>
      </c>
      <c r="SQ21" s="431" t="s">
        <v>22</v>
      </c>
      <c r="SR21" s="410" t="s">
        <v>22</v>
      </c>
      <c r="SS21" s="410" t="s">
        <v>22</v>
      </c>
      <c r="ST21" s="411" t="s">
        <v>22</v>
      </c>
      <c r="SU21" s="431" t="s">
        <v>22</v>
      </c>
      <c r="SV21" s="410" t="s">
        <v>22</v>
      </c>
      <c r="SW21" s="410" t="s">
        <v>22</v>
      </c>
      <c r="SX21" s="411" t="s">
        <v>22</v>
      </c>
      <c r="SY21" s="431" t="s">
        <v>22</v>
      </c>
      <c r="SZ21" s="410" t="s">
        <v>22</v>
      </c>
      <c r="TA21" s="410" t="s">
        <v>22</v>
      </c>
      <c r="TB21" s="411" t="s">
        <v>22</v>
      </c>
      <c r="TC21" s="431" t="s">
        <v>22</v>
      </c>
      <c r="TD21" s="538" t="s">
        <v>1935</v>
      </c>
      <c r="TE21" s="410" t="str">
        <f ca="1">CHOOSE(WEEKDAY(DATE($A21,TD$43,TE$42),2),"Monday","Tuesday","Wednesday","Thursday","Friday","Saturday","Sunday")</f>
        <v>Wednesday</v>
      </c>
      <c r="TF21" s="411" t="s">
        <v>22</v>
      </c>
      <c r="TG21" s="431" t="s">
        <v>22</v>
      </c>
      <c r="TH21" s="410" t="s">
        <v>22</v>
      </c>
      <c r="TI21" s="431" t="s">
        <v>22</v>
      </c>
      <c r="TJ21" s="411" t="s">
        <v>22</v>
      </c>
      <c r="TK21" s="410" t="s">
        <v>22</v>
      </c>
      <c r="TL21" s="411" t="s">
        <v>22</v>
      </c>
      <c r="TM21" s="431" t="s">
        <v>22</v>
      </c>
      <c r="TN21" s="410" t="s">
        <v>22</v>
      </c>
      <c r="TO21" s="410" t="s">
        <v>22</v>
      </c>
      <c r="TP21" s="411" t="s">
        <v>22</v>
      </c>
      <c r="TQ21" s="431" t="s">
        <v>22</v>
      </c>
      <c r="TR21" s="410" t="s">
        <v>22</v>
      </c>
      <c r="TS21" s="410" t="s">
        <v>22</v>
      </c>
      <c r="TT21" s="539" t="s">
        <v>1932</v>
      </c>
      <c r="TU21" s="431" t="str">
        <f ca="1">CHOOSE(WEEKDAY(DATE($A21,TT$43,TU$42),2),"Monday","Tuesday","Wednesday","Thursday","Friday","Saturday","Sunday")</f>
        <v>Thursday</v>
      </c>
      <c r="TV21" s="539" t="s">
        <v>1935</v>
      </c>
      <c r="TW21" s="431" t="str">
        <f ca="1">CHOOSE(WEEKDAY(DATE($A21,TV$43,TW$42),2),"Monday","Tuesday","Wednesday","Thursday","Friday","Saturday","Sunday")</f>
        <v>Friday</v>
      </c>
      <c r="TX21" s="411" t="s">
        <v>22</v>
      </c>
      <c r="TY21" s="431" t="s">
        <v>22</v>
      </c>
      <c r="TZ21" s="411" t="s">
        <v>22</v>
      </c>
      <c r="UA21" s="431" t="s">
        <v>22</v>
      </c>
      <c r="UB21" s="410" t="s">
        <v>22</v>
      </c>
      <c r="UC21" s="410" t="s">
        <v>22</v>
      </c>
      <c r="UD21" s="411" t="s">
        <v>22</v>
      </c>
      <c r="UE21" s="431" t="s">
        <v>22</v>
      </c>
      <c r="UF21" s="410" t="s">
        <v>22</v>
      </c>
      <c r="UG21" s="410" t="s">
        <v>22</v>
      </c>
      <c r="UH21" s="411" t="s">
        <v>22</v>
      </c>
      <c r="UI21" s="431" t="s">
        <v>22</v>
      </c>
      <c r="UJ21" s="411" t="s">
        <v>22</v>
      </c>
      <c r="UK21" s="431" t="s">
        <v>22</v>
      </c>
      <c r="UL21" s="410" t="s">
        <v>22</v>
      </c>
      <c r="UM21" s="410" t="s">
        <v>22</v>
      </c>
      <c r="UN21" s="411" t="s">
        <v>22</v>
      </c>
      <c r="UO21" s="431" t="s">
        <v>22</v>
      </c>
      <c r="UP21" s="538" t="s">
        <v>1944</v>
      </c>
      <c r="UQ21" s="410" t="str">
        <f ca="1">CHOOSE(WEEKDAY(DATE($A21,UP$43,UQ$42),2),"Monday","Tuesday","Wednesday","Thursday","Friday","Saturday","Sunday")</f>
        <v>Monday</v>
      </c>
      <c r="UR21" s="411" t="s">
        <v>22</v>
      </c>
      <c r="US21" s="431" t="s">
        <v>22</v>
      </c>
      <c r="UT21" s="411" t="s">
        <v>22</v>
      </c>
      <c r="UU21" s="431" t="s">
        <v>22</v>
      </c>
      <c r="UV21" s="410" t="s">
        <v>22</v>
      </c>
      <c r="UW21" s="410" t="s">
        <v>22</v>
      </c>
      <c r="UX21" s="411" t="s">
        <v>22</v>
      </c>
      <c r="UY21" s="431" t="s">
        <v>22</v>
      </c>
      <c r="UZ21" s="410" t="s">
        <v>22</v>
      </c>
      <c r="VA21" s="410" t="s">
        <v>22</v>
      </c>
      <c r="VB21" s="411" t="s">
        <v>22</v>
      </c>
      <c r="VC21" s="431" t="s">
        <v>22</v>
      </c>
      <c r="VD21" s="410" t="s">
        <v>22</v>
      </c>
      <c r="VE21" s="410" t="s">
        <v>22</v>
      </c>
      <c r="VF21" s="411" t="s">
        <v>22</v>
      </c>
      <c r="VG21" s="431" t="s">
        <v>22</v>
      </c>
      <c r="VH21" s="411" t="s">
        <v>22</v>
      </c>
      <c r="VI21" s="431" t="s">
        <v>22</v>
      </c>
      <c r="VJ21" s="410" t="s">
        <v>22</v>
      </c>
      <c r="VK21" s="410" t="s">
        <v>22</v>
      </c>
      <c r="VL21" s="411" t="s">
        <v>22</v>
      </c>
      <c r="VM21" s="431" t="s">
        <v>22</v>
      </c>
      <c r="VN21" s="410" t="s">
        <v>22</v>
      </c>
      <c r="VO21" s="410" t="s">
        <v>22</v>
      </c>
      <c r="VP21" s="411" t="s">
        <v>22</v>
      </c>
      <c r="VQ21" s="431" t="s">
        <v>22</v>
      </c>
      <c r="VR21" s="538" t="s">
        <v>1955</v>
      </c>
      <c r="VS21" s="410" t="str">
        <f ca="1">CHOOSE(WEEKDAY(DATE($A21,VR$43,VS$42),2),"Monday","Tuesday","Wednesday","Thursday","Friday","Saturday","Sunday")</f>
        <v>Thursday</v>
      </c>
      <c r="VT21" s="411" t="s">
        <v>22</v>
      </c>
      <c r="VU21" s="431" t="s">
        <v>22</v>
      </c>
      <c r="VV21" s="411" t="s">
        <v>22</v>
      </c>
      <c r="VW21" s="431" t="s">
        <v>22</v>
      </c>
      <c r="VX21" s="410" t="s">
        <v>22</v>
      </c>
      <c r="VY21" s="431" t="s">
        <v>22</v>
      </c>
      <c r="VZ21" s="411" t="s">
        <v>22</v>
      </c>
      <c r="WA21" s="431" t="s">
        <v>22</v>
      </c>
      <c r="WB21" s="411" t="s">
        <v>22</v>
      </c>
      <c r="WC21" s="431" t="s">
        <v>22</v>
      </c>
      <c r="WD21" s="410" t="s">
        <v>22</v>
      </c>
      <c r="WE21" s="410" t="s">
        <v>22</v>
      </c>
      <c r="WF21" s="411" t="s">
        <v>22</v>
      </c>
      <c r="WG21" s="431" t="s">
        <v>22</v>
      </c>
      <c r="WH21" s="410" t="s">
        <v>22</v>
      </c>
      <c r="WI21" s="410" t="s">
        <v>22</v>
      </c>
      <c r="WJ21" s="411" t="s">
        <v>22</v>
      </c>
      <c r="WK21" s="431" t="s">
        <v>22</v>
      </c>
      <c r="WL21" s="410" t="s">
        <v>22</v>
      </c>
      <c r="WM21" s="410" t="s">
        <v>22</v>
      </c>
      <c r="WN21" s="411" t="s">
        <v>22</v>
      </c>
      <c r="WO21" s="431" t="s">
        <v>22</v>
      </c>
      <c r="WP21" s="410" t="s">
        <v>22</v>
      </c>
      <c r="WQ21" s="410" t="s">
        <v>22</v>
      </c>
      <c r="WR21" s="411" t="s">
        <v>22</v>
      </c>
      <c r="WS21" s="431" t="s">
        <v>22</v>
      </c>
      <c r="WT21" s="411" t="s">
        <v>22</v>
      </c>
      <c r="WU21" s="431" t="s">
        <v>22</v>
      </c>
      <c r="WV21" s="411" t="s">
        <v>22</v>
      </c>
      <c r="WW21" s="431" t="s">
        <v>22</v>
      </c>
      <c r="WX21" s="411" t="s">
        <v>22</v>
      </c>
      <c r="WY21" s="431" t="s">
        <v>22</v>
      </c>
      <c r="WZ21" s="410" t="s">
        <v>22</v>
      </c>
      <c r="XA21" s="410" t="s">
        <v>22</v>
      </c>
      <c r="XB21" s="411" t="s">
        <v>22</v>
      </c>
      <c r="XC21" s="431" t="s">
        <v>22</v>
      </c>
      <c r="XD21" s="410" t="s">
        <v>22</v>
      </c>
      <c r="XE21" s="410" t="s">
        <v>22</v>
      </c>
      <c r="XF21" s="411" t="s">
        <v>22</v>
      </c>
      <c r="XG21" s="431" t="s">
        <v>22</v>
      </c>
      <c r="XH21" s="319" t="s">
        <v>2020</v>
      </c>
      <c r="XI21" s="431" t="str">
        <f ca="1">CHOOSE(WEEKDAY(DATE($A21,XH$43,XI$42),2),"Monday","Tuesday","Wednesday","Thursday","Friday","Saturday","Sunday")</f>
        <v>Friday</v>
      </c>
      <c r="XJ21" s="410" t="s">
        <v>22</v>
      </c>
      <c r="XK21" s="410" t="s">
        <v>22</v>
      </c>
      <c r="XL21" s="411" t="s">
        <v>22</v>
      </c>
      <c r="XM21" s="431" t="s">
        <v>22</v>
      </c>
      <c r="XN21" s="410" t="s">
        <v>22</v>
      </c>
      <c r="XO21" s="410" t="s">
        <v>22</v>
      </c>
      <c r="XP21" s="319" t="s">
        <v>1994</v>
      </c>
      <c r="XQ21" s="431" t="str">
        <f ca="1">CHOOSE(WEEKDAY(DATE($A21,XP$43,XQ$42),2),"Monday","Tuesday","Wednesday","Thursday","Friday","Saturday","Sunday")</f>
        <v>Tuesday</v>
      </c>
      <c r="XR21" s="410" t="s">
        <v>22</v>
      </c>
      <c r="XS21" s="410" t="s">
        <v>22</v>
      </c>
      <c r="XT21" s="411" t="s">
        <v>22</v>
      </c>
      <c r="XU21" s="431" t="s">
        <v>22</v>
      </c>
      <c r="XV21" s="411" t="s">
        <v>22</v>
      </c>
      <c r="XW21" s="431" t="s">
        <v>22</v>
      </c>
      <c r="XX21" s="411" t="s">
        <v>22</v>
      </c>
      <c r="XY21" s="431" t="s">
        <v>22</v>
      </c>
      <c r="XZ21" s="411" t="s">
        <v>22</v>
      </c>
      <c r="YA21" s="431" t="s">
        <v>22</v>
      </c>
      <c r="YB21" s="410" t="s">
        <v>22</v>
      </c>
      <c r="YC21" s="410" t="s">
        <v>22</v>
      </c>
      <c r="YD21" s="540" t="s">
        <v>2003</v>
      </c>
      <c r="YE21" s="431" t="str">
        <f ca="1">CHOOSE(WEEKDAY(DATE($A21,YD$43,YE$42),2),"Monday","Tuesday","Wednesday","Thursday","Friday","Saturday","Sunday")</f>
        <v>Tuesday</v>
      </c>
    </row>
    <row r="22" spans="1:655" ht="12.75" x14ac:dyDescent="0.2">
      <c r="A22" s="412"/>
      <c r="B22" s="417"/>
      <c r="C22" s="412"/>
      <c r="D22" s="417"/>
      <c r="E22" s="412"/>
      <c r="F22" s="402"/>
      <c r="G22" s="412"/>
      <c r="H22" s="417"/>
      <c r="I22" s="402"/>
      <c r="J22" s="417"/>
      <c r="K22" s="412"/>
      <c r="L22" s="402"/>
      <c r="M22" s="402"/>
      <c r="N22" s="417"/>
      <c r="O22" s="412"/>
      <c r="P22" s="402"/>
      <c r="Q22" s="402"/>
      <c r="R22" s="417"/>
      <c r="S22" s="412"/>
      <c r="T22" s="417"/>
      <c r="U22" s="412"/>
      <c r="V22" s="402"/>
      <c r="W22" s="402"/>
      <c r="X22" s="417"/>
      <c r="Y22" s="412"/>
      <c r="Z22" s="417"/>
      <c r="AA22" s="412"/>
      <c r="AB22" s="402"/>
      <c r="AC22" s="402"/>
      <c r="AD22" s="417"/>
      <c r="AE22" s="412"/>
      <c r="AF22" s="417"/>
      <c r="AG22" s="412"/>
      <c r="AH22" s="402"/>
      <c r="AI22" s="402"/>
      <c r="AJ22" s="417"/>
      <c r="AK22" s="412"/>
      <c r="AL22" s="402"/>
      <c r="AM22" s="402"/>
      <c r="AN22" s="417"/>
      <c r="AO22" s="412"/>
      <c r="AP22" s="402"/>
      <c r="AQ22" s="402"/>
      <c r="AR22" s="417"/>
      <c r="AS22" s="412"/>
      <c r="AT22" s="402"/>
      <c r="AU22" s="402"/>
      <c r="AV22" s="417"/>
      <c r="AW22" s="412"/>
      <c r="AX22" s="402"/>
      <c r="AY22" s="402"/>
      <c r="AZ22" s="417"/>
      <c r="BA22" s="412"/>
      <c r="BB22" s="402"/>
      <c r="BC22" s="402"/>
      <c r="BD22" s="417"/>
      <c r="BE22" s="412"/>
      <c r="BF22" s="417"/>
      <c r="BG22" s="412"/>
      <c r="BH22" s="402"/>
      <c r="BI22" s="402"/>
      <c r="BJ22" s="417"/>
      <c r="BK22" s="412"/>
      <c r="BL22" s="402"/>
      <c r="BM22" s="402"/>
      <c r="BN22" s="417"/>
      <c r="BO22" s="412"/>
      <c r="BP22" s="417"/>
      <c r="BQ22" s="412"/>
      <c r="BR22" s="402"/>
      <c r="BS22" s="402"/>
      <c r="BT22" s="417"/>
      <c r="BU22" s="412"/>
      <c r="BV22" s="417"/>
      <c r="BW22" s="412"/>
      <c r="BX22" s="402"/>
      <c r="BY22" s="402"/>
      <c r="BZ22" s="417"/>
      <c r="CA22" s="412"/>
      <c r="CB22" s="417"/>
      <c r="CC22" s="412"/>
      <c r="CD22" s="402"/>
      <c r="CE22" s="402"/>
      <c r="CF22" s="417"/>
      <c r="CG22" s="412"/>
      <c r="CH22" s="402"/>
      <c r="CI22" s="402"/>
      <c r="CJ22" s="417"/>
      <c r="CK22" s="412"/>
      <c r="CL22" s="402"/>
      <c r="CM22" s="402"/>
      <c r="CN22" s="417"/>
      <c r="CO22" s="412"/>
      <c r="CP22" s="402"/>
      <c r="CQ22" s="402"/>
      <c r="CR22" s="417"/>
      <c r="CS22" s="412"/>
      <c r="CT22" s="402"/>
      <c r="CU22" s="402"/>
      <c r="CV22" s="417"/>
      <c r="CW22" s="412"/>
      <c r="CX22" s="417"/>
      <c r="CY22" s="402"/>
      <c r="CZ22" s="417"/>
      <c r="DA22" s="402"/>
      <c r="DB22" s="417"/>
      <c r="DC22" s="412"/>
      <c r="DD22" s="402"/>
      <c r="DE22" s="402"/>
      <c r="DF22" s="417"/>
      <c r="DG22" s="412"/>
      <c r="DH22" s="402"/>
      <c r="DI22" s="402"/>
      <c r="DJ22" s="417"/>
      <c r="DK22" s="412"/>
      <c r="DL22" s="402"/>
      <c r="DM22" s="402"/>
      <c r="DN22" s="417"/>
      <c r="DO22" s="412"/>
      <c r="DP22" s="402"/>
      <c r="DQ22" s="402"/>
      <c r="DR22" s="417"/>
      <c r="DS22" s="412"/>
      <c r="DT22" s="402"/>
      <c r="DU22" s="402"/>
      <c r="DV22" s="417"/>
      <c r="DW22" s="412"/>
      <c r="DX22" s="402"/>
      <c r="DY22" s="402"/>
      <c r="DZ22" s="417"/>
      <c r="EA22" s="412"/>
      <c r="EB22" s="417"/>
      <c r="EC22" s="412"/>
      <c r="ED22" s="402"/>
      <c r="EE22" s="402"/>
      <c r="EF22" s="417"/>
      <c r="EG22" s="412"/>
      <c r="EH22" s="402"/>
      <c r="EI22" s="402"/>
      <c r="EJ22" s="417"/>
      <c r="EK22" s="412"/>
      <c r="EL22" s="402"/>
      <c r="EM22" s="402"/>
      <c r="EN22" s="417"/>
      <c r="EO22" s="412"/>
      <c r="EP22" s="402"/>
      <c r="EQ22" s="402"/>
      <c r="ER22" s="417"/>
      <c r="ES22" s="412"/>
      <c r="ET22" s="402"/>
      <c r="EU22" s="402"/>
      <c r="EV22" s="417"/>
      <c r="EW22" s="412"/>
      <c r="EX22" s="402"/>
      <c r="EY22" s="402"/>
      <c r="EZ22" s="417"/>
      <c r="FA22" s="412"/>
      <c r="FB22" s="417"/>
      <c r="FC22" s="412"/>
      <c r="FD22" s="417"/>
      <c r="FE22" s="412"/>
      <c r="FF22" s="402"/>
      <c r="FG22" s="402"/>
      <c r="FH22" s="417"/>
      <c r="FI22" s="412"/>
      <c r="FJ22" s="539" t="s">
        <v>1660</v>
      </c>
      <c r="FK22" s="412"/>
      <c r="FL22" s="417"/>
      <c r="FM22" s="412"/>
      <c r="FN22" s="402"/>
      <c r="FO22" s="402"/>
      <c r="FP22" s="417"/>
      <c r="FQ22" s="412"/>
      <c r="FR22" s="417"/>
      <c r="FS22" s="412"/>
      <c r="FT22" s="402"/>
      <c r="FU22" s="402"/>
      <c r="FV22" s="417"/>
      <c r="FW22" s="412"/>
      <c r="FX22" s="402"/>
      <c r="FY22" s="402"/>
      <c r="FZ22" s="417"/>
      <c r="GA22" s="412"/>
      <c r="GB22" s="417"/>
      <c r="GC22" s="412"/>
      <c r="GD22" s="417"/>
      <c r="GE22" s="412"/>
      <c r="GF22" s="417"/>
      <c r="GG22" s="412"/>
      <c r="GH22" s="417"/>
      <c r="GI22" s="412"/>
      <c r="GJ22" s="402"/>
      <c r="GK22" s="402"/>
      <c r="GL22" s="417"/>
      <c r="GM22" s="412"/>
      <c r="GN22" s="417"/>
      <c r="GO22" s="412"/>
      <c r="GP22" s="402"/>
      <c r="GQ22" s="402"/>
      <c r="GR22" s="417"/>
      <c r="GS22" s="412"/>
      <c r="GT22" s="417"/>
      <c r="GU22" s="412"/>
      <c r="GV22" s="417"/>
      <c r="GW22" s="412"/>
      <c r="GX22" s="417"/>
      <c r="GY22" s="412"/>
      <c r="GZ22" s="417"/>
      <c r="HA22" s="412"/>
      <c r="HB22" s="417"/>
      <c r="HC22" s="412"/>
      <c r="HD22" s="402"/>
      <c r="HE22" s="402"/>
      <c r="HF22" s="417"/>
      <c r="HG22" s="412"/>
      <c r="HH22" s="417"/>
      <c r="HI22" s="412"/>
      <c r="HJ22" s="402"/>
      <c r="HK22" s="402"/>
      <c r="HL22" s="417"/>
      <c r="HM22" s="412"/>
      <c r="HN22" s="417"/>
      <c r="HO22" s="412"/>
      <c r="HP22" s="402"/>
      <c r="HQ22" s="402"/>
      <c r="HR22" s="417"/>
      <c r="HS22" s="412"/>
      <c r="HT22" s="402"/>
      <c r="HU22" s="402"/>
      <c r="HV22" s="417"/>
      <c r="HW22" s="412"/>
      <c r="HX22" s="417"/>
      <c r="HY22" s="412"/>
      <c r="HZ22" s="402"/>
      <c r="IA22" s="402"/>
      <c r="IB22" s="417"/>
      <c r="IC22" s="412"/>
      <c r="ID22" s="402"/>
      <c r="IE22" s="402"/>
      <c r="IF22" s="417"/>
      <c r="IG22" s="412"/>
      <c r="IH22" s="402"/>
      <c r="II22" s="402"/>
      <c r="IJ22" s="417"/>
      <c r="IK22" s="412"/>
      <c r="IL22" s="417"/>
      <c r="IM22" s="412"/>
      <c r="IN22" s="417"/>
      <c r="IO22" s="412"/>
      <c r="IP22" s="417"/>
      <c r="IQ22" s="412"/>
      <c r="IR22" s="402"/>
      <c r="IS22" s="402"/>
      <c r="IT22" s="417"/>
      <c r="IU22" s="412"/>
      <c r="IV22" s="417"/>
      <c r="IW22" s="412"/>
      <c r="IX22" s="417"/>
      <c r="IY22" s="412"/>
      <c r="IZ22" s="402"/>
      <c r="JA22" s="402"/>
      <c r="JB22" s="417"/>
      <c r="JC22" s="412"/>
      <c r="JD22" s="402"/>
      <c r="JE22" s="402"/>
      <c r="JF22" s="417"/>
      <c r="JG22" s="412"/>
      <c r="JH22" s="417"/>
      <c r="JI22" s="412"/>
      <c r="JJ22" s="417"/>
      <c r="JK22" s="412"/>
      <c r="JL22" s="402"/>
      <c r="JM22" s="402"/>
      <c r="JN22" s="417"/>
      <c r="JO22" s="412"/>
      <c r="JP22" s="402"/>
      <c r="JQ22" s="402"/>
      <c r="JR22" s="417"/>
      <c r="JS22" s="412"/>
      <c r="JT22" s="402"/>
      <c r="JU22" s="402"/>
      <c r="JV22" s="417"/>
      <c r="JW22" s="412"/>
      <c r="JX22" s="402"/>
      <c r="JY22" s="402"/>
      <c r="JZ22" s="417"/>
      <c r="KA22" s="412"/>
      <c r="KB22" s="417"/>
      <c r="KC22" s="412"/>
      <c r="KD22" s="417"/>
      <c r="KE22" s="412"/>
      <c r="KF22" s="402"/>
      <c r="KG22" s="402"/>
      <c r="KH22" s="417"/>
      <c r="KI22" s="412"/>
      <c r="KJ22" s="417"/>
      <c r="KK22" s="412"/>
      <c r="KL22" s="417"/>
      <c r="KM22" s="412"/>
      <c r="KN22" s="402"/>
      <c r="KO22" s="402"/>
      <c r="KP22" s="417"/>
      <c r="KQ22" s="412"/>
      <c r="KR22" s="402"/>
      <c r="KS22" s="402"/>
      <c r="KT22" s="417"/>
      <c r="KU22" s="412"/>
      <c r="KV22" s="402"/>
      <c r="KW22" s="402"/>
      <c r="KX22" s="417"/>
      <c r="KY22" s="412"/>
      <c r="KZ22" s="402"/>
      <c r="LA22" s="402"/>
      <c r="LB22" s="417"/>
      <c r="LC22" s="412"/>
      <c r="LD22" s="402"/>
      <c r="LE22" s="402"/>
      <c r="LF22" s="417"/>
      <c r="LG22" s="412"/>
      <c r="LH22" s="402"/>
      <c r="LI22" s="402"/>
      <c r="LJ22" s="417"/>
      <c r="LK22" s="412"/>
      <c r="LL22" s="402"/>
      <c r="LM22" s="402"/>
      <c r="LN22" s="417"/>
      <c r="LO22" s="412"/>
      <c r="LP22" s="402"/>
      <c r="LQ22" s="402"/>
      <c r="LR22" s="417"/>
      <c r="LS22" s="412"/>
      <c r="LT22" s="402"/>
      <c r="LU22" s="402"/>
      <c r="LV22" s="417"/>
      <c r="LW22" s="412"/>
      <c r="LX22" s="402"/>
      <c r="LY22" s="402"/>
      <c r="LZ22" s="417"/>
      <c r="MA22" s="412"/>
      <c r="MB22" s="402"/>
      <c r="MC22" s="402"/>
      <c r="MD22" s="539" t="s">
        <v>2033</v>
      </c>
      <c r="ME22" s="412"/>
      <c r="MF22" s="402"/>
      <c r="MG22" s="402"/>
      <c r="MH22" s="417"/>
      <c r="MI22" s="412"/>
      <c r="MJ22" s="417"/>
      <c r="MK22" s="412"/>
      <c r="ML22" s="417"/>
      <c r="MM22" s="412"/>
      <c r="MN22" s="402"/>
      <c r="MO22" s="402"/>
      <c r="MP22" s="417"/>
      <c r="MQ22" s="412"/>
      <c r="MR22" s="402"/>
      <c r="MS22" s="402"/>
      <c r="MT22" s="417"/>
      <c r="MU22" s="412"/>
      <c r="MV22" s="402"/>
      <c r="MW22" s="402"/>
      <c r="MX22" s="417"/>
      <c r="MY22" s="412"/>
      <c r="MZ22" s="417"/>
      <c r="NA22" s="412"/>
      <c r="NB22" s="402"/>
      <c r="NC22" s="402"/>
      <c r="ND22" s="417"/>
      <c r="NE22" s="412"/>
      <c r="NF22" s="402"/>
      <c r="NG22" s="402"/>
      <c r="NH22" s="417"/>
      <c r="NI22" s="412"/>
      <c r="NJ22" s="402"/>
      <c r="NK22" s="402"/>
      <c r="NL22" s="417"/>
      <c r="NM22" s="412"/>
      <c r="NN22" s="417"/>
      <c r="NO22" s="412"/>
      <c r="NP22" s="402"/>
      <c r="NQ22" s="402"/>
      <c r="NR22" s="417"/>
      <c r="NS22" s="412"/>
      <c r="NT22" s="402"/>
      <c r="NU22" s="402"/>
      <c r="NV22" s="417"/>
      <c r="NW22" s="412"/>
      <c r="NX22" s="402"/>
      <c r="NY22" s="402"/>
      <c r="NZ22" s="417"/>
      <c r="OA22" s="412"/>
      <c r="OB22" s="402"/>
      <c r="OC22" s="402"/>
      <c r="OD22" s="417"/>
      <c r="OE22" s="412"/>
      <c r="OF22" s="402"/>
      <c r="OG22" s="402"/>
      <c r="OH22" s="417"/>
      <c r="OI22" s="412"/>
      <c r="OJ22" s="402"/>
      <c r="OK22" s="402"/>
      <c r="OL22" s="417"/>
      <c r="OM22" s="412"/>
      <c r="ON22" s="417"/>
      <c r="OO22" s="412"/>
      <c r="OP22" s="402"/>
      <c r="OQ22" s="402"/>
      <c r="OR22" s="417"/>
      <c r="OS22" s="412"/>
      <c r="OT22" s="417"/>
      <c r="OU22" s="412"/>
      <c r="OV22" s="402"/>
      <c r="OW22" s="402"/>
      <c r="OX22" s="417"/>
      <c r="OY22" s="412"/>
      <c r="OZ22" s="402"/>
      <c r="PA22" s="402"/>
      <c r="PB22" s="417"/>
      <c r="PC22" s="412"/>
      <c r="PD22" s="402"/>
      <c r="PE22" s="402"/>
      <c r="PF22" s="417"/>
      <c r="PG22" s="412"/>
      <c r="PH22" s="417"/>
      <c r="PI22" s="412"/>
      <c r="PJ22" s="417"/>
      <c r="PK22" s="412"/>
      <c r="PL22" s="402"/>
      <c r="PM22" s="402"/>
      <c r="PN22" s="417"/>
      <c r="PO22" s="412"/>
      <c r="PP22" s="402"/>
      <c r="PQ22" s="402"/>
      <c r="PR22" s="417"/>
      <c r="PS22" s="412"/>
      <c r="PT22" s="402"/>
      <c r="PU22" s="402"/>
      <c r="PV22" s="417"/>
      <c r="PW22" s="412"/>
      <c r="PX22" s="402"/>
      <c r="PY22" s="402"/>
      <c r="PZ22" s="417"/>
      <c r="QA22" s="412"/>
      <c r="QB22" s="402"/>
      <c r="QC22" s="402"/>
      <c r="QD22" s="417"/>
      <c r="QE22" s="412"/>
      <c r="QF22" s="402"/>
      <c r="QG22" s="402"/>
      <c r="QH22" s="417"/>
      <c r="QI22" s="412"/>
      <c r="QJ22" s="538" t="s">
        <v>1869</v>
      </c>
      <c r="QK22" s="402"/>
      <c r="QL22" s="417"/>
      <c r="QM22" s="412"/>
      <c r="QN22" s="402"/>
      <c r="QO22" s="402"/>
      <c r="QP22" s="417"/>
      <c r="QQ22" s="412"/>
      <c r="QR22" s="402"/>
      <c r="QS22" s="402"/>
      <c r="QT22" s="417"/>
      <c r="QU22" s="412"/>
      <c r="QV22" s="402"/>
      <c r="QW22" s="402"/>
      <c r="QX22" s="417"/>
      <c r="QY22" s="412"/>
      <c r="QZ22" s="402"/>
      <c r="RA22" s="412"/>
      <c r="RB22" s="402"/>
      <c r="RC22" s="412"/>
      <c r="RD22" s="402"/>
      <c r="RE22" s="402"/>
      <c r="RF22" s="417"/>
      <c r="RG22" s="412"/>
      <c r="RH22" s="402"/>
      <c r="RI22" s="402"/>
      <c r="RJ22" s="417"/>
      <c r="RK22" s="412"/>
      <c r="RL22" s="417"/>
      <c r="RM22" s="412"/>
      <c r="RN22" s="402"/>
      <c r="RO22" s="402"/>
      <c r="RP22" s="417"/>
      <c r="RQ22" s="412"/>
      <c r="RR22" s="402"/>
      <c r="RS22" s="402"/>
      <c r="RT22" s="417"/>
      <c r="RU22" s="412"/>
      <c r="RV22" s="402"/>
      <c r="RW22" s="402"/>
      <c r="RX22" s="417"/>
      <c r="RY22" s="412"/>
      <c r="RZ22" s="417"/>
      <c r="SA22" s="412"/>
      <c r="SB22" s="417"/>
      <c r="SC22" s="412"/>
      <c r="SD22" s="402"/>
      <c r="SE22" s="402"/>
      <c r="SF22" s="417"/>
      <c r="SG22" s="412"/>
      <c r="SH22" s="402"/>
      <c r="SI22" s="402"/>
      <c r="SJ22" s="417"/>
      <c r="SK22" s="412"/>
      <c r="SL22" s="417"/>
      <c r="SM22" s="412"/>
      <c r="SN22" s="402"/>
      <c r="SO22" s="402"/>
      <c r="SP22" s="417"/>
      <c r="SQ22" s="412"/>
      <c r="SR22" s="402"/>
      <c r="SS22" s="402"/>
      <c r="ST22" s="417"/>
      <c r="SU22" s="412"/>
      <c r="SV22" s="402"/>
      <c r="SW22" s="402"/>
      <c r="SX22" s="417"/>
      <c r="SY22" s="412"/>
      <c r="SZ22" s="402"/>
      <c r="TA22" s="402"/>
      <c r="TB22" s="417"/>
      <c r="TC22" s="412"/>
      <c r="TD22" s="402"/>
      <c r="TE22" s="402"/>
      <c r="TF22" s="417"/>
      <c r="TG22" s="412"/>
      <c r="TH22" s="402"/>
      <c r="TI22" s="412"/>
      <c r="TJ22" s="417"/>
      <c r="TK22" s="402"/>
      <c r="TL22" s="417"/>
      <c r="TM22" s="412"/>
      <c r="TN22" s="402"/>
      <c r="TO22" s="402"/>
      <c r="TP22" s="417"/>
      <c r="TQ22" s="412"/>
      <c r="TR22" s="402"/>
      <c r="TS22" s="402"/>
      <c r="TT22" s="417"/>
      <c r="TU22" s="412"/>
      <c r="TV22" s="417"/>
      <c r="TW22" s="412"/>
      <c r="TX22" s="417"/>
      <c r="TY22" s="412"/>
      <c r="TZ22" s="417"/>
      <c r="UA22" s="412"/>
      <c r="UB22" s="402"/>
      <c r="UC22" s="402"/>
      <c r="UD22" s="417"/>
      <c r="UE22" s="412"/>
      <c r="UF22" s="402"/>
      <c r="UG22" s="402"/>
      <c r="UH22" s="417"/>
      <c r="UI22" s="412"/>
      <c r="UJ22" s="417"/>
      <c r="UK22" s="412"/>
      <c r="UL22" s="402"/>
      <c r="UM22" s="402"/>
      <c r="UN22" s="417"/>
      <c r="UO22" s="412"/>
      <c r="UP22" s="402"/>
      <c r="UQ22" s="402"/>
      <c r="UR22" s="417"/>
      <c r="US22" s="412"/>
      <c r="UT22" s="417"/>
      <c r="UU22" s="412"/>
      <c r="UV22" s="402"/>
      <c r="UW22" s="402"/>
      <c r="UX22" s="417"/>
      <c r="UY22" s="412"/>
      <c r="UZ22" s="402"/>
      <c r="VA22" s="402"/>
      <c r="VB22" s="417"/>
      <c r="VC22" s="412"/>
      <c r="VD22" s="402"/>
      <c r="VE22" s="402"/>
      <c r="VF22" s="417"/>
      <c r="VG22" s="412"/>
      <c r="VH22" s="417"/>
      <c r="VI22" s="412"/>
      <c r="VJ22" s="402"/>
      <c r="VK22" s="402"/>
      <c r="VL22" s="417"/>
      <c r="VM22" s="412"/>
      <c r="VN22" s="402"/>
      <c r="VO22" s="402"/>
      <c r="VP22" s="417"/>
      <c r="VQ22" s="412"/>
      <c r="VR22" s="402"/>
      <c r="VS22" s="402"/>
      <c r="VT22" s="417"/>
      <c r="VU22" s="412"/>
      <c r="VV22" s="417"/>
      <c r="VW22" s="412"/>
      <c r="VX22" s="402"/>
      <c r="VY22" s="412"/>
      <c r="VZ22" s="417"/>
      <c r="WA22" s="412"/>
      <c r="WB22" s="417"/>
      <c r="WC22" s="412"/>
      <c r="WD22" s="402"/>
      <c r="WE22" s="402"/>
      <c r="WF22" s="417"/>
      <c r="WG22" s="412"/>
      <c r="WH22" s="402"/>
      <c r="WI22" s="402"/>
      <c r="WJ22" s="417"/>
      <c r="WK22" s="412"/>
      <c r="WL22" s="402"/>
      <c r="WM22" s="402"/>
      <c r="WN22" s="417"/>
      <c r="WO22" s="412"/>
      <c r="WP22" s="402"/>
      <c r="WQ22" s="402"/>
      <c r="WR22" s="417"/>
      <c r="WS22" s="412"/>
      <c r="WT22" s="417"/>
      <c r="WU22" s="412"/>
      <c r="WV22" s="417"/>
      <c r="WW22" s="412"/>
      <c r="WX22" s="417"/>
      <c r="WY22" s="412"/>
      <c r="WZ22" s="402"/>
      <c r="XA22" s="402"/>
      <c r="XB22" s="417"/>
      <c r="XC22" s="412"/>
      <c r="XD22" s="402"/>
      <c r="XE22" s="402"/>
      <c r="XF22" s="417"/>
      <c r="XG22" s="412"/>
      <c r="XH22" s="539" t="s">
        <v>2001</v>
      </c>
      <c r="XI22" s="412"/>
      <c r="XJ22" s="402"/>
      <c r="XK22" s="402"/>
      <c r="XL22" s="417"/>
      <c r="XM22" s="412"/>
      <c r="XN22" s="402"/>
      <c r="XO22" s="402"/>
      <c r="XP22" s="539" t="s">
        <v>2020</v>
      </c>
      <c r="XQ22" s="412"/>
      <c r="XR22" s="402"/>
      <c r="XS22" s="402"/>
      <c r="XT22" s="417"/>
      <c r="XU22" s="412"/>
      <c r="XV22" s="417"/>
      <c r="XW22" s="412"/>
      <c r="XX22" s="417"/>
      <c r="XY22" s="412"/>
      <c r="XZ22" s="417"/>
      <c r="YA22" s="412"/>
      <c r="YB22" s="402"/>
      <c r="YC22" s="402"/>
      <c r="YD22" s="417"/>
      <c r="YE22" s="412"/>
    </row>
    <row r="23" spans="1:655" ht="12.75" x14ac:dyDescent="0.2">
      <c r="A23" s="412"/>
      <c r="B23" s="417"/>
      <c r="C23" s="412"/>
      <c r="D23" s="417"/>
      <c r="E23" s="412"/>
      <c r="F23" s="402"/>
      <c r="G23" s="412"/>
      <c r="H23" s="417"/>
      <c r="I23" s="402"/>
      <c r="J23" s="417"/>
      <c r="K23" s="412"/>
      <c r="L23" s="402"/>
      <c r="M23" s="402"/>
      <c r="N23" s="417"/>
      <c r="O23" s="412"/>
      <c r="P23" s="402"/>
      <c r="Q23" s="402"/>
      <c r="R23" s="417"/>
      <c r="S23" s="412"/>
      <c r="T23" s="417"/>
      <c r="U23" s="412"/>
      <c r="V23" s="402"/>
      <c r="W23" s="402"/>
      <c r="X23" s="417"/>
      <c r="Y23" s="412"/>
      <c r="Z23" s="417"/>
      <c r="AA23" s="412"/>
      <c r="AB23" s="402"/>
      <c r="AC23" s="402"/>
      <c r="AD23" s="417"/>
      <c r="AE23" s="412"/>
      <c r="AF23" s="417"/>
      <c r="AG23" s="412"/>
      <c r="AH23" s="402"/>
      <c r="AI23" s="402"/>
      <c r="AJ23" s="417"/>
      <c r="AK23" s="412"/>
      <c r="AL23" s="402"/>
      <c r="AM23" s="402"/>
      <c r="AN23" s="417"/>
      <c r="AO23" s="412"/>
      <c r="AP23" s="402"/>
      <c r="AQ23" s="402"/>
      <c r="AR23" s="417"/>
      <c r="AS23" s="412"/>
      <c r="AT23" s="402"/>
      <c r="AU23" s="402"/>
      <c r="AV23" s="417"/>
      <c r="AW23" s="412"/>
      <c r="AX23" s="402"/>
      <c r="AY23" s="402"/>
      <c r="AZ23" s="417"/>
      <c r="BA23" s="412"/>
      <c r="BB23" s="402"/>
      <c r="BC23" s="402"/>
      <c r="BD23" s="417"/>
      <c r="BE23" s="412"/>
      <c r="BF23" s="417"/>
      <c r="BG23" s="412"/>
      <c r="BH23" s="402"/>
      <c r="BI23" s="402"/>
      <c r="BJ23" s="417"/>
      <c r="BK23" s="412"/>
      <c r="BL23" s="402"/>
      <c r="BM23" s="402"/>
      <c r="BN23" s="417"/>
      <c r="BO23" s="412"/>
      <c r="BP23" s="417"/>
      <c r="BQ23" s="412"/>
      <c r="BR23" s="402"/>
      <c r="BS23" s="402"/>
      <c r="BT23" s="417"/>
      <c r="BU23" s="412"/>
      <c r="BV23" s="417"/>
      <c r="BW23" s="412"/>
      <c r="BX23" s="402"/>
      <c r="BY23" s="402"/>
      <c r="BZ23" s="417"/>
      <c r="CA23" s="412"/>
      <c r="CB23" s="417"/>
      <c r="CC23" s="412"/>
      <c r="CD23" s="402"/>
      <c r="CE23" s="402"/>
      <c r="CF23" s="417"/>
      <c r="CG23" s="412"/>
      <c r="CH23" s="402"/>
      <c r="CI23" s="402"/>
      <c r="CJ23" s="417"/>
      <c r="CK23" s="412"/>
      <c r="CL23" s="402"/>
      <c r="CM23" s="402"/>
      <c r="CN23" s="417"/>
      <c r="CO23" s="412"/>
      <c r="CP23" s="402"/>
      <c r="CQ23" s="402"/>
      <c r="CR23" s="417"/>
      <c r="CS23" s="412"/>
      <c r="CT23" s="402"/>
      <c r="CU23" s="402"/>
      <c r="CV23" s="417"/>
      <c r="CW23" s="412"/>
      <c r="CX23" s="417"/>
      <c r="CY23" s="402"/>
      <c r="CZ23" s="417"/>
      <c r="DA23" s="402"/>
      <c r="DB23" s="417"/>
      <c r="DC23" s="412"/>
      <c r="DD23" s="402"/>
      <c r="DE23" s="402"/>
      <c r="DF23" s="417"/>
      <c r="DG23" s="412"/>
      <c r="DH23" s="402"/>
      <c r="DI23" s="402"/>
      <c r="DJ23" s="417"/>
      <c r="DK23" s="412"/>
      <c r="DL23" s="402"/>
      <c r="DM23" s="402"/>
      <c r="DN23" s="417"/>
      <c r="DO23" s="412"/>
      <c r="DP23" s="402"/>
      <c r="DQ23" s="402"/>
      <c r="DR23" s="417"/>
      <c r="DS23" s="412"/>
      <c r="DT23" s="402"/>
      <c r="DU23" s="402"/>
      <c r="DV23" s="417"/>
      <c r="DW23" s="412"/>
      <c r="DX23" s="402"/>
      <c r="DY23" s="402"/>
      <c r="DZ23" s="417"/>
      <c r="EA23" s="412"/>
      <c r="EB23" s="417"/>
      <c r="EC23" s="412"/>
      <c r="ED23" s="402"/>
      <c r="EE23" s="402"/>
      <c r="EF23" s="417"/>
      <c r="EG23" s="412"/>
      <c r="EH23" s="402"/>
      <c r="EI23" s="402"/>
      <c r="EJ23" s="417"/>
      <c r="EK23" s="412"/>
      <c r="EL23" s="402"/>
      <c r="EM23" s="402"/>
      <c r="EN23" s="417"/>
      <c r="EO23" s="412"/>
      <c r="EP23" s="402"/>
      <c r="EQ23" s="402"/>
      <c r="ER23" s="417"/>
      <c r="ES23" s="412"/>
      <c r="ET23" s="402"/>
      <c r="EU23" s="402"/>
      <c r="EV23" s="417"/>
      <c r="EW23" s="412"/>
      <c r="EX23" s="402"/>
      <c r="EY23" s="402"/>
      <c r="EZ23" s="417"/>
      <c r="FA23" s="412"/>
      <c r="FB23" s="417"/>
      <c r="FC23" s="412"/>
      <c r="FD23" s="417"/>
      <c r="FE23" s="412"/>
      <c r="FF23" s="402"/>
      <c r="FG23" s="402"/>
      <c r="FH23" s="417"/>
      <c r="FI23" s="412"/>
      <c r="FJ23" s="417"/>
      <c r="FK23" s="412"/>
      <c r="FL23" s="417"/>
      <c r="FM23" s="412"/>
      <c r="FN23" s="402"/>
      <c r="FO23" s="402"/>
      <c r="FP23" s="417"/>
      <c r="FQ23" s="412"/>
      <c r="FR23" s="417"/>
      <c r="FS23" s="412"/>
      <c r="FT23" s="402"/>
      <c r="FU23" s="402"/>
      <c r="FV23" s="417"/>
      <c r="FW23" s="412"/>
      <c r="FX23" s="402"/>
      <c r="FY23" s="402"/>
      <c r="FZ23" s="417"/>
      <c r="GA23" s="412"/>
      <c r="GB23" s="417"/>
      <c r="GC23" s="412"/>
      <c r="GD23" s="417"/>
      <c r="GE23" s="412"/>
      <c r="GF23" s="417"/>
      <c r="GG23" s="412"/>
      <c r="GH23" s="417"/>
      <c r="GI23" s="412"/>
      <c r="GJ23" s="402"/>
      <c r="GK23" s="402"/>
      <c r="GL23" s="417"/>
      <c r="GM23" s="412"/>
      <c r="GN23" s="417"/>
      <c r="GO23" s="412"/>
      <c r="GP23" s="402"/>
      <c r="GQ23" s="402"/>
      <c r="GR23" s="417"/>
      <c r="GS23" s="412"/>
      <c r="GT23" s="417"/>
      <c r="GU23" s="412"/>
      <c r="GV23" s="417"/>
      <c r="GW23" s="412"/>
      <c r="GX23" s="417"/>
      <c r="GY23" s="412"/>
      <c r="GZ23" s="417"/>
      <c r="HA23" s="412"/>
      <c r="HB23" s="417"/>
      <c r="HC23" s="412"/>
      <c r="HD23" s="402"/>
      <c r="HE23" s="402"/>
      <c r="HF23" s="417"/>
      <c r="HG23" s="412"/>
      <c r="HH23" s="417"/>
      <c r="HI23" s="412"/>
      <c r="HJ23" s="402"/>
      <c r="HK23" s="402"/>
      <c r="HL23" s="417"/>
      <c r="HM23" s="412"/>
      <c r="HN23" s="417"/>
      <c r="HO23" s="412"/>
      <c r="HP23" s="402"/>
      <c r="HQ23" s="402"/>
      <c r="HR23" s="417"/>
      <c r="HS23" s="412"/>
      <c r="HT23" s="402"/>
      <c r="HU23" s="402"/>
      <c r="HV23" s="417"/>
      <c r="HW23" s="412"/>
      <c r="HX23" s="417"/>
      <c r="HY23" s="412"/>
      <c r="HZ23" s="402"/>
      <c r="IA23" s="402"/>
      <c r="IB23" s="417"/>
      <c r="IC23" s="412"/>
      <c r="ID23" s="402"/>
      <c r="IE23" s="402"/>
      <c r="IF23" s="417"/>
      <c r="IG23" s="412"/>
      <c r="IH23" s="402"/>
      <c r="II23" s="402"/>
      <c r="IJ23" s="417"/>
      <c r="IK23" s="412"/>
      <c r="IL23" s="417"/>
      <c r="IM23" s="412"/>
      <c r="IN23" s="417"/>
      <c r="IO23" s="412"/>
      <c r="IP23" s="417"/>
      <c r="IQ23" s="412"/>
      <c r="IR23" s="402"/>
      <c r="IS23" s="402"/>
      <c r="IT23" s="417"/>
      <c r="IU23" s="412"/>
      <c r="IV23" s="417"/>
      <c r="IW23" s="412"/>
      <c r="IX23" s="417"/>
      <c r="IY23" s="412"/>
      <c r="IZ23" s="402"/>
      <c r="JA23" s="402"/>
      <c r="JB23" s="417"/>
      <c r="JC23" s="412"/>
      <c r="JD23" s="402"/>
      <c r="JE23" s="402"/>
      <c r="JF23" s="417"/>
      <c r="JG23" s="412"/>
      <c r="JH23" s="417"/>
      <c r="JI23" s="412"/>
      <c r="JJ23" s="417"/>
      <c r="JK23" s="412"/>
      <c r="JL23" s="402"/>
      <c r="JM23" s="402"/>
      <c r="JN23" s="417"/>
      <c r="JO23" s="412"/>
      <c r="JP23" s="402"/>
      <c r="JQ23" s="402"/>
      <c r="JR23" s="417"/>
      <c r="JS23" s="412"/>
      <c r="JT23" s="402"/>
      <c r="JU23" s="402"/>
      <c r="JV23" s="417"/>
      <c r="JW23" s="412"/>
      <c r="JX23" s="402"/>
      <c r="JY23" s="402"/>
      <c r="JZ23" s="417"/>
      <c r="KA23" s="412"/>
      <c r="KB23" s="417"/>
      <c r="KC23" s="412"/>
      <c r="KD23" s="417"/>
      <c r="KE23" s="412"/>
      <c r="KF23" s="402"/>
      <c r="KG23" s="402"/>
      <c r="KH23" s="417"/>
      <c r="KI23" s="412"/>
      <c r="KJ23" s="417"/>
      <c r="KK23" s="412"/>
      <c r="KL23" s="417"/>
      <c r="KM23" s="412"/>
      <c r="KN23" s="402"/>
      <c r="KO23" s="402"/>
      <c r="KP23" s="417"/>
      <c r="KQ23" s="412"/>
      <c r="KR23" s="402"/>
      <c r="KS23" s="402"/>
      <c r="KT23" s="417"/>
      <c r="KU23" s="412"/>
      <c r="KV23" s="402"/>
      <c r="KW23" s="402"/>
      <c r="KX23" s="417"/>
      <c r="KY23" s="412"/>
      <c r="KZ23" s="402"/>
      <c r="LA23" s="402"/>
      <c r="LB23" s="417"/>
      <c r="LC23" s="412"/>
      <c r="LD23" s="402"/>
      <c r="LE23" s="402"/>
      <c r="LF23" s="417"/>
      <c r="LG23" s="412"/>
      <c r="LH23" s="402"/>
      <c r="LI23" s="402"/>
      <c r="LJ23" s="417"/>
      <c r="LK23" s="412"/>
      <c r="LL23" s="402"/>
      <c r="LM23" s="402"/>
      <c r="LN23" s="417"/>
      <c r="LO23" s="412"/>
      <c r="LP23" s="402"/>
      <c r="LQ23" s="402"/>
      <c r="LR23" s="417"/>
      <c r="LS23" s="412"/>
      <c r="LT23" s="402"/>
      <c r="LU23" s="402"/>
      <c r="LV23" s="417"/>
      <c r="LW23" s="412"/>
      <c r="LX23" s="402"/>
      <c r="LY23" s="402"/>
      <c r="LZ23" s="417"/>
      <c r="MA23" s="412"/>
      <c r="MB23" s="402"/>
      <c r="MC23" s="402"/>
      <c r="MD23" s="417"/>
      <c r="ME23" s="412"/>
      <c r="MF23" s="402"/>
      <c r="MG23" s="402"/>
      <c r="MH23" s="417"/>
      <c r="MI23" s="412"/>
      <c r="MJ23" s="417"/>
      <c r="MK23" s="412"/>
      <c r="ML23" s="417"/>
      <c r="MM23" s="412"/>
      <c r="MN23" s="402"/>
      <c r="MO23" s="402"/>
      <c r="MP23" s="417"/>
      <c r="MQ23" s="412"/>
      <c r="MR23" s="402"/>
      <c r="MS23" s="402"/>
      <c r="MT23" s="417"/>
      <c r="MU23" s="412"/>
      <c r="MV23" s="402"/>
      <c r="MW23" s="402"/>
      <c r="MX23" s="417"/>
      <c r="MY23" s="412"/>
      <c r="MZ23" s="417"/>
      <c r="NA23" s="412"/>
      <c r="NB23" s="402"/>
      <c r="NC23" s="402"/>
      <c r="ND23" s="417"/>
      <c r="NE23" s="412"/>
      <c r="NF23" s="402"/>
      <c r="NG23" s="402"/>
      <c r="NH23" s="417"/>
      <c r="NI23" s="412"/>
      <c r="NJ23" s="402"/>
      <c r="NK23" s="402"/>
      <c r="NL23" s="417"/>
      <c r="NM23" s="412"/>
      <c r="NN23" s="417"/>
      <c r="NO23" s="412"/>
      <c r="NP23" s="402"/>
      <c r="NQ23" s="402"/>
      <c r="NR23" s="417"/>
      <c r="NS23" s="412"/>
      <c r="NT23" s="402"/>
      <c r="NU23" s="402"/>
      <c r="NV23" s="417"/>
      <c r="NW23" s="412"/>
      <c r="NX23" s="402"/>
      <c r="NY23" s="402"/>
      <c r="NZ23" s="417"/>
      <c r="OA23" s="412"/>
      <c r="OB23" s="402"/>
      <c r="OC23" s="402"/>
      <c r="OD23" s="417"/>
      <c r="OE23" s="412"/>
      <c r="OF23" s="402"/>
      <c r="OG23" s="402"/>
      <c r="OH23" s="417"/>
      <c r="OI23" s="412"/>
      <c r="OJ23" s="402"/>
      <c r="OK23" s="402"/>
      <c r="OL23" s="417"/>
      <c r="OM23" s="412"/>
      <c r="ON23" s="417"/>
      <c r="OO23" s="412"/>
      <c r="OP23" s="402"/>
      <c r="OQ23" s="402"/>
      <c r="OR23" s="417"/>
      <c r="OS23" s="412"/>
      <c r="OT23" s="417"/>
      <c r="OU23" s="412"/>
      <c r="OV23" s="402"/>
      <c r="OW23" s="402"/>
      <c r="OX23" s="417"/>
      <c r="OY23" s="412"/>
      <c r="OZ23" s="402"/>
      <c r="PA23" s="402"/>
      <c r="PB23" s="417"/>
      <c r="PC23" s="412"/>
      <c r="PD23" s="402"/>
      <c r="PE23" s="402"/>
      <c r="PF23" s="417"/>
      <c r="PG23" s="412"/>
      <c r="PH23" s="417"/>
      <c r="PI23" s="412"/>
      <c r="PJ23" s="417"/>
      <c r="PK23" s="412"/>
      <c r="PL23" s="402"/>
      <c r="PM23" s="402"/>
      <c r="PN23" s="417"/>
      <c r="PO23" s="412"/>
      <c r="PP23" s="402"/>
      <c r="PQ23" s="402"/>
      <c r="PR23" s="417"/>
      <c r="PS23" s="412"/>
      <c r="PT23" s="402"/>
      <c r="PU23" s="402"/>
      <c r="PV23" s="417"/>
      <c r="PW23" s="412"/>
      <c r="PX23" s="402"/>
      <c r="PY23" s="402"/>
      <c r="PZ23" s="417"/>
      <c r="QA23" s="412"/>
      <c r="QB23" s="402"/>
      <c r="QC23" s="402"/>
      <c r="QD23" s="417"/>
      <c r="QE23" s="412"/>
      <c r="QF23" s="402"/>
      <c r="QG23" s="402"/>
      <c r="QH23" s="417"/>
      <c r="QI23" s="412"/>
      <c r="QJ23" s="402"/>
      <c r="QK23" s="402"/>
      <c r="QL23" s="417"/>
      <c r="QM23" s="412"/>
      <c r="QN23" s="402"/>
      <c r="QO23" s="402"/>
      <c r="QP23" s="417"/>
      <c r="QQ23" s="412"/>
      <c r="QR23" s="402"/>
      <c r="QS23" s="402"/>
      <c r="QT23" s="417"/>
      <c r="QU23" s="412"/>
      <c r="QV23" s="402"/>
      <c r="QW23" s="402"/>
      <c r="QX23" s="417"/>
      <c r="QY23" s="412"/>
      <c r="QZ23" s="402"/>
      <c r="RA23" s="412"/>
      <c r="RB23" s="402"/>
      <c r="RC23" s="412"/>
      <c r="RD23" s="402"/>
      <c r="RE23" s="402"/>
      <c r="RF23" s="417"/>
      <c r="RG23" s="412"/>
      <c r="RH23" s="402"/>
      <c r="RI23" s="402"/>
      <c r="RJ23" s="417"/>
      <c r="RK23" s="412"/>
      <c r="RL23" s="417"/>
      <c r="RM23" s="412"/>
      <c r="RN23" s="402"/>
      <c r="RO23" s="402"/>
      <c r="RP23" s="417"/>
      <c r="RQ23" s="412"/>
      <c r="RR23" s="402"/>
      <c r="RS23" s="402"/>
      <c r="RT23" s="417"/>
      <c r="RU23" s="412"/>
      <c r="RV23" s="402"/>
      <c r="RW23" s="402"/>
      <c r="RX23" s="417"/>
      <c r="RY23" s="412"/>
      <c r="RZ23" s="417"/>
      <c r="SA23" s="412"/>
      <c r="SB23" s="417"/>
      <c r="SC23" s="412"/>
      <c r="SD23" s="402"/>
      <c r="SE23" s="402"/>
      <c r="SF23" s="417"/>
      <c r="SG23" s="412"/>
      <c r="SH23" s="402"/>
      <c r="SI23" s="402"/>
      <c r="SJ23" s="417"/>
      <c r="SK23" s="412"/>
      <c r="SL23" s="417"/>
      <c r="SM23" s="412"/>
      <c r="SN23" s="402"/>
      <c r="SO23" s="402"/>
      <c r="SP23" s="417"/>
      <c r="SQ23" s="412"/>
      <c r="SR23" s="402"/>
      <c r="SS23" s="402"/>
      <c r="ST23" s="417"/>
      <c r="SU23" s="412"/>
      <c r="SV23" s="402"/>
      <c r="SW23" s="402"/>
      <c r="SX23" s="417"/>
      <c r="SY23" s="412"/>
      <c r="SZ23" s="402"/>
      <c r="TA23" s="402"/>
      <c r="TB23" s="417"/>
      <c r="TC23" s="412"/>
      <c r="TD23" s="402"/>
      <c r="TE23" s="402"/>
      <c r="TF23" s="417"/>
      <c r="TG23" s="412"/>
      <c r="TH23" s="402"/>
      <c r="TI23" s="412"/>
      <c r="TJ23" s="417"/>
      <c r="TK23" s="402"/>
      <c r="TL23" s="417"/>
      <c r="TM23" s="412"/>
      <c r="TN23" s="402"/>
      <c r="TO23" s="402"/>
      <c r="TP23" s="417"/>
      <c r="TQ23" s="412"/>
      <c r="TR23" s="402"/>
      <c r="TS23" s="402"/>
      <c r="TT23" s="417"/>
      <c r="TU23" s="412"/>
      <c r="TV23" s="417"/>
      <c r="TW23" s="412"/>
      <c r="TX23" s="417"/>
      <c r="TY23" s="412"/>
      <c r="TZ23" s="417"/>
      <c r="UA23" s="412"/>
      <c r="UB23" s="402"/>
      <c r="UC23" s="402"/>
      <c r="UD23" s="417"/>
      <c r="UE23" s="412"/>
      <c r="UF23" s="402"/>
      <c r="UG23" s="402"/>
      <c r="UH23" s="417"/>
      <c r="UI23" s="412"/>
      <c r="UJ23" s="417"/>
      <c r="UK23" s="412"/>
      <c r="UL23" s="402"/>
      <c r="UM23" s="402"/>
      <c r="UN23" s="417"/>
      <c r="UO23" s="412"/>
      <c r="UP23" s="402"/>
      <c r="UQ23" s="402"/>
      <c r="UR23" s="417"/>
      <c r="US23" s="412"/>
      <c r="UT23" s="417"/>
      <c r="UU23" s="412"/>
      <c r="UV23" s="402"/>
      <c r="UW23" s="402"/>
      <c r="UX23" s="417"/>
      <c r="UY23" s="412"/>
      <c r="UZ23" s="402"/>
      <c r="VA23" s="402"/>
      <c r="VB23" s="417"/>
      <c r="VC23" s="412"/>
      <c r="VD23" s="402"/>
      <c r="VE23" s="402"/>
      <c r="VF23" s="417"/>
      <c r="VG23" s="412"/>
      <c r="VH23" s="417"/>
      <c r="VI23" s="412"/>
      <c r="VJ23" s="402"/>
      <c r="VK23" s="402"/>
      <c r="VL23" s="417"/>
      <c r="VM23" s="412"/>
      <c r="VN23" s="402"/>
      <c r="VO23" s="402"/>
      <c r="VP23" s="417"/>
      <c r="VQ23" s="412"/>
      <c r="VR23" s="402"/>
      <c r="VS23" s="402"/>
      <c r="VT23" s="417"/>
      <c r="VU23" s="412"/>
      <c r="VV23" s="417"/>
      <c r="VW23" s="412"/>
      <c r="VX23" s="402"/>
      <c r="VY23" s="412"/>
      <c r="VZ23" s="417"/>
      <c r="WA23" s="412"/>
      <c r="WB23" s="417"/>
      <c r="WC23" s="412"/>
      <c r="WD23" s="402"/>
      <c r="WE23" s="402"/>
      <c r="WF23" s="417"/>
      <c r="WG23" s="412"/>
      <c r="WH23" s="402"/>
      <c r="WI23" s="402"/>
      <c r="WJ23" s="417"/>
      <c r="WK23" s="412"/>
      <c r="WL23" s="402"/>
      <c r="WM23" s="402"/>
      <c r="WN23" s="417"/>
      <c r="WO23" s="412"/>
      <c r="WP23" s="402"/>
      <c r="WQ23" s="402"/>
      <c r="WR23" s="417"/>
      <c r="WS23" s="412"/>
      <c r="WT23" s="417"/>
      <c r="WU23" s="412"/>
      <c r="WV23" s="417"/>
      <c r="WW23" s="412"/>
      <c r="WX23" s="417"/>
      <c r="WY23" s="412"/>
      <c r="WZ23" s="402"/>
      <c r="XA23" s="402"/>
      <c r="XB23" s="417"/>
      <c r="XC23" s="412"/>
      <c r="XD23" s="402"/>
      <c r="XE23" s="402"/>
      <c r="XF23" s="417"/>
      <c r="XG23" s="412"/>
      <c r="XH23" s="417"/>
      <c r="XI23" s="412"/>
      <c r="XJ23" s="402"/>
      <c r="XK23" s="402"/>
      <c r="XL23" s="417"/>
      <c r="XM23" s="412"/>
      <c r="XN23" s="402"/>
      <c r="XO23" s="402"/>
      <c r="XP23" s="417"/>
      <c r="XQ23" s="412"/>
      <c r="XR23" s="402"/>
      <c r="XS23" s="402"/>
      <c r="XT23" s="417"/>
      <c r="XU23" s="412"/>
      <c r="XV23" s="417"/>
      <c r="XW23" s="412"/>
      <c r="XX23" s="417"/>
      <c r="XY23" s="412"/>
      <c r="XZ23" s="417"/>
      <c r="YA23" s="412"/>
      <c r="YB23" s="402"/>
      <c r="YC23" s="402"/>
      <c r="YD23" s="417"/>
      <c r="YE23" s="412"/>
    </row>
    <row r="24" spans="1:655" ht="30" x14ac:dyDescent="0.2">
      <c r="A24" s="430">
        <v>2020</v>
      </c>
      <c r="B24" s="457" t="s">
        <v>22</v>
      </c>
      <c r="C24" s="430" t="s">
        <v>22</v>
      </c>
      <c r="D24" s="457" t="s">
        <v>22</v>
      </c>
      <c r="E24" s="430" t="s">
        <v>22</v>
      </c>
      <c r="F24" s="422" t="s">
        <v>22</v>
      </c>
      <c r="G24" s="430" t="s">
        <v>22</v>
      </c>
      <c r="H24" s="457" t="s">
        <v>22</v>
      </c>
      <c r="I24" s="422" t="s">
        <v>22</v>
      </c>
      <c r="J24" s="457" t="s">
        <v>22</v>
      </c>
      <c r="K24" s="430" t="s">
        <v>22</v>
      </c>
      <c r="L24" s="422" t="s">
        <v>22</v>
      </c>
      <c r="M24" s="422" t="s">
        <v>22</v>
      </c>
      <c r="N24" s="457" t="s">
        <v>22</v>
      </c>
      <c r="O24" s="430" t="s">
        <v>22</v>
      </c>
      <c r="P24" s="422" t="s">
        <v>22</v>
      </c>
      <c r="Q24" s="422" t="s">
        <v>22</v>
      </c>
      <c r="R24" s="457" t="s">
        <v>22</v>
      </c>
      <c r="S24" s="430" t="s">
        <v>22</v>
      </c>
      <c r="T24" s="457" t="s">
        <v>22</v>
      </c>
      <c r="U24" s="430" t="s">
        <v>22</v>
      </c>
      <c r="V24" s="422" t="s">
        <v>22</v>
      </c>
      <c r="W24" s="422" t="s">
        <v>22</v>
      </c>
      <c r="X24" s="457" t="s">
        <v>22</v>
      </c>
      <c r="Y24" s="430" t="s">
        <v>22</v>
      </c>
      <c r="Z24" s="457" t="s">
        <v>22</v>
      </c>
      <c r="AA24" s="430" t="s">
        <v>22</v>
      </c>
      <c r="AB24" s="422" t="s">
        <v>22</v>
      </c>
      <c r="AC24" s="422" t="s">
        <v>22</v>
      </c>
      <c r="AD24" s="457" t="s">
        <v>22</v>
      </c>
      <c r="AE24" s="430" t="s">
        <v>22</v>
      </c>
      <c r="AF24" s="457" t="s">
        <v>22</v>
      </c>
      <c r="AG24" s="430" t="s">
        <v>22</v>
      </c>
      <c r="AH24" s="422" t="s">
        <v>22</v>
      </c>
      <c r="AI24" s="422" t="s">
        <v>22</v>
      </c>
      <c r="AJ24" s="530" t="s">
        <v>1585</v>
      </c>
      <c r="AK24" s="430" t="str">
        <f ca="1">CHOOSE(WEEKDAY(DATE($A24,AJ$43,AK$42),2),"Monday","Tuesday","Wednesday","Thursday","Friday","Saturday","Sunday")</f>
        <v>Thursday</v>
      </c>
      <c r="AL24" s="532" t="s">
        <v>1715</v>
      </c>
      <c r="AM24" s="422" t="str">
        <f ca="1">CHOOSE(WEEKDAY(DATE($A24,AL$43,AM$42),2),"Monday","Tuesday","Wednesday","Thursday","Friday","Saturday","Sunday")</f>
        <v>Friday</v>
      </c>
      <c r="AN24" s="457" t="s">
        <v>22</v>
      </c>
      <c r="AO24" s="430" t="s">
        <v>22</v>
      </c>
      <c r="AP24" s="422" t="s">
        <v>22</v>
      </c>
      <c r="AQ24" s="422" t="s">
        <v>22</v>
      </c>
      <c r="AR24" s="457" t="s">
        <v>22</v>
      </c>
      <c r="AS24" s="430" t="s">
        <v>22</v>
      </c>
      <c r="AT24" s="422" t="s">
        <v>22</v>
      </c>
      <c r="AU24" s="422" t="s">
        <v>22</v>
      </c>
      <c r="AV24" s="457" t="s">
        <v>22</v>
      </c>
      <c r="AW24" s="430" t="s">
        <v>22</v>
      </c>
      <c r="AX24" s="422" t="s">
        <v>22</v>
      </c>
      <c r="AY24" s="422" t="s">
        <v>22</v>
      </c>
      <c r="AZ24" s="457" t="s">
        <v>22</v>
      </c>
      <c r="BA24" s="430" t="s">
        <v>22</v>
      </c>
      <c r="BB24" s="422"/>
      <c r="BC24" s="422"/>
      <c r="BD24" s="457" t="s">
        <v>22</v>
      </c>
      <c r="BE24" s="430" t="s">
        <v>22</v>
      </c>
      <c r="BF24" s="457" t="s">
        <v>22</v>
      </c>
      <c r="BG24" s="430" t="s">
        <v>22</v>
      </c>
      <c r="BH24" s="422" t="s">
        <v>22</v>
      </c>
      <c r="BI24" s="422" t="s">
        <v>22</v>
      </c>
      <c r="BJ24" s="457" t="s">
        <v>22</v>
      </c>
      <c r="BK24" s="430" t="s">
        <v>22</v>
      </c>
      <c r="BL24" s="422" t="s">
        <v>22</v>
      </c>
      <c r="BM24" s="422" t="s">
        <v>22</v>
      </c>
      <c r="BN24" s="457" t="s">
        <v>22</v>
      </c>
      <c r="BO24" s="430" t="s">
        <v>22</v>
      </c>
      <c r="BP24" s="457" t="s">
        <v>22</v>
      </c>
      <c r="BQ24" s="430" t="s">
        <v>22</v>
      </c>
      <c r="BR24" s="422" t="s">
        <v>22</v>
      </c>
      <c r="BS24" s="422" t="s">
        <v>22</v>
      </c>
      <c r="BT24" s="457" t="s">
        <v>22</v>
      </c>
      <c r="BU24" s="430" t="s">
        <v>22</v>
      </c>
      <c r="BV24" s="457" t="s">
        <v>22</v>
      </c>
      <c r="BW24" s="430" t="s">
        <v>22</v>
      </c>
      <c r="BX24" s="422" t="s">
        <v>22</v>
      </c>
      <c r="BY24" s="422" t="s">
        <v>22</v>
      </c>
      <c r="BZ24" s="531" t="s">
        <v>1595</v>
      </c>
      <c r="CA24" s="430" t="str">
        <f ca="1">CHOOSE(WEEKDAY(DATE($A24,BZ$43,CA$42),2),"Monday","Tuesday","Wednesday","Thursday","Friday","Saturday","Sunday")</f>
        <v>Friday</v>
      </c>
      <c r="CB24" s="457" t="s">
        <v>22</v>
      </c>
      <c r="CC24" s="430" t="s">
        <v>22</v>
      </c>
      <c r="CD24" s="422" t="s">
        <v>22</v>
      </c>
      <c r="CE24" s="422" t="s">
        <v>22</v>
      </c>
      <c r="CF24" s="457" t="s">
        <v>22</v>
      </c>
      <c r="CG24" s="430" t="s">
        <v>22</v>
      </c>
      <c r="CH24" s="422" t="s">
        <v>22</v>
      </c>
      <c r="CI24" s="422" t="s">
        <v>22</v>
      </c>
      <c r="CJ24" s="457" t="s">
        <v>22</v>
      </c>
      <c r="CK24" s="430" t="s">
        <v>22</v>
      </c>
      <c r="CL24" s="422" t="s">
        <v>22</v>
      </c>
      <c r="CM24" s="422" t="s">
        <v>22</v>
      </c>
      <c r="CN24" s="530" t="s">
        <v>1611</v>
      </c>
      <c r="CO24" s="430" t="str">
        <f ca="1">CHOOSE(WEEKDAY(DATE($A24,CN$43,CO$42),2),"Monday","Tuesday","Wednesday","Thursday","Friday","Saturday","Sunday")</f>
        <v>Friday</v>
      </c>
      <c r="CP24" s="422" t="s">
        <v>22</v>
      </c>
      <c r="CQ24" s="422" t="s">
        <v>22</v>
      </c>
      <c r="CR24" s="457" t="s">
        <v>22</v>
      </c>
      <c r="CS24" s="430" t="s">
        <v>22</v>
      </c>
      <c r="CT24" s="422" t="s">
        <v>22</v>
      </c>
      <c r="CU24" s="422" t="s">
        <v>22</v>
      </c>
      <c r="CV24" s="457" t="s">
        <v>22</v>
      </c>
      <c r="CW24" s="430" t="s">
        <v>22</v>
      </c>
      <c r="CX24" s="457" t="s">
        <v>22</v>
      </c>
      <c r="CY24" s="422" t="s">
        <v>22</v>
      </c>
      <c r="CZ24" s="457" t="s">
        <v>22</v>
      </c>
      <c r="DA24" s="422" t="s">
        <v>22</v>
      </c>
      <c r="DB24" s="457" t="s">
        <v>22</v>
      </c>
      <c r="DC24" s="430" t="s">
        <v>22</v>
      </c>
      <c r="DD24" s="422" t="s">
        <v>22</v>
      </c>
      <c r="DE24" s="422" t="s">
        <v>22</v>
      </c>
      <c r="DF24" s="457" t="s">
        <v>22</v>
      </c>
      <c r="DG24" s="430" t="s">
        <v>22</v>
      </c>
      <c r="DH24" s="422" t="s">
        <v>22</v>
      </c>
      <c r="DI24" s="422" t="s">
        <v>22</v>
      </c>
      <c r="DJ24" s="457" t="s">
        <v>22</v>
      </c>
      <c r="DK24" s="430" t="s">
        <v>22</v>
      </c>
      <c r="DL24" s="532" t="s">
        <v>1627</v>
      </c>
      <c r="DM24" s="422" t="str">
        <f ca="1">CHOOSE(WEEKDAY(DATE($A24,DL$43,DM$42),2),"Monday","Tuesday","Wednesday","Thursday","Friday","Saturday","Sunday")</f>
        <v>Friday</v>
      </c>
      <c r="DN24" s="457" t="s">
        <v>22</v>
      </c>
      <c r="DO24" s="430" t="s">
        <v>22</v>
      </c>
      <c r="DP24" s="422" t="s">
        <v>22</v>
      </c>
      <c r="DQ24" s="422" t="s">
        <v>22</v>
      </c>
      <c r="DR24" s="457" t="s">
        <v>22</v>
      </c>
      <c r="DS24" s="430" t="s">
        <v>22</v>
      </c>
      <c r="DT24" s="422" t="s">
        <v>22</v>
      </c>
      <c r="DU24" s="422" t="s">
        <v>22</v>
      </c>
      <c r="DV24" s="457" t="s">
        <v>22</v>
      </c>
      <c r="DW24" s="430" t="s">
        <v>22</v>
      </c>
      <c r="DX24" s="422" t="s">
        <v>22</v>
      </c>
      <c r="DY24" s="422" t="s">
        <v>22</v>
      </c>
      <c r="DZ24" s="457" t="s">
        <v>22</v>
      </c>
      <c r="EA24" s="430" t="s">
        <v>22</v>
      </c>
      <c r="EB24" s="457" t="s">
        <v>22</v>
      </c>
      <c r="EC24" s="430" t="s">
        <v>22</v>
      </c>
      <c r="ED24" s="422" t="s">
        <v>22</v>
      </c>
      <c r="EE24" s="422" t="s">
        <v>22</v>
      </c>
      <c r="EF24" s="457" t="s">
        <v>22</v>
      </c>
      <c r="EG24" s="430" t="s">
        <v>22</v>
      </c>
      <c r="EH24" s="422" t="s">
        <v>22</v>
      </c>
      <c r="EI24" s="422" t="s">
        <v>22</v>
      </c>
      <c r="EJ24" s="327" t="s">
        <v>1644</v>
      </c>
      <c r="EK24" s="430" t="str">
        <f ca="1">CHOOSE(WEEKDAY(DATE($A24,EJ$43,EK$42),2),"Monday","Tuesday","Wednesday","Thursday","Friday","Saturday","Sunday")</f>
        <v>Thursday</v>
      </c>
      <c r="EL24" s="422" t="s">
        <v>22</v>
      </c>
      <c r="EM24" s="422" t="s">
        <v>22</v>
      </c>
      <c r="EN24" s="457" t="s">
        <v>22</v>
      </c>
      <c r="EO24" s="430" t="s">
        <v>22</v>
      </c>
      <c r="EP24" s="422" t="s">
        <v>22</v>
      </c>
      <c r="EQ24" s="422" t="s">
        <v>22</v>
      </c>
      <c r="ER24" s="457" t="s">
        <v>22</v>
      </c>
      <c r="ES24" s="430" t="s">
        <v>22</v>
      </c>
      <c r="ET24" s="422" t="s">
        <v>22</v>
      </c>
      <c r="EU24" s="422" t="s">
        <v>22</v>
      </c>
      <c r="EV24" s="457" t="s">
        <v>22</v>
      </c>
      <c r="EW24" s="430" t="s">
        <v>22</v>
      </c>
      <c r="EX24" s="422" t="s">
        <v>22</v>
      </c>
      <c r="EY24" s="422" t="s">
        <v>22</v>
      </c>
      <c r="EZ24" s="457" t="s">
        <v>22</v>
      </c>
      <c r="FA24" s="430" t="s">
        <v>22</v>
      </c>
      <c r="FB24" s="457" t="s">
        <v>22</v>
      </c>
      <c r="FC24" s="430" t="s">
        <v>22</v>
      </c>
      <c r="FD24" s="457" t="s">
        <v>22</v>
      </c>
      <c r="FE24" s="430" t="s">
        <v>22</v>
      </c>
      <c r="FF24" s="422" t="s">
        <v>22</v>
      </c>
      <c r="FG24" s="422" t="s">
        <v>22</v>
      </c>
      <c r="FH24" s="457" t="s">
        <v>22</v>
      </c>
      <c r="FI24" s="430" t="s">
        <v>22</v>
      </c>
      <c r="FJ24" s="530" t="s">
        <v>1660</v>
      </c>
      <c r="FK24" s="430" t="str">
        <f ca="1">CHOOSE(WEEKDAY(DATE($A24,FJ$43,FK$42),2),"Monday","Tuesday","Wednesday","Thursday","Friday","Saturday","Sunday")</f>
        <v>Wednesday</v>
      </c>
      <c r="FL24" s="457" t="s">
        <v>22</v>
      </c>
      <c r="FM24" s="430" t="s">
        <v>22</v>
      </c>
      <c r="FN24" s="422" t="s">
        <v>22</v>
      </c>
      <c r="FO24" s="422" t="s">
        <v>22</v>
      </c>
      <c r="FP24" s="457" t="s">
        <v>22</v>
      </c>
      <c r="FQ24" s="430" t="s">
        <v>22</v>
      </c>
      <c r="FR24" s="457" t="s">
        <v>22</v>
      </c>
      <c r="FS24" s="430" t="s">
        <v>22</v>
      </c>
      <c r="FT24" s="422" t="s">
        <v>22</v>
      </c>
      <c r="FU24" s="422" t="s">
        <v>22</v>
      </c>
      <c r="FV24" s="457" t="s">
        <v>22</v>
      </c>
      <c r="FW24" s="430" t="s">
        <v>22</v>
      </c>
      <c r="FX24" s="422" t="s">
        <v>22</v>
      </c>
      <c r="FY24" s="422" t="s">
        <v>22</v>
      </c>
      <c r="FZ24" s="530" t="s">
        <v>2015</v>
      </c>
      <c r="GA24" s="430" t="str">
        <f ca="1">CHOOSE(WEEKDAY(DATE($A24,FZ$43,GA$42),2),"Monday","Tuesday","Wednesday","Thursday","Friday","Saturday","Sunday")</f>
        <v>Saturday</v>
      </c>
      <c r="GB24" s="422" t="s">
        <v>22</v>
      </c>
      <c r="GC24" s="422" t="s">
        <v>22</v>
      </c>
      <c r="GD24" s="457" t="s">
        <v>22</v>
      </c>
      <c r="GE24" s="430" t="s">
        <v>22</v>
      </c>
      <c r="GF24" s="457" t="s">
        <v>22</v>
      </c>
      <c r="GG24" s="430" t="s">
        <v>22</v>
      </c>
      <c r="GH24" s="457" t="s">
        <v>22</v>
      </c>
      <c r="GI24" s="430" t="s">
        <v>22</v>
      </c>
      <c r="GJ24" s="422" t="s">
        <v>22</v>
      </c>
      <c r="GK24" s="422" t="s">
        <v>22</v>
      </c>
      <c r="GL24" s="457" t="s">
        <v>22</v>
      </c>
      <c r="GM24" s="430" t="s">
        <v>22</v>
      </c>
      <c r="GN24" s="457" t="s">
        <v>22</v>
      </c>
      <c r="GO24" s="430" t="s">
        <v>22</v>
      </c>
      <c r="GP24" s="422" t="s">
        <v>22</v>
      </c>
      <c r="GQ24" s="422" t="s">
        <v>22</v>
      </c>
      <c r="GR24" s="457" t="s">
        <v>22</v>
      </c>
      <c r="GS24" s="430" t="s">
        <v>22</v>
      </c>
      <c r="GT24" s="457" t="s">
        <v>22</v>
      </c>
      <c r="GU24" s="430" t="s">
        <v>22</v>
      </c>
      <c r="GV24" s="457" t="s">
        <v>22</v>
      </c>
      <c r="GW24" s="430" t="s">
        <v>22</v>
      </c>
      <c r="GX24" s="457" t="s">
        <v>22</v>
      </c>
      <c r="GY24" s="430" t="s">
        <v>22</v>
      </c>
      <c r="GZ24" s="457" t="s">
        <v>22</v>
      </c>
      <c r="HA24" s="430" t="s">
        <v>22</v>
      </c>
      <c r="HB24" s="457" t="s">
        <v>22</v>
      </c>
      <c r="HC24" s="430" t="s">
        <v>22</v>
      </c>
      <c r="HD24" s="422" t="s">
        <v>22</v>
      </c>
      <c r="HE24" s="422" t="s">
        <v>22</v>
      </c>
      <c r="HF24" s="327" t="s">
        <v>2040</v>
      </c>
      <c r="HG24" s="430" t="str">
        <f ca="1">CHOOSE(WEEKDAY(DATE($A24,HF$43,HG$42),2),"Monday","Tuesday","Wednesday","Thursday","Friday","Saturday","Sunday")</f>
        <v>Friday</v>
      </c>
      <c r="HH24" s="457" t="s">
        <v>22</v>
      </c>
      <c r="HI24" s="430" t="s">
        <v>22</v>
      </c>
      <c r="HJ24" s="422" t="s">
        <v>22</v>
      </c>
      <c r="HK24" s="422" t="s">
        <v>22</v>
      </c>
      <c r="HL24" s="457" t="s">
        <v>22</v>
      </c>
      <c r="HM24" s="430" t="s">
        <v>22</v>
      </c>
      <c r="HN24" s="457" t="s">
        <v>22</v>
      </c>
      <c r="HO24" s="430" t="s">
        <v>22</v>
      </c>
      <c r="HP24" s="422" t="s">
        <v>22</v>
      </c>
      <c r="HQ24" s="422" t="s">
        <v>22</v>
      </c>
      <c r="HR24" s="530" t="s">
        <v>1711</v>
      </c>
      <c r="HS24" s="430" t="str">
        <f ca="1">CHOOSE(WEEKDAY(DATE($A24,HR$43,HS$42),2),"Monday","Tuesday","Wednesday","Thursday","Friday","Saturday","Sunday")</f>
        <v>Thursday</v>
      </c>
      <c r="HT24" s="422" t="s">
        <v>22</v>
      </c>
      <c r="HU24" s="422" t="s">
        <v>22</v>
      </c>
      <c r="HV24" s="457" t="s">
        <v>22</v>
      </c>
      <c r="HW24" s="430" t="s">
        <v>22</v>
      </c>
      <c r="HX24" s="457" t="s">
        <v>22</v>
      </c>
      <c r="HY24" s="430" t="s">
        <v>22</v>
      </c>
      <c r="HZ24" s="422" t="s">
        <v>22</v>
      </c>
      <c r="IA24" s="422" t="s">
        <v>22</v>
      </c>
      <c r="IB24" s="457" t="s">
        <v>22</v>
      </c>
      <c r="IC24" s="430" t="s">
        <v>22</v>
      </c>
      <c r="ID24" s="422" t="s">
        <v>22</v>
      </c>
      <c r="IE24" s="422" t="s">
        <v>22</v>
      </c>
      <c r="IF24" s="457" t="s">
        <v>22</v>
      </c>
      <c r="IG24" s="430" t="s">
        <v>22</v>
      </c>
      <c r="IH24" s="422" t="s">
        <v>22</v>
      </c>
      <c r="II24" s="422" t="s">
        <v>22</v>
      </c>
      <c r="IJ24" s="457" t="s">
        <v>22</v>
      </c>
      <c r="IK24" s="430" t="s">
        <v>22</v>
      </c>
      <c r="IL24" s="457" t="s">
        <v>22</v>
      </c>
      <c r="IM24" s="430" t="s">
        <v>22</v>
      </c>
      <c r="IN24" s="457" t="s">
        <v>22</v>
      </c>
      <c r="IO24" s="430" t="s">
        <v>22</v>
      </c>
      <c r="IP24" s="457" t="s">
        <v>22</v>
      </c>
      <c r="IQ24" s="430" t="s">
        <v>22</v>
      </c>
      <c r="IR24" s="422" t="s">
        <v>22</v>
      </c>
      <c r="IS24" s="422" t="s">
        <v>22</v>
      </c>
      <c r="IT24" s="457" t="s">
        <v>22</v>
      </c>
      <c r="IU24" s="430" t="s">
        <v>22</v>
      </c>
      <c r="IV24" s="457" t="s">
        <v>22</v>
      </c>
      <c r="IW24" s="430" t="s">
        <v>22</v>
      </c>
      <c r="IX24" s="457" t="s">
        <v>22</v>
      </c>
      <c r="IY24" s="430" t="s">
        <v>22</v>
      </c>
      <c r="IZ24" s="422" t="s">
        <v>22</v>
      </c>
      <c r="JA24" s="422" t="s">
        <v>22</v>
      </c>
      <c r="JB24" s="457" t="s">
        <v>22</v>
      </c>
      <c r="JC24" s="430" t="s">
        <v>22</v>
      </c>
      <c r="JD24" s="422" t="s">
        <v>22</v>
      </c>
      <c r="JE24" s="422" t="s">
        <v>22</v>
      </c>
      <c r="JF24" s="457" t="s">
        <v>22</v>
      </c>
      <c r="JG24" s="430" t="s">
        <v>22</v>
      </c>
      <c r="JH24" s="457" t="s">
        <v>22</v>
      </c>
      <c r="JI24" s="430" t="s">
        <v>22</v>
      </c>
      <c r="JJ24" s="457" t="s">
        <v>22</v>
      </c>
      <c r="JK24" s="430" t="s">
        <v>22</v>
      </c>
      <c r="JL24" s="422" t="s">
        <v>22</v>
      </c>
      <c r="JM24" s="422" t="s">
        <v>22</v>
      </c>
      <c r="JN24" s="457" t="s">
        <v>22</v>
      </c>
      <c r="JO24" s="430" t="s">
        <v>22</v>
      </c>
      <c r="JP24" s="422" t="s">
        <v>22</v>
      </c>
      <c r="JQ24" s="422" t="s">
        <v>22</v>
      </c>
      <c r="JR24" s="530" t="s">
        <v>2006</v>
      </c>
      <c r="JS24" s="430" t="str">
        <f ca="1">CHOOSE(WEEKDAY(DATE($A24,JR$43,JS$42),2),"Monday","Tuesday","Wednesday","Thursday","Friday","Saturday","Sunday")</f>
        <v>Friday</v>
      </c>
      <c r="JT24" s="422" t="s">
        <v>22</v>
      </c>
      <c r="JU24" s="422" t="s">
        <v>22</v>
      </c>
      <c r="JV24" s="457" t="s">
        <v>22</v>
      </c>
      <c r="JW24" s="430" t="s">
        <v>22</v>
      </c>
      <c r="JX24" s="422" t="s">
        <v>22</v>
      </c>
      <c r="JY24" s="422" t="s">
        <v>22</v>
      </c>
      <c r="JZ24" s="457" t="s">
        <v>22</v>
      </c>
      <c r="KA24" s="430" t="s">
        <v>22</v>
      </c>
      <c r="KB24" s="457" t="s">
        <v>22</v>
      </c>
      <c r="KC24" s="430" t="s">
        <v>22</v>
      </c>
      <c r="KD24" s="530" t="s">
        <v>1752</v>
      </c>
      <c r="KE24" s="430" t="str">
        <f ca="1">CHOOSE(WEEKDAY(DATE($A24,KD$43,KE$42),2),"Monday","Tuesday","Wednesday","Thursday","Friday","Saturday","Sunday")</f>
        <v>Friday</v>
      </c>
      <c r="KF24" s="422" t="s">
        <v>22</v>
      </c>
      <c r="KG24" s="422" t="s">
        <v>22</v>
      </c>
      <c r="KH24" s="457" t="s">
        <v>22</v>
      </c>
      <c r="KI24" s="430" t="s">
        <v>22</v>
      </c>
      <c r="KJ24" s="457" t="s">
        <v>22</v>
      </c>
      <c r="KK24" s="430" t="s">
        <v>22</v>
      </c>
      <c r="KL24" s="457" t="s">
        <v>22</v>
      </c>
      <c r="KM24" s="430" t="s">
        <v>22</v>
      </c>
      <c r="KN24" s="422" t="s">
        <v>22</v>
      </c>
      <c r="KO24" s="422" t="s">
        <v>22</v>
      </c>
      <c r="KP24" s="530" t="s">
        <v>1761</v>
      </c>
      <c r="KQ24" s="430" t="str">
        <f ca="1">CHOOSE(WEEKDAY(DATE($A24,KP$43,KQ$42),2),"Monday","Tuesday","Wednesday","Thursday","Friday","Saturday","Sunday")</f>
        <v>Friday</v>
      </c>
      <c r="KR24" s="422" t="s">
        <v>22</v>
      </c>
      <c r="KS24" s="422" t="s">
        <v>22</v>
      </c>
      <c r="KT24" s="457" t="s">
        <v>22</v>
      </c>
      <c r="KU24" s="430" t="s">
        <v>22</v>
      </c>
      <c r="KV24" s="422" t="s">
        <v>22</v>
      </c>
      <c r="KW24" s="422" t="s">
        <v>22</v>
      </c>
      <c r="KX24" s="457" t="s">
        <v>22</v>
      </c>
      <c r="KY24" s="430" t="s">
        <v>22</v>
      </c>
      <c r="KZ24" s="422" t="s">
        <v>22</v>
      </c>
      <c r="LA24" s="422" t="s">
        <v>22</v>
      </c>
      <c r="LB24" s="457" t="s">
        <v>22</v>
      </c>
      <c r="LC24" s="430" t="s">
        <v>22</v>
      </c>
      <c r="LD24" s="422" t="s">
        <v>22</v>
      </c>
      <c r="LE24" s="422" t="s">
        <v>22</v>
      </c>
      <c r="LF24" s="457" t="s">
        <v>22</v>
      </c>
      <c r="LG24" s="430" t="s">
        <v>22</v>
      </c>
      <c r="LH24" s="532" t="s">
        <v>1715</v>
      </c>
      <c r="LI24" s="422" t="str">
        <f ca="1">CHOOSE(WEEKDAY(DATE($A24,LH$43,LI$42),2),"Monday","Tuesday","Wednesday","Thursday","Friday","Saturday","Sunday")</f>
        <v>Tuesday</v>
      </c>
      <c r="LJ24" s="457" t="s">
        <v>22</v>
      </c>
      <c r="LK24" s="430" t="s">
        <v>22</v>
      </c>
      <c r="LL24" s="422" t="s">
        <v>22</v>
      </c>
      <c r="LM24" s="422" t="s">
        <v>22</v>
      </c>
      <c r="LN24" s="530" t="s">
        <v>1788</v>
      </c>
      <c r="LO24" s="430" t="str">
        <f ca="1">CHOOSE(WEEKDAY(DATE($A24,LN$43,LO$42),2),"Monday","Tuesday","Wednesday","Thursday","Friday","Saturday","Sunday")</f>
        <v>Friday</v>
      </c>
      <c r="LP24" s="422" t="s">
        <v>22</v>
      </c>
      <c r="LQ24" s="422" t="s">
        <v>22</v>
      </c>
      <c r="LR24" s="457" t="s">
        <v>22</v>
      </c>
      <c r="LS24" s="430" t="s">
        <v>22</v>
      </c>
      <c r="LT24" s="422" t="s">
        <v>22</v>
      </c>
      <c r="LU24" s="422" t="s">
        <v>22</v>
      </c>
      <c r="LV24" s="457" t="s">
        <v>22</v>
      </c>
      <c r="LW24" s="430" t="s">
        <v>22</v>
      </c>
      <c r="LX24" s="422" t="s">
        <v>22</v>
      </c>
      <c r="LY24" s="422" t="s">
        <v>22</v>
      </c>
      <c r="LZ24" s="457" t="s">
        <v>22</v>
      </c>
      <c r="MA24" s="430" t="s">
        <v>22</v>
      </c>
      <c r="MB24" s="422" t="s">
        <v>22</v>
      </c>
      <c r="MC24" s="422" t="s">
        <v>22</v>
      </c>
      <c r="MD24" s="457" t="s">
        <v>22</v>
      </c>
      <c r="ME24" s="430" t="s">
        <v>22</v>
      </c>
      <c r="MF24" s="422" t="s">
        <v>22</v>
      </c>
      <c r="MG24" s="422" t="s">
        <v>22</v>
      </c>
      <c r="MH24" s="531" t="s">
        <v>1805</v>
      </c>
      <c r="MI24" s="430" t="str">
        <f ca="1">CHOOSE(WEEKDAY(DATE($A24,MH$43,MI$42),2),"Monday","Tuesday","Wednesday","Thursday","Friday","Saturday","Sunday")</f>
        <v>Tuesday</v>
      </c>
      <c r="MJ24" s="457" t="s">
        <v>22</v>
      </c>
      <c r="MK24" s="430" t="s">
        <v>22</v>
      </c>
      <c r="ML24" s="457" t="s">
        <v>22</v>
      </c>
      <c r="MM24" s="430" t="s">
        <v>22</v>
      </c>
      <c r="MN24" s="422" t="s">
        <v>22</v>
      </c>
      <c r="MO24" s="422" t="s">
        <v>22</v>
      </c>
      <c r="MP24" s="457" t="s">
        <v>22</v>
      </c>
      <c r="MQ24" s="430" t="s">
        <v>22</v>
      </c>
      <c r="MR24" s="422" t="s">
        <v>22</v>
      </c>
      <c r="MS24" s="422" t="s">
        <v>22</v>
      </c>
      <c r="MT24" s="457" t="s">
        <v>22</v>
      </c>
      <c r="MU24" s="430" t="s">
        <v>22</v>
      </c>
      <c r="MV24" s="422" t="s">
        <v>22</v>
      </c>
      <c r="MW24" s="422" t="s">
        <v>22</v>
      </c>
      <c r="MX24" s="457" t="s">
        <v>22</v>
      </c>
      <c r="MY24" s="430" t="s">
        <v>22</v>
      </c>
      <c r="MZ24" s="457" t="s">
        <v>22</v>
      </c>
      <c r="NA24" s="430" t="s">
        <v>22</v>
      </c>
      <c r="NB24" s="532" t="s">
        <v>1813</v>
      </c>
      <c r="NC24" s="422" t="str">
        <f ca="1">CHOOSE(WEEKDAY(DATE($A24,NB$43,NC$42),2),"Monday","Tuesday","Wednesday","Thursday","Friday","Saturday","Sunday")</f>
        <v>Friday</v>
      </c>
      <c r="ND24" s="457" t="s">
        <v>22</v>
      </c>
      <c r="NE24" s="430" t="s">
        <v>22</v>
      </c>
      <c r="NF24" s="422" t="s">
        <v>22</v>
      </c>
      <c r="NG24" s="422" t="s">
        <v>22</v>
      </c>
      <c r="NH24" s="457" t="s">
        <v>22</v>
      </c>
      <c r="NI24" s="430" t="s">
        <v>22</v>
      </c>
      <c r="NJ24" s="422" t="s">
        <v>22</v>
      </c>
      <c r="NK24" s="422" t="s">
        <v>22</v>
      </c>
      <c r="NL24" s="457" t="s">
        <v>22</v>
      </c>
      <c r="NM24" s="430" t="s">
        <v>22</v>
      </c>
      <c r="NN24" s="457" t="s">
        <v>22</v>
      </c>
      <c r="NO24" s="430" t="s">
        <v>22</v>
      </c>
      <c r="NP24" s="457" t="s">
        <v>22</v>
      </c>
      <c r="NQ24" s="430" t="s">
        <v>22</v>
      </c>
      <c r="NR24" s="530" t="s">
        <v>2037</v>
      </c>
      <c r="NS24" s="430" t="str">
        <f ca="1">CHOOSE(WEEKDAY(DATE($A24,NR$43,NS$42),2),"Monday","Tuesday","Wednesday","Thursday","Friday","Saturday","Sunday")</f>
        <v>Saturday</v>
      </c>
      <c r="NT24" s="422" t="s">
        <v>22</v>
      </c>
      <c r="NU24" s="422" t="s">
        <v>22</v>
      </c>
      <c r="NV24" s="457" t="s">
        <v>22</v>
      </c>
      <c r="NW24" s="430" t="s">
        <v>22</v>
      </c>
      <c r="NX24" s="422" t="s">
        <v>22</v>
      </c>
      <c r="NY24" s="422" t="s">
        <v>22</v>
      </c>
      <c r="NZ24" s="457" t="s">
        <v>22</v>
      </c>
      <c r="OA24" s="430" t="s">
        <v>22</v>
      </c>
      <c r="OB24" s="422" t="s">
        <v>22</v>
      </c>
      <c r="OC24" s="422" t="s">
        <v>22</v>
      </c>
      <c r="OD24" s="457" t="s">
        <v>22</v>
      </c>
      <c r="OE24" s="430" t="s">
        <v>22</v>
      </c>
      <c r="OF24" s="422" t="s">
        <v>22</v>
      </c>
      <c r="OG24" s="422" t="s">
        <v>22</v>
      </c>
      <c r="OH24" s="457" t="s">
        <v>22</v>
      </c>
      <c r="OI24" s="430" t="s">
        <v>22</v>
      </c>
      <c r="OJ24" s="532" t="s">
        <v>1828</v>
      </c>
      <c r="OK24" s="422" t="str">
        <f ca="1">CHOOSE(WEEKDAY(DATE($A24,OJ$43,OK$42),2),"Monday","Tuesday","Wednesday","Thursday","Friday","Saturday","Sunday")</f>
        <v>Wednesday</v>
      </c>
      <c r="OL24" s="457" t="s">
        <v>22</v>
      </c>
      <c r="OM24" s="430" t="s">
        <v>22</v>
      </c>
      <c r="ON24" s="457" t="s">
        <v>22</v>
      </c>
      <c r="OO24" s="430" t="s">
        <v>22</v>
      </c>
      <c r="OP24" s="422" t="s">
        <v>22</v>
      </c>
      <c r="OQ24" s="422" t="s">
        <v>22</v>
      </c>
      <c r="OR24" s="457" t="s">
        <v>22</v>
      </c>
      <c r="OS24" s="430" t="s">
        <v>22</v>
      </c>
      <c r="OT24" s="457" t="s">
        <v>22</v>
      </c>
      <c r="OU24" s="430" t="s">
        <v>22</v>
      </c>
      <c r="OV24" s="422" t="s">
        <v>22</v>
      </c>
      <c r="OW24" s="422" t="s">
        <v>22</v>
      </c>
      <c r="OX24" s="457" t="s">
        <v>22</v>
      </c>
      <c r="OY24" s="430" t="s">
        <v>22</v>
      </c>
      <c r="OZ24" s="422" t="s">
        <v>22</v>
      </c>
      <c r="PA24" s="422" t="s">
        <v>22</v>
      </c>
      <c r="PB24" s="530" t="s">
        <v>1842</v>
      </c>
      <c r="PC24" s="430" t="str">
        <f ca="1">CHOOSE(WEEKDAY(DATE($A24,PB$43,PC$42),2),"Monday","Tuesday","Wednesday","Thursday","Friday","Saturday","Sunday")</f>
        <v>Saturday</v>
      </c>
      <c r="PD24" s="422" t="s">
        <v>22</v>
      </c>
      <c r="PE24" s="422" t="s">
        <v>22</v>
      </c>
      <c r="PF24" s="457" t="s">
        <v>22</v>
      </c>
      <c r="PG24" s="422" t="s">
        <v>22</v>
      </c>
      <c r="PH24" s="457" t="s">
        <v>22</v>
      </c>
      <c r="PI24" s="430" t="s">
        <v>22</v>
      </c>
      <c r="PJ24" s="457" t="s">
        <v>22</v>
      </c>
      <c r="PK24" s="430" t="s">
        <v>22</v>
      </c>
      <c r="PL24" s="422" t="s">
        <v>22</v>
      </c>
      <c r="PM24" s="422" t="s">
        <v>22</v>
      </c>
      <c r="PN24" s="457" t="s">
        <v>22</v>
      </c>
      <c r="PO24" s="430" t="s">
        <v>22</v>
      </c>
      <c r="PP24" s="422" t="s">
        <v>22</v>
      </c>
      <c r="PQ24" s="422" t="s">
        <v>22</v>
      </c>
      <c r="PR24" s="457" t="s">
        <v>22</v>
      </c>
      <c r="PS24" s="430" t="s">
        <v>22</v>
      </c>
      <c r="PT24" s="422" t="s">
        <v>22</v>
      </c>
      <c r="PU24" s="422" t="s">
        <v>22</v>
      </c>
      <c r="PV24" s="457" t="s">
        <v>22</v>
      </c>
      <c r="PW24" s="430" t="s">
        <v>22</v>
      </c>
      <c r="PX24" s="422" t="s">
        <v>22</v>
      </c>
      <c r="PY24" s="422" t="s">
        <v>22</v>
      </c>
      <c r="PZ24" s="457" t="s">
        <v>22</v>
      </c>
      <c r="QA24" s="430" t="s">
        <v>22</v>
      </c>
      <c r="QB24" s="422" t="s">
        <v>22</v>
      </c>
      <c r="QC24" s="422" t="s">
        <v>22</v>
      </c>
      <c r="QD24" s="457" t="s">
        <v>22</v>
      </c>
      <c r="QE24" s="430" t="s">
        <v>22</v>
      </c>
      <c r="QF24" s="532" t="s">
        <v>1859</v>
      </c>
      <c r="QG24" s="422" t="str">
        <f ca="1">CHOOSE(WEEKDAY(DATE($A24,QF$43,QG$42),2),"Monday","Tuesday","Wednesday","Thursday","Friday","Saturday","Sunday")</f>
        <v>Friday</v>
      </c>
      <c r="QH24" s="457" t="s">
        <v>22</v>
      </c>
      <c r="QI24" s="430" t="s">
        <v>22</v>
      </c>
      <c r="QJ24" s="422" t="s">
        <v>22</v>
      </c>
      <c r="QK24" s="422" t="s">
        <v>22</v>
      </c>
      <c r="QL24" s="530" t="s">
        <v>2025</v>
      </c>
      <c r="QM24" s="430" t="str">
        <f ca="1">CHOOSE(WEEKDAY(DATE($A24,QL$43,QM$42),2),"Monday","Tuesday","Wednesday","Thursday","Friday","Saturday","Sunday")</f>
        <v>Monday</v>
      </c>
      <c r="QN24" s="422" t="s">
        <v>22</v>
      </c>
      <c r="QO24" s="422" t="s">
        <v>22</v>
      </c>
      <c r="QP24" s="457" t="s">
        <v>22</v>
      </c>
      <c r="QQ24" s="430" t="s">
        <v>22</v>
      </c>
      <c r="QR24" s="422" t="s">
        <v>22</v>
      </c>
      <c r="QS24" s="422" t="s">
        <v>22</v>
      </c>
      <c r="QT24" s="457" t="s">
        <v>22</v>
      </c>
      <c r="QU24" s="430" t="s">
        <v>22</v>
      </c>
      <c r="QV24" s="422" t="s">
        <v>22</v>
      </c>
      <c r="QW24" s="422" t="s">
        <v>22</v>
      </c>
      <c r="QX24" s="457" t="s">
        <v>22</v>
      </c>
      <c r="QY24" s="430" t="s">
        <v>22</v>
      </c>
      <c r="QZ24" s="457" t="s">
        <v>22</v>
      </c>
      <c r="RA24" s="430" t="s">
        <v>22</v>
      </c>
      <c r="RB24" s="457" t="s">
        <v>22</v>
      </c>
      <c r="RC24" s="430" t="s">
        <v>22</v>
      </c>
      <c r="RD24" s="457" t="s">
        <v>22</v>
      </c>
      <c r="RE24" s="430" t="s">
        <v>22</v>
      </c>
      <c r="RF24" s="457" t="s">
        <v>22</v>
      </c>
      <c r="RG24" s="430" t="s">
        <v>22</v>
      </c>
      <c r="RH24" s="422" t="s">
        <v>22</v>
      </c>
      <c r="RI24" s="422" t="s">
        <v>22</v>
      </c>
      <c r="RJ24" s="457" t="s">
        <v>22</v>
      </c>
      <c r="RK24" s="430" t="s">
        <v>22</v>
      </c>
      <c r="RL24" s="457" t="s">
        <v>22</v>
      </c>
      <c r="RM24" s="430" t="s">
        <v>22</v>
      </c>
      <c r="RN24" s="422" t="s">
        <v>22</v>
      </c>
      <c r="RO24" s="422" t="s">
        <v>22</v>
      </c>
      <c r="RP24" s="457" t="s">
        <v>22</v>
      </c>
      <c r="RQ24" s="430" t="s">
        <v>22</v>
      </c>
      <c r="RR24" s="422" t="s">
        <v>22</v>
      </c>
      <c r="RS24" s="422" t="s">
        <v>22</v>
      </c>
      <c r="RT24" s="530" t="s">
        <v>1895</v>
      </c>
      <c r="RU24" s="430" t="str">
        <f ca="1">CHOOSE(WEEKDAY(DATE($A24,RT$43,RU$42),2),"Monday","Tuesday","Wednesday","Thursday","Friday","Saturday","Sunday")</f>
        <v>Friday</v>
      </c>
      <c r="RV24" s="422" t="s">
        <v>22</v>
      </c>
      <c r="RW24" s="422" t="s">
        <v>22</v>
      </c>
      <c r="RX24" s="457" t="s">
        <v>22</v>
      </c>
      <c r="RY24" s="430" t="s">
        <v>22</v>
      </c>
      <c r="RZ24" s="457" t="s">
        <v>22</v>
      </c>
      <c r="SA24" s="430" t="s">
        <v>22</v>
      </c>
      <c r="SB24" s="457" t="s">
        <v>22</v>
      </c>
      <c r="SC24" s="430" t="s">
        <v>22</v>
      </c>
      <c r="SD24" s="422" t="s">
        <v>22</v>
      </c>
      <c r="SE24" s="422" t="s">
        <v>22</v>
      </c>
      <c r="SF24" s="457" t="s">
        <v>22</v>
      </c>
      <c r="SG24" s="430" t="s">
        <v>22</v>
      </c>
      <c r="SH24" s="422" t="s">
        <v>22</v>
      </c>
      <c r="SI24" s="422" t="s">
        <v>22</v>
      </c>
      <c r="SJ24" s="457" t="s">
        <v>22</v>
      </c>
      <c r="SK24" s="430" t="s">
        <v>22</v>
      </c>
      <c r="SL24" s="531" t="s">
        <v>1906</v>
      </c>
      <c r="SM24" s="430" t="str">
        <f ca="1">CHOOSE(WEEKDAY(DATE($A24,SL$43,SM$42),2),"Monday","Tuesday","Wednesday","Thursday","Friday","Saturday","Sunday")</f>
        <v>Tuesday</v>
      </c>
      <c r="SN24" s="422" t="s">
        <v>22</v>
      </c>
      <c r="SO24" s="422" t="s">
        <v>22</v>
      </c>
      <c r="SP24" s="457" t="s">
        <v>22</v>
      </c>
      <c r="SQ24" s="430" t="s">
        <v>22</v>
      </c>
      <c r="SR24" s="422" t="s">
        <v>22</v>
      </c>
      <c r="SS24" s="422" t="s">
        <v>22</v>
      </c>
      <c r="ST24" s="457" t="s">
        <v>22</v>
      </c>
      <c r="SU24" s="430" t="s">
        <v>22</v>
      </c>
      <c r="SV24" s="422" t="s">
        <v>22</v>
      </c>
      <c r="SW24" s="422" t="s">
        <v>22</v>
      </c>
      <c r="SX24" s="457" t="s">
        <v>22</v>
      </c>
      <c r="SY24" s="430" t="s">
        <v>22</v>
      </c>
      <c r="SZ24" s="422" t="s">
        <v>22</v>
      </c>
      <c r="TA24" s="422" t="s">
        <v>22</v>
      </c>
      <c r="TB24" s="457" t="s">
        <v>22</v>
      </c>
      <c r="TC24" s="430" t="s">
        <v>22</v>
      </c>
      <c r="TD24" s="422" t="s">
        <v>22</v>
      </c>
      <c r="TE24" s="422" t="s">
        <v>22</v>
      </c>
      <c r="TF24" s="457" t="s">
        <v>22</v>
      </c>
      <c r="TG24" s="430" t="s">
        <v>22</v>
      </c>
      <c r="TH24" s="457" t="s">
        <v>22</v>
      </c>
      <c r="TI24" s="430" t="s">
        <v>22</v>
      </c>
      <c r="TJ24" s="530" t="s">
        <v>1935</v>
      </c>
      <c r="TK24" s="422" t="str">
        <f ca="1">CHOOSE(WEEKDAY(DATE($A24,TJ$43,TK$42),2),"Monday","Tuesday","Wednesday","Thursday","Friday","Saturday","Sunday")</f>
        <v>Monday</v>
      </c>
      <c r="TL24" s="457" t="s">
        <v>22</v>
      </c>
      <c r="TM24" s="430" t="s">
        <v>22</v>
      </c>
      <c r="TN24" s="422" t="s">
        <v>22</v>
      </c>
      <c r="TO24" s="422" t="s">
        <v>22</v>
      </c>
      <c r="TP24" s="457" t="s">
        <v>22</v>
      </c>
      <c r="TQ24" s="430" t="s">
        <v>22</v>
      </c>
      <c r="TR24" s="422" t="s">
        <v>22</v>
      </c>
      <c r="TS24" s="422" t="s">
        <v>22</v>
      </c>
      <c r="TT24" s="530" t="s">
        <v>1932</v>
      </c>
      <c r="TU24" s="430" t="str">
        <f ca="1">CHOOSE(WEEKDAY(DATE($A24,TT$43,TU$42),2),"Monday","Tuesday","Wednesday","Thursday","Friday","Saturday","Sunday")</f>
        <v>Saturday</v>
      </c>
      <c r="TV24" s="422" t="s">
        <v>22</v>
      </c>
      <c r="TW24" s="422" t="s">
        <v>22</v>
      </c>
      <c r="TX24" s="530" t="s">
        <v>1935</v>
      </c>
      <c r="TY24" s="430" t="str">
        <f ca="1">CHOOSE(WEEKDAY(DATE($A24,TX$43,TY$42),2),"Monday","Tuesday","Wednesday","Thursday","Friday","Saturday","Sunday")</f>
        <v>Monday</v>
      </c>
      <c r="TZ24" s="457" t="s">
        <v>22</v>
      </c>
      <c r="UA24" s="430" t="s">
        <v>22</v>
      </c>
      <c r="UB24" s="422" t="s">
        <v>22</v>
      </c>
      <c r="UC24" s="422" t="s">
        <v>22</v>
      </c>
      <c r="UD24" s="457" t="s">
        <v>22</v>
      </c>
      <c r="UE24" s="430" t="s">
        <v>22</v>
      </c>
      <c r="UF24" s="422" t="s">
        <v>22</v>
      </c>
      <c r="UG24" s="422" t="s">
        <v>22</v>
      </c>
      <c r="UH24" s="457" t="s">
        <v>22</v>
      </c>
      <c r="UI24" s="430" t="s">
        <v>22</v>
      </c>
      <c r="UJ24" s="457" t="s">
        <v>22</v>
      </c>
      <c r="UK24" s="430" t="s">
        <v>22</v>
      </c>
      <c r="UL24" s="422" t="s">
        <v>22</v>
      </c>
      <c r="UM24" s="422" t="s">
        <v>22</v>
      </c>
      <c r="UN24" s="457" t="s">
        <v>22</v>
      </c>
      <c r="UO24" s="430" t="s">
        <v>22</v>
      </c>
      <c r="UP24" s="532" t="s">
        <v>1944</v>
      </c>
      <c r="UQ24" s="422" t="str">
        <f ca="1">CHOOSE(WEEKDAY(DATE($A24,UP$43,UQ$42),2),"Monday","Tuesday","Wednesday","Thursday","Friday","Saturday","Sunday")</f>
        <v>Wednesday</v>
      </c>
      <c r="UR24" s="457" t="s">
        <v>22</v>
      </c>
      <c r="US24" s="430" t="s">
        <v>22</v>
      </c>
      <c r="UT24" s="457" t="s">
        <v>22</v>
      </c>
      <c r="UU24" s="430" t="s">
        <v>22</v>
      </c>
      <c r="UV24" s="422" t="s">
        <v>22</v>
      </c>
      <c r="UW24" s="422" t="s">
        <v>22</v>
      </c>
      <c r="UX24" s="457" t="s">
        <v>22</v>
      </c>
      <c r="UY24" s="430" t="s">
        <v>22</v>
      </c>
      <c r="UZ24" s="457" t="s">
        <v>22</v>
      </c>
      <c r="VA24" s="430" t="s">
        <v>22</v>
      </c>
      <c r="VB24" s="457" t="s">
        <v>22</v>
      </c>
      <c r="VC24" s="430" t="s">
        <v>22</v>
      </c>
      <c r="VD24" s="422" t="s">
        <v>22</v>
      </c>
      <c r="VE24" s="422" t="s">
        <v>22</v>
      </c>
      <c r="VF24" s="457" t="s">
        <v>22</v>
      </c>
      <c r="VG24" s="430" t="s">
        <v>22</v>
      </c>
      <c r="VH24" s="457" t="s">
        <v>22</v>
      </c>
      <c r="VI24" s="430" t="s">
        <v>22</v>
      </c>
      <c r="VJ24" s="422" t="s">
        <v>22</v>
      </c>
      <c r="VK24" s="422" t="s">
        <v>22</v>
      </c>
      <c r="VL24" s="530" t="s">
        <v>1955</v>
      </c>
      <c r="VM24" s="430" t="str">
        <f ca="1">CHOOSE(WEEKDAY(DATE($A24,VL$43,VM$42),2),"Monday","Tuesday","Wednesday","Thursday","Friday","Saturday","Sunday")</f>
        <v>Wednesday</v>
      </c>
      <c r="VN24" s="422" t="s">
        <v>22</v>
      </c>
      <c r="VO24" s="422" t="s">
        <v>22</v>
      </c>
      <c r="VP24" s="457" t="s">
        <v>22</v>
      </c>
      <c r="VQ24" s="430" t="s">
        <v>22</v>
      </c>
      <c r="VR24" s="422" t="s">
        <v>22</v>
      </c>
      <c r="VS24" s="422" t="s">
        <v>22</v>
      </c>
      <c r="VT24" s="530" t="s">
        <v>1987</v>
      </c>
      <c r="VU24" s="430" t="str">
        <f ca="1">CHOOSE(WEEKDAY(DATE($A24,VT$43,VU$42),2),"Monday","Tuesday","Wednesday","Thursday","Friday","Saturday","Sunday")</f>
        <v>Sunday</v>
      </c>
      <c r="VV24" s="457" t="s">
        <v>22</v>
      </c>
      <c r="VW24" s="430" t="s">
        <v>22</v>
      </c>
      <c r="VX24" s="422" t="s">
        <v>22</v>
      </c>
      <c r="VY24" s="430" t="s">
        <v>22</v>
      </c>
      <c r="VZ24" s="457" t="s">
        <v>22</v>
      </c>
      <c r="WA24" s="430" t="s">
        <v>22</v>
      </c>
      <c r="WB24" s="457" t="s">
        <v>22</v>
      </c>
      <c r="WC24" s="430" t="s">
        <v>22</v>
      </c>
      <c r="WD24" s="422" t="s">
        <v>22</v>
      </c>
      <c r="WE24" s="422" t="s">
        <v>22</v>
      </c>
      <c r="WF24" s="457" t="s">
        <v>22</v>
      </c>
      <c r="WG24" s="430" t="s">
        <v>22</v>
      </c>
      <c r="WH24" s="422" t="s">
        <v>22</v>
      </c>
      <c r="WI24" s="422" t="s">
        <v>22</v>
      </c>
      <c r="WJ24" s="457" t="s">
        <v>22</v>
      </c>
      <c r="WK24" s="430" t="s">
        <v>22</v>
      </c>
      <c r="WL24" s="457" t="s">
        <v>22</v>
      </c>
      <c r="WM24" s="430" t="s">
        <v>22</v>
      </c>
      <c r="WN24" s="457" t="s">
        <v>22</v>
      </c>
      <c r="WO24" s="430" t="s">
        <v>22</v>
      </c>
      <c r="WP24" s="457" t="s">
        <v>22</v>
      </c>
      <c r="WQ24" s="430" t="s">
        <v>22</v>
      </c>
      <c r="WR24" s="457" t="s">
        <v>22</v>
      </c>
      <c r="WS24" s="430" t="s">
        <v>22</v>
      </c>
      <c r="WT24" s="457" t="s">
        <v>22</v>
      </c>
      <c r="WU24" s="430" t="s">
        <v>22</v>
      </c>
      <c r="WV24" s="457" t="s">
        <v>22</v>
      </c>
      <c r="WW24" s="430" t="s">
        <v>22</v>
      </c>
      <c r="WX24" s="457" t="s">
        <v>22</v>
      </c>
      <c r="WY24" s="430" t="s">
        <v>22</v>
      </c>
      <c r="WZ24" s="422" t="s">
        <v>22</v>
      </c>
      <c r="XA24" s="422" t="s">
        <v>22</v>
      </c>
      <c r="XB24" s="457" t="s">
        <v>22</v>
      </c>
      <c r="XC24" s="430" t="s">
        <v>22</v>
      </c>
      <c r="XD24" s="457" t="s">
        <v>22</v>
      </c>
      <c r="XE24" s="430" t="s">
        <v>22</v>
      </c>
      <c r="XF24" s="457" t="s">
        <v>22</v>
      </c>
      <c r="XG24" s="430" t="s">
        <v>22</v>
      </c>
      <c r="XH24" s="457" t="s">
        <v>22</v>
      </c>
      <c r="XI24" s="430" t="s">
        <v>22</v>
      </c>
      <c r="XJ24" s="422" t="s">
        <v>22</v>
      </c>
      <c r="XK24" s="422" t="s">
        <v>22</v>
      </c>
      <c r="XL24" s="457" t="s">
        <v>22</v>
      </c>
      <c r="XM24" s="430" t="s">
        <v>22</v>
      </c>
      <c r="XN24" s="532" t="s">
        <v>2020</v>
      </c>
      <c r="XO24" s="422" t="str">
        <f ca="1">CHOOSE(WEEKDAY(DATE($A24,XN$43,XO$42),2),"Monday","Tuesday","Wednesday","Thursday","Friday","Saturday","Sunday")</f>
        <v>Wednesday</v>
      </c>
      <c r="XP24" s="530" t="s">
        <v>1994</v>
      </c>
      <c r="XQ24" s="430" t="str">
        <f ca="1">CHOOSE(WEEKDAY(DATE($A24,XP$43,XQ$42),2),"Monday","Tuesday","Wednesday","Thursday","Friday","Saturday","Sunday")</f>
        <v>Thursday</v>
      </c>
      <c r="XR24" s="422" t="s">
        <v>22</v>
      </c>
      <c r="XS24" s="422" t="s">
        <v>22</v>
      </c>
      <c r="XT24" s="457" t="s">
        <v>22</v>
      </c>
      <c r="XU24" s="430" t="s">
        <v>22</v>
      </c>
      <c r="XV24" s="457" t="s">
        <v>22</v>
      </c>
      <c r="XW24" s="430" t="s">
        <v>22</v>
      </c>
      <c r="XX24" s="326" t="s">
        <v>2020</v>
      </c>
      <c r="XY24" s="422" t="str">
        <f ca="1">CHOOSE(WEEKDAY(DATE($A24,XX$43,XY$42),2),"Monday","Tuesday","Wednesday","Thursday","Friday","Saturday","Sunday")</f>
        <v>Monday</v>
      </c>
      <c r="XZ24" s="457" t="s">
        <v>22</v>
      </c>
      <c r="YA24" s="430" t="s">
        <v>22</v>
      </c>
      <c r="YB24" s="422" t="s">
        <v>22</v>
      </c>
      <c r="YC24" s="422" t="s">
        <v>22</v>
      </c>
      <c r="YD24" s="457" t="s">
        <v>22</v>
      </c>
      <c r="YE24" s="430" t="s">
        <v>22</v>
      </c>
    </row>
    <row r="25" spans="1:655" ht="30" x14ac:dyDescent="0.2">
      <c r="A25" s="398"/>
      <c r="B25" s="396"/>
      <c r="C25" s="398"/>
      <c r="D25" s="396"/>
      <c r="E25" s="398"/>
      <c r="F25" s="397"/>
      <c r="G25" s="398"/>
      <c r="H25" s="396"/>
      <c r="I25" s="397"/>
      <c r="J25" s="396"/>
      <c r="K25" s="398"/>
      <c r="L25" s="397"/>
      <c r="M25" s="397"/>
      <c r="N25" s="396"/>
      <c r="O25" s="398"/>
      <c r="P25" s="397"/>
      <c r="Q25" s="397"/>
      <c r="R25" s="396"/>
      <c r="S25" s="398"/>
      <c r="T25" s="396"/>
      <c r="U25" s="398"/>
      <c r="V25" s="397"/>
      <c r="W25" s="397"/>
      <c r="X25" s="396"/>
      <c r="Y25" s="398"/>
      <c r="Z25" s="396"/>
      <c r="AA25" s="398"/>
      <c r="AB25" s="397"/>
      <c r="AC25" s="397"/>
      <c r="AD25" s="396"/>
      <c r="AE25" s="398"/>
      <c r="AF25" s="396"/>
      <c r="AG25" s="398"/>
      <c r="AH25" s="397"/>
      <c r="AI25" s="397"/>
      <c r="AJ25" s="396"/>
      <c r="AK25" s="398"/>
      <c r="AL25" s="397"/>
      <c r="AM25" s="397"/>
      <c r="AN25" s="396"/>
      <c r="AO25" s="398"/>
      <c r="AP25" s="397"/>
      <c r="AQ25" s="397"/>
      <c r="AR25" s="396"/>
      <c r="AS25" s="398"/>
      <c r="AT25" s="397"/>
      <c r="AU25" s="397"/>
      <c r="AV25" s="396"/>
      <c r="AW25" s="398"/>
      <c r="AX25" s="397"/>
      <c r="AY25" s="397"/>
      <c r="AZ25" s="396"/>
      <c r="BA25" s="398"/>
      <c r="BB25" s="397"/>
      <c r="BC25" s="397"/>
      <c r="BD25" s="396"/>
      <c r="BE25" s="398"/>
      <c r="BF25" s="396"/>
      <c r="BG25" s="398"/>
      <c r="BH25" s="397"/>
      <c r="BI25" s="397"/>
      <c r="BJ25" s="396"/>
      <c r="BK25" s="398"/>
      <c r="BL25" s="397"/>
      <c r="BM25" s="397"/>
      <c r="BN25" s="396"/>
      <c r="BO25" s="398"/>
      <c r="BP25" s="396"/>
      <c r="BQ25" s="398"/>
      <c r="BR25" s="397"/>
      <c r="BS25" s="397"/>
      <c r="BT25" s="396"/>
      <c r="BU25" s="398"/>
      <c r="BV25" s="396"/>
      <c r="BW25" s="398"/>
      <c r="BX25" s="397"/>
      <c r="BY25" s="397"/>
      <c r="BZ25" s="396"/>
      <c r="CA25" s="398"/>
      <c r="CB25" s="396"/>
      <c r="CC25" s="398"/>
      <c r="CD25" s="397"/>
      <c r="CE25" s="397"/>
      <c r="CF25" s="396"/>
      <c r="CG25" s="398"/>
      <c r="CH25" s="397"/>
      <c r="CI25" s="397"/>
      <c r="CJ25" s="396"/>
      <c r="CK25" s="398"/>
      <c r="CL25" s="397"/>
      <c r="CM25" s="397"/>
      <c r="CN25" s="396"/>
      <c r="CO25" s="398"/>
      <c r="CP25" s="397"/>
      <c r="CQ25" s="397"/>
      <c r="CR25" s="396"/>
      <c r="CS25" s="398"/>
      <c r="CT25" s="397"/>
      <c r="CU25" s="397"/>
      <c r="CV25" s="396"/>
      <c r="CW25" s="398"/>
      <c r="CX25" s="396"/>
      <c r="CY25" s="397"/>
      <c r="CZ25" s="396"/>
      <c r="DA25" s="397"/>
      <c r="DB25" s="396"/>
      <c r="DC25" s="398"/>
      <c r="DD25" s="397"/>
      <c r="DE25" s="397"/>
      <c r="DF25" s="396"/>
      <c r="DG25" s="398"/>
      <c r="DH25" s="397"/>
      <c r="DI25" s="397"/>
      <c r="DJ25" s="396"/>
      <c r="DK25" s="398"/>
      <c r="DL25" s="397"/>
      <c r="DM25" s="397"/>
      <c r="DN25" s="396"/>
      <c r="DO25" s="398"/>
      <c r="DP25" s="397"/>
      <c r="DQ25" s="397"/>
      <c r="DR25" s="396"/>
      <c r="DS25" s="398"/>
      <c r="DT25" s="397"/>
      <c r="DU25" s="397"/>
      <c r="DV25" s="396"/>
      <c r="DW25" s="398"/>
      <c r="DX25" s="397"/>
      <c r="DY25" s="397"/>
      <c r="DZ25" s="396"/>
      <c r="EA25" s="398"/>
      <c r="EB25" s="396"/>
      <c r="EC25" s="398"/>
      <c r="ED25" s="397"/>
      <c r="EE25" s="397"/>
      <c r="EF25" s="396"/>
      <c r="EG25" s="398"/>
      <c r="EH25" s="397"/>
      <c r="EI25" s="397"/>
      <c r="EJ25" s="339" t="s">
        <v>1641</v>
      </c>
      <c r="EK25" s="398"/>
      <c r="EL25" s="397"/>
      <c r="EM25" s="397"/>
      <c r="EN25" s="396"/>
      <c r="EO25" s="398"/>
      <c r="EP25" s="397"/>
      <c r="EQ25" s="397"/>
      <c r="ER25" s="396"/>
      <c r="ES25" s="398"/>
      <c r="ET25" s="397"/>
      <c r="EU25" s="397"/>
      <c r="EV25" s="396"/>
      <c r="EW25" s="398"/>
      <c r="EX25" s="397"/>
      <c r="EY25" s="397"/>
      <c r="EZ25" s="396"/>
      <c r="FA25" s="398"/>
      <c r="FB25" s="396"/>
      <c r="FC25" s="398"/>
      <c r="FD25" s="396"/>
      <c r="FE25" s="398"/>
      <c r="FF25" s="397"/>
      <c r="FG25" s="397"/>
      <c r="FH25" s="396"/>
      <c r="FI25" s="398"/>
      <c r="FJ25" s="396"/>
      <c r="FK25" s="398"/>
      <c r="FL25" s="396"/>
      <c r="FM25" s="398"/>
      <c r="FN25" s="397"/>
      <c r="FO25" s="397"/>
      <c r="FP25" s="396"/>
      <c r="FQ25" s="398"/>
      <c r="FR25" s="396"/>
      <c r="FS25" s="398"/>
      <c r="FT25" s="397"/>
      <c r="FU25" s="397"/>
      <c r="FV25" s="396"/>
      <c r="FW25" s="398"/>
      <c r="FX25" s="397"/>
      <c r="FY25" s="397"/>
      <c r="FZ25" s="396"/>
      <c r="GA25" s="398"/>
      <c r="GB25" s="397"/>
      <c r="GC25" s="397"/>
      <c r="GD25" s="396"/>
      <c r="GE25" s="398"/>
      <c r="GF25" s="396"/>
      <c r="GG25" s="398"/>
      <c r="GH25" s="396"/>
      <c r="GI25" s="398"/>
      <c r="GJ25" s="397"/>
      <c r="GK25" s="397"/>
      <c r="GL25" s="396"/>
      <c r="GM25" s="398"/>
      <c r="GN25" s="396"/>
      <c r="GO25" s="398"/>
      <c r="GP25" s="397"/>
      <c r="GQ25" s="397"/>
      <c r="GR25" s="396"/>
      <c r="GS25" s="398"/>
      <c r="GT25" s="396"/>
      <c r="GU25" s="398"/>
      <c r="GV25" s="396"/>
      <c r="GW25" s="398"/>
      <c r="GX25" s="396"/>
      <c r="GY25" s="398"/>
      <c r="GZ25" s="396"/>
      <c r="HA25" s="398"/>
      <c r="HB25" s="396"/>
      <c r="HC25" s="398"/>
      <c r="HD25" s="397"/>
      <c r="HE25" s="397"/>
      <c r="HF25" s="339" t="s">
        <v>1711</v>
      </c>
      <c r="HG25" s="398"/>
      <c r="HH25" s="396"/>
      <c r="HI25" s="398"/>
      <c r="HJ25" s="397"/>
      <c r="HK25" s="397"/>
      <c r="HL25" s="396"/>
      <c r="HM25" s="398"/>
      <c r="HN25" s="396"/>
      <c r="HO25" s="398"/>
      <c r="HP25" s="397"/>
      <c r="HQ25" s="397"/>
      <c r="HR25" s="396"/>
      <c r="HS25" s="398"/>
      <c r="HT25" s="397"/>
      <c r="HU25" s="397"/>
      <c r="HV25" s="396"/>
      <c r="HW25" s="398"/>
      <c r="HX25" s="396"/>
      <c r="HY25" s="398"/>
      <c r="HZ25" s="397"/>
      <c r="IA25" s="397"/>
      <c r="IB25" s="396"/>
      <c r="IC25" s="398"/>
      <c r="ID25" s="397"/>
      <c r="IE25" s="397"/>
      <c r="IF25" s="396"/>
      <c r="IG25" s="398"/>
      <c r="IH25" s="397"/>
      <c r="II25" s="397"/>
      <c r="IJ25" s="396"/>
      <c r="IK25" s="398"/>
      <c r="IL25" s="396"/>
      <c r="IM25" s="398"/>
      <c r="IN25" s="396"/>
      <c r="IO25" s="398"/>
      <c r="IP25" s="396"/>
      <c r="IQ25" s="398"/>
      <c r="IR25" s="397"/>
      <c r="IS25" s="397"/>
      <c r="IT25" s="396"/>
      <c r="IU25" s="398"/>
      <c r="IV25" s="396"/>
      <c r="IW25" s="398"/>
      <c r="IX25" s="396"/>
      <c r="IY25" s="398"/>
      <c r="IZ25" s="397"/>
      <c r="JA25" s="397"/>
      <c r="JB25" s="396"/>
      <c r="JC25" s="398"/>
      <c r="JD25" s="397"/>
      <c r="JE25" s="397"/>
      <c r="JF25" s="396"/>
      <c r="JG25" s="398"/>
      <c r="JH25" s="396"/>
      <c r="JI25" s="398"/>
      <c r="JJ25" s="396"/>
      <c r="JK25" s="398"/>
      <c r="JL25" s="397"/>
      <c r="JM25" s="397"/>
      <c r="JN25" s="396"/>
      <c r="JO25" s="398"/>
      <c r="JP25" s="397"/>
      <c r="JQ25" s="397"/>
      <c r="JR25" s="396"/>
      <c r="JS25" s="398"/>
      <c r="JT25" s="397"/>
      <c r="JU25" s="397"/>
      <c r="JV25" s="396"/>
      <c r="JW25" s="398"/>
      <c r="JX25" s="397"/>
      <c r="JY25" s="397"/>
      <c r="JZ25" s="396"/>
      <c r="KA25" s="398"/>
      <c r="KB25" s="396"/>
      <c r="KC25" s="398"/>
      <c r="KD25" s="396"/>
      <c r="KE25" s="398"/>
      <c r="KF25" s="397"/>
      <c r="KG25" s="397"/>
      <c r="KH25" s="396"/>
      <c r="KI25" s="398"/>
      <c r="KJ25" s="396"/>
      <c r="KK25" s="398"/>
      <c r="KL25" s="396"/>
      <c r="KM25" s="398"/>
      <c r="KN25" s="397"/>
      <c r="KO25" s="397"/>
      <c r="KP25" s="396"/>
      <c r="KQ25" s="398"/>
      <c r="KR25" s="397"/>
      <c r="KS25" s="397"/>
      <c r="KT25" s="396"/>
      <c r="KU25" s="398"/>
      <c r="KV25" s="397"/>
      <c r="KW25" s="397"/>
      <c r="KX25" s="396"/>
      <c r="KY25" s="398"/>
      <c r="KZ25" s="397"/>
      <c r="LA25" s="397"/>
      <c r="LB25" s="396"/>
      <c r="LC25" s="398"/>
      <c r="LD25" s="397"/>
      <c r="LE25" s="397"/>
      <c r="LF25" s="396"/>
      <c r="LG25" s="398"/>
      <c r="LH25" s="397"/>
      <c r="LI25" s="397"/>
      <c r="LJ25" s="396"/>
      <c r="LK25" s="398"/>
      <c r="LL25" s="397"/>
      <c r="LM25" s="397"/>
      <c r="LN25" s="396"/>
      <c r="LO25" s="398"/>
      <c r="LP25" s="397"/>
      <c r="LQ25" s="397"/>
      <c r="LR25" s="396"/>
      <c r="LS25" s="398"/>
      <c r="LT25" s="397"/>
      <c r="LU25" s="397"/>
      <c r="LV25" s="396"/>
      <c r="LW25" s="398"/>
      <c r="LX25" s="397"/>
      <c r="LY25" s="397"/>
      <c r="LZ25" s="396"/>
      <c r="MA25" s="398"/>
      <c r="MB25" s="397"/>
      <c r="MC25" s="397"/>
      <c r="MD25" s="396"/>
      <c r="ME25" s="398"/>
      <c r="MF25" s="397"/>
      <c r="MG25" s="397"/>
      <c r="MH25" s="396"/>
      <c r="MI25" s="398"/>
      <c r="MJ25" s="396"/>
      <c r="MK25" s="398"/>
      <c r="ML25" s="396"/>
      <c r="MM25" s="398"/>
      <c r="MN25" s="397"/>
      <c r="MO25" s="397"/>
      <c r="MP25" s="396"/>
      <c r="MQ25" s="398"/>
      <c r="MR25" s="397"/>
      <c r="MS25" s="397"/>
      <c r="MT25" s="396"/>
      <c r="MU25" s="398"/>
      <c r="MV25" s="397"/>
      <c r="MW25" s="397"/>
      <c r="MX25" s="396"/>
      <c r="MY25" s="398"/>
      <c r="MZ25" s="396"/>
      <c r="NA25" s="398"/>
      <c r="NB25" s="397"/>
      <c r="NC25" s="397"/>
      <c r="ND25" s="396"/>
      <c r="NE25" s="398"/>
      <c r="NF25" s="397"/>
      <c r="NG25" s="397"/>
      <c r="NH25" s="396"/>
      <c r="NI25" s="398"/>
      <c r="NJ25" s="397"/>
      <c r="NK25" s="397"/>
      <c r="NL25" s="396"/>
      <c r="NM25" s="398"/>
      <c r="NN25" s="396"/>
      <c r="NO25" s="398"/>
      <c r="NP25" s="396"/>
      <c r="NQ25" s="398"/>
      <c r="NR25" s="396"/>
      <c r="NS25" s="398"/>
      <c r="NT25" s="397"/>
      <c r="NU25" s="397"/>
      <c r="NV25" s="396"/>
      <c r="NW25" s="398"/>
      <c r="NX25" s="397"/>
      <c r="NY25" s="397"/>
      <c r="NZ25" s="396"/>
      <c r="OA25" s="398"/>
      <c r="OB25" s="397"/>
      <c r="OC25" s="397"/>
      <c r="OD25" s="396"/>
      <c r="OE25" s="398"/>
      <c r="OF25" s="397"/>
      <c r="OG25" s="397"/>
      <c r="OH25" s="396"/>
      <c r="OI25" s="398"/>
      <c r="OJ25" s="397"/>
      <c r="OK25" s="397"/>
      <c r="OL25" s="396"/>
      <c r="OM25" s="398"/>
      <c r="ON25" s="396"/>
      <c r="OO25" s="398"/>
      <c r="OP25" s="397"/>
      <c r="OQ25" s="397"/>
      <c r="OR25" s="396"/>
      <c r="OS25" s="398"/>
      <c r="OT25" s="396"/>
      <c r="OU25" s="398"/>
      <c r="OV25" s="397"/>
      <c r="OW25" s="397"/>
      <c r="OX25" s="396"/>
      <c r="OY25" s="398"/>
      <c r="OZ25" s="397"/>
      <c r="PA25" s="397"/>
      <c r="PB25" s="396"/>
      <c r="PC25" s="398"/>
      <c r="PD25" s="397"/>
      <c r="PE25" s="397"/>
      <c r="PF25" s="396"/>
      <c r="PG25" s="397"/>
      <c r="PH25" s="396"/>
      <c r="PI25" s="398"/>
      <c r="PJ25" s="396"/>
      <c r="PK25" s="398"/>
      <c r="PL25" s="397"/>
      <c r="PM25" s="397"/>
      <c r="PN25" s="396"/>
      <c r="PO25" s="398"/>
      <c r="PP25" s="397"/>
      <c r="PQ25" s="397"/>
      <c r="PR25" s="396"/>
      <c r="PS25" s="398"/>
      <c r="PT25" s="397"/>
      <c r="PU25" s="397"/>
      <c r="PV25" s="396"/>
      <c r="PW25" s="398"/>
      <c r="PX25" s="397"/>
      <c r="PY25" s="397"/>
      <c r="PZ25" s="396"/>
      <c r="QA25" s="398"/>
      <c r="QB25" s="397"/>
      <c r="QC25" s="397"/>
      <c r="QD25" s="396"/>
      <c r="QE25" s="398"/>
      <c r="QF25" s="397"/>
      <c r="QG25" s="397"/>
      <c r="QH25" s="396"/>
      <c r="QI25" s="398"/>
      <c r="QJ25" s="397"/>
      <c r="QK25" s="397"/>
      <c r="QL25" s="396"/>
      <c r="QM25" s="398"/>
      <c r="QN25" s="397"/>
      <c r="QO25" s="397"/>
      <c r="QP25" s="396"/>
      <c r="QQ25" s="398"/>
      <c r="QR25" s="397"/>
      <c r="QS25" s="397"/>
      <c r="QT25" s="396"/>
      <c r="QU25" s="398"/>
      <c r="QV25" s="397"/>
      <c r="QW25" s="397"/>
      <c r="QX25" s="396"/>
      <c r="QY25" s="398"/>
      <c r="QZ25" s="396"/>
      <c r="RA25" s="398"/>
      <c r="RB25" s="396"/>
      <c r="RC25" s="398"/>
      <c r="RD25" s="396"/>
      <c r="RE25" s="398"/>
      <c r="RF25" s="396"/>
      <c r="RG25" s="398"/>
      <c r="RH25" s="397"/>
      <c r="RI25" s="397"/>
      <c r="RJ25" s="396"/>
      <c r="RK25" s="398"/>
      <c r="RL25" s="396"/>
      <c r="RM25" s="398"/>
      <c r="RN25" s="397"/>
      <c r="RO25" s="397"/>
      <c r="RP25" s="396"/>
      <c r="RQ25" s="398"/>
      <c r="RR25" s="397"/>
      <c r="RS25" s="397"/>
      <c r="RT25" s="396"/>
      <c r="RU25" s="398"/>
      <c r="RV25" s="397"/>
      <c r="RW25" s="397"/>
      <c r="RX25" s="396"/>
      <c r="RY25" s="398"/>
      <c r="RZ25" s="396"/>
      <c r="SA25" s="398"/>
      <c r="SB25" s="396"/>
      <c r="SC25" s="398"/>
      <c r="SD25" s="397"/>
      <c r="SE25" s="397"/>
      <c r="SF25" s="396"/>
      <c r="SG25" s="398"/>
      <c r="SH25" s="397"/>
      <c r="SI25" s="397"/>
      <c r="SJ25" s="396"/>
      <c r="SK25" s="398"/>
      <c r="SL25" s="396"/>
      <c r="SM25" s="398"/>
      <c r="SN25" s="397"/>
      <c r="SO25" s="397"/>
      <c r="SP25" s="396"/>
      <c r="SQ25" s="398"/>
      <c r="SR25" s="397"/>
      <c r="SS25" s="397"/>
      <c r="ST25" s="396"/>
      <c r="SU25" s="398"/>
      <c r="SV25" s="397"/>
      <c r="SW25" s="397"/>
      <c r="SX25" s="396"/>
      <c r="SY25" s="398"/>
      <c r="SZ25" s="397"/>
      <c r="TA25" s="397"/>
      <c r="TB25" s="396"/>
      <c r="TC25" s="398"/>
      <c r="TD25" s="397"/>
      <c r="TE25" s="397"/>
      <c r="TF25" s="396"/>
      <c r="TG25" s="398"/>
      <c r="TH25" s="396"/>
      <c r="TI25" s="398"/>
      <c r="TJ25" s="396"/>
      <c r="TK25" s="397"/>
      <c r="TL25" s="396"/>
      <c r="TM25" s="398"/>
      <c r="TN25" s="397"/>
      <c r="TO25" s="397"/>
      <c r="TP25" s="396"/>
      <c r="TQ25" s="398"/>
      <c r="TR25" s="397"/>
      <c r="TS25" s="397"/>
      <c r="TT25" s="396"/>
      <c r="TU25" s="398"/>
      <c r="TV25" s="397"/>
      <c r="TW25" s="397"/>
      <c r="TX25" s="396"/>
      <c r="TY25" s="398"/>
      <c r="TZ25" s="396"/>
      <c r="UA25" s="398"/>
      <c r="UB25" s="397"/>
      <c r="UC25" s="397"/>
      <c r="UD25" s="396"/>
      <c r="UE25" s="398"/>
      <c r="UF25" s="397"/>
      <c r="UG25" s="397"/>
      <c r="UH25" s="396"/>
      <c r="UI25" s="398"/>
      <c r="UJ25" s="396"/>
      <c r="UK25" s="398"/>
      <c r="UL25" s="397"/>
      <c r="UM25" s="397"/>
      <c r="UN25" s="396"/>
      <c r="UO25" s="398"/>
      <c r="UP25" s="397"/>
      <c r="UQ25" s="397"/>
      <c r="UR25" s="396"/>
      <c r="US25" s="398"/>
      <c r="UT25" s="396"/>
      <c r="UU25" s="398"/>
      <c r="UV25" s="397"/>
      <c r="UW25" s="397"/>
      <c r="UX25" s="396"/>
      <c r="UY25" s="398"/>
      <c r="UZ25" s="396"/>
      <c r="VA25" s="398"/>
      <c r="VB25" s="396"/>
      <c r="VC25" s="398"/>
      <c r="VD25" s="397"/>
      <c r="VE25" s="397"/>
      <c r="VF25" s="396"/>
      <c r="VG25" s="398"/>
      <c r="VH25" s="396"/>
      <c r="VI25" s="398"/>
      <c r="VJ25" s="397"/>
      <c r="VK25" s="397"/>
      <c r="VL25" s="396"/>
      <c r="VM25" s="398"/>
      <c r="VN25" s="397"/>
      <c r="VO25" s="397"/>
      <c r="VP25" s="396"/>
      <c r="VQ25" s="398"/>
      <c r="VR25" s="397"/>
      <c r="VS25" s="397"/>
      <c r="VT25" s="396"/>
      <c r="VU25" s="398"/>
      <c r="VV25" s="396"/>
      <c r="VW25" s="398"/>
      <c r="VX25" s="397"/>
      <c r="VY25" s="398"/>
      <c r="VZ25" s="396"/>
      <c r="WA25" s="398"/>
      <c r="WB25" s="396"/>
      <c r="WC25" s="398"/>
      <c r="WD25" s="397"/>
      <c r="WE25" s="397"/>
      <c r="WF25" s="396"/>
      <c r="WG25" s="398"/>
      <c r="WH25" s="397"/>
      <c r="WI25" s="397"/>
      <c r="WJ25" s="396"/>
      <c r="WK25" s="398"/>
      <c r="WL25" s="396"/>
      <c r="WM25" s="398"/>
      <c r="WN25" s="396"/>
      <c r="WO25" s="398"/>
      <c r="WP25" s="396"/>
      <c r="WQ25" s="398"/>
      <c r="WR25" s="396"/>
      <c r="WS25" s="398"/>
      <c r="WT25" s="396"/>
      <c r="WU25" s="398"/>
      <c r="WV25" s="396"/>
      <c r="WW25" s="398"/>
      <c r="WX25" s="396"/>
      <c r="WY25" s="398"/>
      <c r="WZ25" s="397"/>
      <c r="XA25" s="397"/>
      <c r="XB25" s="396"/>
      <c r="XC25" s="398"/>
      <c r="XD25" s="396"/>
      <c r="XE25" s="398"/>
      <c r="XF25" s="396"/>
      <c r="XG25" s="398"/>
      <c r="XH25" s="396"/>
      <c r="XI25" s="398"/>
      <c r="XJ25" s="397"/>
      <c r="XK25" s="397"/>
      <c r="XL25" s="396"/>
      <c r="XM25" s="398"/>
      <c r="XN25" s="397"/>
      <c r="XO25" s="397"/>
      <c r="XP25" s="396"/>
      <c r="XQ25" s="398"/>
      <c r="XR25" s="397"/>
      <c r="XS25" s="397"/>
      <c r="XT25" s="396"/>
      <c r="XU25" s="398"/>
      <c r="XV25" s="396"/>
      <c r="XW25" s="398"/>
      <c r="XX25" s="336" t="s">
        <v>1790</v>
      </c>
      <c r="XY25" s="397"/>
      <c r="XZ25" s="396"/>
      <c r="YA25" s="398"/>
      <c r="YB25" s="397"/>
      <c r="YC25" s="397"/>
      <c r="YD25" s="396"/>
      <c r="YE25" s="398"/>
    </row>
    <row r="26" spans="1:655" ht="30" x14ac:dyDescent="0.2">
      <c r="A26" s="431">
        <v>2021</v>
      </c>
      <c r="B26" s="411" t="s">
        <v>22</v>
      </c>
      <c r="C26" s="431" t="s">
        <v>22</v>
      </c>
      <c r="D26" s="411" t="s">
        <v>22</v>
      </c>
      <c r="E26" s="431" t="s">
        <v>22</v>
      </c>
      <c r="F26" s="410" t="s">
        <v>22</v>
      </c>
      <c r="G26" s="431" t="s">
        <v>22</v>
      </c>
      <c r="H26" s="411" t="s">
        <v>22</v>
      </c>
      <c r="I26" s="410" t="s">
        <v>22</v>
      </c>
      <c r="J26" s="411" t="s">
        <v>22</v>
      </c>
      <c r="K26" s="431" t="s">
        <v>22</v>
      </c>
      <c r="L26" s="410" t="s">
        <v>22</v>
      </c>
      <c r="M26" s="410" t="s">
        <v>22</v>
      </c>
      <c r="N26" s="411" t="s">
        <v>22</v>
      </c>
      <c r="O26" s="431" t="s">
        <v>22</v>
      </c>
      <c r="P26" s="410" t="s">
        <v>22</v>
      </c>
      <c r="Q26" s="410" t="s">
        <v>22</v>
      </c>
      <c r="R26" s="411" t="s">
        <v>22</v>
      </c>
      <c r="S26" s="431" t="s">
        <v>22</v>
      </c>
      <c r="T26" s="411" t="s">
        <v>22</v>
      </c>
      <c r="U26" s="431" t="s">
        <v>22</v>
      </c>
      <c r="V26" s="410" t="s">
        <v>22</v>
      </c>
      <c r="W26" s="410" t="s">
        <v>22</v>
      </c>
      <c r="X26" s="411" t="s">
        <v>22</v>
      </c>
      <c r="Y26" s="431" t="s">
        <v>22</v>
      </c>
      <c r="Z26" s="411" t="s">
        <v>22</v>
      </c>
      <c r="AA26" s="431" t="s">
        <v>22</v>
      </c>
      <c r="AB26" s="410" t="s">
        <v>22</v>
      </c>
      <c r="AC26" s="410" t="s">
        <v>22</v>
      </c>
      <c r="AD26" s="411" t="s">
        <v>22</v>
      </c>
      <c r="AE26" s="431" t="s">
        <v>22</v>
      </c>
      <c r="AF26" s="411" t="s">
        <v>22</v>
      </c>
      <c r="AG26" s="431" t="s">
        <v>22</v>
      </c>
      <c r="AH26" s="410" t="s">
        <v>22</v>
      </c>
      <c r="AI26" s="410" t="s">
        <v>22</v>
      </c>
      <c r="AJ26" s="411" t="s">
        <v>22</v>
      </c>
      <c r="AK26" s="431" t="s">
        <v>22</v>
      </c>
      <c r="AL26" s="410" t="s">
        <v>22</v>
      </c>
      <c r="AM26" s="410" t="s">
        <v>22</v>
      </c>
      <c r="AN26" s="411" t="s">
        <v>22</v>
      </c>
      <c r="AO26" s="431" t="s">
        <v>22</v>
      </c>
      <c r="AP26" s="411" t="s">
        <v>22</v>
      </c>
      <c r="AQ26" s="431" t="s">
        <v>22</v>
      </c>
      <c r="AR26" s="411" t="s">
        <v>22</v>
      </c>
      <c r="AS26" s="431" t="s">
        <v>22</v>
      </c>
      <c r="AT26" s="410" t="s">
        <v>22</v>
      </c>
      <c r="AU26" s="410" t="s">
        <v>22</v>
      </c>
      <c r="AV26" s="411" t="s">
        <v>22</v>
      </c>
      <c r="AW26" s="431" t="s">
        <v>22</v>
      </c>
      <c r="AX26" s="410" t="s">
        <v>22</v>
      </c>
      <c r="AY26" s="410" t="s">
        <v>22</v>
      </c>
      <c r="AZ26" s="411" t="s">
        <v>22</v>
      </c>
      <c r="BA26" s="431" t="s">
        <v>22</v>
      </c>
      <c r="BB26" s="410"/>
      <c r="BC26" s="410"/>
      <c r="BD26" s="411" t="s">
        <v>22</v>
      </c>
      <c r="BE26" s="431" t="s">
        <v>22</v>
      </c>
      <c r="BF26" s="411" t="s">
        <v>22</v>
      </c>
      <c r="BG26" s="431" t="s">
        <v>22</v>
      </c>
      <c r="BH26" s="410" t="s">
        <v>22</v>
      </c>
      <c r="BI26" s="410" t="s">
        <v>22</v>
      </c>
      <c r="BJ26" s="411" t="s">
        <v>22</v>
      </c>
      <c r="BK26" s="431" t="s">
        <v>22</v>
      </c>
      <c r="BL26" s="410" t="s">
        <v>22</v>
      </c>
      <c r="BM26" s="410" t="s">
        <v>22</v>
      </c>
      <c r="BN26" s="411" t="s">
        <v>22</v>
      </c>
      <c r="BO26" s="431" t="s">
        <v>22</v>
      </c>
      <c r="BP26" s="411" t="s">
        <v>22</v>
      </c>
      <c r="BQ26" s="431" t="s">
        <v>22</v>
      </c>
      <c r="BR26" s="410" t="s">
        <v>22</v>
      </c>
      <c r="BS26" s="410" t="s">
        <v>22</v>
      </c>
      <c r="BT26" s="411" t="s">
        <v>22</v>
      </c>
      <c r="BU26" s="431" t="s">
        <v>22</v>
      </c>
      <c r="BV26" s="319" t="s">
        <v>1585</v>
      </c>
      <c r="BW26" s="431" t="str">
        <f ca="1">CHOOSE(WEEKDAY(DATE($A26,BV$43,BW$42),2),"Monday","Tuesday","Wednesday","Thursday","Friday","Saturday","Sunday")</f>
        <v>Friday</v>
      </c>
      <c r="BX26" s="410" t="s">
        <v>22</v>
      </c>
      <c r="BY26" s="410" t="s">
        <v>22</v>
      </c>
      <c r="BZ26" s="411" t="s">
        <v>22</v>
      </c>
      <c r="CA26" s="431" t="s">
        <v>22</v>
      </c>
      <c r="CB26" s="411" t="s">
        <v>22</v>
      </c>
      <c r="CC26" s="431" t="s">
        <v>22</v>
      </c>
      <c r="CD26" s="410" t="s">
        <v>22</v>
      </c>
      <c r="CE26" s="410" t="s">
        <v>22</v>
      </c>
      <c r="CF26" s="411" t="s">
        <v>22</v>
      </c>
      <c r="CG26" s="431" t="s">
        <v>22</v>
      </c>
      <c r="CH26" s="411" t="s">
        <v>22</v>
      </c>
      <c r="CI26" s="431" t="s">
        <v>22</v>
      </c>
      <c r="CJ26" s="539" t="s">
        <v>1611</v>
      </c>
      <c r="CK26" s="431" t="str">
        <f ca="1">CHOOSE(WEEKDAY(DATE($A26,CJ$43,CK$42),2),"Monday","Tuesday","Wednesday","Thursday","Friday","Saturday","Sunday")</f>
        <v>Friday</v>
      </c>
      <c r="CL26" s="410" t="s">
        <v>22</v>
      </c>
      <c r="CM26" s="410" t="s">
        <v>22</v>
      </c>
      <c r="CN26" s="411" t="s">
        <v>22</v>
      </c>
      <c r="CO26" s="431" t="s">
        <v>22</v>
      </c>
      <c r="CP26" s="410" t="s">
        <v>22</v>
      </c>
      <c r="CQ26" s="410" t="s">
        <v>22</v>
      </c>
      <c r="CR26" s="411" t="s">
        <v>22</v>
      </c>
      <c r="CS26" s="431" t="s">
        <v>22</v>
      </c>
      <c r="CT26" s="410" t="s">
        <v>22</v>
      </c>
      <c r="CU26" s="410" t="s">
        <v>22</v>
      </c>
      <c r="CV26" s="411" t="s">
        <v>22</v>
      </c>
      <c r="CW26" s="431" t="s">
        <v>22</v>
      </c>
      <c r="CX26" s="411" t="s">
        <v>22</v>
      </c>
      <c r="CY26" s="410" t="s">
        <v>22</v>
      </c>
      <c r="CZ26" s="411" t="s">
        <v>22</v>
      </c>
      <c r="DA26" s="410" t="s">
        <v>22</v>
      </c>
      <c r="DB26" s="411" t="s">
        <v>22</v>
      </c>
      <c r="DC26" s="431" t="s">
        <v>22</v>
      </c>
      <c r="DD26" s="410" t="s">
        <v>22</v>
      </c>
      <c r="DE26" s="410" t="s">
        <v>22</v>
      </c>
      <c r="DF26" s="411" t="s">
        <v>22</v>
      </c>
      <c r="DG26" s="431" t="s">
        <v>22</v>
      </c>
      <c r="DH26" s="410" t="s">
        <v>22</v>
      </c>
      <c r="DI26" s="410" t="s">
        <v>22</v>
      </c>
      <c r="DJ26" s="539" t="s">
        <v>1627</v>
      </c>
      <c r="DK26" s="431" t="str">
        <f ca="1">CHOOSE(WEEKDAY(DATE($A26,DJ$43,DK$42),2),"Monday","Tuesday","Wednesday","Thursday","Friday","Saturday","Sunday")</f>
        <v>Friday</v>
      </c>
      <c r="DL26" s="410" t="s">
        <v>22</v>
      </c>
      <c r="DM26" s="410" t="s">
        <v>22</v>
      </c>
      <c r="DN26" s="411" t="s">
        <v>22</v>
      </c>
      <c r="DO26" s="431" t="s">
        <v>22</v>
      </c>
      <c r="DP26" s="410" t="s">
        <v>22</v>
      </c>
      <c r="DQ26" s="410" t="s">
        <v>22</v>
      </c>
      <c r="DR26" s="411" t="s">
        <v>22</v>
      </c>
      <c r="DS26" s="431" t="s">
        <v>22</v>
      </c>
      <c r="DT26" s="410" t="s">
        <v>22</v>
      </c>
      <c r="DU26" s="410" t="s">
        <v>22</v>
      </c>
      <c r="DV26" s="411" t="s">
        <v>22</v>
      </c>
      <c r="DW26" s="431" t="s">
        <v>22</v>
      </c>
      <c r="DX26" s="410" t="s">
        <v>22</v>
      </c>
      <c r="DY26" s="410" t="s">
        <v>22</v>
      </c>
      <c r="DZ26" s="411" t="s">
        <v>22</v>
      </c>
      <c r="EA26" s="431" t="s">
        <v>22</v>
      </c>
      <c r="EB26" s="411" t="s">
        <v>22</v>
      </c>
      <c r="EC26" s="431" t="s">
        <v>22</v>
      </c>
      <c r="ED26" s="410" t="s">
        <v>22</v>
      </c>
      <c r="EE26" s="410" t="s">
        <v>22</v>
      </c>
      <c r="EF26" s="540" t="s">
        <v>1638</v>
      </c>
      <c r="EG26" s="431" t="str">
        <f ca="1">CHOOSE(WEEKDAY(DATE($A26,EF$43,EG$42),2),"Monday","Tuesday","Wednesday","Thursday","Friday","Saturday","Sunday")</f>
        <v>Wednesday</v>
      </c>
      <c r="EH26" s="410" t="s">
        <v>22</v>
      </c>
      <c r="EI26" s="410" t="s">
        <v>22</v>
      </c>
      <c r="EJ26" s="539" t="s">
        <v>1644</v>
      </c>
      <c r="EK26" s="431" t="str">
        <f ca="1">CHOOSE(WEEKDAY(DATE($A26,EJ$43,EK$42),2),"Monday","Tuesday","Wednesday","Thursday","Friday","Saturday","Sunday")</f>
        <v>Friday</v>
      </c>
      <c r="EL26" s="410" t="s">
        <v>22</v>
      </c>
      <c r="EM26" s="410" t="s">
        <v>22</v>
      </c>
      <c r="EN26" s="411" t="s">
        <v>22</v>
      </c>
      <c r="EO26" s="431" t="s">
        <v>22</v>
      </c>
      <c r="EP26" s="410" t="s">
        <v>22</v>
      </c>
      <c r="EQ26" s="410" t="s">
        <v>22</v>
      </c>
      <c r="ER26" s="411" t="s">
        <v>22</v>
      </c>
      <c r="ES26" s="431" t="s">
        <v>22</v>
      </c>
      <c r="ET26" s="410" t="s">
        <v>22</v>
      </c>
      <c r="EU26" s="410" t="s">
        <v>22</v>
      </c>
      <c r="EV26" s="411" t="s">
        <v>22</v>
      </c>
      <c r="EW26" s="431" t="s">
        <v>22</v>
      </c>
      <c r="EX26" s="410" t="s">
        <v>22</v>
      </c>
      <c r="EY26" s="410" t="s">
        <v>22</v>
      </c>
      <c r="EZ26" s="411" t="s">
        <v>22</v>
      </c>
      <c r="FA26" s="431" t="s">
        <v>22</v>
      </c>
      <c r="FB26" s="411" t="s">
        <v>22</v>
      </c>
      <c r="FC26" s="431" t="s">
        <v>22</v>
      </c>
      <c r="FD26" s="411" t="s">
        <v>22</v>
      </c>
      <c r="FE26" s="431" t="s">
        <v>22</v>
      </c>
      <c r="FF26" s="410" t="s">
        <v>22</v>
      </c>
      <c r="FG26" s="410" t="s">
        <v>22</v>
      </c>
      <c r="FH26" s="411" t="s">
        <v>22</v>
      </c>
      <c r="FI26" s="431" t="s">
        <v>22</v>
      </c>
      <c r="FJ26" s="319" t="s">
        <v>1660</v>
      </c>
      <c r="FK26" s="431" t="str">
        <f ca="1">CHOOSE(WEEKDAY(DATE($A26,FJ$43,FK$42),2),"Monday","Tuesday","Wednesday","Thursday","Friday","Saturday","Sunday")</f>
        <v>Thursday</v>
      </c>
      <c r="FL26" s="411" t="s">
        <v>22</v>
      </c>
      <c r="FM26" s="431" t="s">
        <v>22</v>
      </c>
      <c r="FN26" s="539" t="s">
        <v>1679</v>
      </c>
      <c r="FO26" s="431" t="str">
        <f ca="1">CHOOSE(WEEKDAY(DATE($A26,FN$43,FO$42),2),"Monday","Tuesday","Wednesday","Thursday","Friday","Saturday","Sunday")</f>
        <v>Sunday</v>
      </c>
      <c r="FP26" s="411" t="s">
        <v>22</v>
      </c>
      <c r="FQ26" s="431" t="s">
        <v>22</v>
      </c>
      <c r="FR26" s="411" t="s">
        <v>22</v>
      </c>
      <c r="FS26" s="431" t="s">
        <v>22</v>
      </c>
      <c r="FT26" s="410" t="s">
        <v>22</v>
      </c>
      <c r="FU26" s="410" t="s">
        <v>22</v>
      </c>
      <c r="FV26" s="411" t="s">
        <v>22</v>
      </c>
      <c r="FW26" s="431" t="s">
        <v>22</v>
      </c>
      <c r="FX26" s="539" t="s">
        <v>2015</v>
      </c>
      <c r="FY26" s="431" t="str">
        <f ca="1">CHOOSE(WEEKDAY(DATE($A26,FX$43,FY$42),2),"Monday","Tuesday","Wednesday","Thursday","Friday","Saturday","Sunday")</f>
        <v>Friday</v>
      </c>
      <c r="FZ26" s="411" t="s">
        <v>22</v>
      </c>
      <c r="GA26" s="431" t="s">
        <v>22</v>
      </c>
      <c r="GB26" s="410" t="s">
        <v>22</v>
      </c>
      <c r="GC26" s="410" t="s">
        <v>22</v>
      </c>
      <c r="GD26" s="411" t="s">
        <v>22</v>
      </c>
      <c r="GE26" s="431" t="s">
        <v>22</v>
      </c>
      <c r="GF26" s="411" t="s">
        <v>22</v>
      </c>
      <c r="GG26" s="431" t="s">
        <v>22</v>
      </c>
      <c r="GH26" s="411" t="s">
        <v>22</v>
      </c>
      <c r="GI26" s="431" t="s">
        <v>22</v>
      </c>
      <c r="GJ26" s="410" t="s">
        <v>22</v>
      </c>
      <c r="GK26" s="410" t="s">
        <v>22</v>
      </c>
      <c r="GL26" s="411" t="s">
        <v>22</v>
      </c>
      <c r="GM26" s="431" t="s">
        <v>22</v>
      </c>
      <c r="GN26" s="411" t="s">
        <v>22</v>
      </c>
      <c r="GO26" s="431" t="s">
        <v>22</v>
      </c>
      <c r="GP26" s="410" t="s">
        <v>22</v>
      </c>
      <c r="GQ26" s="410" t="s">
        <v>22</v>
      </c>
      <c r="GR26" s="411" t="s">
        <v>22</v>
      </c>
      <c r="GS26" s="431" t="s">
        <v>22</v>
      </c>
      <c r="GT26" s="411" t="s">
        <v>22</v>
      </c>
      <c r="GU26" s="431" t="s">
        <v>22</v>
      </c>
      <c r="GV26" s="411" t="s">
        <v>22</v>
      </c>
      <c r="GW26" s="431" t="s">
        <v>22</v>
      </c>
      <c r="GX26" s="411" t="s">
        <v>22</v>
      </c>
      <c r="GY26" s="431" t="s">
        <v>22</v>
      </c>
      <c r="GZ26" s="411" t="s">
        <v>22</v>
      </c>
      <c r="HA26" s="431" t="s">
        <v>22</v>
      </c>
      <c r="HB26" s="411" t="s">
        <v>22</v>
      </c>
      <c r="HC26" s="431" t="s">
        <v>22</v>
      </c>
      <c r="HD26" s="539" t="s">
        <v>1711</v>
      </c>
      <c r="HE26" s="431" t="str">
        <f ca="1">CHOOSE(WEEKDAY(DATE($A26,HD$43,HE$42),2),"Monday","Tuesday","Wednesday","Thursday","Friday","Saturday","Sunday")</f>
        <v>Friday</v>
      </c>
      <c r="HF26" s="411" t="s">
        <v>22</v>
      </c>
      <c r="HG26" s="431" t="s">
        <v>22</v>
      </c>
      <c r="HH26" s="411" t="s">
        <v>22</v>
      </c>
      <c r="HI26" s="431" t="s">
        <v>22</v>
      </c>
      <c r="HJ26" s="410" t="s">
        <v>22</v>
      </c>
      <c r="HK26" s="410" t="s">
        <v>22</v>
      </c>
      <c r="HL26" s="411" t="s">
        <v>22</v>
      </c>
      <c r="HM26" s="431" t="s">
        <v>22</v>
      </c>
      <c r="HN26" s="411" t="s">
        <v>22</v>
      </c>
      <c r="HO26" s="431" t="s">
        <v>22</v>
      </c>
      <c r="HP26" s="411" t="s">
        <v>22</v>
      </c>
      <c r="HQ26" s="431" t="s">
        <v>22</v>
      </c>
      <c r="HR26" s="319" t="s">
        <v>1711</v>
      </c>
      <c r="HS26" s="431" t="str">
        <f ca="1">CHOOSE(WEEKDAY(DATE($A26,HR$43,HS$42),2),"Monday","Tuesday","Wednesday","Thursday","Friday","Saturday","Sunday")</f>
        <v>Friday</v>
      </c>
      <c r="HT26" s="410" t="s">
        <v>22</v>
      </c>
      <c r="HU26" s="410" t="s">
        <v>22</v>
      </c>
      <c r="HV26" s="411" t="s">
        <v>22</v>
      </c>
      <c r="HW26" s="431" t="s">
        <v>22</v>
      </c>
      <c r="HX26" s="411" t="s">
        <v>22</v>
      </c>
      <c r="HY26" s="431" t="s">
        <v>22</v>
      </c>
      <c r="HZ26" s="410" t="s">
        <v>22</v>
      </c>
      <c r="IA26" s="410" t="s">
        <v>22</v>
      </c>
      <c r="IB26" s="411" t="s">
        <v>22</v>
      </c>
      <c r="IC26" s="431" t="s">
        <v>22</v>
      </c>
      <c r="ID26" s="410" t="s">
        <v>22</v>
      </c>
      <c r="IE26" s="410" t="s">
        <v>22</v>
      </c>
      <c r="IF26" s="411" t="s">
        <v>22</v>
      </c>
      <c r="IG26" s="431" t="s">
        <v>22</v>
      </c>
      <c r="IH26" s="410" t="s">
        <v>22</v>
      </c>
      <c r="II26" s="410" t="s">
        <v>22</v>
      </c>
      <c r="IJ26" s="411" t="s">
        <v>22</v>
      </c>
      <c r="IK26" s="431" t="s">
        <v>22</v>
      </c>
      <c r="IL26" s="411" t="s">
        <v>22</v>
      </c>
      <c r="IM26" s="431" t="s">
        <v>22</v>
      </c>
      <c r="IN26" s="411" t="s">
        <v>22</v>
      </c>
      <c r="IO26" s="431" t="s">
        <v>22</v>
      </c>
      <c r="IP26" s="411" t="s">
        <v>22</v>
      </c>
      <c r="IQ26" s="431" t="s">
        <v>22</v>
      </c>
      <c r="IR26" s="410" t="s">
        <v>22</v>
      </c>
      <c r="IS26" s="410" t="s">
        <v>22</v>
      </c>
      <c r="IT26" s="411" t="s">
        <v>22</v>
      </c>
      <c r="IU26" s="431" t="s">
        <v>22</v>
      </c>
      <c r="IV26" s="411" t="s">
        <v>22</v>
      </c>
      <c r="IW26" s="431" t="s">
        <v>22</v>
      </c>
      <c r="IX26" s="411" t="s">
        <v>22</v>
      </c>
      <c r="IY26" s="431" t="s">
        <v>22</v>
      </c>
      <c r="IZ26" s="410" t="s">
        <v>22</v>
      </c>
      <c r="JA26" s="410" t="s">
        <v>22</v>
      </c>
      <c r="JB26" s="411" t="s">
        <v>22</v>
      </c>
      <c r="JC26" s="431" t="s">
        <v>22</v>
      </c>
      <c r="JD26" s="410" t="s">
        <v>22</v>
      </c>
      <c r="JE26" s="410" t="s">
        <v>22</v>
      </c>
      <c r="JF26" s="411" t="s">
        <v>22</v>
      </c>
      <c r="JG26" s="431" t="s">
        <v>22</v>
      </c>
      <c r="JH26" s="411" t="s">
        <v>22</v>
      </c>
      <c r="JI26" s="431" t="s">
        <v>22</v>
      </c>
      <c r="JJ26" s="411" t="s">
        <v>22</v>
      </c>
      <c r="JK26" s="431" t="s">
        <v>22</v>
      </c>
      <c r="JL26" s="410" t="s">
        <v>22</v>
      </c>
      <c r="JM26" s="410" t="s">
        <v>22</v>
      </c>
      <c r="JN26" s="411" t="s">
        <v>22</v>
      </c>
      <c r="JO26" s="431" t="s">
        <v>22</v>
      </c>
      <c r="JP26" s="539" t="s">
        <v>2006</v>
      </c>
      <c r="JQ26" s="431" t="str">
        <f ca="1">CHOOSE(WEEKDAY(DATE($A26,JP$43,JQ$42),2),"Monday","Tuesday","Wednesday","Thursday","Friday","Saturday","Sunday")</f>
        <v>Friday</v>
      </c>
      <c r="JR26" s="411" t="s">
        <v>22</v>
      </c>
      <c r="JS26" s="431" t="s">
        <v>22</v>
      </c>
      <c r="JT26" s="410" t="s">
        <v>22</v>
      </c>
      <c r="JU26" s="410" t="s">
        <v>22</v>
      </c>
      <c r="JV26" s="411" t="s">
        <v>22</v>
      </c>
      <c r="JW26" s="431" t="s">
        <v>22</v>
      </c>
      <c r="JX26" s="410" t="s">
        <v>22</v>
      </c>
      <c r="JY26" s="410" t="s">
        <v>22</v>
      </c>
      <c r="JZ26" s="411" t="s">
        <v>22</v>
      </c>
      <c r="KA26" s="431" t="s">
        <v>22</v>
      </c>
      <c r="KB26" s="539" t="s">
        <v>1752</v>
      </c>
      <c r="KC26" s="431" t="str">
        <f ca="1">CHOOSE(WEEKDAY(DATE($A26,KB$43,KC$42),2),"Monday","Tuesday","Wednesday","Thursday","Friday","Saturday","Sunday")</f>
        <v>Friday</v>
      </c>
      <c r="KD26" s="411" t="s">
        <v>22</v>
      </c>
      <c r="KE26" s="431" t="s">
        <v>22</v>
      </c>
      <c r="KF26" s="410" t="s">
        <v>22</v>
      </c>
      <c r="KG26" s="410" t="s">
        <v>22</v>
      </c>
      <c r="KH26" s="411" t="s">
        <v>22</v>
      </c>
      <c r="KI26" s="431" t="s">
        <v>22</v>
      </c>
      <c r="KJ26" s="411" t="s">
        <v>22</v>
      </c>
      <c r="KK26" s="431" t="s">
        <v>22</v>
      </c>
      <c r="KL26" s="411" t="s">
        <v>22</v>
      </c>
      <c r="KM26" s="431" t="s">
        <v>22</v>
      </c>
      <c r="KN26" s="410" t="s">
        <v>22</v>
      </c>
      <c r="KO26" s="410" t="s">
        <v>22</v>
      </c>
      <c r="KP26" s="411" t="s">
        <v>22</v>
      </c>
      <c r="KQ26" s="431" t="s">
        <v>22</v>
      </c>
      <c r="KR26" s="410" t="s">
        <v>22</v>
      </c>
      <c r="KS26" s="410" t="s">
        <v>22</v>
      </c>
      <c r="KT26" s="411" t="s">
        <v>22</v>
      </c>
      <c r="KU26" s="431" t="s">
        <v>22</v>
      </c>
      <c r="KV26" s="538" t="s">
        <v>1761</v>
      </c>
      <c r="KW26" s="431" t="str">
        <f ca="1">CHOOSE(WEEKDAY(DATE($A26,KV$43,KW$42),2),"Monday","Tuesday","Wednesday","Thursday","Friday","Saturday","Sunday")</f>
        <v>Wednesday</v>
      </c>
      <c r="KX26" s="411" t="s">
        <v>22</v>
      </c>
      <c r="KY26" s="431" t="s">
        <v>22</v>
      </c>
      <c r="KZ26" s="411" t="s">
        <v>22</v>
      </c>
      <c r="LA26" s="431" t="s">
        <v>22</v>
      </c>
      <c r="LB26" s="411" t="s">
        <v>22</v>
      </c>
      <c r="LC26" s="431" t="s">
        <v>22</v>
      </c>
      <c r="LD26" s="410" t="s">
        <v>22</v>
      </c>
      <c r="LE26" s="410" t="s">
        <v>22</v>
      </c>
      <c r="LF26" s="411" t="s">
        <v>22</v>
      </c>
      <c r="LG26" s="431" t="s">
        <v>22</v>
      </c>
      <c r="LH26" s="410" t="s">
        <v>22</v>
      </c>
      <c r="LI26" s="410" t="s">
        <v>22</v>
      </c>
      <c r="LJ26" s="539" t="s">
        <v>1782</v>
      </c>
      <c r="LK26" s="431" t="str">
        <f ca="1">CHOOSE(WEEKDAY(DATE($A26,LJ$43,LK$42),2),"Monday","Tuesday","Wednesday","Thursday","Friday","Saturday","Sunday")</f>
        <v>Thursday</v>
      </c>
      <c r="LL26" s="538" t="s">
        <v>1788</v>
      </c>
      <c r="LM26" s="431" t="str">
        <f ca="1">CHOOSE(WEEKDAY(DATE($A26,LL$43,LM$42),2),"Monday","Tuesday","Wednesday","Thursday","Friday","Saturday","Sunday")</f>
        <v>Friday</v>
      </c>
      <c r="LN26" s="411" t="s">
        <v>22</v>
      </c>
      <c r="LO26" s="431" t="s">
        <v>22</v>
      </c>
      <c r="LP26" s="410" t="s">
        <v>22</v>
      </c>
      <c r="LQ26" s="410" t="s">
        <v>22</v>
      </c>
      <c r="LR26" s="411" t="s">
        <v>22</v>
      </c>
      <c r="LS26" s="431" t="s">
        <v>22</v>
      </c>
      <c r="LT26" s="410" t="s">
        <v>22</v>
      </c>
      <c r="LU26" s="410" t="s">
        <v>22</v>
      </c>
      <c r="LV26" s="411" t="s">
        <v>22</v>
      </c>
      <c r="LW26" s="431" t="s">
        <v>22</v>
      </c>
      <c r="LX26" s="410" t="s">
        <v>22</v>
      </c>
      <c r="LY26" s="410" t="s">
        <v>22</v>
      </c>
      <c r="LZ26" s="411" t="s">
        <v>22</v>
      </c>
      <c r="MA26" s="431" t="s">
        <v>22</v>
      </c>
      <c r="MB26" s="410" t="s">
        <v>22</v>
      </c>
      <c r="MC26" s="410" t="s">
        <v>22</v>
      </c>
      <c r="MD26" s="411" t="s">
        <v>22</v>
      </c>
      <c r="ME26" s="431" t="s">
        <v>22</v>
      </c>
      <c r="MF26" s="410" t="s">
        <v>22</v>
      </c>
      <c r="MG26" s="410" t="s">
        <v>22</v>
      </c>
      <c r="MH26" s="539" t="s">
        <v>1805</v>
      </c>
      <c r="MI26" s="431" t="str">
        <f ca="1">CHOOSE(WEEKDAY(DATE($A26,MH$43,MI$42),2),"Monday","Tuesday","Wednesday","Thursday","Friday","Saturday","Sunday")</f>
        <v>Wednesday</v>
      </c>
      <c r="MJ26" s="411" t="s">
        <v>22</v>
      </c>
      <c r="MK26" s="431" t="s">
        <v>22</v>
      </c>
      <c r="ML26" s="411" t="s">
        <v>22</v>
      </c>
      <c r="MM26" s="431" t="s">
        <v>22</v>
      </c>
      <c r="MN26" s="410" t="s">
        <v>22</v>
      </c>
      <c r="MO26" s="410" t="s">
        <v>22</v>
      </c>
      <c r="MP26" s="411" t="s">
        <v>22</v>
      </c>
      <c r="MQ26" s="431" t="s">
        <v>22</v>
      </c>
      <c r="MR26" s="410" t="s">
        <v>22</v>
      </c>
      <c r="MS26" s="410" t="s">
        <v>22</v>
      </c>
      <c r="MT26" s="411" t="s">
        <v>22</v>
      </c>
      <c r="MU26" s="431" t="s">
        <v>22</v>
      </c>
      <c r="MV26" s="410" t="s">
        <v>22</v>
      </c>
      <c r="MW26" s="410" t="s">
        <v>22</v>
      </c>
      <c r="MX26" s="411" t="s">
        <v>22</v>
      </c>
      <c r="MY26" s="431" t="s">
        <v>22</v>
      </c>
      <c r="MZ26" s="539" t="s">
        <v>1813</v>
      </c>
      <c r="NA26" s="431" t="str">
        <f ca="1">CHOOSE(WEEKDAY(DATE($A26,MZ$43,NA$42),2),"Monday","Tuesday","Wednesday","Thursday","Friday","Saturday","Sunday")</f>
        <v>Friday</v>
      </c>
      <c r="NB26" s="410" t="s">
        <v>22</v>
      </c>
      <c r="NC26" s="410" t="s">
        <v>22</v>
      </c>
      <c r="ND26" s="411" t="s">
        <v>22</v>
      </c>
      <c r="NE26" s="431" t="s">
        <v>22</v>
      </c>
      <c r="NF26" s="410" t="s">
        <v>22</v>
      </c>
      <c r="NG26" s="410" t="s">
        <v>22</v>
      </c>
      <c r="NH26" s="411" t="s">
        <v>22</v>
      </c>
      <c r="NI26" s="431" t="s">
        <v>22</v>
      </c>
      <c r="NJ26" s="410" t="s">
        <v>22</v>
      </c>
      <c r="NK26" s="410" t="s">
        <v>22</v>
      </c>
      <c r="NL26" s="411" t="s">
        <v>22</v>
      </c>
      <c r="NM26" s="431" t="s">
        <v>22</v>
      </c>
      <c r="NN26" s="539" t="s">
        <v>1816</v>
      </c>
      <c r="NO26" s="431" t="str">
        <f ca="1">CHOOSE(WEEKDAY(DATE($A26,NN$43,NO$42),2),"Monday","Tuesday","Wednesday","Thursday","Friday","Saturday","Sunday")</f>
        <v>Friday</v>
      </c>
      <c r="NP26" s="410" t="s">
        <v>22</v>
      </c>
      <c r="NQ26" s="410" t="s">
        <v>22</v>
      </c>
      <c r="NR26" s="411" t="s">
        <v>22</v>
      </c>
      <c r="NS26" s="431" t="s">
        <v>22</v>
      </c>
      <c r="NT26" s="541" t="s">
        <v>2037</v>
      </c>
      <c r="NU26" s="431" t="str">
        <f ca="1">CHOOSE(WEEKDAY(DATE($A26,NT$43,NU$42),2),"Monday","Tuesday","Wednesday","Thursday","Friday","Saturday","Sunday")</f>
        <v>Monday</v>
      </c>
      <c r="NV26" s="411" t="s">
        <v>22</v>
      </c>
      <c r="NW26" s="431" t="s">
        <v>22</v>
      </c>
      <c r="NX26" s="410" t="s">
        <v>22</v>
      </c>
      <c r="NY26" s="410" t="s">
        <v>22</v>
      </c>
      <c r="NZ26" s="411" t="s">
        <v>22</v>
      </c>
      <c r="OA26" s="431" t="s">
        <v>22</v>
      </c>
      <c r="OB26" s="410" t="s">
        <v>22</v>
      </c>
      <c r="OC26" s="410" t="s">
        <v>22</v>
      </c>
      <c r="OD26" s="411" t="s">
        <v>22</v>
      </c>
      <c r="OE26" s="431" t="s">
        <v>22</v>
      </c>
      <c r="OF26" s="410" t="s">
        <v>22</v>
      </c>
      <c r="OG26" s="410" t="s">
        <v>22</v>
      </c>
      <c r="OH26" s="411" t="s">
        <v>22</v>
      </c>
      <c r="OI26" s="431" t="s">
        <v>22</v>
      </c>
      <c r="OJ26" s="541" t="s">
        <v>1828</v>
      </c>
      <c r="OK26" s="431" t="str">
        <f ca="1">CHOOSE(WEEKDAY(DATE($A26,OJ$43,OK$42),2),"Monday","Tuesday","Wednesday","Thursday","Friday","Saturday","Sunday")</f>
        <v>Thursday</v>
      </c>
      <c r="OL26" s="411" t="s">
        <v>22</v>
      </c>
      <c r="OM26" s="431" t="s">
        <v>22</v>
      </c>
      <c r="ON26" s="411" t="s">
        <v>22</v>
      </c>
      <c r="OO26" s="431" t="s">
        <v>22</v>
      </c>
      <c r="OP26" s="410" t="s">
        <v>22</v>
      </c>
      <c r="OQ26" s="410" t="s">
        <v>22</v>
      </c>
      <c r="OR26" s="411" t="s">
        <v>22</v>
      </c>
      <c r="OS26" s="431" t="s">
        <v>22</v>
      </c>
      <c r="OT26" s="411" t="s">
        <v>22</v>
      </c>
      <c r="OU26" s="431" t="s">
        <v>22</v>
      </c>
      <c r="OV26" s="410" t="s">
        <v>22</v>
      </c>
      <c r="OW26" s="410" t="s">
        <v>22</v>
      </c>
      <c r="OX26" s="411" t="s">
        <v>22</v>
      </c>
      <c r="OY26" s="431" t="s">
        <v>22</v>
      </c>
      <c r="OZ26" s="410" t="s">
        <v>22</v>
      </c>
      <c r="PA26" s="410" t="s">
        <v>22</v>
      </c>
      <c r="PB26" s="411" t="s">
        <v>22</v>
      </c>
      <c r="PC26" s="431" t="s">
        <v>22</v>
      </c>
      <c r="PD26" s="410" t="s">
        <v>22</v>
      </c>
      <c r="PE26" s="410" t="s">
        <v>22</v>
      </c>
      <c r="PF26" s="411" t="s">
        <v>22</v>
      </c>
      <c r="PG26" s="431" t="s">
        <v>22</v>
      </c>
      <c r="PH26" s="410" t="s">
        <v>22</v>
      </c>
      <c r="PI26" s="431" t="s">
        <v>22</v>
      </c>
      <c r="PJ26" s="411" t="s">
        <v>22</v>
      </c>
      <c r="PK26" s="431" t="s">
        <v>22</v>
      </c>
      <c r="PL26" s="410" t="s">
        <v>22</v>
      </c>
      <c r="PM26" s="410" t="s">
        <v>22</v>
      </c>
      <c r="PN26" s="411" t="s">
        <v>22</v>
      </c>
      <c r="PO26" s="431" t="s">
        <v>22</v>
      </c>
      <c r="PP26" s="410" t="s">
        <v>22</v>
      </c>
      <c r="PQ26" s="410" t="s">
        <v>22</v>
      </c>
      <c r="PR26" s="411" t="s">
        <v>22</v>
      </c>
      <c r="PS26" s="431" t="s">
        <v>22</v>
      </c>
      <c r="PT26" s="410" t="s">
        <v>22</v>
      </c>
      <c r="PU26" s="410" t="s">
        <v>22</v>
      </c>
      <c r="PV26" s="411" t="s">
        <v>22</v>
      </c>
      <c r="PW26" s="431" t="s">
        <v>22</v>
      </c>
      <c r="PX26" s="410" t="s">
        <v>22</v>
      </c>
      <c r="PY26" s="410" t="s">
        <v>22</v>
      </c>
      <c r="PZ26" s="411" t="s">
        <v>22</v>
      </c>
      <c r="QA26" s="431" t="s">
        <v>22</v>
      </c>
      <c r="QB26" s="410" t="s">
        <v>22</v>
      </c>
      <c r="QC26" s="410" t="s">
        <v>22</v>
      </c>
      <c r="QD26" s="539" t="s">
        <v>1859</v>
      </c>
      <c r="QE26" s="431" t="str">
        <f ca="1">CHOOSE(WEEKDAY(DATE($A26,QD$43,QE$42),2),"Monday","Tuesday","Wednesday","Thursday","Friday","Saturday","Sunday")</f>
        <v>Friday</v>
      </c>
      <c r="QF26" s="410" t="s">
        <v>22</v>
      </c>
      <c r="QG26" s="410" t="s">
        <v>22</v>
      </c>
      <c r="QH26" s="411" t="s">
        <v>22</v>
      </c>
      <c r="QI26" s="431" t="s">
        <v>22</v>
      </c>
      <c r="QJ26" s="410" t="s">
        <v>22</v>
      </c>
      <c r="QK26" s="410" t="s">
        <v>22</v>
      </c>
      <c r="QL26" s="411" t="s">
        <v>22</v>
      </c>
      <c r="QM26" s="431" t="s">
        <v>22</v>
      </c>
      <c r="QN26" s="541" t="s">
        <v>1871</v>
      </c>
      <c r="QO26" s="431" t="str">
        <f ca="1">CHOOSE(WEEKDAY(DATE($A26,QN$43,QO$42),2),"Monday","Tuesday","Wednesday","Thursday","Friday","Saturday","Sunday")</f>
        <v>Wednesday</v>
      </c>
      <c r="QP26" s="411" t="s">
        <v>22</v>
      </c>
      <c r="QQ26" s="431" t="s">
        <v>22</v>
      </c>
      <c r="QR26" s="541" t="s">
        <v>1876</v>
      </c>
      <c r="QS26" s="431" t="str">
        <f ca="1">CHOOSE(WEEKDAY(DATE($A26,QR$43,QS$42),2),"Monday","Tuesday","Wednesday","Thursday","Friday","Saturday","Sunday")</f>
        <v>Friday</v>
      </c>
      <c r="QT26" s="411" t="s">
        <v>22</v>
      </c>
      <c r="QU26" s="456" t="s">
        <v>22</v>
      </c>
      <c r="QV26" s="410" t="s">
        <v>22</v>
      </c>
      <c r="QW26" s="410" t="s">
        <v>22</v>
      </c>
      <c r="QX26" s="411" t="s">
        <v>22</v>
      </c>
      <c r="QY26" s="431" t="s">
        <v>22</v>
      </c>
      <c r="QZ26" s="411" t="s">
        <v>22</v>
      </c>
      <c r="RA26" s="431" t="s">
        <v>22</v>
      </c>
      <c r="RB26" s="411" t="s">
        <v>22</v>
      </c>
      <c r="RC26" s="431" t="s">
        <v>22</v>
      </c>
      <c r="RD26" s="411" t="s">
        <v>22</v>
      </c>
      <c r="RE26" s="431" t="s">
        <v>22</v>
      </c>
      <c r="RF26" s="411" t="s">
        <v>22</v>
      </c>
      <c r="RG26" s="431" t="s">
        <v>22</v>
      </c>
      <c r="RH26" s="410" t="s">
        <v>22</v>
      </c>
      <c r="RI26" s="410" t="s">
        <v>22</v>
      </c>
      <c r="RJ26" s="411" t="s">
        <v>22</v>
      </c>
      <c r="RK26" s="431" t="s">
        <v>22</v>
      </c>
      <c r="RL26" s="411" t="s">
        <v>22</v>
      </c>
      <c r="RM26" s="431" t="s">
        <v>22</v>
      </c>
      <c r="RN26" s="410" t="s">
        <v>22</v>
      </c>
      <c r="RO26" s="410" t="s">
        <v>22</v>
      </c>
      <c r="RP26" s="411" t="s">
        <v>22</v>
      </c>
      <c r="RQ26" s="431" t="s">
        <v>22</v>
      </c>
      <c r="RR26" s="323" t="s">
        <v>1893</v>
      </c>
      <c r="RS26" s="431" t="str">
        <f ca="1">CHOOSE(WEEKDAY(DATE($A26,RR$43,RS$42),2),"Monday","Tuesday","Wednesday","Thursday","Friday","Saturday","Sunday")</f>
        <v>Friday</v>
      </c>
      <c r="RT26" s="411" t="s">
        <v>22</v>
      </c>
      <c r="RU26" s="431" t="s">
        <v>22</v>
      </c>
      <c r="RV26" s="410" t="s">
        <v>22</v>
      </c>
      <c r="RW26" s="410" t="s">
        <v>22</v>
      </c>
      <c r="RX26" s="411" t="s">
        <v>22</v>
      </c>
      <c r="RY26" s="431" t="s">
        <v>22</v>
      </c>
      <c r="RZ26" s="411" t="s">
        <v>22</v>
      </c>
      <c r="SA26" s="431" t="s">
        <v>22</v>
      </c>
      <c r="SB26" s="411" t="s">
        <v>22</v>
      </c>
      <c r="SC26" s="431" t="s">
        <v>22</v>
      </c>
      <c r="SD26" s="410" t="s">
        <v>22</v>
      </c>
      <c r="SE26" s="410" t="s">
        <v>22</v>
      </c>
      <c r="SF26" s="411" t="s">
        <v>22</v>
      </c>
      <c r="SG26" s="431" t="s">
        <v>22</v>
      </c>
      <c r="SH26" s="411" t="s">
        <v>22</v>
      </c>
      <c r="SI26" s="410" t="s">
        <v>22</v>
      </c>
      <c r="SJ26" s="411" t="s">
        <v>22</v>
      </c>
      <c r="SK26" s="431" t="s">
        <v>22</v>
      </c>
      <c r="SL26" s="411" t="s">
        <v>22</v>
      </c>
      <c r="SM26" s="410" t="s">
        <v>22</v>
      </c>
      <c r="SN26" s="411" t="s">
        <v>22</v>
      </c>
      <c r="SO26" s="410" t="s">
        <v>22</v>
      </c>
      <c r="SP26" s="539" t="s">
        <v>1906</v>
      </c>
      <c r="SQ26" s="431" t="str">
        <f ca="1">CHOOSE(WEEKDAY(DATE($A26,SP$43,SQ$42),2),"Monday","Tuesday","Wednesday","Thursday","Friday","Saturday","Sunday")</f>
        <v>Friday</v>
      </c>
      <c r="SR26" s="410" t="s">
        <v>22</v>
      </c>
      <c r="SS26" s="410" t="s">
        <v>22</v>
      </c>
      <c r="ST26" s="411" t="s">
        <v>22</v>
      </c>
      <c r="SU26" s="431" t="s">
        <v>22</v>
      </c>
      <c r="SV26" s="410" t="s">
        <v>22</v>
      </c>
      <c r="SW26" s="410" t="s">
        <v>22</v>
      </c>
      <c r="SX26" s="411" t="s">
        <v>22</v>
      </c>
      <c r="SY26" s="431" t="s">
        <v>22</v>
      </c>
      <c r="SZ26" s="410" t="s">
        <v>22</v>
      </c>
      <c r="TA26" s="410" t="s">
        <v>22</v>
      </c>
      <c r="TB26" s="411" t="s">
        <v>22</v>
      </c>
      <c r="TC26" s="431" t="s">
        <v>22</v>
      </c>
      <c r="TD26" s="410" t="s">
        <v>22</v>
      </c>
      <c r="TE26" s="410" t="s">
        <v>22</v>
      </c>
      <c r="TF26" s="411" t="s">
        <v>22</v>
      </c>
      <c r="TG26" s="431" t="s">
        <v>22</v>
      </c>
      <c r="TH26" s="411" t="s">
        <v>22</v>
      </c>
      <c r="TI26" s="431" t="s">
        <v>22</v>
      </c>
      <c r="TJ26" s="411" t="s">
        <v>22</v>
      </c>
      <c r="TK26" s="410" t="s">
        <v>22</v>
      </c>
      <c r="TL26" s="411" t="s">
        <v>22</v>
      </c>
      <c r="TM26" s="431" t="s">
        <v>22</v>
      </c>
      <c r="TN26" s="410" t="s">
        <v>22</v>
      </c>
      <c r="TO26" s="410" t="s">
        <v>22</v>
      </c>
      <c r="TP26" s="539" t="s">
        <v>1932</v>
      </c>
      <c r="TQ26" s="431" t="str">
        <f ca="1">CHOOSE(WEEKDAY(DATE($A26,TP$43,TQ$42),2),"Monday","Tuesday","Wednesday","Thursday","Friday","Saturday","Sunday")</f>
        <v>Friday</v>
      </c>
      <c r="TR26" s="410" t="s">
        <v>22</v>
      </c>
      <c r="TS26" s="410" t="s">
        <v>22</v>
      </c>
      <c r="TT26" s="411" t="s">
        <v>22</v>
      </c>
      <c r="TU26" s="431" t="s">
        <v>22</v>
      </c>
      <c r="TV26" s="540" t="s">
        <v>1935</v>
      </c>
      <c r="TW26" s="431" t="str">
        <f ca="1">CHOOSE(WEEKDAY(DATE($A26,TV$43,TW$42),2),"Monday","Tuesday","Wednesday","Thursday","Friday","Saturday","Sunday")</f>
        <v>Monday</v>
      </c>
      <c r="TX26" s="411" t="s">
        <v>22</v>
      </c>
      <c r="TY26" s="431" t="s">
        <v>22</v>
      </c>
      <c r="TZ26" s="411" t="s">
        <v>22</v>
      </c>
      <c r="UA26" s="431" t="s">
        <v>22</v>
      </c>
      <c r="UB26" s="540" t="s">
        <v>1934</v>
      </c>
      <c r="UC26" s="431" t="str">
        <f ca="1">CHOOSE(WEEKDAY(DATE($A26,UB$43,UC$42),2),"Monday","Tuesday","Wednesday","Thursday","Friday","Saturday","Sunday")</f>
        <v>Thursday</v>
      </c>
      <c r="UD26" s="411" t="s">
        <v>22</v>
      </c>
      <c r="UE26" s="431" t="s">
        <v>22</v>
      </c>
      <c r="UF26" s="542" t="s">
        <v>22</v>
      </c>
      <c r="UG26" s="542" t="s">
        <v>22</v>
      </c>
      <c r="UH26" s="411" t="s">
        <v>22</v>
      </c>
      <c r="UI26" s="431" t="s">
        <v>22</v>
      </c>
      <c r="UJ26" s="539" t="s">
        <v>1935</v>
      </c>
      <c r="UK26" s="431" t="str">
        <f ca="1">CHOOSE(WEEKDAY(DATE($A26,UJ$43,UK$42),2),"Monday","Tuesday","Wednesday","Thursday","Friday","Saturday","Sunday")</f>
        <v>Monday</v>
      </c>
      <c r="UL26" s="410" t="s">
        <v>22</v>
      </c>
      <c r="UM26" s="410" t="s">
        <v>22</v>
      </c>
      <c r="UN26" s="411" t="s">
        <v>22</v>
      </c>
      <c r="UO26" s="431" t="s">
        <v>22</v>
      </c>
      <c r="UP26" s="321" t="s">
        <v>1944</v>
      </c>
      <c r="UQ26" s="431" t="str">
        <f ca="1">CHOOSE(WEEKDAY(DATE($A26,UP$43,UQ$42),2),"Monday","Tuesday","Wednesday","Thursday","Friday","Saturday","Sunday")</f>
        <v>Thursday</v>
      </c>
      <c r="UR26" s="411" t="s">
        <v>22</v>
      </c>
      <c r="US26" s="431" t="s">
        <v>22</v>
      </c>
      <c r="UT26" s="411" t="s">
        <v>22</v>
      </c>
      <c r="UU26" s="431" t="s">
        <v>22</v>
      </c>
      <c r="UV26" s="539" t="s">
        <v>1943</v>
      </c>
      <c r="UW26" s="431" t="str">
        <f ca="1">CHOOSE(WEEKDAY(DATE($A26,UV$43,UW$42),2),"Monday","Tuesday","Wednesday","Thursday","Friday","Saturday","Sunday")</f>
        <v>Sunday</v>
      </c>
      <c r="UX26" s="411" t="s">
        <v>22</v>
      </c>
      <c r="UY26" s="431" t="s">
        <v>22</v>
      </c>
      <c r="UZ26" s="410" t="s">
        <v>22</v>
      </c>
      <c r="VA26" s="410" t="s">
        <v>22</v>
      </c>
      <c r="VB26" s="540" t="s">
        <v>1952</v>
      </c>
      <c r="VC26" s="431" t="str">
        <f ca="1">CHOOSE(WEEKDAY(DATE($A26,VB$43,VC$42),2),"Monday","Tuesday","Wednesday","Thursday","Friday","Saturday","Sunday")</f>
        <v>Friday</v>
      </c>
      <c r="VD26" s="410" t="s">
        <v>22</v>
      </c>
      <c r="VE26" s="410" t="s">
        <v>22</v>
      </c>
      <c r="VF26" s="411" t="s">
        <v>22</v>
      </c>
      <c r="VG26" s="431" t="s">
        <v>22</v>
      </c>
      <c r="VH26" s="411" t="s">
        <v>22</v>
      </c>
      <c r="VI26" s="431" t="s">
        <v>22</v>
      </c>
      <c r="VJ26" s="539" t="s">
        <v>1955</v>
      </c>
      <c r="VK26" s="431" t="str">
        <f ca="1">CHOOSE(WEEKDAY(DATE($A26,VJ$43,VK$42),2),"Monday","Tuesday","Wednesday","Thursday","Friday","Saturday","Sunday")</f>
        <v>Wednesday</v>
      </c>
      <c r="VL26" s="539" t="s">
        <v>1956</v>
      </c>
      <c r="VM26" s="431" t="str">
        <f ca="1">CHOOSE(WEEKDAY(DATE($A26,VL$43,VM$42),2),"Monday","Tuesday","Wednesday","Thursday","Friday","Saturday","Sunday")</f>
        <v>Thursday</v>
      </c>
      <c r="VN26" s="539" t="s">
        <v>1957</v>
      </c>
      <c r="VO26" s="431" t="str">
        <f ca="1">CHOOSE(WEEKDAY(DATE($A26,VN$43,VO$42),2),"Monday","Tuesday","Wednesday","Thursday","Friday","Saturday","Sunday")</f>
        <v>Friday</v>
      </c>
      <c r="VP26" s="411" t="s">
        <v>22</v>
      </c>
      <c r="VQ26" s="431" t="s">
        <v>22</v>
      </c>
      <c r="VR26" s="410" t="s">
        <v>22</v>
      </c>
      <c r="VS26" s="410" t="s">
        <v>22</v>
      </c>
      <c r="VT26" s="411" t="s">
        <v>22</v>
      </c>
      <c r="VU26" s="431" t="s">
        <v>22</v>
      </c>
      <c r="VV26" s="411" t="s">
        <v>22</v>
      </c>
      <c r="VW26" s="431" t="s">
        <v>22</v>
      </c>
      <c r="VX26" s="410" t="s">
        <v>22</v>
      </c>
      <c r="VY26" s="431" t="s">
        <v>22</v>
      </c>
      <c r="VZ26" s="411" t="s">
        <v>22</v>
      </c>
      <c r="WA26" s="431" t="s">
        <v>22</v>
      </c>
      <c r="WB26" s="540" t="s">
        <v>1971</v>
      </c>
      <c r="WC26" s="431" t="str">
        <f ca="1">CHOOSE(WEEKDAY(DATE($A26,WB$43,WC$42),2),"Monday","Tuesday","Wednesday","Thursday","Friday","Saturday","Sunday")</f>
        <v>Friday</v>
      </c>
      <c r="WD26" s="410" t="s">
        <v>22</v>
      </c>
      <c r="WE26" s="410" t="s">
        <v>22</v>
      </c>
      <c r="WF26" s="411" t="s">
        <v>22</v>
      </c>
      <c r="WG26" s="431" t="s">
        <v>22</v>
      </c>
      <c r="WH26" s="539" t="s">
        <v>1973</v>
      </c>
      <c r="WI26" s="431" t="str">
        <f ca="1">CHOOSE(WEEKDAY(DATE($A26,WH$43,WI$42),2),"Monday","Tuesday","Wednesday","Thursday","Friday","Saturday","Sunday")</f>
        <v>Tuesday</v>
      </c>
      <c r="WJ26" s="411" t="s">
        <v>22</v>
      </c>
      <c r="WK26" s="431" t="s">
        <v>22</v>
      </c>
      <c r="WL26" s="539" t="s">
        <v>2041</v>
      </c>
      <c r="WM26" s="431" t="str">
        <f ca="1">CHOOSE(WEEKDAY(DATE($A26,WL$43,WM$42),2),"Monday","Tuesday","Wednesday","Thursday","Friday","Saturday","Sunday")</f>
        <v>Thursday</v>
      </c>
      <c r="WN26" s="540" t="s">
        <v>1987</v>
      </c>
      <c r="WO26" s="431" t="str">
        <f ca="1">CHOOSE(WEEKDAY(DATE($A26,WN$43,WO$42),2),"Monday","Tuesday","Wednesday","Thursday","Friday","Saturday","Sunday")</f>
        <v>Friday</v>
      </c>
      <c r="WP26" s="410" t="s">
        <v>22</v>
      </c>
      <c r="WQ26" s="410" t="s">
        <v>22</v>
      </c>
      <c r="WR26" s="411" t="s">
        <v>22</v>
      </c>
      <c r="WS26" s="431" t="s">
        <v>22</v>
      </c>
      <c r="WT26" s="411" t="s">
        <v>22</v>
      </c>
      <c r="WU26" s="431" t="s">
        <v>22</v>
      </c>
      <c r="WV26" s="411" t="s">
        <v>22</v>
      </c>
      <c r="WW26" s="431" t="s">
        <v>22</v>
      </c>
      <c r="WX26" s="411" t="s">
        <v>22</v>
      </c>
      <c r="WY26" s="431" t="s">
        <v>22</v>
      </c>
      <c r="WZ26" s="539" t="s">
        <v>2010</v>
      </c>
      <c r="XA26" s="431" t="str">
        <f ca="1">CHOOSE(WEEKDAY(DATE($A26,WZ$43,XA$42),2),"Monday","Tuesday","Wednesday","Thursday","Friday","Saturday","Sunday")</f>
        <v>Thursday</v>
      </c>
      <c r="XB26" s="410" t="s">
        <v>22</v>
      </c>
      <c r="XC26" s="431" t="s">
        <v>22</v>
      </c>
      <c r="XD26" s="410" t="s">
        <v>22</v>
      </c>
      <c r="XE26" s="410" t="s">
        <v>22</v>
      </c>
      <c r="XF26" s="411" t="s">
        <v>22</v>
      </c>
      <c r="XG26" s="431" t="s">
        <v>22</v>
      </c>
      <c r="XH26" s="539" t="s">
        <v>1990</v>
      </c>
      <c r="XI26" s="431" t="str">
        <f ca="1">CHOOSE(WEEKDAY(DATE($A26,XH$43,XI$42),2),"Monday","Tuesday","Wednesday","Thursday","Friday","Saturday","Sunday")</f>
        <v>Monday</v>
      </c>
      <c r="XJ26" s="410" t="s">
        <v>22</v>
      </c>
      <c r="XK26" s="410" t="s">
        <v>22</v>
      </c>
      <c r="XL26" s="539" t="s">
        <v>2020</v>
      </c>
      <c r="XM26" s="431" t="str">
        <f ca="1">CHOOSE(WEEKDAY(DATE($A26,XL$43,XM$42),2),"Monday","Tuesday","Wednesday","Thursday","Friday","Saturday","Sunday")</f>
        <v>Wednesday</v>
      </c>
      <c r="XN26" s="410" t="s">
        <v>22</v>
      </c>
      <c r="XO26" s="410" t="s">
        <v>22</v>
      </c>
      <c r="XP26" s="539" t="s">
        <v>1994</v>
      </c>
      <c r="XQ26" s="431" t="str">
        <f ca="1">CHOOSE(WEEKDAY(DATE($A26,XP$43,XQ$42),2),"Monday","Tuesday","Wednesday","Thursday","Friday","Saturday","Sunday")</f>
        <v>Friday</v>
      </c>
      <c r="XR26" s="410" t="s">
        <v>22</v>
      </c>
      <c r="XS26" s="410" t="s">
        <v>22</v>
      </c>
      <c r="XT26" s="411" t="s">
        <v>22</v>
      </c>
      <c r="XU26" s="431" t="s">
        <v>22</v>
      </c>
      <c r="XV26" s="321" t="s">
        <v>2020</v>
      </c>
      <c r="XW26" s="431" t="str">
        <f ca="1">CHOOSE(WEEKDAY(DATE($A26,XV$43,XW$42),2),"Monday","Tuesday","Wednesday","Thursday","Friday","Saturday","Sunday")</f>
        <v>Monday</v>
      </c>
      <c r="XX26" s="410" t="s">
        <v>22</v>
      </c>
      <c r="XY26" s="410" t="s">
        <v>22</v>
      </c>
      <c r="XZ26" s="411" t="s">
        <v>22</v>
      </c>
      <c r="YA26" s="431" t="s">
        <v>22</v>
      </c>
      <c r="YB26" s="410" t="s">
        <v>22</v>
      </c>
      <c r="YC26" s="410" t="s">
        <v>22</v>
      </c>
      <c r="YD26" s="411" t="s">
        <v>22</v>
      </c>
      <c r="YE26" s="431" t="s">
        <v>22</v>
      </c>
    </row>
    <row r="27" spans="1:655" ht="30" x14ac:dyDescent="0.2">
      <c r="A27" s="412"/>
      <c r="B27" s="417"/>
      <c r="C27" s="412"/>
      <c r="D27" s="417"/>
      <c r="E27" s="412"/>
      <c r="F27" s="402"/>
      <c r="G27" s="412"/>
      <c r="H27" s="417"/>
      <c r="I27" s="402"/>
      <c r="J27" s="417"/>
      <c r="K27" s="412"/>
      <c r="L27" s="402"/>
      <c r="M27" s="402"/>
      <c r="N27" s="417"/>
      <c r="O27" s="412"/>
      <c r="P27" s="402"/>
      <c r="Q27" s="402"/>
      <c r="R27" s="417"/>
      <c r="S27" s="412"/>
      <c r="T27" s="417"/>
      <c r="U27" s="412"/>
      <c r="V27" s="402"/>
      <c r="W27" s="402"/>
      <c r="X27" s="417"/>
      <c r="Y27" s="412"/>
      <c r="Z27" s="417"/>
      <c r="AA27" s="412"/>
      <c r="AB27" s="402"/>
      <c r="AC27" s="402"/>
      <c r="AD27" s="417"/>
      <c r="AE27" s="412"/>
      <c r="AF27" s="417"/>
      <c r="AG27" s="412"/>
      <c r="AH27" s="402"/>
      <c r="AI27" s="402"/>
      <c r="AJ27" s="417"/>
      <c r="AK27" s="412"/>
      <c r="AL27" s="402"/>
      <c r="AM27" s="402"/>
      <c r="AN27" s="417"/>
      <c r="AO27" s="412"/>
      <c r="AP27" s="417"/>
      <c r="AQ27" s="412"/>
      <c r="AR27" s="417"/>
      <c r="AS27" s="412"/>
      <c r="AT27" s="402"/>
      <c r="AU27" s="402"/>
      <c r="AV27" s="417"/>
      <c r="AW27" s="412"/>
      <c r="AX27" s="402"/>
      <c r="AY27" s="402"/>
      <c r="AZ27" s="417"/>
      <c r="BA27" s="412"/>
      <c r="BB27" s="402"/>
      <c r="BC27" s="402"/>
      <c r="BD27" s="417"/>
      <c r="BE27" s="412"/>
      <c r="BF27" s="417"/>
      <c r="BG27" s="412"/>
      <c r="BH27" s="402"/>
      <c r="BI27" s="402"/>
      <c r="BJ27" s="417"/>
      <c r="BK27" s="412"/>
      <c r="BL27" s="402"/>
      <c r="BM27" s="402"/>
      <c r="BN27" s="417"/>
      <c r="BO27" s="412"/>
      <c r="BP27" s="417"/>
      <c r="BQ27" s="412"/>
      <c r="BR27" s="402"/>
      <c r="BS27" s="402"/>
      <c r="BT27" s="417"/>
      <c r="BU27" s="412"/>
      <c r="BV27" s="319" t="s">
        <v>1595</v>
      </c>
      <c r="BW27" s="412"/>
      <c r="BX27" s="402"/>
      <c r="BY27" s="402"/>
      <c r="BZ27" s="417"/>
      <c r="CA27" s="412"/>
      <c r="CB27" s="417"/>
      <c r="CC27" s="412"/>
      <c r="CD27" s="402"/>
      <c r="CE27" s="402"/>
      <c r="CF27" s="417"/>
      <c r="CG27" s="412"/>
      <c r="CH27" s="417"/>
      <c r="CI27" s="412"/>
      <c r="CJ27" s="417"/>
      <c r="CK27" s="412"/>
      <c r="CL27" s="402"/>
      <c r="CM27" s="402"/>
      <c r="CN27" s="417"/>
      <c r="CO27" s="412"/>
      <c r="CP27" s="402"/>
      <c r="CQ27" s="402"/>
      <c r="CR27" s="417"/>
      <c r="CS27" s="412"/>
      <c r="CT27" s="402"/>
      <c r="CU27" s="402"/>
      <c r="CV27" s="417"/>
      <c r="CW27" s="412"/>
      <c r="CX27" s="417"/>
      <c r="CY27" s="402"/>
      <c r="CZ27" s="417"/>
      <c r="DA27" s="402"/>
      <c r="DB27" s="417"/>
      <c r="DC27" s="412"/>
      <c r="DD27" s="402"/>
      <c r="DE27" s="402"/>
      <c r="DF27" s="417"/>
      <c r="DG27" s="412"/>
      <c r="DH27" s="402"/>
      <c r="DI27" s="402"/>
      <c r="DJ27" s="417"/>
      <c r="DK27" s="412"/>
      <c r="DL27" s="402"/>
      <c r="DM27" s="402"/>
      <c r="DN27" s="417"/>
      <c r="DO27" s="412"/>
      <c r="DP27" s="402"/>
      <c r="DQ27" s="402"/>
      <c r="DR27" s="417"/>
      <c r="DS27" s="412"/>
      <c r="DT27" s="402"/>
      <c r="DU27" s="402"/>
      <c r="DV27" s="417"/>
      <c r="DW27" s="412"/>
      <c r="DX27" s="402"/>
      <c r="DY27" s="402"/>
      <c r="DZ27" s="417"/>
      <c r="EA27" s="412"/>
      <c r="EB27" s="417"/>
      <c r="EC27" s="412"/>
      <c r="ED27" s="402"/>
      <c r="EE27" s="402"/>
      <c r="EF27" s="417"/>
      <c r="EG27" s="412"/>
      <c r="EH27" s="402"/>
      <c r="EI27" s="402"/>
      <c r="EJ27" s="417"/>
      <c r="EK27" s="412"/>
      <c r="EL27" s="402"/>
      <c r="EM27" s="402"/>
      <c r="EN27" s="417"/>
      <c r="EO27" s="412"/>
      <c r="EP27" s="402"/>
      <c r="EQ27" s="402"/>
      <c r="ER27" s="417"/>
      <c r="ES27" s="412"/>
      <c r="ET27" s="402"/>
      <c r="EU27" s="402"/>
      <c r="EV27" s="417"/>
      <c r="EW27" s="412"/>
      <c r="EX27" s="402"/>
      <c r="EY27" s="402"/>
      <c r="EZ27" s="417"/>
      <c r="FA27" s="412"/>
      <c r="FB27" s="417"/>
      <c r="FC27" s="412"/>
      <c r="FD27" s="417"/>
      <c r="FE27" s="412"/>
      <c r="FF27" s="402"/>
      <c r="FG27" s="402"/>
      <c r="FH27" s="417"/>
      <c r="FI27" s="412"/>
      <c r="FJ27" s="321" t="s">
        <v>2042</v>
      </c>
      <c r="FK27" s="412"/>
      <c r="FL27" s="417"/>
      <c r="FM27" s="412"/>
      <c r="FN27" s="417"/>
      <c r="FO27" s="412"/>
      <c r="FP27" s="417"/>
      <c r="FQ27" s="412"/>
      <c r="FR27" s="417"/>
      <c r="FS27" s="412"/>
      <c r="FT27" s="402"/>
      <c r="FU27" s="402"/>
      <c r="FV27" s="417"/>
      <c r="FW27" s="412"/>
      <c r="FX27" s="417"/>
      <c r="FY27" s="412"/>
      <c r="FZ27" s="417"/>
      <c r="GA27" s="412"/>
      <c r="GB27" s="402"/>
      <c r="GC27" s="402"/>
      <c r="GD27" s="417"/>
      <c r="GE27" s="412"/>
      <c r="GF27" s="417"/>
      <c r="GG27" s="412"/>
      <c r="GH27" s="417"/>
      <c r="GI27" s="412"/>
      <c r="GJ27" s="402"/>
      <c r="GK27" s="402"/>
      <c r="GL27" s="417"/>
      <c r="GM27" s="412"/>
      <c r="GN27" s="417"/>
      <c r="GO27" s="412"/>
      <c r="GP27" s="402"/>
      <c r="GQ27" s="402"/>
      <c r="GR27" s="417"/>
      <c r="GS27" s="412"/>
      <c r="GT27" s="417"/>
      <c r="GU27" s="412"/>
      <c r="GV27" s="417"/>
      <c r="GW27" s="412"/>
      <c r="GX27" s="417"/>
      <c r="GY27" s="412"/>
      <c r="GZ27" s="417"/>
      <c r="HA27" s="412"/>
      <c r="HB27" s="417"/>
      <c r="HC27" s="412"/>
      <c r="HD27" s="417"/>
      <c r="HE27" s="412"/>
      <c r="HF27" s="417"/>
      <c r="HG27" s="412"/>
      <c r="HH27" s="417"/>
      <c r="HI27" s="412"/>
      <c r="HJ27" s="402"/>
      <c r="HK27" s="402"/>
      <c r="HL27" s="417"/>
      <c r="HM27" s="412"/>
      <c r="HN27" s="417"/>
      <c r="HO27" s="412"/>
      <c r="HP27" s="417"/>
      <c r="HQ27" s="412"/>
      <c r="HR27" s="319" t="s">
        <v>1711</v>
      </c>
      <c r="HS27" s="412"/>
      <c r="HT27" s="402"/>
      <c r="HU27" s="402"/>
      <c r="HV27" s="417"/>
      <c r="HW27" s="412"/>
      <c r="HX27" s="417"/>
      <c r="HY27" s="412"/>
      <c r="HZ27" s="402"/>
      <c r="IA27" s="402"/>
      <c r="IB27" s="417"/>
      <c r="IC27" s="412"/>
      <c r="ID27" s="402"/>
      <c r="IE27" s="402"/>
      <c r="IF27" s="417"/>
      <c r="IG27" s="412"/>
      <c r="IH27" s="402"/>
      <c r="II27" s="402"/>
      <c r="IJ27" s="417"/>
      <c r="IK27" s="412"/>
      <c r="IL27" s="417"/>
      <c r="IM27" s="412"/>
      <c r="IN27" s="417"/>
      <c r="IO27" s="412"/>
      <c r="IP27" s="417"/>
      <c r="IQ27" s="412"/>
      <c r="IR27" s="402"/>
      <c r="IS27" s="402"/>
      <c r="IT27" s="417"/>
      <c r="IU27" s="412"/>
      <c r="IV27" s="417"/>
      <c r="IW27" s="412"/>
      <c r="IX27" s="417"/>
      <c r="IY27" s="412"/>
      <c r="IZ27" s="402"/>
      <c r="JA27" s="402"/>
      <c r="JB27" s="417"/>
      <c r="JC27" s="412"/>
      <c r="JD27" s="402"/>
      <c r="JE27" s="402"/>
      <c r="JF27" s="417"/>
      <c r="JG27" s="412"/>
      <c r="JH27" s="417"/>
      <c r="JI27" s="412"/>
      <c r="JJ27" s="417"/>
      <c r="JK27" s="412"/>
      <c r="JL27" s="402"/>
      <c r="JM27" s="402"/>
      <c r="JN27" s="417"/>
      <c r="JO27" s="412"/>
      <c r="JP27" s="417"/>
      <c r="JQ27" s="412"/>
      <c r="JR27" s="417"/>
      <c r="JS27" s="412"/>
      <c r="JT27" s="402"/>
      <c r="JU27" s="402"/>
      <c r="JV27" s="417"/>
      <c r="JW27" s="412"/>
      <c r="JX27" s="402"/>
      <c r="JY27" s="402"/>
      <c r="JZ27" s="417"/>
      <c r="KA27" s="412"/>
      <c r="KB27" s="417"/>
      <c r="KC27" s="412"/>
      <c r="KD27" s="417"/>
      <c r="KE27" s="412"/>
      <c r="KF27" s="402"/>
      <c r="KG27" s="402"/>
      <c r="KH27" s="417"/>
      <c r="KI27" s="412"/>
      <c r="KJ27" s="417"/>
      <c r="KK27" s="412"/>
      <c r="KL27" s="417"/>
      <c r="KM27" s="412"/>
      <c r="KN27" s="402"/>
      <c r="KO27" s="402"/>
      <c r="KP27" s="417"/>
      <c r="KQ27" s="412"/>
      <c r="KR27" s="402"/>
      <c r="KS27" s="402"/>
      <c r="KT27" s="417"/>
      <c r="KU27" s="412"/>
      <c r="KV27" s="402"/>
      <c r="KW27" s="412"/>
      <c r="KX27" s="417"/>
      <c r="KY27" s="412"/>
      <c r="KZ27" s="417"/>
      <c r="LA27" s="412"/>
      <c r="LB27" s="417"/>
      <c r="LC27" s="412"/>
      <c r="LD27" s="402"/>
      <c r="LE27" s="402"/>
      <c r="LF27" s="417"/>
      <c r="LG27" s="412"/>
      <c r="LH27" s="402"/>
      <c r="LI27" s="402"/>
      <c r="LJ27" s="417"/>
      <c r="LK27" s="412"/>
      <c r="LL27" s="402"/>
      <c r="LM27" s="412"/>
      <c r="LN27" s="417"/>
      <c r="LO27" s="412"/>
      <c r="LP27" s="402"/>
      <c r="LQ27" s="402"/>
      <c r="LR27" s="417"/>
      <c r="LS27" s="412"/>
      <c r="LT27" s="402"/>
      <c r="LU27" s="402"/>
      <c r="LV27" s="417"/>
      <c r="LW27" s="412"/>
      <c r="LX27" s="402"/>
      <c r="LY27" s="402"/>
      <c r="LZ27" s="417"/>
      <c r="MA27" s="412"/>
      <c r="MB27" s="402"/>
      <c r="MC27" s="402"/>
      <c r="MD27" s="417"/>
      <c r="ME27" s="412"/>
      <c r="MF27" s="402"/>
      <c r="MG27" s="402"/>
      <c r="MH27" s="417"/>
      <c r="MI27" s="412"/>
      <c r="MJ27" s="417"/>
      <c r="MK27" s="412"/>
      <c r="ML27" s="417"/>
      <c r="MM27" s="412"/>
      <c r="MN27" s="402"/>
      <c r="MO27" s="402"/>
      <c r="MP27" s="417"/>
      <c r="MQ27" s="412"/>
      <c r="MR27" s="402"/>
      <c r="MS27" s="402"/>
      <c r="MT27" s="417"/>
      <c r="MU27" s="412"/>
      <c r="MV27" s="402"/>
      <c r="MW27" s="402"/>
      <c r="MX27" s="417"/>
      <c r="MY27" s="412"/>
      <c r="MZ27" s="417"/>
      <c r="NA27" s="412"/>
      <c r="NB27" s="402"/>
      <c r="NC27" s="402"/>
      <c r="ND27" s="417"/>
      <c r="NE27" s="412"/>
      <c r="NF27" s="402"/>
      <c r="NG27" s="402"/>
      <c r="NH27" s="417"/>
      <c r="NI27" s="412"/>
      <c r="NJ27" s="402"/>
      <c r="NK27" s="402"/>
      <c r="NL27" s="417"/>
      <c r="NM27" s="412"/>
      <c r="NN27" s="417"/>
      <c r="NO27" s="412"/>
      <c r="NP27" s="402"/>
      <c r="NQ27" s="402"/>
      <c r="NR27" s="417"/>
      <c r="NS27" s="412"/>
      <c r="NT27" s="402"/>
      <c r="NU27" s="412"/>
      <c r="NV27" s="417"/>
      <c r="NW27" s="412"/>
      <c r="NX27" s="402"/>
      <c r="NY27" s="402"/>
      <c r="NZ27" s="417"/>
      <c r="OA27" s="412"/>
      <c r="OB27" s="402"/>
      <c r="OC27" s="402"/>
      <c r="OD27" s="417"/>
      <c r="OE27" s="412"/>
      <c r="OF27" s="402"/>
      <c r="OG27" s="402"/>
      <c r="OH27" s="417"/>
      <c r="OI27" s="412"/>
      <c r="OJ27" s="402"/>
      <c r="OK27" s="412"/>
      <c r="OL27" s="417"/>
      <c r="OM27" s="412"/>
      <c r="ON27" s="417"/>
      <c r="OO27" s="412"/>
      <c r="OP27" s="402"/>
      <c r="OQ27" s="402"/>
      <c r="OR27" s="417"/>
      <c r="OS27" s="412"/>
      <c r="OT27" s="417"/>
      <c r="OU27" s="412"/>
      <c r="OV27" s="402"/>
      <c r="OW27" s="402"/>
      <c r="OX27" s="417"/>
      <c r="OY27" s="412"/>
      <c r="OZ27" s="402"/>
      <c r="PA27" s="402"/>
      <c r="PB27" s="417"/>
      <c r="PC27" s="412"/>
      <c r="PD27" s="402"/>
      <c r="PE27" s="402"/>
      <c r="PF27" s="417"/>
      <c r="PG27" s="412"/>
      <c r="PH27" s="402"/>
      <c r="PI27" s="412"/>
      <c r="PJ27" s="417"/>
      <c r="PK27" s="412"/>
      <c r="PL27" s="402"/>
      <c r="PM27" s="402"/>
      <c r="PN27" s="417"/>
      <c r="PO27" s="412"/>
      <c r="PP27" s="402"/>
      <c r="PQ27" s="402"/>
      <c r="PR27" s="417"/>
      <c r="PS27" s="412"/>
      <c r="PT27" s="402"/>
      <c r="PU27" s="402"/>
      <c r="PV27" s="417"/>
      <c r="PW27" s="412"/>
      <c r="PX27" s="402"/>
      <c r="PY27" s="402"/>
      <c r="PZ27" s="417"/>
      <c r="QA27" s="412"/>
      <c r="QB27" s="402"/>
      <c r="QC27" s="402"/>
      <c r="QD27" s="417"/>
      <c r="QE27" s="412"/>
      <c r="QF27" s="402"/>
      <c r="QG27" s="402"/>
      <c r="QH27" s="417"/>
      <c r="QI27" s="412"/>
      <c r="QJ27" s="402"/>
      <c r="QK27" s="402"/>
      <c r="QL27" s="417"/>
      <c r="QM27" s="412"/>
      <c r="QN27" s="402"/>
      <c r="QO27" s="412"/>
      <c r="QP27" s="417"/>
      <c r="QQ27" s="412"/>
      <c r="QR27" s="402"/>
      <c r="QS27" s="412"/>
      <c r="QT27" s="417"/>
      <c r="QU27" s="412"/>
      <c r="QV27" s="402"/>
      <c r="QW27" s="402"/>
      <c r="QX27" s="417"/>
      <c r="QY27" s="412"/>
      <c r="QZ27" s="417"/>
      <c r="RA27" s="412"/>
      <c r="RB27" s="417"/>
      <c r="RC27" s="412"/>
      <c r="RD27" s="417"/>
      <c r="RE27" s="412"/>
      <c r="RF27" s="417"/>
      <c r="RG27" s="412"/>
      <c r="RH27" s="402"/>
      <c r="RI27" s="402"/>
      <c r="RJ27" s="417"/>
      <c r="RK27" s="412"/>
      <c r="RL27" s="417"/>
      <c r="RM27" s="412"/>
      <c r="RN27" s="402"/>
      <c r="RO27" s="402"/>
      <c r="RP27" s="417"/>
      <c r="RQ27" s="412"/>
      <c r="RR27" s="319" t="s">
        <v>1895</v>
      </c>
      <c r="RS27" s="412"/>
      <c r="RT27" s="417"/>
      <c r="RU27" s="412"/>
      <c r="RV27" s="402"/>
      <c r="RW27" s="402"/>
      <c r="RX27" s="417"/>
      <c r="RY27" s="412"/>
      <c r="RZ27" s="417"/>
      <c r="SA27" s="412"/>
      <c r="SB27" s="417"/>
      <c r="SC27" s="412"/>
      <c r="SD27" s="402"/>
      <c r="SE27" s="402"/>
      <c r="SF27" s="417"/>
      <c r="SG27" s="412"/>
      <c r="SH27" s="417"/>
      <c r="SI27" s="402"/>
      <c r="SJ27" s="417"/>
      <c r="SK27" s="412"/>
      <c r="SL27" s="417"/>
      <c r="SM27" s="402"/>
      <c r="SN27" s="417"/>
      <c r="SO27" s="402"/>
      <c r="SP27" s="417"/>
      <c r="SQ27" s="412"/>
      <c r="SR27" s="402"/>
      <c r="SS27" s="402"/>
      <c r="ST27" s="417"/>
      <c r="SU27" s="412"/>
      <c r="SV27" s="402"/>
      <c r="SW27" s="402"/>
      <c r="SX27" s="417"/>
      <c r="SY27" s="412"/>
      <c r="SZ27" s="402"/>
      <c r="TA27" s="402"/>
      <c r="TB27" s="417"/>
      <c r="TC27" s="412"/>
      <c r="TD27" s="402"/>
      <c r="TE27" s="402"/>
      <c r="TF27" s="417"/>
      <c r="TG27" s="412"/>
      <c r="TH27" s="417"/>
      <c r="TI27" s="412"/>
      <c r="TJ27" s="417"/>
      <c r="TK27" s="402"/>
      <c r="TL27" s="417"/>
      <c r="TM27" s="412"/>
      <c r="TN27" s="402"/>
      <c r="TO27" s="402"/>
      <c r="TP27" s="417"/>
      <c r="TQ27" s="412"/>
      <c r="TR27" s="402"/>
      <c r="TS27" s="402"/>
      <c r="TT27" s="417"/>
      <c r="TU27" s="412"/>
      <c r="TV27" s="417"/>
      <c r="TW27" s="412"/>
      <c r="TX27" s="417"/>
      <c r="TY27" s="412"/>
      <c r="TZ27" s="417"/>
      <c r="UA27" s="412"/>
      <c r="UB27" s="417"/>
      <c r="UC27" s="412"/>
      <c r="UD27" s="417"/>
      <c r="UE27" s="412"/>
      <c r="UF27" s="402"/>
      <c r="UG27" s="402"/>
      <c r="UH27" s="417"/>
      <c r="UI27" s="412"/>
      <c r="UJ27" s="417"/>
      <c r="UK27" s="412"/>
      <c r="UL27" s="402"/>
      <c r="UM27" s="402"/>
      <c r="UN27" s="417"/>
      <c r="UO27" s="412"/>
      <c r="UP27" s="321" t="s">
        <v>1945</v>
      </c>
      <c r="UQ27" s="412"/>
      <c r="UR27" s="417"/>
      <c r="US27" s="412"/>
      <c r="UT27" s="417"/>
      <c r="UU27" s="412"/>
      <c r="UV27" s="417"/>
      <c r="UW27" s="412"/>
      <c r="UX27" s="417"/>
      <c r="UY27" s="412"/>
      <c r="UZ27" s="402"/>
      <c r="VA27" s="402"/>
      <c r="VB27" s="417"/>
      <c r="VC27" s="412"/>
      <c r="VD27" s="402"/>
      <c r="VE27" s="402"/>
      <c r="VF27" s="417"/>
      <c r="VG27" s="412"/>
      <c r="VH27" s="417"/>
      <c r="VI27" s="412"/>
      <c r="VJ27" s="417"/>
      <c r="VK27" s="412"/>
      <c r="VL27" s="417"/>
      <c r="VM27" s="412"/>
      <c r="VN27" s="417"/>
      <c r="VO27" s="412"/>
      <c r="VP27" s="417"/>
      <c r="VQ27" s="412"/>
      <c r="VR27" s="402"/>
      <c r="VS27" s="402"/>
      <c r="VT27" s="417"/>
      <c r="VU27" s="412"/>
      <c r="VV27" s="417"/>
      <c r="VW27" s="412"/>
      <c r="VX27" s="402"/>
      <c r="VY27" s="412"/>
      <c r="VZ27" s="417"/>
      <c r="WA27" s="412"/>
      <c r="WB27" s="417"/>
      <c r="WC27" s="412"/>
      <c r="WD27" s="402"/>
      <c r="WE27" s="402"/>
      <c r="WF27" s="417"/>
      <c r="WG27" s="412"/>
      <c r="WH27" s="417"/>
      <c r="WI27" s="412"/>
      <c r="WJ27" s="417"/>
      <c r="WK27" s="412"/>
      <c r="WL27" s="417"/>
      <c r="WM27" s="412"/>
      <c r="WN27" s="417"/>
      <c r="WO27" s="412"/>
      <c r="WP27" s="402"/>
      <c r="WQ27" s="402"/>
      <c r="WR27" s="417"/>
      <c r="WS27" s="412"/>
      <c r="WT27" s="417"/>
      <c r="WU27" s="412"/>
      <c r="WV27" s="417"/>
      <c r="WW27" s="412"/>
      <c r="WX27" s="417"/>
      <c r="WY27" s="412"/>
      <c r="WZ27" s="417"/>
      <c r="XA27" s="412"/>
      <c r="XB27" s="402"/>
      <c r="XC27" s="412"/>
      <c r="XD27" s="402"/>
      <c r="XE27" s="402"/>
      <c r="XF27" s="417"/>
      <c r="XG27" s="412"/>
      <c r="XH27" s="417"/>
      <c r="XI27" s="412"/>
      <c r="XJ27" s="402"/>
      <c r="XK27" s="402"/>
      <c r="XL27" s="417"/>
      <c r="XM27" s="412"/>
      <c r="XN27" s="402"/>
      <c r="XO27" s="402"/>
      <c r="XP27" s="417"/>
      <c r="XQ27" s="412"/>
      <c r="XR27" s="402"/>
      <c r="XS27" s="402"/>
      <c r="XT27" s="417"/>
      <c r="XU27" s="412"/>
      <c r="XV27" s="319" t="s">
        <v>1996</v>
      </c>
      <c r="XW27" s="412"/>
      <c r="XX27" s="402"/>
      <c r="XY27" s="402"/>
      <c r="XZ27" s="417"/>
      <c r="YA27" s="412"/>
      <c r="YB27" s="402"/>
      <c r="YC27" s="402"/>
      <c r="YD27" s="417"/>
      <c r="YE27" s="412"/>
    </row>
    <row r="28" spans="1:655" ht="30" x14ac:dyDescent="0.2">
      <c r="A28" s="422">
        <v>2022</v>
      </c>
      <c r="B28" s="457" t="s">
        <v>22</v>
      </c>
      <c r="C28" s="430" t="s">
        <v>22</v>
      </c>
      <c r="D28" s="531" t="s">
        <v>1551</v>
      </c>
      <c r="E28" s="430" t="str">
        <f ca="1">CHOOSE(WEEKDAY(DATE($A28,D$43,E$42),2),"Monday","Tuesday","Wednesday","Thursday","Friday","Saturday","Sunday")</f>
        <v>Sunday</v>
      </c>
      <c r="F28" s="422" t="s">
        <v>22</v>
      </c>
      <c r="G28" s="430" t="s">
        <v>22</v>
      </c>
      <c r="H28" s="457" t="s">
        <v>22</v>
      </c>
      <c r="I28" s="422" t="s">
        <v>22</v>
      </c>
      <c r="J28" s="457" t="s">
        <v>22</v>
      </c>
      <c r="K28" s="430" t="s">
        <v>22</v>
      </c>
      <c r="L28" s="530" t="s">
        <v>1556</v>
      </c>
      <c r="M28" s="430" t="str">
        <f ca="1">CHOOSE(WEEKDAY(DATE($A28,L$43,M$42),2),"Monday","Tuesday","Wednesday","Thursday","Friday","Saturday","Sunday")</f>
        <v>Monday</v>
      </c>
      <c r="N28" s="457" t="s">
        <v>22</v>
      </c>
      <c r="O28" s="430" t="s">
        <v>22</v>
      </c>
      <c r="P28" s="422" t="s">
        <v>22</v>
      </c>
      <c r="Q28" s="422" t="s">
        <v>22</v>
      </c>
      <c r="R28" s="531" t="s">
        <v>1562</v>
      </c>
      <c r="S28" s="430" t="str">
        <f ca="1">CHOOSE(WEEKDAY(DATE($A28,R$43,S$42),2),"Monday","Tuesday","Wednesday","Thursday","Friday","Saturday","Sunday")</f>
        <v>Friday</v>
      </c>
      <c r="T28" s="457" t="s">
        <v>22</v>
      </c>
      <c r="U28" s="430" t="s">
        <v>22</v>
      </c>
      <c r="V28" s="422" t="s">
        <v>22</v>
      </c>
      <c r="W28" s="422" t="s">
        <v>22</v>
      </c>
      <c r="X28" s="457" t="s">
        <v>22</v>
      </c>
      <c r="Y28" s="430" t="s">
        <v>22</v>
      </c>
      <c r="Z28" s="457" t="s">
        <v>22</v>
      </c>
      <c r="AA28" s="430" t="s">
        <v>22</v>
      </c>
      <c r="AB28" s="422" t="s">
        <v>22</v>
      </c>
      <c r="AC28" s="422" t="s">
        <v>22</v>
      </c>
      <c r="AD28" s="457" t="s">
        <v>22</v>
      </c>
      <c r="AE28" s="430" t="s">
        <v>22</v>
      </c>
      <c r="AF28" s="531" t="s">
        <v>1565</v>
      </c>
      <c r="AG28" s="430" t="str">
        <f ca="1">CHOOSE(WEEKDAY(DATE($A28,AF$43,AG$42),2),"Monday","Tuesday","Wednesday","Thursday","Friday","Saturday","Sunday")</f>
        <v>Friday</v>
      </c>
      <c r="AH28" s="422" t="s">
        <v>22</v>
      </c>
      <c r="AI28" s="422" t="s">
        <v>22</v>
      </c>
      <c r="AJ28" s="457" t="s">
        <v>22</v>
      </c>
      <c r="AK28" s="430" t="s">
        <v>22</v>
      </c>
      <c r="AL28" s="457" t="s">
        <v>22</v>
      </c>
      <c r="AM28" s="422" t="s">
        <v>22</v>
      </c>
      <c r="AN28" s="457" t="s">
        <v>22</v>
      </c>
      <c r="AO28" s="422" t="s">
        <v>22</v>
      </c>
      <c r="AP28" s="530" t="s">
        <v>1572</v>
      </c>
      <c r="AQ28" s="430" t="str">
        <f ca="1">CHOOSE(WEEKDAY(DATE($A28,AP$43,AQ$42),2),"Monday","Tuesday","Wednesday","Thursday","Friday","Saturday","Sunday")</f>
        <v>Wednesday</v>
      </c>
      <c r="AR28" s="530" t="s">
        <v>1585</v>
      </c>
      <c r="AS28" s="430" t="str">
        <f ca="1">CHOOSE(WEEKDAY(DATE($A28,AR$43,AS$42),2),"Monday","Tuesday","Wednesday","Thursday","Friday","Saturday","Sunday")</f>
        <v>Thursday</v>
      </c>
      <c r="AT28" s="422" t="s">
        <v>22</v>
      </c>
      <c r="AU28" s="422" t="s">
        <v>22</v>
      </c>
      <c r="AV28" s="457" t="s">
        <v>22</v>
      </c>
      <c r="AW28" s="430" t="s">
        <v>22</v>
      </c>
      <c r="AX28" s="422" t="s">
        <v>22</v>
      </c>
      <c r="AY28" s="422" t="s">
        <v>22</v>
      </c>
      <c r="AZ28" s="457" t="s">
        <v>22</v>
      </c>
      <c r="BA28" s="430" t="s">
        <v>22</v>
      </c>
      <c r="BB28" s="531" t="s">
        <v>1578</v>
      </c>
      <c r="BC28" s="430" t="str">
        <f ca="1">CHOOSE(WEEKDAY(DATE($A28,BB$43,BC$42),2),"Monday","Tuesday","Wednesday","Thursday","Friday","Saturday","Sunday")</f>
        <v>Wednesday</v>
      </c>
      <c r="BD28" s="457" t="s">
        <v>22</v>
      </c>
      <c r="BE28" s="430" t="s">
        <v>22</v>
      </c>
      <c r="BF28" s="457" t="s">
        <v>22</v>
      </c>
      <c r="BG28" s="430" t="s">
        <v>22</v>
      </c>
      <c r="BH28" s="422" t="s">
        <v>22</v>
      </c>
      <c r="BI28" s="422" t="s">
        <v>22</v>
      </c>
      <c r="BJ28" s="457" t="s">
        <v>22</v>
      </c>
      <c r="BK28" s="430" t="s">
        <v>22</v>
      </c>
      <c r="BL28" s="422" t="s">
        <v>22</v>
      </c>
      <c r="BM28" s="422" t="s">
        <v>22</v>
      </c>
      <c r="BN28" s="530" t="s">
        <v>1588</v>
      </c>
      <c r="BO28" s="430" t="str">
        <f ca="1">CHOOSE(WEEKDAY(DATE($A28,BN$43,BO$42),2),"Monday","Tuesday","Wednesday","Thursday","Friday","Saturday","Sunday")</f>
        <v>Tuesday</v>
      </c>
      <c r="BP28" s="457" t="s">
        <v>22</v>
      </c>
      <c r="BQ28" s="430" t="s">
        <v>22</v>
      </c>
      <c r="BR28" s="531" t="s">
        <v>1592</v>
      </c>
      <c r="BS28" s="430" t="str">
        <f ca="1">CHOOSE(WEEKDAY(DATE($A28,BR$43,BS$42),2),"Monday","Tuesday","Wednesday","Thursday","Friday","Saturday","Sunday")</f>
        <v>Thursday</v>
      </c>
      <c r="BT28" s="327" t="s">
        <v>2043</v>
      </c>
      <c r="BU28" s="430" t="str">
        <f ca="1">CHOOSE(WEEKDAY(DATE($A28,BT$43,BU$42),2),"Monday","Tuesday","Wednesday","Thursday","Friday","Saturday","Sunday")</f>
        <v>Friday</v>
      </c>
      <c r="BV28" s="457" t="s">
        <v>22</v>
      </c>
      <c r="BW28" s="430" t="s">
        <v>22</v>
      </c>
      <c r="BX28" s="422" t="s">
        <v>22</v>
      </c>
      <c r="BY28" s="422" t="s">
        <v>22</v>
      </c>
      <c r="BZ28" s="457" t="s">
        <v>22</v>
      </c>
      <c r="CA28" s="430" t="s">
        <v>22</v>
      </c>
      <c r="CB28" s="457" t="s">
        <v>22</v>
      </c>
      <c r="CC28" s="430" t="s">
        <v>22</v>
      </c>
      <c r="CD28" s="422" t="s">
        <v>22</v>
      </c>
      <c r="CE28" s="422" t="s">
        <v>22</v>
      </c>
      <c r="CF28" s="457" t="s">
        <v>22</v>
      </c>
      <c r="CG28" s="430" t="s">
        <v>22</v>
      </c>
      <c r="CH28" s="331" t="s">
        <v>1604</v>
      </c>
      <c r="CI28" s="430" t="str">
        <f ca="1">CHOOSE(WEEKDAY(DATE($A28,CH$43,CI$42),2),"Monday","Tuesday","Wednesday","Thursday","Friday","Saturday","Sunday")</f>
        <v>Friday</v>
      </c>
      <c r="CJ28" s="422" t="s">
        <v>22</v>
      </c>
      <c r="CK28" s="430" t="s">
        <v>22</v>
      </c>
      <c r="CL28" s="422" t="s">
        <v>22</v>
      </c>
      <c r="CM28" s="422" t="s">
        <v>22</v>
      </c>
      <c r="CN28" s="457" t="s">
        <v>22</v>
      </c>
      <c r="CO28" s="430" t="s">
        <v>22</v>
      </c>
      <c r="CP28" s="531" t="s">
        <v>1611</v>
      </c>
      <c r="CQ28" s="430" t="str">
        <f ca="1">CHOOSE(WEEKDAY(DATE($A28,CP$43,CQ$42),2),"Monday","Tuesday","Wednesday","Thursday","Friday","Saturday","Sunday")</f>
        <v>Tuesday</v>
      </c>
      <c r="CR28" s="457" t="s">
        <v>22</v>
      </c>
      <c r="CS28" s="430" t="s">
        <v>22</v>
      </c>
      <c r="CT28" s="422" t="s">
        <v>22</v>
      </c>
      <c r="CU28" s="422" t="s">
        <v>22</v>
      </c>
      <c r="CV28" s="530" t="s">
        <v>2032</v>
      </c>
      <c r="CW28" s="430" t="str">
        <f ca="1">CHOOSE(WEEKDAY(DATE($A28,CV$43,CW$42),2),"Monday","Tuesday","Wednesday","Thursday","Friday","Saturday","Sunday")</f>
        <v>Friday</v>
      </c>
      <c r="CX28" s="457" t="s">
        <v>22</v>
      </c>
      <c r="CY28" s="422" t="s">
        <v>22</v>
      </c>
      <c r="CZ28" s="457" t="s">
        <v>22</v>
      </c>
      <c r="DA28" s="422" t="s">
        <v>22</v>
      </c>
      <c r="DB28" s="457" t="s">
        <v>22</v>
      </c>
      <c r="DC28" s="430" t="s">
        <v>22</v>
      </c>
      <c r="DD28" s="422" t="s">
        <v>1622</v>
      </c>
      <c r="DE28" s="430" t="str">
        <f ca="1">CHOOSE(WEEKDAY(DATE($A28,DD$43,DE$42),2),"Monday","Tuesday","Wednesday","Thursday","Friday","Saturday","Sunday")</f>
        <v>Wednesday</v>
      </c>
      <c r="DF28" s="457" t="s">
        <v>22</v>
      </c>
      <c r="DG28" s="430" t="s">
        <v>22</v>
      </c>
      <c r="DH28" s="422" t="s">
        <v>22</v>
      </c>
      <c r="DI28" s="430" t="s">
        <v>22</v>
      </c>
      <c r="DJ28" s="457" t="s">
        <v>22</v>
      </c>
      <c r="DK28" s="430" t="s">
        <v>22</v>
      </c>
      <c r="DL28" s="422" t="s">
        <v>1625</v>
      </c>
      <c r="DM28" s="430" t="str">
        <f ca="1">CHOOSE(WEEKDAY(DATE($A28,DL$43,DM$42),2),"Monday","Tuesday","Wednesday","Thursday","Friday","Saturday","Sunday")</f>
        <v>Sunday</v>
      </c>
      <c r="DN28" s="531" t="s">
        <v>1627</v>
      </c>
      <c r="DO28" s="430" t="str">
        <f ca="1">CHOOSE(WEEKDAY(DATE($A28,DN$43,DO$42),2),"Monday","Tuesday","Wednesday","Thursday","Friday","Saturday","Sunday")</f>
        <v>Monday</v>
      </c>
      <c r="DP28" s="422" t="s">
        <v>22</v>
      </c>
      <c r="DQ28" s="422" t="s">
        <v>22</v>
      </c>
      <c r="DR28" s="531" t="s">
        <v>1662</v>
      </c>
      <c r="DS28" s="430" t="str">
        <f ca="1">CHOOSE(WEEKDAY(DATE($A28,DR$43,DS$42),2),"Monday","Tuesday","Wednesday","Thursday","Friday","Saturday","Sunday")</f>
        <v>Wednesday</v>
      </c>
      <c r="DT28" s="329" t="s">
        <v>1790</v>
      </c>
      <c r="DU28" s="430" t="str">
        <f ca="1">CHOOSE(WEEKDAY(DATE($A28,DT$43,DU$42),2),"Monday","Tuesday","Wednesday","Thursday","Friday","Saturday","Sunday")</f>
        <v>Thursday</v>
      </c>
      <c r="DV28" s="457" t="s">
        <v>22</v>
      </c>
      <c r="DW28" s="430" t="s">
        <v>22</v>
      </c>
      <c r="DX28" s="422" t="s">
        <v>22</v>
      </c>
      <c r="DY28" s="422" t="s">
        <v>22</v>
      </c>
      <c r="DZ28" s="457" t="s">
        <v>22</v>
      </c>
      <c r="EA28" s="430" t="s">
        <v>22</v>
      </c>
      <c r="EB28" s="422" t="s">
        <v>1636</v>
      </c>
      <c r="EC28" s="430" t="str">
        <f ca="1">CHOOSE(WEEKDAY(DATE($A28,EB$43,EC$42),2),"Monday","Tuesday","Wednesday","Thursday","Friday","Saturday","Sunday")</f>
        <v>Tuesday</v>
      </c>
      <c r="ED28" s="457" t="s">
        <v>22</v>
      </c>
      <c r="EE28" s="422" t="s">
        <v>22</v>
      </c>
      <c r="EF28" s="457" t="s">
        <v>22</v>
      </c>
      <c r="EG28" s="430" t="s">
        <v>22</v>
      </c>
      <c r="EH28" s="422" t="s">
        <v>1640</v>
      </c>
      <c r="EI28" s="430" t="str">
        <f ca="1">CHOOSE(WEEKDAY(DATE($A28,EH$43,EI$42),2),"Monday","Tuesday","Wednesday","Thursday","Friday","Saturday","Sunday")</f>
        <v>Friday</v>
      </c>
      <c r="EJ28" s="457" t="s">
        <v>22</v>
      </c>
      <c r="EK28" s="430" t="s">
        <v>22</v>
      </c>
      <c r="EL28" s="422" t="s">
        <v>22</v>
      </c>
      <c r="EM28" s="422" t="s">
        <v>22</v>
      </c>
      <c r="EN28" s="457" t="s">
        <v>22</v>
      </c>
      <c r="EO28" s="430" t="s">
        <v>22</v>
      </c>
      <c r="EP28" s="422" t="s">
        <v>2005</v>
      </c>
      <c r="EQ28" s="430" t="str">
        <f ca="1">CHOOSE(WEEKDAY(DATE($A28,EP$43,EQ$42),2),"Monday","Tuesday","Wednesday","Thursday","Friday","Saturday","Sunday")</f>
        <v>Tuesday</v>
      </c>
      <c r="ER28" s="457" t="s">
        <v>22</v>
      </c>
      <c r="ES28" s="430" t="s">
        <v>22</v>
      </c>
      <c r="ET28" s="422" t="s">
        <v>22</v>
      </c>
      <c r="EU28" s="422" t="s">
        <v>22</v>
      </c>
      <c r="EV28" s="457" t="s">
        <v>1652</v>
      </c>
      <c r="EW28" s="430" t="str">
        <f ca="1">CHOOSE(WEEKDAY(DATE($A28,EV$43,EW$42),2),"Monday","Tuesday","Wednesday","Thursday","Friday","Saturday","Sunday")</f>
        <v>Friday</v>
      </c>
      <c r="EX28" s="422" t="s">
        <v>22</v>
      </c>
      <c r="EY28" s="422" t="s">
        <v>22</v>
      </c>
      <c r="EZ28" s="457" t="s">
        <v>1653</v>
      </c>
      <c r="FA28" s="430" t="str">
        <f ca="1">CHOOSE(WEEKDAY(DATE($A28,EZ$43,FA$42),2),"Monday","Tuesday","Wednesday","Thursday","Friday","Saturday","Sunday")</f>
        <v>Sunday</v>
      </c>
      <c r="FB28" s="457" t="s">
        <v>22</v>
      </c>
      <c r="FC28" s="430" t="s">
        <v>22</v>
      </c>
      <c r="FD28" s="457" t="s">
        <v>22</v>
      </c>
      <c r="FE28" s="430" t="s">
        <v>22</v>
      </c>
      <c r="FF28" s="422" t="s">
        <v>22</v>
      </c>
      <c r="FG28" s="422" t="s">
        <v>22</v>
      </c>
      <c r="FH28" s="457" t="s">
        <v>22</v>
      </c>
      <c r="FI28" s="430" t="s">
        <v>22</v>
      </c>
      <c r="FJ28" s="340" t="s">
        <v>1660</v>
      </c>
      <c r="FK28" s="430" t="str">
        <f ca="1">CHOOSE(WEEKDAY(DATE($A28,FJ$43,FK$42),2),"Monday","Tuesday","Wednesday","Thursday","Friday","Saturday","Sunday")</f>
        <v>Friday</v>
      </c>
      <c r="FL28" s="457" t="s">
        <v>22</v>
      </c>
      <c r="FM28" s="430" t="s">
        <v>22</v>
      </c>
      <c r="FN28" s="457" t="s">
        <v>22</v>
      </c>
      <c r="FO28" s="422" t="s">
        <v>22</v>
      </c>
      <c r="FP28" s="530" t="s">
        <v>1666</v>
      </c>
      <c r="FQ28" s="430" t="str">
        <f ca="1">CHOOSE(WEEKDAY(DATE($A28,FP$43,FQ$42),2),"Monday","Tuesday","Wednesday","Thursday","Friday","Saturday","Sunday")</f>
        <v>Tuesday</v>
      </c>
      <c r="FR28" s="457" t="s">
        <v>22</v>
      </c>
      <c r="FS28" s="422" t="s">
        <v>22</v>
      </c>
      <c r="FT28" s="457" t="s">
        <v>22</v>
      </c>
      <c r="FU28" s="422" t="s">
        <v>22</v>
      </c>
      <c r="FV28" s="530" t="s">
        <v>1670</v>
      </c>
      <c r="FW28" s="430" t="str">
        <f ca="1">CHOOSE(WEEKDAY(DATE($A28,FV$43,FW$42),2),"Monday","Tuesday","Wednesday","Thursday","Friday","Saturday","Sunday")</f>
        <v>Friday</v>
      </c>
      <c r="FX28" s="457" t="s">
        <v>22</v>
      </c>
      <c r="FY28" s="422" t="s">
        <v>22</v>
      </c>
      <c r="FZ28" s="530" t="s">
        <v>1673</v>
      </c>
      <c r="GA28" s="430" t="str">
        <f ca="1">CHOOSE(WEEKDAY(DATE($A28,FZ$43,GA$42),2),"Monday","Tuesday","Wednesday","Thursday","Friday","Saturday","Sunday")</f>
        <v>Monday</v>
      </c>
      <c r="GB28" s="531" t="s">
        <v>2015</v>
      </c>
      <c r="GC28" s="430" t="str">
        <f ca="1">CHOOSE(WEEKDAY(DATE($A28,GB$43,GC$42),2),"Monday","Tuesday","Wednesday","Thursday","Friday","Saturday","Sunday")</f>
        <v>Tuesday</v>
      </c>
      <c r="GD28" s="457" t="s">
        <v>22</v>
      </c>
      <c r="GE28" s="430" t="s">
        <v>22</v>
      </c>
      <c r="GF28" s="530" t="s">
        <v>1677</v>
      </c>
      <c r="GG28" s="430" t="str">
        <f ca="1">CHOOSE(WEEKDAY(DATE($A28,GF$43,GG$42),2),"Monday","Tuesday","Wednesday","Thursday","Friday","Saturday","Sunday")</f>
        <v>Friday</v>
      </c>
      <c r="GH28" s="457" t="s">
        <v>22</v>
      </c>
      <c r="GI28" s="430" t="s">
        <v>22</v>
      </c>
      <c r="GJ28" s="530" t="s">
        <v>1680</v>
      </c>
      <c r="GK28" s="430" t="str">
        <f ca="1">CHOOSE(WEEKDAY(DATE($A28,GJ$43,GK$42),2),"Monday","Tuesday","Wednesday","Thursday","Friday","Saturday","Sunday")</f>
        <v>Monday</v>
      </c>
      <c r="GL28" s="457" t="s">
        <v>22</v>
      </c>
      <c r="GM28" s="430" t="s">
        <v>22</v>
      </c>
      <c r="GN28" s="530" t="s">
        <v>1684</v>
      </c>
      <c r="GO28" s="430" t="str">
        <f ca="1">CHOOSE(WEEKDAY(DATE($A28,GN$43,GO$42),2),"Monday","Tuesday","Wednesday","Thursday","Friday","Saturday","Sunday")</f>
        <v>Friday</v>
      </c>
      <c r="GP28" s="422" t="s">
        <v>22</v>
      </c>
      <c r="GQ28" s="422" t="s">
        <v>22</v>
      </c>
      <c r="GR28" s="457" t="s">
        <v>22</v>
      </c>
      <c r="GS28" s="430" t="s">
        <v>22</v>
      </c>
      <c r="GT28" s="530" t="s">
        <v>1689</v>
      </c>
      <c r="GU28" s="430" t="str">
        <f ca="1">CHOOSE(WEEKDAY(DATE($A28,GT$43,GU$42),2),"Monday","Tuesday","Wednesday","Thursday","Friday","Saturday","Sunday")</f>
        <v>Monday</v>
      </c>
      <c r="GV28" s="457" t="s">
        <v>22</v>
      </c>
      <c r="GW28" s="430" t="s">
        <v>22</v>
      </c>
      <c r="GX28" s="457" t="s">
        <v>22</v>
      </c>
      <c r="GY28" s="430" t="s">
        <v>22</v>
      </c>
      <c r="GZ28" s="457" t="s">
        <v>22</v>
      </c>
      <c r="HA28" s="430" t="s">
        <v>22</v>
      </c>
      <c r="HB28" s="457" t="s">
        <v>22</v>
      </c>
      <c r="HC28" s="430" t="s">
        <v>22</v>
      </c>
      <c r="HD28" s="457" t="s">
        <v>22</v>
      </c>
      <c r="HE28" s="422" t="s">
        <v>22</v>
      </c>
      <c r="HF28" s="531" t="s">
        <v>1697</v>
      </c>
      <c r="HG28" s="430" t="str">
        <f ca="1">CHOOSE(WEEKDAY(DATE($A28,HF$43,HG$42),2),"Monday","Tuesday","Wednesday","Thursday","Friday","Saturday","Sunday")</f>
        <v>Sunday</v>
      </c>
      <c r="HH28" s="531" t="s">
        <v>1700</v>
      </c>
      <c r="HI28" s="430" t="str">
        <f ca="1">CHOOSE(WEEKDAY(DATE($A28,HH$43,HI$42),2),"Monday","Tuesday","Wednesday","Thursday","Friday","Saturday","Sunday")</f>
        <v>Monday</v>
      </c>
      <c r="HJ28" s="530" t="s">
        <v>1702</v>
      </c>
      <c r="HK28" s="430" t="str">
        <f ca="1">CHOOSE(WEEKDAY(DATE($A28,HJ$43,HK$42),2),"Monday","Tuesday","Wednesday","Thursday","Friday","Saturday","Sunday")</f>
        <v>Tuesday</v>
      </c>
      <c r="HL28" s="327" t="s">
        <v>1703</v>
      </c>
      <c r="HM28" s="430" t="str">
        <f ca="1">CHOOSE(WEEKDAY(DATE($A28,HL$43,HM$42),2),"Monday","Tuesday","Wednesday","Thursday","Friday","Saturday","Sunday")</f>
        <v>Wednesday</v>
      </c>
      <c r="HN28" s="530" t="s">
        <v>1711</v>
      </c>
      <c r="HO28" s="430" t="str">
        <f ca="1">CHOOSE(WEEKDAY(DATE($A28,HN$43,HO$42),2),"Monday","Tuesday","Wednesday","Thursday","Friday","Saturday","Sunday")</f>
        <v>Thursday</v>
      </c>
      <c r="HP28" s="326" t="s">
        <v>1711</v>
      </c>
      <c r="HQ28" s="430" t="str">
        <f ca="1">CHOOSE(WEEKDAY(DATE($A28,HP$43,HQ$42),2),"Monday","Tuesday","Wednesday","Thursday","Friday","Saturday","Sunday")</f>
        <v>Friday</v>
      </c>
      <c r="HR28" s="531" t="s">
        <v>1709</v>
      </c>
      <c r="HS28" s="430" t="str">
        <f ca="1">CHOOSE(WEEKDAY(DATE($A28,HR$43,HS$42),2),"Monday","Tuesday","Wednesday","Thursday","Friday","Saturday","Sunday")</f>
        <v>Saturday</v>
      </c>
      <c r="HT28" s="422" t="s">
        <v>22</v>
      </c>
      <c r="HU28" s="422" t="s">
        <v>22</v>
      </c>
      <c r="HV28" s="457" t="s">
        <v>22</v>
      </c>
      <c r="HW28" s="430" t="s">
        <v>22</v>
      </c>
      <c r="HX28" s="530" t="s">
        <v>1713</v>
      </c>
      <c r="HY28" s="430" t="str">
        <f ca="1">CHOOSE(WEEKDAY(DATE($A28,HX$43,HY$42),2),"Monday","Tuesday","Wednesday","Thursday","Friday","Saturday","Sunday")</f>
        <v>Tuesday</v>
      </c>
      <c r="HZ28" s="422" t="s">
        <v>22</v>
      </c>
      <c r="IA28" s="422" t="s">
        <v>22</v>
      </c>
      <c r="IB28" s="531" t="s">
        <v>1714</v>
      </c>
      <c r="IC28" s="430" t="str">
        <f ca="1">CHOOSE(WEEKDAY(DATE($A28,IB$43,IC$42),2),"Monday","Tuesday","Wednesday","Thursday","Friday","Saturday","Sunday")</f>
        <v>Friday</v>
      </c>
      <c r="ID28" s="422" t="s">
        <v>22</v>
      </c>
      <c r="IE28" s="422" t="s">
        <v>22</v>
      </c>
      <c r="IF28" s="457" t="s">
        <v>22</v>
      </c>
      <c r="IG28" s="430" t="s">
        <v>22</v>
      </c>
      <c r="IH28" s="422" t="s">
        <v>22</v>
      </c>
      <c r="II28" s="422" t="s">
        <v>22</v>
      </c>
      <c r="IJ28" s="457" t="s">
        <v>22</v>
      </c>
      <c r="IK28" s="430" t="s">
        <v>22</v>
      </c>
      <c r="IL28" s="530" t="s">
        <v>1720</v>
      </c>
      <c r="IM28" s="430" t="str">
        <f ca="1">CHOOSE(WEEKDAY(DATE($A28,IL$43,IM$42),2),"Monday","Tuesday","Wednesday","Thursday","Friday","Saturday","Sunday")</f>
        <v>Wednesday</v>
      </c>
      <c r="IN28" s="457" t="s">
        <v>22</v>
      </c>
      <c r="IO28" s="430" t="s">
        <v>22</v>
      </c>
      <c r="IP28" s="457" t="s">
        <v>22</v>
      </c>
      <c r="IQ28" s="430" t="s">
        <v>22</v>
      </c>
      <c r="IR28" s="530" t="s">
        <v>1726</v>
      </c>
      <c r="IS28" s="430" t="str">
        <f ca="1">CHOOSE(WEEKDAY(DATE($A28,IR$43,IS$42),2),"Monday","Tuesday","Wednesday","Thursday","Friday","Saturday","Sunday")</f>
        <v>Sunday</v>
      </c>
      <c r="IT28" s="457" t="s">
        <v>22</v>
      </c>
      <c r="IU28" s="430" t="s">
        <v>22</v>
      </c>
      <c r="IV28" s="457" t="s">
        <v>22</v>
      </c>
      <c r="IW28" s="430" t="s">
        <v>22</v>
      </c>
      <c r="IX28" s="457" t="s">
        <v>22</v>
      </c>
      <c r="IY28" s="430" t="s">
        <v>22</v>
      </c>
      <c r="IZ28" s="532" t="s">
        <v>1731</v>
      </c>
      <c r="JA28" s="430" t="str">
        <f ca="1">CHOOSE(WEEKDAY(DATE($A28,IZ$43,JA$42),2),"Monday","Tuesday","Wednesday","Thursday","Friday","Saturday","Sunday")</f>
        <v>Thursday</v>
      </c>
      <c r="JB28" s="327" t="s">
        <v>1737</v>
      </c>
      <c r="JC28" s="430" t="str">
        <f ca="1">CHOOSE(WEEKDAY(DATE($A28,JB$43,JC$42),2),"Monday","Tuesday","Wednesday","Thursday","Friday","Saturday","Sunday")</f>
        <v>Friday</v>
      </c>
      <c r="JD28" s="422" t="s">
        <v>22</v>
      </c>
      <c r="JE28" s="422" t="s">
        <v>22</v>
      </c>
      <c r="JF28" s="457" t="s">
        <v>22</v>
      </c>
      <c r="JG28" s="430" t="s">
        <v>22</v>
      </c>
      <c r="JH28" s="457" t="s">
        <v>22</v>
      </c>
      <c r="JI28" s="430" t="s">
        <v>22</v>
      </c>
      <c r="JJ28" s="457" t="s">
        <v>22</v>
      </c>
      <c r="JK28" s="430" t="s">
        <v>22</v>
      </c>
      <c r="JL28" s="532" t="s">
        <v>1744</v>
      </c>
      <c r="JM28" s="430" t="str">
        <f ca="1">CHOOSE(WEEKDAY(DATE($A28,JL$43,JM$42),2),"Monday","Tuesday","Wednesday","Thursday","Friday","Saturday","Sunday")</f>
        <v>Thursday</v>
      </c>
      <c r="JN28" s="327" t="s">
        <v>1744</v>
      </c>
      <c r="JO28" s="430" t="str">
        <f ca="1">CHOOSE(WEEKDAY(DATE($A28,JN$43,JO$42),2),"Monday","Tuesday","Wednesday","Thursday","Friday","Saturday","Sunday")</f>
        <v>Friday</v>
      </c>
      <c r="JP28" s="457" t="s">
        <v>22</v>
      </c>
      <c r="JQ28" s="422" t="s">
        <v>22</v>
      </c>
      <c r="JR28" s="530" t="s">
        <v>2006</v>
      </c>
      <c r="JS28" s="430" t="str">
        <f ca="1">CHOOSE(WEEKDAY(DATE($A28,JR$43,JS$42),2),"Monday","Tuesday","Wednesday","Thursday","Friday","Saturday","Sunday")</f>
        <v>Sunday</v>
      </c>
      <c r="JT28" s="422" t="s">
        <v>22</v>
      </c>
      <c r="JU28" s="422" t="s">
        <v>22</v>
      </c>
      <c r="JV28" s="457" t="s">
        <v>22</v>
      </c>
      <c r="JW28" s="430" t="s">
        <v>22</v>
      </c>
      <c r="JX28" s="530" t="s">
        <v>1749</v>
      </c>
      <c r="JY28" s="430" t="str">
        <f ca="1">CHOOSE(WEEKDAY(DATE($A28,JX$43,JY$42),2),"Monday","Tuesday","Wednesday","Thursday","Friday","Saturday","Sunday")</f>
        <v>Thursday</v>
      </c>
      <c r="JZ28" s="327" t="s">
        <v>1752</v>
      </c>
      <c r="KA28" s="430" t="str">
        <f ca="1">CHOOSE(WEEKDAY(DATE($A28,JZ$43,KA$42),2),"Monday","Tuesday","Wednesday","Thursday","Friday","Saturday","Sunday")</f>
        <v>Friday</v>
      </c>
      <c r="KB28" s="422" t="s">
        <v>22</v>
      </c>
      <c r="KC28" s="430" t="s">
        <v>22</v>
      </c>
      <c r="KD28" s="531" t="s">
        <v>1754</v>
      </c>
      <c r="KE28" s="430" t="str">
        <f ca="1">CHOOSE(WEEKDAY(DATE($A28,KD$43,KE$42),2),"Monday","Tuesday","Wednesday","Thursday","Friday","Saturday","Sunday")</f>
        <v>Sunday</v>
      </c>
      <c r="KF28" s="422" t="s">
        <v>22</v>
      </c>
      <c r="KG28" s="422" t="s">
        <v>22</v>
      </c>
      <c r="KH28" s="457" t="s">
        <v>22</v>
      </c>
      <c r="KI28" s="430" t="s">
        <v>22</v>
      </c>
      <c r="KJ28" s="530" t="s">
        <v>1756</v>
      </c>
      <c r="KK28" s="430" t="str">
        <f ca="1">CHOOSE(WEEKDAY(DATE($A28,KJ$43,KK$42),2),"Monday","Tuesday","Wednesday","Thursday","Friday","Saturday","Sunday")</f>
        <v>Wednesday</v>
      </c>
      <c r="KL28" s="457" t="s">
        <v>22</v>
      </c>
      <c r="KM28" s="430" t="s">
        <v>22</v>
      </c>
      <c r="KN28" s="422" t="s">
        <v>22</v>
      </c>
      <c r="KO28" s="422" t="s">
        <v>22</v>
      </c>
      <c r="KP28" s="530" t="s">
        <v>1764</v>
      </c>
      <c r="KQ28" s="430" t="str">
        <f ca="1">CHOOSE(WEEKDAY(DATE($A28,KP$43,KQ$42),2),"Monday","Tuesday","Wednesday","Thursday","Friday","Saturday","Sunday")</f>
        <v>Sunday</v>
      </c>
      <c r="KR28" s="422" t="s">
        <v>22</v>
      </c>
      <c r="KS28" s="422" t="s">
        <v>22</v>
      </c>
      <c r="KT28" s="530" t="s">
        <v>1761</v>
      </c>
      <c r="KU28" s="430" t="str">
        <f ca="1">CHOOSE(WEEKDAY(DATE($A28,KT$43,KU$42),2),"Monday","Tuesday","Wednesday","Thursday","Friday","Saturday","Sunday")</f>
        <v>Wednesday</v>
      </c>
      <c r="KV28" s="530" t="s">
        <v>1769</v>
      </c>
      <c r="KW28" s="430" t="str">
        <f ca="1">CHOOSE(WEEKDAY(DATE($A28,KV$43,KW$42),2),"Monday","Tuesday","Wednesday","Thursday","Friday","Saturday","Sunday")</f>
        <v>Thursday</v>
      </c>
      <c r="KX28" s="327" t="s">
        <v>1771</v>
      </c>
      <c r="KY28" s="430" t="str">
        <f ca="1">CHOOSE(WEEKDAY(DATE($A28,KX$43,KY$42),2),"Monday","Tuesday","Wednesday","Thursday","Friday","Saturday","Sunday")</f>
        <v>Friday</v>
      </c>
      <c r="KZ28" s="422" t="s">
        <v>22</v>
      </c>
      <c r="LA28" s="422" t="s">
        <v>22</v>
      </c>
      <c r="LB28" s="457" t="s">
        <v>22</v>
      </c>
      <c r="LC28" s="430" t="s">
        <v>22</v>
      </c>
      <c r="LD28" s="530" t="s">
        <v>1776</v>
      </c>
      <c r="LE28" s="430" t="str">
        <f ca="1">CHOOSE(WEEKDAY(DATE($A28,LD$43,LE$42),2),"Monday","Tuesday","Wednesday","Thursday","Friday","Saturday","Sunday")</f>
        <v>Monday</v>
      </c>
      <c r="LF28" s="457" t="s">
        <v>22</v>
      </c>
      <c r="LG28" s="430" t="s">
        <v>22</v>
      </c>
      <c r="LH28" s="327" t="s">
        <v>1782</v>
      </c>
      <c r="LI28" s="430" t="str">
        <f ca="1">CHOOSE(WEEKDAY(DATE($A28,LH$43,LI$42),2),"Monday","Tuesday","Wednesday","Thursday","Friday","Saturday","Sunday")</f>
        <v>Thursday</v>
      </c>
      <c r="LJ28" s="341" t="s">
        <v>1783</v>
      </c>
      <c r="LK28" s="430" t="str">
        <f ca="1">CHOOSE(WEEKDAY(DATE($A28,LJ$43,LK$42),2),"Monday","Tuesday","Wednesday","Thursday","Friday","Saturday","Sunday")</f>
        <v>Friday</v>
      </c>
      <c r="LL28" s="457" t="s">
        <v>22</v>
      </c>
      <c r="LM28" s="422" t="s">
        <v>22</v>
      </c>
      <c r="LN28" s="457" t="s">
        <v>22</v>
      </c>
      <c r="LO28" s="430" t="s">
        <v>22</v>
      </c>
      <c r="LP28" s="532" t="s">
        <v>1788</v>
      </c>
      <c r="LQ28" s="430" t="str">
        <f ca="1">CHOOSE(WEEKDAY(DATE($A28,LP$43,LQ$42),2),"Monday","Tuesday","Wednesday","Thursday","Friday","Saturday","Sunday")</f>
        <v>Monday</v>
      </c>
      <c r="LR28" s="530" t="s">
        <v>2044</v>
      </c>
      <c r="LS28" s="430" t="str">
        <f ca="1">CHOOSE(WEEKDAY(DATE($A28,LR$43,LS$42),2),"Monday","Tuesday","Wednesday","Thursday","Friday","Saturday","Sunday")</f>
        <v>Tuesday</v>
      </c>
      <c r="LT28" s="422" t="s">
        <v>22</v>
      </c>
      <c r="LU28" s="422" t="s">
        <v>22</v>
      </c>
      <c r="LV28" s="457" t="s">
        <v>22</v>
      </c>
      <c r="LW28" s="430" t="s">
        <v>22</v>
      </c>
      <c r="LX28" s="531" t="s">
        <v>2045</v>
      </c>
      <c r="LY28" s="430" t="str">
        <f ca="1">CHOOSE(WEEKDAY(DATE($A28,LX$43,LY$42),2),"Monday","Tuesday","Wednesday","Thursday","Friday","Saturday","Sunday")</f>
        <v>Saturday</v>
      </c>
      <c r="LZ28" s="457" t="s">
        <v>22</v>
      </c>
      <c r="MA28" s="430" t="s">
        <v>22</v>
      </c>
      <c r="MB28" s="422" t="s">
        <v>22</v>
      </c>
      <c r="MC28" s="422" t="s">
        <v>22</v>
      </c>
      <c r="MD28" s="530" t="s">
        <v>1798</v>
      </c>
      <c r="ME28" s="430" t="str">
        <f ca="1">CHOOSE(WEEKDAY(DATE($A28,MD$43,ME$42),2),"Monday","Tuesday","Wednesday","Thursday","Friday","Saturday","Sunday")</f>
        <v>Tuesday</v>
      </c>
      <c r="MF28" s="422" t="s">
        <v>22</v>
      </c>
      <c r="MG28" s="422" t="s">
        <v>22</v>
      </c>
      <c r="MH28" s="531" t="s">
        <v>1805</v>
      </c>
      <c r="MI28" s="430" t="str">
        <f ca="1">CHOOSE(WEEKDAY(DATE($A28,MH$43,MI$42),2),"Monday","Tuesday","Wednesday","Thursday","Friday","Saturday","Sunday")</f>
        <v>Thursday</v>
      </c>
      <c r="MJ28" s="530" t="s">
        <v>1802</v>
      </c>
      <c r="MK28" s="430" t="str">
        <f ca="1">CHOOSE(WEEKDAY(DATE($A28,MJ$43,MK$42),2),"Monday","Tuesday","Wednesday","Thursday","Friday","Saturday","Sunday")</f>
        <v>Friday</v>
      </c>
      <c r="ML28" s="457" t="s">
        <v>22</v>
      </c>
      <c r="MM28" s="430" t="s">
        <v>22</v>
      </c>
      <c r="MN28" s="422" t="s">
        <v>22</v>
      </c>
      <c r="MO28" s="422" t="s">
        <v>22</v>
      </c>
      <c r="MP28" s="457" t="s">
        <v>22</v>
      </c>
      <c r="MQ28" s="430" t="s">
        <v>22</v>
      </c>
      <c r="MR28" s="422" t="s">
        <v>22</v>
      </c>
      <c r="MS28" s="422" t="s">
        <v>22</v>
      </c>
      <c r="MT28" s="530" t="s">
        <v>1808</v>
      </c>
      <c r="MU28" s="430" t="str">
        <f ca="1">CHOOSE(WEEKDAY(DATE($A28,MT$43,MU$42),2),"Monday","Tuesday","Wednesday","Thursday","Friday","Saturday","Sunday")</f>
        <v>Wednesday</v>
      </c>
      <c r="MV28" s="422" t="s">
        <v>22</v>
      </c>
      <c r="MW28" s="422" t="s">
        <v>22</v>
      </c>
      <c r="MX28" s="457" t="s">
        <v>22</v>
      </c>
      <c r="MY28" s="430" t="s">
        <v>22</v>
      </c>
      <c r="MZ28" s="457" t="s">
        <v>22</v>
      </c>
      <c r="NA28" s="430" t="s">
        <v>22</v>
      </c>
      <c r="NB28" s="530" t="s">
        <v>1812</v>
      </c>
      <c r="NC28" s="430" t="str">
        <f ca="1">CHOOSE(WEEKDAY(DATE($A28,NB$43,NC$42),2),"Monday","Tuesday","Wednesday","Thursday","Friday","Saturday","Sunday")</f>
        <v>Sunday</v>
      </c>
      <c r="ND28" s="457" t="s">
        <v>22</v>
      </c>
      <c r="NE28" s="430" t="s">
        <v>22</v>
      </c>
      <c r="NF28" s="422" t="s">
        <v>22</v>
      </c>
      <c r="NG28" s="422" t="s">
        <v>22</v>
      </c>
      <c r="NH28" s="457" t="s">
        <v>22</v>
      </c>
      <c r="NI28" s="430" t="s">
        <v>22</v>
      </c>
      <c r="NJ28" s="531" t="s">
        <v>2046</v>
      </c>
      <c r="NK28" s="430" t="str">
        <f ca="1">CHOOSE(WEEKDAY(DATE($A28,NJ$43,NK$42),2),"Monday","Tuesday","Wednesday","Thursday","Friday","Saturday","Sunday")</f>
        <v>Thursday</v>
      </c>
      <c r="NL28" s="531" t="s">
        <v>1813</v>
      </c>
      <c r="NM28" s="430" t="str">
        <f ca="1">CHOOSE(WEEKDAY(DATE($A28,NL$43,NM$42),2),"Monday","Tuesday","Wednesday","Thursday","Friday","Saturday","Sunday")</f>
        <v>Friday</v>
      </c>
      <c r="NN28" s="422" t="s">
        <v>22</v>
      </c>
      <c r="NO28" s="430" t="s">
        <v>22</v>
      </c>
      <c r="NP28" s="422" t="s">
        <v>22</v>
      </c>
      <c r="NQ28" s="422" t="s">
        <v>22</v>
      </c>
      <c r="NR28" s="531" t="s">
        <v>1816</v>
      </c>
      <c r="NS28" s="430" t="str">
        <f ca="1">CHOOSE(WEEKDAY(DATE($A28,NR$43,NS$42),2),"Monday","Tuesday","Wednesday","Thursday","Friday","Saturday","Sunday")</f>
        <v>Monday</v>
      </c>
      <c r="NT28" s="533" t="s">
        <v>1820</v>
      </c>
      <c r="NU28" s="430" t="str">
        <f ca="1">CHOOSE(WEEKDAY(DATE($A28,NT$43,NU$42),2),"Monday","Tuesday","Wednesday","Thursday","Friday","Saturday","Sunday")</f>
        <v>Tuesday</v>
      </c>
      <c r="NV28" s="422" t="s">
        <v>22</v>
      </c>
      <c r="NW28" s="430" t="s">
        <v>22</v>
      </c>
      <c r="NX28" s="422" t="s">
        <v>22</v>
      </c>
      <c r="NY28" s="422" t="s">
        <v>22</v>
      </c>
      <c r="NZ28" s="457" t="s">
        <v>22</v>
      </c>
      <c r="OA28" s="430" t="s">
        <v>22</v>
      </c>
      <c r="OB28" s="533" t="s">
        <v>1826</v>
      </c>
      <c r="OC28" s="430" t="str">
        <f ca="1">CHOOSE(WEEKDAY(DATE($A28,OB$43,OC$42),2),"Monday","Tuesday","Wednesday","Thursday","Friday","Saturday","Sunday")</f>
        <v>Saturday</v>
      </c>
      <c r="OD28" s="457" t="s">
        <v>22</v>
      </c>
      <c r="OE28" s="430" t="s">
        <v>22</v>
      </c>
      <c r="OF28" s="533" t="s">
        <v>1827</v>
      </c>
      <c r="OG28" s="430" t="str">
        <f ca="1">CHOOSE(WEEKDAY(DATE($A28,OF$43,OG$42),2),"Monday","Tuesday","Wednesday","Thursday","Friday","Saturday","Sunday")</f>
        <v>Wednesday</v>
      </c>
      <c r="OH28" s="457" t="s">
        <v>22</v>
      </c>
      <c r="OI28" s="430" t="s">
        <v>22</v>
      </c>
      <c r="OJ28" s="533" t="s">
        <v>1828</v>
      </c>
      <c r="OK28" s="430" t="str">
        <f ca="1">CHOOSE(WEEKDAY(DATE($A28,OJ$43,OK$42),2),"Monday","Tuesday","Wednesday","Thursday","Friday","Saturday","Sunday")</f>
        <v>Friday</v>
      </c>
      <c r="OL28" s="531" t="s">
        <v>2047</v>
      </c>
      <c r="OM28" s="430" t="str">
        <f ca="1">CHOOSE(WEEKDAY(DATE($A28,OL$43,OM$42),2),"Monday","Tuesday","Wednesday","Thursday","Friday","Saturday","Sunday")</f>
        <v>Saturday</v>
      </c>
      <c r="ON28" s="457" t="s">
        <v>22</v>
      </c>
      <c r="OO28" s="430" t="s">
        <v>22</v>
      </c>
      <c r="OP28" s="422" t="s">
        <v>22</v>
      </c>
      <c r="OQ28" s="422" t="s">
        <v>22</v>
      </c>
      <c r="OR28" s="531" t="s">
        <v>1835</v>
      </c>
      <c r="OS28" s="430" t="str">
        <f ca="1">CHOOSE(WEEKDAY(DATE($A28,OR$43,OS$42),2),"Monday","Tuesday","Wednesday","Thursday","Friday","Saturday","Sunday")</f>
        <v>Tuesday</v>
      </c>
      <c r="OT28" s="533" t="s">
        <v>1836</v>
      </c>
      <c r="OU28" s="430" t="str">
        <f ca="1">CHOOSE(WEEKDAY(DATE($A28,OT$43,OU$42),2),"Monday","Tuesday","Wednesday","Thursday","Friday","Saturday","Sunday")</f>
        <v>Wednesday</v>
      </c>
      <c r="OV28" s="422" t="s">
        <v>22</v>
      </c>
      <c r="OW28" s="422" t="s">
        <v>22</v>
      </c>
      <c r="OX28" s="457" t="s">
        <v>22</v>
      </c>
      <c r="OY28" s="430" t="s">
        <v>22</v>
      </c>
      <c r="OZ28" s="533" t="s">
        <v>1840</v>
      </c>
      <c r="PA28" s="430" t="str">
        <f ca="1">CHOOSE(WEEKDAY(DATE($A28,OZ$43,PA$42),2),"Monday","Tuesday","Wednesday","Thursday","Friday","Saturday","Sunday")</f>
        <v>Sunday</v>
      </c>
      <c r="PB28" s="457" t="s">
        <v>22</v>
      </c>
      <c r="PC28" s="430" t="s">
        <v>22</v>
      </c>
      <c r="PD28" s="422" t="s">
        <v>22</v>
      </c>
      <c r="PE28" s="430" t="s">
        <v>22</v>
      </c>
      <c r="PF28" s="531" t="s">
        <v>1845</v>
      </c>
      <c r="PG28" s="430" t="str">
        <f ca="1">CHOOSE(WEEKDAY(DATE($A28,PF$43,PG$42),2),"Monday","Tuesday","Wednesday","Thursday","Friday","Saturday","Sunday")</f>
        <v>Wednesday</v>
      </c>
      <c r="PH28" s="533" t="s">
        <v>1848</v>
      </c>
      <c r="PI28" s="430" t="str">
        <f ca="1">CHOOSE(WEEKDAY(DATE($A28,PH$43,PI$42),2),"Monday","Tuesday","Wednesday","Thursday","Friday","Saturday","Sunday")</f>
        <v>Sunday</v>
      </c>
      <c r="PJ28" s="457" t="s">
        <v>22</v>
      </c>
      <c r="PK28" s="430" t="s">
        <v>22</v>
      </c>
      <c r="PL28" s="531" t="s">
        <v>1851</v>
      </c>
      <c r="PM28" s="430" t="str">
        <f ca="1">CHOOSE(WEEKDAY(DATE($A28,PL$43,PM$42),2),"Monday","Tuesday","Wednesday","Thursday","Friday","Saturday","Sunday")</f>
        <v>Thursday</v>
      </c>
      <c r="PN28" s="531" t="s">
        <v>1853</v>
      </c>
      <c r="PO28" s="430" t="str">
        <f ca="1">CHOOSE(WEEKDAY(DATE($A28,PN$43,PO$42),2),"Monday","Tuesday","Wednesday","Thursday","Friday","Saturday","Sunday")</f>
        <v>Friday</v>
      </c>
      <c r="PP28" s="422" t="s">
        <v>22</v>
      </c>
      <c r="PQ28" s="422" t="s">
        <v>22</v>
      </c>
      <c r="PR28" s="457" t="s">
        <v>22</v>
      </c>
      <c r="PS28" s="430" t="s">
        <v>22</v>
      </c>
      <c r="PT28" s="531" t="s">
        <v>1858</v>
      </c>
      <c r="PU28" s="430" t="str">
        <f ca="1">CHOOSE(WEEKDAY(DATE($A28,PT$43,PU$42),2),"Monday","Tuesday","Wednesday","Thursday","Friday","Saturday","Sunday")</f>
        <v>Monday</v>
      </c>
      <c r="PV28" s="457" t="s">
        <v>22</v>
      </c>
      <c r="PW28" s="430" t="s">
        <v>22</v>
      </c>
      <c r="PX28" s="422" t="s">
        <v>22</v>
      </c>
      <c r="PY28" s="422" t="s">
        <v>22</v>
      </c>
      <c r="PZ28" s="531" t="s">
        <v>1862</v>
      </c>
      <c r="QA28" s="430" t="str">
        <f ca="1">CHOOSE(WEEKDAY(DATE($A28,PZ$43,QA$42),2),"Monday","Tuesday","Wednesday","Thursday","Friday","Saturday","Sunday")</f>
        <v>Thursday</v>
      </c>
      <c r="QB28" s="531" t="s">
        <v>1859</v>
      </c>
      <c r="QC28" s="430" t="str">
        <f ca="1">CHOOSE(WEEKDAY(DATE($A28,QB$43,QC$42),2),"Monday","Tuesday","Wednesday","Thursday","Friday","Saturday","Sunday")</f>
        <v>Friday</v>
      </c>
      <c r="QD28" s="422" t="s">
        <v>22</v>
      </c>
      <c r="QE28" s="430" t="s">
        <v>22</v>
      </c>
      <c r="QF28" s="422" t="s">
        <v>22</v>
      </c>
      <c r="QG28" s="422" t="s">
        <v>22</v>
      </c>
      <c r="QH28" s="531" t="s">
        <v>1867</v>
      </c>
      <c r="QI28" s="430" t="str">
        <f ca="1">CHOOSE(WEEKDAY(DATE($A28,QH$43,QI$42),2),"Monday","Tuesday","Wednesday","Thursday","Friday","Saturday","Sunday")</f>
        <v>Monday</v>
      </c>
      <c r="QJ28" s="422" t="s">
        <v>22</v>
      </c>
      <c r="QK28" s="422" t="s">
        <v>22</v>
      </c>
      <c r="QL28" s="457" t="s">
        <v>22</v>
      </c>
      <c r="QM28" s="430" t="s">
        <v>22</v>
      </c>
      <c r="QN28" s="531" t="s">
        <v>1871</v>
      </c>
      <c r="QO28" s="430" t="str">
        <f ca="1">CHOOSE(WEEKDAY(DATE($A28,QN$43,QO$42),2),"Monday","Tuesday","Wednesday","Thursday","Friday","Saturday","Sunday")</f>
        <v>Thursday</v>
      </c>
      <c r="QP28" s="331" t="s">
        <v>1874</v>
      </c>
      <c r="QQ28" s="430" t="str">
        <f ca="1">CHOOSE(WEEKDAY(DATE($A28,QP$43,QQ$42),2),"Monday","Tuesday","Wednesday","Thursday","Friday","Saturday","Sunday")</f>
        <v>Friday</v>
      </c>
      <c r="QR28" s="457" t="s">
        <v>22</v>
      </c>
      <c r="QS28" s="422" t="s">
        <v>22</v>
      </c>
      <c r="QT28" s="457" t="s">
        <v>22</v>
      </c>
      <c r="QU28" s="422" t="s">
        <v>22</v>
      </c>
      <c r="QV28" s="531" t="s">
        <v>1877</v>
      </c>
      <c r="QW28" s="430" t="str">
        <f ca="1">CHOOSE(WEEKDAY(DATE($A28,QV$43,QW$42),2),"Monday","Tuesday","Wednesday","Thursday","Friday","Saturday","Sunday")</f>
        <v>Monday</v>
      </c>
      <c r="QX28" s="457" t="s">
        <v>22</v>
      </c>
      <c r="QY28" s="430" t="s">
        <v>22</v>
      </c>
      <c r="QZ28" s="457" t="s">
        <v>22</v>
      </c>
      <c r="RA28" s="430" t="s">
        <v>22</v>
      </c>
      <c r="RB28" s="457" t="s">
        <v>22</v>
      </c>
      <c r="RC28" s="430" t="s">
        <v>22</v>
      </c>
      <c r="RD28" s="531" t="s">
        <v>1884</v>
      </c>
      <c r="RE28" s="430" t="str">
        <f ca="1">CHOOSE(WEEKDAY(DATE($A28,RD$43,RE$42),2),"Monday","Tuesday","Wednesday","Thursday","Friday","Saturday","Sunday")</f>
        <v>Friday</v>
      </c>
      <c r="RF28" s="457" t="s">
        <v>22</v>
      </c>
      <c r="RG28" s="430" t="s">
        <v>22</v>
      </c>
      <c r="RH28" s="422" t="s">
        <v>22</v>
      </c>
      <c r="RI28" s="422" t="s">
        <v>22</v>
      </c>
      <c r="RJ28" s="457" t="s">
        <v>22</v>
      </c>
      <c r="RK28" s="430" t="s">
        <v>22</v>
      </c>
      <c r="RL28" s="531" t="s">
        <v>1889</v>
      </c>
      <c r="RM28" s="430" t="str">
        <f ca="1">CHOOSE(WEEKDAY(DATE($A28,RL$43,RM$42),2),"Monday","Tuesday","Wednesday","Thursday","Friday","Saturday","Sunday")</f>
        <v>Tuesday</v>
      </c>
      <c r="RN28" s="422" t="s">
        <v>22</v>
      </c>
      <c r="RO28" s="422" t="s">
        <v>22</v>
      </c>
      <c r="RP28" s="531" t="s">
        <v>1893</v>
      </c>
      <c r="RQ28" s="430" t="str">
        <f ca="1">CHOOSE(WEEKDAY(DATE($A28,RP$43,RQ$42),2),"Monday","Tuesday","Wednesday","Thursday","Friday","Saturday","Sunday")</f>
        <v>Friday</v>
      </c>
      <c r="RR28" s="422" t="s">
        <v>22</v>
      </c>
      <c r="RS28" s="422" t="s">
        <v>22</v>
      </c>
      <c r="RT28" s="531" t="s">
        <v>1897</v>
      </c>
      <c r="RU28" s="430" t="str">
        <f ca="1">CHOOSE(WEEKDAY(DATE($A28,RT$43,RU$42),2),"Monday","Tuesday","Wednesday","Thursday","Friday","Saturday","Sunday")</f>
        <v>Sunday</v>
      </c>
      <c r="RV28" s="531" t="s">
        <v>1895</v>
      </c>
      <c r="RW28" s="430" t="str">
        <f ca="1">CHOOSE(WEEKDAY(DATE($A28,RV$43,RW$42),2),"Monday","Tuesday","Wednesday","Thursday","Friday","Saturday","Sunday")</f>
        <v>Monday</v>
      </c>
      <c r="RX28" s="457" t="s">
        <v>22</v>
      </c>
      <c r="RY28" s="430" t="s">
        <v>22</v>
      </c>
      <c r="RZ28" s="457" t="s">
        <v>22</v>
      </c>
      <c r="SA28" s="430" t="s">
        <v>22</v>
      </c>
      <c r="SB28" s="531" t="s">
        <v>1900</v>
      </c>
      <c r="SC28" s="430" t="str">
        <f ca="1">CHOOSE(WEEKDAY(DATE($A28,SB$43,SC$42),2),"Monday","Tuesday","Wednesday","Thursday","Friday","Saturday","Sunday")</f>
        <v>Thursday</v>
      </c>
      <c r="SD28" s="422" t="s">
        <v>22</v>
      </c>
      <c r="SE28" s="422" t="s">
        <v>22</v>
      </c>
      <c r="SF28" s="457" t="s">
        <v>22</v>
      </c>
      <c r="SG28" s="430" t="s">
        <v>22</v>
      </c>
      <c r="SH28" s="531" t="s">
        <v>1904</v>
      </c>
      <c r="SI28" s="430" t="str">
        <f ca="1">CHOOSE(WEEKDAY(DATE($A28,SH$43,SI$42),2),"Monday","Tuesday","Wednesday","Thursday","Friday","Saturday","Sunday")</f>
        <v>Monday</v>
      </c>
      <c r="SJ28" s="457" t="s">
        <v>22</v>
      </c>
      <c r="SK28" s="430" t="s">
        <v>22</v>
      </c>
      <c r="SL28" s="531" t="s">
        <v>1906</v>
      </c>
      <c r="SM28" s="430" t="str">
        <f ca="1">CHOOSE(WEEKDAY(DATE($A28,SL$43,SM$42),2),"Monday","Tuesday","Wednesday","Thursday","Friday","Saturday","Sunday")</f>
        <v>Thursday</v>
      </c>
      <c r="SN28" s="531" t="s">
        <v>1908</v>
      </c>
      <c r="SO28" s="430" t="str">
        <f ca="1">CHOOSE(WEEKDAY(DATE($A28,SN$43,SO$42),2),"Monday","Tuesday","Wednesday","Thursday","Friday","Saturday","Sunday")</f>
        <v>Friday</v>
      </c>
      <c r="SP28" s="422" t="s">
        <v>22</v>
      </c>
      <c r="SQ28" s="430" t="s">
        <v>22</v>
      </c>
      <c r="SR28" s="531" t="s">
        <v>2048</v>
      </c>
      <c r="SS28" s="430" t="str">
        <f ca="1">CHOOSE(WEEKDAY(DATE($A28,SR$43,SS$42),2),"Monday","Tuesday","Wednesday","Thursday","Friday","Saturday","Sunday")</f>
        <v>Sunday</v>
      </c>
      <c r="ST28" s="457" t="s">
        <v>22</v>
      </c>
      <c r="SU28" s="430" t="s">
        <v>22</v>
      </c>
      <c r="SV28" s="422" t="s">
        <v>22</v>
      </c>
      <c r="SW28" s="422" t="s">
        <v>22</v>
      </c>
      <c r="SX28" s="531" t="s">
        <v>1916</v>
      </c>
      <c r="SY28" s="430" t="str">
        <f ca="1">CHOOSE(WEEKDAY(DATE($A28,SX$43,SY$42),2),"Monday","Tuesday","Wednesday","Thursday","Friday","Saturday","Sunday")</f>
        <v>Thursday</v>
      </c>
      <c r="SZ28" s="422" t="s">
        <v>22</v>
      </c>
      <c r="TA28" s="422" t="s">
        <v>22</v>
      </c>
      <c r="TB28" s="457" t="s">
        <v>22</v>
      </c>
      <c r="TC28" s="430" t="s">
        <v>22</v>
      </c>
      <c r="TD28" s="422" t="s">
        <v>22</v>
      </c>
      <c r="TE28" s="422" t="s">
        <v>22</v>
      </c>
      <c r="TF28" s="531" t="s">
        <v>1926</v>
      </c>
      <c r="TG28" s="430" t="str">
        <f ca="1">CHOOSE(WEEKDAY(DATE($A28,TF$43,TG$42),2),"Monday","Tuesday","Wednesday","Thursday","Friday","Saturday","Sunday")</f>
        <v>Monday</v>
      </c>
      <c r="TH28" s="422" t="s">
        <v>22</v>
      </c>
      <c r="TI28" s="430" t="s">
        <v>22</v>
      </c>
      <c r="TJ28" s="457" t="s">
        <v>22</v>
      </c>
      <c r="TK28" s="422" t="s">
        <v>22</v>
      </c>
      <c r="TL28" s="457" t="s">
        <v>22</v>
      </c>
      <c r="TM28" s="430" t="s">
        <v>22</v>
      </c>
      <c r="TN28" s="331" t="s">
        <v>1932</v>
      </c>
      <c r="TO28" s="430" t="str">
        <f ca="1">CHOOSE(WEEKDAY(DATE($A28,TN$43,TO$42),2),"Monday","Tuesday","Wednesday","Thursday","Friday","Saturday","Sunday")</f>
        <v>Friday</v>
      </c>
      <c r="TP28" s="457" t="s">
        <v>22</v>
      </c>
      <c r="TQ28" s="430" t="s">
        <v>22</v>
      </c>
      <c r="TR28" s="422" t="s">
        <v>22</v>
      </c>
      <c r="TS28" s="422" t="s">
        <v>22</v>
      </c>
      <c r="TT28" s="531" t="s">
        <v>1935</v>
      </c>
      <c r="TU28" s="430" t="str">
        <f ca="1">CHOOSE(WEEKDAY(DATE($A28,TT$43,TU$42),2),"Monday","Tuesday","Wednesday","Thursday","Friday","Saturday","Sunday")</f>
        <v>Monday</v>
      </c>
      <c r="TV28" s="531" t="s">
        <v>1933</v>
      </c>
      <c r="TW28" s="430" t="str">
        <f ca="1">CHOOSE(WEEKDAY(DATE($A28,TV$43,TW$42),2),"Monday","Tuesday","Wednesday","Thursday","Friday","Saturday","Sunday")</f>
        <v>Tuesday</v>
      </c>
      <c r="TX28" s="457" t="s">
        <v>22</v>
      </c>
      <c r="TY28" s="430" t="s">
        <v>22</v>
      </c>
      <c r="TZ28" s="457" t="s">
        <v>22</v>
      </c>
      <c r="UA28" s="430" t="s">
        <v>22</v>
      </c>
      <c r="UB28" s="531" t="s">
        <v>1934</v>
      </c>
      <c r="UC28" s="430" t="str">
        <f ca="1">CHOOSE(WEEKDAY(DATE($A28,UB$43,UC$42),2),"Monday","Tuesday","Wednesday","Thursday","Friday","Saturday","Sunday")</f>
        <v>Friday</v>
      </c>
      <c r="UD28" s="531" t="s">
        <v>1937</v>
      </c>
      <c r="UE28" s="430" t="str">
        <f ca="1">CHOOSE(WEEKDAY(DATE($A28,UD$43,UE$42),2),"Monday","Tuesday","Wednesday","Thursday","Friday","Saturday","Sunday")</f>
        <v>Saturday</v>
      </c>
      <c r="UF28" s="543" t="s">
        <v>22</v>
      </c>
      <c r="UG28" s="543" t="s">
        <v>22</v>
      </c>
      <c r="UH28" s="531" t="s">
        <v>1935</v>
      </c>
      <c r="UI28" s="430" t="str">
        <f ca="1">CHOOSE(WEEKDAY(DATE($A28,UH$43,UI$42),2),"Monday","Tuesday","Wednesday","Thursday","Friday","Saturday","Sunday")</f>
        <v>Monday</v>
      </c>
      <c r="UJ28" s="543" t="s">
        <v>22</v>
      </c>
      <c r="UK28" s="543" t="s">
        <v>22</v>
      </c>
      <c r="UL28" s="531" t="s">
        <v>1940</v>
      </c>
      <c r="UM28" s="430" t="str">
        <f ca="1">CHOOSE(WEEKDAY(DATE($A28,UL$43,UM$42),2),"Monday","Tuesday","Wednesday","Thursday","Friday","Saturday","Sunday")</f>
        <v>Wednesday</v>
      </c>
      <c r="UN28" s="457" t="s">
        <v>22</v>
      </c>
      <c r="UO28" s="430" t="s">
        <v>22</v>
      </c>
      <c r="UP28" s="331" t="s">
        <v>1944</v>
      </c>
      <c r="UQ28" s="430" t="str">
        <f ca="1">CHOOSE(WEEKDAY(DATE($A28,UP$43,UQ$42),2),"Monday","Tuesday","Wednesday","Thursday","Friday","Saturday","Sunday")</f>
        <v>Friday</v>
      </c>
      <c r="UR28" s="531" t="s">
        <v>1620</v>
      </c>
      <c r="US28" s="430" t="str">
        <f ca="1">CHOOSE(WEEKDAY(DATE($A28,UR$43,US$42),2),"Monday","Tuesday","Wednesday","Thursday","Friday","Saturday","Sunday")</f>
        <v>Saturday</v>
      </c>
      <c r="UT28" s="457" t="s">
        <v>22</v>
      </c>
      <c r="UU28" s="430" t="s">
        <v>22</v>
      </c>
      <c r="UV28" s="531" t="s">
        <v>1715</v>
      </c>
      <c r="UW28" s="430" t="str">
        <f ca="1">CHOOSE(WEEKDAY(DATE($A28,UV$43,UW$42),2),"Monday","Tuesday","Wednesday","Thursday","Friday","Saturday","Sunday")</f>
        <v>Monday</v>
      </c>
      <c r="UX28" s="457" t="s">
        <v>22</v>
      </c>
      <c r="UY28" s="430" t="s">
        <v>22</v>
      </c>
      <c r="UZ28" s="531" t="s">
        <v>1951</v>
      </c>
      <c r="VA28" s="430" t="str">
        <f ca="1">CHOOSE(WEEKDAY(DATE($A28,UZ$43,VA$42),2),"Monday","Tuesday","Wednesday","Thursday","Friday","Saturday","Sunday")</f>
        <v>Wednesday</v>
      </c>
      <c r="VB28" s="531" t="s">
        <v>1952</v>
      </c>
      <c r="VC28" s="430" t="str">
        <f ca="1">CHOOSE(WEEKDAY(DATE($A28,VB$43,VC$42),2),"Monday","Tuesday","Wednesday","Thursday","Friday","Saturday","Sunday")</f>
        <v>Saturday</v>
      </c>
      <c r="VD28" s="422" t="s">
        <v>22</v>
      </c>
      <c r="VE28" s="422" t="s">
        <v>22</v>
      </c>
      <c r="VF28" s="531" t="s">
        <v>1955</v>
      </c>
      <c r="VG28" s="430" t="str">
        <f ca="1">CHOOSE(WEEKDAY(DATE($A28,VF$43,VG$42),2),"Monday","Tuesday","Wednesday","Thursday","Friday","Saturday","Sunday")</f>
        <v>Tuesday</v>
      </c>
      <c r="VH28" s="535" t="s">
        <v>1966</v>
      </c>
      <c r="VI28" s="430" t="str">
        <f ca="1">CHOOSE(WEEKDAY(DATE($A28,VH$43,VI$42),2),"Monday","Tuesday","Wednesday","Thursday","Friday","Saturday","Sunday")</f>
        <v>Wednesday</v>
      </c>
      <c r="VJ28" s="422" t="s">
        <v>22</v>
      </c>
      <c r="VK28" s="422" t="s">
        <v>22</v>
      </c>
      <c r="VL28" s="535" t="s">
        <v>1966</v>
      </c>
      <c r="VM28" s="430" t="str">
        <f ca="1">CHOOSE(WEEKDAY(DATE($A28,VL$43,VM$42),2),"Monday","Tuesday","Wednesday","Thursday","Friday","Saturday","Sunday")</f>
        <v>Friday</v>
      </c>
      <c r="VN28" s="422" t="s">
        <v>22</v>
      </c>
      <c r="VO28" s="422" t="s">
        <v>22</v>
      </c>
      <c r="VP28" s="531" t="s">
        <v>1959</v>
      </c>
      <c r="VQ28" s="430" t="str">
        <f ca="1">CHOOSE(WEEKDAY(DATE($A28,VP$43,VQ$42),2),"Monday","Tuesday","Wednesday","Thursday","Friday","Saturday","Sunday")</f>
        <v>Sunday</v>
      </c>
      <c r="VR28" s="422" t="s">
        <v>22</v>
      </c>
      <c r="VS28" s="422" t="s">
        <v>22</v>
      </c>
      <c r="VT28" s="457" t="s">
        <v>22</v>
      </c>
      <c r="VU28" s="430" t="s">
        <v>22</v>
      </c>
      <c r="VV28" s="457" t="s">
        <v>22</v>
      </c>
      <c r="VW28" s="430" t="s">
        <v>22</v>
      </c>
      <c r="VX28" s="531" t="s">
        <v>1964</v>
      </c>
      <c r="VY28" s="430" t="str">
        <f ca="1">CHOOSE(WEEKDAY(DATE($A28,VX$43,VY$42),2),"Monday","Tuesday","Wednesday","Thursday","Friday","Saturday","Sunday")</f>
        <v>Thursday</v>
      </c>
      <c r="VZ28" s="457" t="s">
        <v>22</v>
      </c>
      <c r="WA28" s="430" t="s">
        <v>22</v>
      </c>
      <c r="WB28" s="457" t="s">
        <v>22</v>
      </c>
      <c r="WC28" s="430" t="s">
        <v>22</v>
      </c>
      <c r="WD28" s="531" t="s">
        <v>1971</v>
      </c>
      <c r="WE28" s="430" t="str">
        <f ca="1">CHOOSE(WEEKDAY(DATE($A28,WD$43,WE$42),2),"Monday","Tuesday","Wednesday","Thursday","Friday","Saturday","Sunday")</f>
        <v>Monday</v>
      </c>
      <c r="WF28" s="457" t="s">
        <v>22</v>
      </c>
      <c r="WG28" s="430" t="s">
        <v>22</v>
      </c>
      <c r="WH28" s="457" t="s">
        <v>22</v>
      </c>
      <c r="WI28" s="422" t="s">
        <v>22</v>
      </c>
      <c r="WJ28" s="457" t="s">
        <v>22</v>
      </c>
      <c r="WK28" s="430" t="s">
        <v>22</v>
      </c>
      <c r="WL28" s="531" t="s">
        <v>2049</v>
      </c>
      <c r="WM28" s="430" t="str">
        <f ca="1">CHOOSE(WEEKDAY(DATE($A28,WL$43,WM$42),2),"Monday","Tuesday","Wednesday","Thursday","Friday","Saturday","Sunday")</f>
        <v>Friday</v>
      </c>
      <c r="WN28" s="422" t="s">
        <v>22</v>
      </c>
      <c r="WO28" s="430" t="s">
        <v>22</v>
      </c>
      <c r="WP28" s="422" t="s">
        <v>22</v>
      </c>
      <c r="WQ28" s="422" t="s">
        <v>22</v>
      </c>
      <c r="WR28" s="531" t="s">
        <v>1981</v>
      </c>
      <c r="WS28" s="430" t="str">
        <f ca="1">CHOOSE(WEEKDAY(DATE($A28,WR$43,WS$42),2),"Monday","Tuesday","Wednesday","Thursday","Friday","Saturday","Sunday")</f>
        <v>Monday</v>
      </c>
      <c r="WT28" s="457" t="s">
        <v>22</v>
      </c>
      <c r="WU28" s="430" t="s">
        <v>22</v>
      </c>
      <c r="WV28" s="457" t="s">
        <v>22</v>
      </c>
      <c r="WW28" s="430" t="s">
        <v>22</v>
      </c>
      <c r="WX28" s="531" t="s">
        <v>1984</v>
      </c>
      <c r="WY28" s="430" t="str">
        <f ca="1">CHOOSE(WEEKDAY(DATE($A28,WX$43,WY$42),2),"Monday","Tuesday","Wednesday","Thursday","Friday","Saturday","Sunday")</f>
        <v>Thursday</v>
      </c>
      <c r="WZ28" s="537" t="s">
        <v>2050</v>
      </c>
      <c r="XA28" s="430" t="str">
        <f ca="1">CHOOSE(WEEKDAY(DATE($A28,WZ$43,XA$42),2),"Monday","Tuesday","Wednesday","Thursday","Friday","Saturday","Sunday")</f>
        <v>Friday</v>
      </c>
      <c r="XB28" s="457" t="s">
        <v>22</v>
      </c>
      <c r="XC28" s="430" t="s">
        <v>22</v>
      </c>
      <c r="XD28" s="422" t="s">
        <v>22</v>
      </c>
      <c r="XE28" s="422" t="s">
        <v>22</v>
      </c>
      <c r="XF28" s="531" t="s">
        <v>1990</v>
      </c>
      <c r="XG28" s="430" t="str">
        <f ca="1">CHOOSE(WEEKDAY(DATE($A28,XF$43,XG$42),2),"Monday","Tuesday","Wednesday","Thursday","Friday","Saturday","Sunday")</f>
        <v>Monday</v>
      </c>
      <c r="XH28" s="422" t="s">
        <v>22</v>
      </c>
      <c r="XI28" s="430" t="s">
        <v>22</v>
      </c>
      <c r="XJ28" s="422" t="s">
        <v>22</v>
      </c>
      <c r="XK28" s="422" t="s">
        <v>22</v>
      </c>
      <c r="XL28" s="531" t="s">
        <v>2020</v>
      </c>
      <c r="XM28" s="430" t="str">
        <f ca="1">CHOOSE(WEEKDAY(DATE($A28,XL$43,XM$42),2),"Monday","Tuesday","Wednesday","Thursday","Friday","Saturday","Sunday")</f>
        <v>Thursday</v>
      </c>
      <c r="XN28" s="331" t="s">
        <v>1994</v>
      </c>
      <c r="XO28" s="430" t="str">
        <f ca="1">CHOOSE(WEEKDAY(DATE($A28,XN$43,XO$42),2),"Monday","Tuesday","Wednesday","Thursday","Friday","Saturday","Sunday")</f>
        <v>Friday</v>
      </c>
      <c r="XP28" s="457" t="s">
        <v>22</v>
      </c>
      <c r="XQ28" s="430" t="s">
        <v>22</v>
      </c>
      <c r="XR28" s="422" t="s">
        <v>22</v>
      </c>
      <c r="XS28" s="422" t="s">
        <v>22</v>
      </c>
      <c r="XT28" s="457" t="s">
        <v>22</v>
      </c>
      <c r="XU28" s="430" t="s">
        <v>22</v>
      </c>
      <c r="XV28" s="531" t="s">
        <v>1997</v>
      </c>
      <c r="XW28" s="430" t="str">
        <f ca="1">CHOOSE(WEEKDAY(DATE($A28,XV$43,XW$42),2),"Monday","Tuesday","Wednesday","Thursday","Friday","Saturday","Sunday")</f>
        <v>Tuesday</v>
      </c>
      <c r="XX28" s="422" t="s">
        <v>22</v>
      </c>
      <c r="XY28" s="422" t="s">
        <v>22</v>
      </c>
      <c r="XZ28" s="531" t="s">
        <v>2020</v>
      </c>
      <c r="YA28" s="430" t="str">
        <f ca="1">CHOOSE(WEEKDAY(DATE($A28,XZ$43,YA$42),2),"Monday","Tuesday","Wednesday","Thursday","Friday","Saturday","Sunday")</f>
        <v>Thursday</v>
      </c>
      <c r="YB28" s="422" t="s">
        <v>22</v>
      </c>
      <c r="YC28" s="422" t="s">
        <v>22</v>
      </c>
      <c r="YD28" s="531" t="s">
        <v>2003</v>
      </c>
      <c r="YE28" s="430" t="str">
        <f ca="1">CHOOSE(WEEKDAY(DATE($A28,YD$43,YE$42),2),"Monday","Tuesday","Wednesday","Thursday","Friday","Saturday","Sunday")</f>
        <v>Saturday</v>
      </c>
    </row>
    <row r="29" spans="1:655" ht="15" x14ac:dyDescent="0.2">
      <c r="A29" s="402"/>
      <c r="B29" s="417"/>
      <c r="C29" s="412"/>
      <c r="D29" s="417"/>
      <c r="E29" s="412"/>
      <c r="F29" s="402"/>
      <c r="G29" s="412"/>
      <c r="H29" s="417"/>
      <c r="I29" s="402"/>
      <c r="J29" s="417"/>
      <c r="K29" s="412"/>
      <c r="L29" s="417"/>
      <c r="M29" s="412"/>
      <c r="N29" s="417"/>
      <c r="O29" s="412"/>
      <c r="P29" s="402"/>
      <c r="Q29" s="402"/>
      <c r="R29" s="417"/>
      <c r="S29" s="412"/>
      <c r="T29" s="417"/>
      <c r="U29" s="412"/>
      <c r="V29" s="402"/>
      <c r="W29" s="402"/>
      <c r="X29" s="417"/>
      <c r="Y29" s="412"/>
      <c r="Z29" s="417"/>
      <c r="AA29" s="412"/>
      <c r="AB29" s="402"/>
      <c r="AC29" s="402"/>
      <c r="AD29" s="417"/>
      <c r="AE29" s="412"/>
      <c r="AF29" s="417"/>
      <c r="AG29" s="412"/>
      <c r="AH29" s="402"/>
      <c r="AI29" s="402"/>
      <c r="AJ29" s="417"/>
      <c r="AK29" s="412"/>
      <c r="AL29" s="417"/>
      <c r="AM29" s="402"/>
      <c r="AN29" s="417"/>
      <c r="AO29" s="402"/>
      <c r="AP29" s="417"/>
      <c r="AQ29" s="412"/>
      <c r="AR29" s="417"/>
      <c r="AS29" s="412"/>
      <c r="AT29" s="402"/>
      <c r="AU29" s="402"/>
      <c r="AV29" s="417"/>
      <c r="AW29" s="412"/>
      <c r="AX29" s="402"/>
      <c r="AY29" s="402"/>
      <c r="AZ29" s="417"/>
      <c r="BA29" s="412"/>
      <c r="BB29" s="417"/>
      <c r="BC29" s="412"/>
      <c r="BD29" s="417"/>
      <c r="BE29" s="412"/>
      <c r="BF29" s="417"/>
      <c r="BG29" s="412"/>
      <c r="BH29" s="402"/>
      <c r="BI29" s="402"/>
      <c r="BJ29" s="417"/>
      <c r="BK29" s="412"/>
      <c r="BL29" s="402"/>
      <c r="BM29" s="402"/>
      <c r="BN29" s="417"/>
      <c r="BO29" s="412"/>
      <c r="BP29" s="417"/>
      <c r="BQ29" s="412"/>
      <c r="BR29" s="417"/>
      <c r="BS29" s="412"/>
      <c r="BT29" s="534" t="s">
        <v>1595</v>
      </c>
      <c r="BU29" s="412"/>
      <c r="BV29" s="417"/>
      <c r="BW29" s="412"/>
      <c r="BX29" s="402"/>
      <c r="BY29" s="402"/>
      <c r="BZ29" s="417"/>
      <c r="CA29" s="412"/>
      <c r="CB29" s="417"/>
      <c r="CC29" s="412"/>
      <c r="CD29" s="402"/>
      <c r="CE29" s="402"/>
      <c r="CF29" s="417"/>
      <c r="CG29" s="412"/>
      <c r="CH29" s="536" t="s">
        <v>1603</v>
      </c>
      <c r="CI29" s="412"/>
      <c r="CJ29" s="402"/>
      <c r="CK29" s="412"/>
      <c r="CL29" s="402"/>
      <c r="CM29" s="402"/>
      <c r="CN29" s="417"/>
      <c r="CO29" s="412"/>
      <c r="CP29" s="417"/>
      <c r="CQ29" s="412"/>
      <c r="CR29" s="417"/>
      <c r="CS29" s="412"/>
      <c r="CT29" s="402"/>
      <c r="CU29" s="402"/>
      <c r="CV29" s="417"/>
      <c r="CW29" s="412"/>
      <c r="CX29" s="417"/>
      <c r="CY29" s="402"/>
      <c r="CZ29" s="417"/>
      <c r="DA29" s="402"/>
      <c r="DB29" s="417"/>
      <c r="DC29" s="412"/>
      <c r="DD29" s="402"/>
      <c r="DE29" s="412"/>
      <c r="DF29" s="417"/>
      <c r="DG29" s="412"/>
      <c r="DH29" s="402"/>
      <c r="DI29" s="412"/>
      <c r="DJ29" s="417"/>
      <c r="DK29" s="412"/>
      <c r="DL29" s="402"/>
      <c r="DM29" s="412"/>
      <c r="DN29" s="417"/>
      <c r="DO29" s="412"/>
      <c r="DP29" s="402"/>
      <c r="DQ29" s="402"/>
      <c r="DR29" s="417"/>
      <c r="DS29" s="412"/>
      <c r="DT29" s="426" t="s">
        <v>1632</v>
      </c>
      <c r="DU29" s="412"/>
      <c r="DV29" s="417"/>
      <c r="DW29" s="412"/>
      <c r="DX29" s="402"/>
      <c r="DY29" s="402"/>
      <c r="DZ29" s="417"/>
      <c r="EA29" s="412"/>
      <c r="EB29" s="402"/>
      <c r="EC29" s="412"/>
      <c r="ED29" s="417"/>
      <c r="EE29" s="402"/>
      <c r="EF29" s="417"/>
      <c r="EG29" s="412"/>
      <c r="EH29" s="402"/>
      <c r="EI29" s="412"/>
      <c r="EJ29" s="417"/>
      <c r="EK29" s="412"/>
      <c r="EL29" s="402"/>
      <c r="EM29" s="402"/>
      <c r="EN29" s="417"/>
      <c r="EO29" s="412"/>
      <c r="EP29" s="402"/>
      <c r="EQ29" s="412"/>
      <c r="ER29" s="417"/>
      <c r="ES29" s="412"/>
      <c r="ET29" s="402"/>
      <c r="EU29" s="402"/>
      <c r="EV29" s="417"/>
      <c r="EW29" s="412"/>
      <c r="EX29" s="402"/>
      <c r="EY29" s="402"/>
      <c r="EZ29" s="417"/>
      <c r="FA29" s="412"/>
      <c r="FB29" s="417"/>
      <c r="FC29" s="412"/>
      <c r="FD29" s="417"/>
      <c r="FE29" s="412"/>
      <c r="FF29" s="402"/>
      <c r="FG29" s="402"/>
      <c r="FH29" s="417"/>
      <c r="FI29" s="412"/>
      <c r="FJ29" s="536" t="s">
        <v>1663</v>
      </c>
      <c r="FK29" s="412"/>
      <c r="FL29" s="417"/>
      <c r="FM29" s="412"/>
      <c r="FN29" s="417"/>
      <c r="FO29" s="402"/>
      <c r="FP29" s="417"/>
      <c r="FQ29" s="412"/>
      <c r="FR29" s="417"/>
      <c r="FS29" s="402"/>
      <c r="FT29" s="417"/>
      <c r="FU29" s="402"/>
      <c r="FV29" s="417"/>
      <c r="FW29" s="412"/>
      <c r="FX29" s="417"/>
      <c r="FY29" s="402"/>
      <c r="FZ29" s="417"/>
      <c r="GA29" s="412"/>
      <c r="GB29" s="417"/>
      <c r="GC29" s="412"/>
      <c r="GD29" s="417"/>
      <c r="GE29" s="412"/>
      <c r="GF29" s="417"/>
      <c r="GG29" s="412"/>
      <c r="GH29" s="417"/>
      <c r="GI29" s="412"/>
      <c r="GJ29" s="417"/>
      <c r="GK29" s="412"/>
      <c r="GL29" s="417"/>
      <c r="GM29" s="412"/>
      <c r="GN29" s="417"/>
      <c r="GO29" s="412"/>
      <c r="GP29" s="402"/>
      <c r="GQ29" s="402"/>
      <c r="GR29" s="417"/>
      <c r="GS29" s="412"/>
      <c r="GT29" s="417"/>
      <c r="GU29" s="412"/>
      <c r="GV29" s="417"/>
      <c r="GW29" s="412"/>
      <c r="GX29" s="417"/>
      <c r="GY29" s="412"/>
      <c r="GZ29" s="417"/>
      <c r="HA29" s="412"/>
      <c r="HB29" s="417"/>
      <c r="HC29" s="412"/>
      <c r="HD29" s="417"/>
      <c r="HE29" s="402"/>
      <c r="HF29" s="417"/>
      <c r="HG29" s="412"/>
      <c r="HH29" s="417"/>
      <c r="HI29" s="412"/>
      <c r="HJ29" s="417"/>
      <c r="HK29" s="412"/>
      <c r="HL29" s="335" t="s">
        <v>1704</v>
      </c>
      <c r="HM29" s="412"/>
      <c r="HN29" s="417"/>
      <c r="HO29" s="412"/>
      <c r="HP29" s="529" t="s">
        <v>1711</v>
      </c>
      <c r="HQ29" s="412"/>
      <c r="HR29" s="417"/>
      <c r="HS29" s="412"/>
      <c r="HT29" s="402"/>
      <c r="HU29" s="402"/>
      <c r="HV29" s="417"/>
      <c r="HW29" s="412"/>
      <c r="HX29" s="417"/>
      <c r="HY29" s="412"/>
      <c r="HZ29" s="402"/>
      <c r="IA29" s="402"/>
      <c r="IB29" s="417"/>
      <c r="IC29" s="412"/>
      <c r="ID29" s="402"/>
      <c r="IE29" s="402"/>
      <c r="IF29" s="417"/>
      <c r="IG29" s="412"/>
      <c r="IH29" s="402"/>
      <c r="II29" s="402"/>
      <c r="IJ29" s="417"/>
      <c r="IK29" s="412"/>
      <c r="IL29" s="417"/>
      <c r="IM29" s="412"/>
      <c r="IN29" s="417"/>
      <c r="IO29" s="412"/>
      <c r="IP29" s="417"/>
      <c r="IQ29" s="412"/>
      <c r="IR29" s="417"/>
      <c r="IS29" s="412"/>
      <c r="IT29" s="417"/>
      <c r="IU29" s="412"/>
      <c r="IV29" s="417"/>
      <c r="IW29" s="412"/>
      <c r="IX29" s="417"/>
      <c r="IY29" s="412"/>
      <c r="IZ29" s="402"/>
      <c r="JA29" s="412"/>
      <c r="JB29" s="534" t="s">
        <v>2051</v>
      </c>
      <c r="JC29" s="412"/>
      <c r="JD29" s="402"/>
      <c r="JE29" s="402"/>
      <c r="JF29" s="417"/>
      <c r="JG29" s="412"/>
      <c r="JH29" s="417"/>
      <c r="JI29" s="412"/>
      <c r="JJ29" s="417"/>
      <c r="JK29" s="412"/>
      <c r="JL29" s="402"/>
      <c r="JM29" s="412"/>
      <c r="JN29" s="534" t="s">
        <v>2006</v>
      </c>
      <c r="JO29" s="412"/>
      <c r="JP29" s="417"/>
      <c r="JQ29" s="402"/>
      <c r="JR29" s="417"/>
      <c r="JS29" s="412"/>
      <c r="JT29" s="402"/>
      <c r="JU29" s="402"/>
      <c r="JV29" s="417"/>
      <c r="JW29" s="412"/>
      <c r="JX29" s="417"/>
      <c r="JY29" s="412"/>
      <c r="JZ29" s="534" t="s">
        <v>1751</v>
      </c>
      <c r="KA29" s="412"/>
      <c r="KB29" s="402"/>
      <c r="KC29" s="412"/>
      <c r="KD29" s="417"/>
      <c r="KE29" s="412"/>
      <c r="KF29" s="402"/>
      <c r="KG29" s="402"/>
      <c r="KH29" s="417"/>
      <c r="KI29" s="412"/>
      <c r="KJ29" s="417"/>
      <c r="KK29" s="412"/>
      <c r="KL29" s="417"/>
      <c r="KM29" s="412"/>
      <c r="KN29" s="402"/>
      <c r="KO29" s="402"/>
      <c r="KP29" s="417"/>
      <c r="KQ29" s="412"/>
      <c r="KR29" s="402"/>
      <c r="KS29" s="402"/>
      <c r="KT29" s="417"/>
      <c r="KU29" s="412"/>
      <c r="KV29" s="417"/>
      <c r="KW29" s="412"/>
      <c r="KX29" s="534" t="s">
        <v>1772</v>
      </c>
      <c r="KY29" s="412"/>
      <c r="KZ29" s="402"/>
      <c r="LA29" s="402"/>
      <c r="LB29" s="417"/>
      <c r="LC29" s="412"/>
      <c r="LD29" s="417"/>
      <c r="LE29" s="412"/>
      <c r="LF29" s="417"/>
      <c r="LG29" s="412"/>
      <c r="LH29" s="534" t="s">
        <v>1779</v>
      </c>
      <c r="LI29" s="412"/>
      <c r="LJ29" s="342" t="s">
        <v>1784</v>
      </c>
      <c r="LK29" s="412"/>
      <c r="LL29" s="417"/>
      <c r="LM29" s="402"/>
      <c r="LN29" s="417"/>
      <c r="LO29" s="412"/>
      <c r="LP29" s="402"/>
      <c r="LQ29" s="412"/>
      <c r="LR29" s="417"/>
      <c r="LS29" s="412"/>
      <c r="LT29" s="402"/>
      <c r="LU29" s="402"/>
      <c r="LV29" s="417"/>
      <c r="LW29" s="412"/>
      <c r="LX29" s="417"/>
      <c r="LY29" s="412"/>
      <c r="LZ29" s="417"/>
      <c r="MA29" s="412"/>
      <c r="MB29" s="402"/>
      <c r="MC29" s="402"/>
      <c r="MD29" s="417"/>
      <c r="ME29" s="412"/>
      <c r="MF29" s="402"/>
      <c r="MG29" s="402"/>
      <c r="MH29" s="417"/>
      <c r="MI29" s="412"/>
      <c r="MJ29" s="417"/>
      <c r="MK29" s="412"/>
      <c r="ML29" s="417"/>
      <c r="MM29" s="412"/>
      <c r="MN29" s="402"/>
      <c r="MO29" s="402"/>
      <c r="MP29" s="417"/>
      <c r="MQ29" s="412"/>
      <c r="MR29" s="402"/>
      <c r="MS29" s="402"/>
      <c r="MT29" s="417"/>
      <c r="MU29" s="412"/>
      <c r="MV29" s="402"/>
      <c r="MW29" s="402"/>
      <c r="MX29" s="417"/>
      <c r="MY29" s="412"/>
      <c r="MZ29" s="417"/>
      <c r="NA29" s="412"/>
      <c r="NB29" s="417"/>
      <c r="NC29" s="412"/>
      <c r="ND29" s="417"/>
      <c r="NE29" s="412"/>
      <c r="NF29" s="402"/>
      <c r="NG29" s="402"/>
      <c r="NH29" s="417"/>
      <c r="NI29" s="412"/>
      <c r="NJ29" s="417"/>
      <c r="NK29" s="412"/>
      <c r="NL29" s="417"/>
      <c r="NM29" s="412"/>
      <c r="NN29" s="402"/>
      <c r="NO29" s="412"/>
      <c r="NP29" s="402"/>
      <c r="NQ29" s="402"/>
      <c r="NR29" s="417"/>
      <c r="NS29" s="412"/>
      <c r="NT29" s="402"/>
      <c r="NU29" s="412"/>
      <c r="NV29" s="402"/>
      <c r="NW29" s="412"/>
      <c r="NX29" s="402"/>
      <c r="NY29" s="402"/>
      <c r="NZ29" s="417"/>
      <c r="OA29" s="412"/>
      <c r="OB29" s="402"/>
      <c r="OC29" s="412"/>
      <c r="OD29" s="417"/>
      <c r="OE29" s="412"/>
      <c r="OF29" s="402"/>
      <c r="OG29" s="412"/>
      <c r="OH29" s="417"/>
      <c r="OI29" s="412"/>
      <c r="OJ29" s="402"/>
      <c r="OK29" s="412"/>
      <c r="OL29" s="417"/>
      <c r="OM29" s="412"/>
      <c r="ON29" s="417"/>
      <c r="OO29" s="412"/>
      <c r="OP29" s="402"/>
      <c r="OQ29" s="402"/>
      <c r="OR29" s="417"/>
      <c r="OS29" s="412"/>
      <c r="OT29" s="402"/>
      <c r="OU29" s="412"/>
      <c r="OV29" s="402"/>
      <c r="OW29" s="402"/>
      <c r="OX29" s="417"/>
      <c r="OY29" s="412"/>
      <c r="OZ29" s="402"/>
      <c r="PA29" s="412"/>
      <c r="PB29" s="417"/>
      <c r="PC29" s="412"/>
      <c r="PD29" s="402"/>
      <c r="PE29" s="412"/>
      <c r="PF29" s="417"/>
      <c r="PG29" s="412"/>
      <c r="PH29" s="402"/>
      <c r="PI29" s="412"/>
      <c r="PJ29" s="417"/>
      <c r="PK29" s="412"/>
      <c r="PL29" s="417"/>
      <c r="PM29" s="412"/>
      <c r="PN29" s="417"/>
      <c r="PO29" s="412"/>
      <c r="PP29" s="402"/>
      <c r="PQ29" s="402"/>
      <c r="PR29" s="417"/>
      <c r="PS29" s="412"/>
      <c r="PT29" s="417"/>
      <c r="PU29" s="412"/>
      <c r="PV29" s="417"/>
      <c r="PW29" s="412"/>
      <c r="PX29" s="402"/>
      <c r="PY29" s="402"/>
      <c r="PZ29" s="417"/>
      <c r="QA29" s="412"/>
      <c r="QB29" s="417"/>
      <c r="QC29" s="412"/>
      <c r="QD29" s="402"/>
      <c r="QE29" s="412"/>
      <c r="QF29" s="402"/>
      <c r="QG29" s="402"/>
      <c r="QH29" s="417"/>
      <c r="QI29" s="412"/>
      <c r="QJ29" s="402"/>
      <c r="QK29" s="402"/>
      <c r="QL29" s="417"/>
      <c r="QM29" s="412"/>
      <c r="QN29" s="417"/>
      <c r="QO29" s="412"/>
      <c r="QP29" s="536" t="s">
        <v>1876</v>
      </c>
      <c r="QQ29" s="412"/>
      <c r="QR29" s="417"/>
      <c r="QS29" s="402"/>
      <c r="QT29" s="417"/>
      <c r="QU29" s="402"/>
      <c r="QV29" s="417"/>
      <c r="QW29" s="412"/>
      <c r="QX29" s="417"/>
      <c r="QY29" s="412"/>
      <c r="QZ29" s="417"/>
      <c r="RA29" s="412"/>
      <c r="RB29" s="417"/>
      <c r="RC29" s="412"/>
      <c r="RD29" s="417"/>
      <c r="RE29" s="412"/>
      <c r="RF29" s="417"/>
      <c r="RG29" s="412"/>
      <c r="RH29" s="402"/>
      <c r="RI29" s="402"/>
      <c r="RJ29" s="417"/>
      <c r="RK29" s="412"/>
      <c r="RL29" s="417"/>
      <c r="RM29" s="412"/>
      <c r="RN29" s="402"/>
      <c r="RO29" s="402"/>
      <c r="RP29" s="417"/>
      <c r="RQ29" s="412"/>
      <c r="RR29" s="402"/>
      <c r="RS29" s="402"/>
      <c r="RT29" s="417"/>
      <c r="RU29" s="412"/>
      <c r="RV29" s="417"/>
      <c r="RW29" s="412"/>
      <c r="RX29" s="417"/>
      <c r="RY29" s="412"/>
      <c r="RZ29" s="417"/>
      <c r="SA29" s="412"/>
      <c r="SB29" s="417"/>
      <c r="SC29" s="412"/>
      <c r="SD29" s="402"/>
      <c r="SE29" s="402"/>
      <c r="SF29" s="417"/>
      <c r="SG29" s="412"/>
      <c r="SH29" s="417"/>
      <c r="SI29" s="412"/>
      <c r="SJ29" s="417"/>
      <c r="SK29" s="412"/>
      <c r="SL29" s="417"/>
      <c r="SM29" s="412"/>
      <c r="SN29" s="417"/>
      <c r="SO29" s="412"/>
      <c r="SP29" s="402"/>
      <c r="SQ29" s="412"/>
      <c r="SR29" s="417"/>
      <c r="SS29" s="412"/>
      <c r="ST29" s="417"/>
      <c r="SU29" s="412"/>
      <c r="SV29" s="402"/>
      <c r="SW29" s="402"/>
      <c r="SX29" s="417"/>
      <c r="SY29" s="412"/>
      <c r="SZ29" s="402"/>
      <c r="TA29" s="402"/>
      <c r="TB29" s="417"/>
      <c r="TC29" s="412"/>
      <c r="TD29" s="402"/>
      <c r="TE29" s="402"/>
      <c r="TF29" s="417"/>
      <c r="TG29" s="412"/>
      <c r="TH29" s="402"/>
      <c r="TI29" s="412"/>
      <c r="TJ29" s="417"/>
      <c r="TK29" s="402"/>
      <c r="TL29" s="417"/>
      <c r="TM29" s="412"/>
      <c r="TN29" s="536" t="s">
        <v>1929</v>
      </c>
      <c r="TO29" s="412"/>
      <c r="TP29" s="417"/>
      <c r="TQ29" s="412"/>
      <c r="TR29" s="402"/>
      <c r="TS29" s="402"/>
      <c r="TT29" s="417"/>
      <c r="TU29" s="412"/>
      <c r="TV29" s="417"/>
      <c r="TW29" s="412"/>
      <c r="TX29" s="417"/>
      <c r="TY29" s="412"/>
      <c r="TZ29" s="417"/>
      <c r="UA29" s="412"/>
      <c r="UB29" s="417"/>
      <c r="UC29" s="412"/>
      <c r="UD29" s="417"/>
      <c r="UE29" s="412"/>
      <c r="UF29" s="402"/>
      <c r="UG29" s="402"/>
      <c r="UH29" s="417"/>
      <c r="UI29" s="412"/>
      <c r="UJ29" s="402"/>
      <c r="UK29" s="402"/>
      <c r="UL29" s="417"/>
      <c r="UM29" s="412"/>
      <c r="UN29" s="417"/>
      <c r="UO29" s="412"/>
      <c r="UP29" s="536" t="s">
        <v>1945</v>
      </c>
      <c r="UQ29" s="412"/>
      <c r="UR29" s="417"/>
      <c r="US29" s="412"/>
      <c r="UT29" s="417"/>
      <c r="UU29" s="412"/>
      <c r="UV29" s="417"/>
      <c r="UW29" s="412"/>
      <c r="UX29" s="417"/>
      <c r="UY29" s="412"/>
      <c r="UZ29" s="417"/>
      <c r="VA29" s="412"/>
      <c r="VB29" s="417"/>
      <c r="VC29" s="412"/>
      <c r="VD29" s="402"/>
      <c r="VE29" s="402"/>
      <c r="VF29" s="417"/>
      <c r="VG29" s="412"/>
      <c r="VH29" s="417"/>
      <c r="VI29" s="412"/>
      <c r="VJ29" s="402"/>
      <c r="VK29" s="402"/>
      <c r="VL29" s="417"/>
      <c r="VM29" s="412"/>
      <c r="VN29" s="402"/>
      <c r="VO29" s="402"/>
      <c r="VP29" s="417"/>
      <c r="VQ29" s="412"/>
      <c r="VR29" s="402"/>
      <c r="VS29" s="402"/>
      <c r="VT29" s="417"/>
      <c r="VU29" s="412"/>
      <c r="VV29" s="417"/>
      <c r="VW29" s="412"/>
      <c r="VX29" s="417"/>
      <c r="VY29" s="412"/>
      <c r="VZ29" s="417"/>
      <c r="WA29" s="412"/>
      <c r="WB29" s="417"/>
      <c r="WC29" s="412"/>
      <c r="WD29" s="417"/>
      <c r="WE29" s="412"/>
      <c r="WF29" s="417"/>
      <c r="WG29" s="412"/>
      <c r="WH29" s="417"/>
      <c r="WI29" s="402"/>
      <c r="WJ29" s="417"/>
      <c r="WK29" s="412"/>
      <c r="WL29" s="417"/>
      <c r="WM29" s="412"/>
      <c r="WN29" s="402"/>
      <c r="WO29" s="412"/>
      <c r="WP29" s="402"/>
      <c r="WQ29" s="402"/>
      <c r="WR29" s="417"/>
      <c r="WS29" s="412"/>
      <c r="WT29" s="417"/>
      <c r="WU29" s="412"/>
      <c r="WV29" s="417"/>
      <c r="WW29" s="412"/>
      <c r="WX29" s="417"/>
      <c r="WY29" s="412"/>
      <c r="WZ29" s="402"/>
      <c r="XA29" s="412"/>
      <c r="XB29" s="417"/>
      <c r="XC29" s="412"/>
      <c r="XD29" s="402"/>
      <c r="XE29" s="402"/>
      <c r="XF29" s="417"/>
      <c r="XG29" s="412"/>
      <c r="XH29" s="402"/>
      <c r="XI29" s="412"/>
      <c r="XJ29" s="402"/>
      <c r="XK29" s="402"/>
      <c r="XL29" s="417"/>
      <c r="XM29" s="412"/>
      <c r="XN29" s="536" t="s">
        <v>1992</v>
      </c>
      <c r="XO29" s="412"/>
      <c r="XP29" s="417"/>
      <c r="XQ29" s="412"/>
      <c r="XR29" s="402"/>
      <c r="XS29" s="402"/>
      <c r="XT29" s="417"/>
      <c r="XU29" s="412"/>
      <c r="XV29" s="417"/>
      <c r="XW29" s="412"/>
      <c r="XX29" s="402"/>
      <c r="XY29" s="402"/>
      <c r="XZ29" s="417"/>
      <c r="YA29" s="412"/>
      <c r="YB29" s="402"/>
      <c r="YC29" s="402"/>
      <c r="YD29" s="417"/>
      <c r="YE29" s="412"/>
    </row>
    <row r="30" spans="1:655" ht="30" x14ac:dyDescent="0.2">
      <c r="A30" s="397"/>
      <c r="B30" s="396"/>
      <c r="C30" s="398"/>
      <c r="D30" s="396"/>
      <c r="E30" s="398"/>
      <c r="F30" s="397"/>
      <c r="G30" s="398"/>
      <c r="H30" s="396"/>
      <c r="I30" s="397"/>
      <c r="J30" s="396"/>
      <c r="K30" s="398"/>
      <c r="L30" s="396"/>
      <c r="M30" s="398"/>
      <c r="N30" s="396"/>
      <c r="O30" s="398"/>
      <c r="P30" s="397"/>
      <c r="Q30" s="397"/>
      <c r="R30" s="396"/>
      <c r="S30" s="398"/>
      <c r="T30" s="396"/>
      <c r="U30" s="398"/>
      <c r="V30" s="397"/>
      <c r="W30" s="397"/>
      <c r="X30" s="396"/>
      <c r="Y30" s="398"/>
      <c r="Z30" s="396"/>
      <c r="AA30" s="398"/>
      <c r="AB30" s="397"/>
      <c r="AC30" s="397"/>
      <c r="AD30" s="396"/>
      <c r="AE30" s="398"/>
      <c r="AF30" s="396"/>
      <c r="AG30" s="398"/>
      <c r="AH30" s="397"/>
      <c r="AI30" s="397"/>
      <c r="AJ30" s="396"/>
      <c r="AK30" s="398"/>
      <c r="AL30" s="396"/>
      <c r="AM30" s="397"/>
      <c r="AN30" s="396"/>
      <c r="AO30" s="397"/>
      <c r="AP30" s="396"/>
      <c r="AQ30" s="398"/>
      <c r="AR30" s="396"/>
      <c r="AS30" s="398"/>
      <c r="AT30" s="397"/>
      <c r="AU30" s="397"/>
      <c r="AV30" s="396"/>
      <c r="AW30" s="398"/>
      <c r="AX30" s="397"/>
      <c r="AY30" s="397"/>
      <c r="AZ30" s="396"/>
      <c r="BA30" s="398"/>
      <c r="BB30" s="396"/>
      <c r="BC30" s="398"/>
      <c r="BD30" s="396"/>
      <c r="BE30" s="398"/>
      <c r="BF30" s="396"/>
      <c r="BG30" s="398"/>
      <c r="BH30" s="397"/>
      <c r="BI30" s="397"/>
      <c r="BJ30" s="396"/>
      <c r="BK30" s="398"/>
      <c r="BL30" s="397"/>
      <c r="BM30" s="397"/>
      <c r="BN30" s="396"/>
      <c r="BO30" s="398"/>
      <c r="BP30" s="396"/>
      <c r="BQ30" s="398"/>
      <c r="BR30" s="396"/>
      <c r="BS30" s="398"/>
      <c r="BT30" s="396"/>
      <c r="BU30" s="398"/>
      <c r="BV30" s="396"/>
      <c r="BW30" s="398"/>
      <c r="BX30" s="397"/>
      <c r="BY30" s="397"/>
      <c r="BZ30" s="396"/>
      <c r="CA30" s="398"/>
      <c r="CB30" s="396"/>
      <c r="CC30" s="398"/>
      <c r="CD30" s="397"/>
      <c r="CE30" s="397"/>
      <c r="CF30" s="396"/>
      <c r="CG30" s="398"/>
      <c r="CH30" s="396"/>
      <c r="CI30" s="398"/>
      <c r="CJ30" s="397"/>
      <c r="CK30" s="398"/>
      <c r="CL30" s="397"/>
      <c r="CM30" s="397"/>
      <c r="CN30" s="396"/>
      <c r="CO30" s="398"/>
      <c r="CP30" s="396"/>
      <c r="CQ30" s="398"/>
      <c r="CR30" s="396"/>
      <c r="CS30" s="398"/>
      <c r="CT30" s="397"/>
      <c r="CU30" s="397"/>
      <c r="CV30" s="396"/>
      <c r="CW30" s="398"/>
      <c r="CX30" s="396"/>
      <c r="CY30" s="397"/>
      <c r="CZ30" s="396"/>
      <c r="DA30" s="397"/>
      <c r="DB30" s="396"/>
      <c r="DC30" s="398"/>
      <c r="DD30" s="397"/>
      <c r="DE30" s="398"/>
      <c r="DF30" s="396"/>
      <c r="DG30" s="398"/>
      <c r="DH30" s="397"/>
      <c r="DI30" s="398"/>
      <c r="DJ30" s="396"/>
      <c r="DK30" s="398"/>
      <c r="DL30" s="397"/>
      <c r="DM30" s="398"/>
      <c r="DN30" s="396"/>
      <c r="DO30" s="398"/>
      <c r="DP30" s="397"/>
      <c r="DQ30" s="397"/>
      <c r="DR30" s="396"/>
      <c r="DS30" s="398"/>
      <c r="DT30" s="397"/>
      <c r="DU30" s="398"/>
      <c r="DV30" s="396"/>
      <c r="DW30" s="398"/>
      <c r="DX30" s="397"/>
      <c r="DY30" s="397"/>
      <c r="DZ30" s="396"/>
      <c r="EA30" s="398"/>
      <c r="EB30" s="397"/>
      <c r="EC30" s="398"/>
      <c r="ED30" s="396"/>
      <c r="EE30" s="397"/>
      <c r="EF30" s="396"/>
      <c r="EG30" s="398"/>
      <c r="EH30" s="397"/>
      <c r="EI30" s="398"/>
      <c r="EJ30" s="396"/>
      <c r="EK30" s="398"/>
      <c r="EL30" s="397"/>
      <c r="EM30" s="397"/>
      <c r="EN30" s="396"/>
      <c r="EO30" s="398"/>
      <c r="EP30" s="397"/>
      <c r="EQ30" s="398"/>
      <c r="ER30" s="396"/>
      <c r="ES30" s="398"/>
      <c r="ET30" s="397"/>
      <c r="EU30" s="397"/>
      <c r="EV30" s="396"/>
      <c r="EW30" s="398"/>
      <c r="EX30" s="397"/>
      <c r="EY30" s="397"/>
      <c r="EZ30" s="396"/>
      <c r="FA30" s="398"/>
      <c r="FB30" s="396"/>
      <c r="FC30" s="398"/>
      <c r="FD30" s="396"/>
      <c r="FE30" s="398"/>
      <c r="FF30" s="397"/>
      <c r="FG30" s="397"/>
      <c r="FH30" s="396"/>
      <c r="FI30" s="398"/>
      <c r="FJ30" s="396"/>
      <c r="FK30" s="398"/>
      <c r="FL30" s="396"/>
      <c r="FM30" s="398"/>
      <c r="FN30" s="396"/>
      <c r="FO30" s="397"/>
      <c r="FP30" s="396"/>
      <c r="FQ30" s="398"/>
      <c r="FR30" s="396"/>
      <c r="FS30" s="397"/>
      <c r="FT30" s="396"/>
      <c r="FU30" s="397"/>
      <c r="FV30" s="396"/>
      <c r="FW30" s="398"/>
      <c r="FX30" s="396"/>
      <c r="FY30" s="397"/>
      <c r="FZ30" s="396"/>
      <c r="GA30" s="398"/>
      <c r="GB30" s="396"/>
      <c r="GC30" s="398"/>
      <c r="GD30" s="396"/>
      <c r="GE30" s="398"/>
      <c r="GF30" s="396"/>
      <c r="GG30" s="398"/>
      <c r="GH30" s="396"/>
      <c r="GI30" s="398"/>
      <c r="GJ30" s="396"/>
      <c r="GK30" s="398"/>
      <c r="GL30" s="396"/>
      <c r="GM30" s="398"/>
      <c r="GN30" s="396"/>
      <c r="GO30" s="398"/>
      <c r="GP30" s="397"/>
      <c r="GQ30" s="397"/>
      <c r="GR30" s="396"/>
      <c r="GS30" s="398"/>
      <c r="GT30" s="396"/>
      <c r="GU30" s="398"/>
      <c r="GV30" s="396"/>
      <c r="GW30" s="398"/>
      <c r="GX30" s="396"/>
      <c r="GY30" s="398"/>
      <c r="GZ30" s="396"/>
      <c r="HA30" s="398"/>
      <c r="HB30" s="396"/>
      <c r="HC30" s="398"/>
      <c r="HD30" s="396"/>
      <c r="HE30" s="397"/>
      <c r="HF30" s="396"/>
      <c r="HG30" s="398"/>
      <c r="HH30" s="396"/>
      <c r="HI30" s="398"/>
      <c r="HJ30" s="396"/>
      <c r="HK30" s="398"/>
      <c r="HL30" s="336" t="s">
        <v>1705</v>
      </c>
      <c r="HM30" s="398"/>
      <c r="HN30" s="396"/>
      <c r="HO30" s="398"/>
      <c r="HP30" s="397"/>
      <c r="HQ30" s="398"/>
      <c r="HR30" s="396"/>
      <c r="HS30" s="398"/>
      <c r="HT30" s="397"/>
      <c r="HU30" s="397"/>
      <c r="HV30" s="396"/>
      <c r="HW30" s="398"/>
      <c r="HX30" s="396"/>
      <c r="HY30" s="398"/>
      <c r="HZ30" s="397"/>
      <c r="IA30" s="397"/>
      <c r="IB30" s="396"/>
      <c r="IC30" s="398"/>
      <c r="ID30" s="397"/>
      <c r="IE30" s="397"/>
      <c r="IF30" s="396"/>
      <c r="IG30" s="398"/>
      <c r="IH30" s="397"/>
      <c r="II30" s="397"/>
      <c r="IJ30" s="396"/>
      <c r="IK30" s="398"/>
      <c r="IL30" s="396"/>
      <c r="IM30" s="398"/>
      <c r="IN30" s="396"/>
      <c r="IO30" s="398"/>
      <c r="IP30" s="396"/>
      <c r="IQ30" s="398"/>
      <c r="IR30" s="396"/>
      <c r="IS30" s="398"/>
      <c r="IT30" s="396"/>
      <c r="IU30" s="398"/>
      <c r="IV30" s="396"/>
      <c r="IW30" s="398"/>
      <c r="IX30" s="396"/>
      <c r="IY30" s="398"/>
      <c r="IZ30" s="397"/>
      <c r="JA30" s="398"/>
      <c r="JB30" s="396"/>
      <c r="JC30" s="398"/>
      <c r="JD30" s="397"/>
      <c r="JE30" s="397"/>
      <c r="JF30" s="396"/>
      <c r="JG30" s="398"/>
      <c r="JH30" s="396"/>
      <c r="JI30" s="398"/>
      <c r="JJ30" s="396"/>
      <c r="JK30" s="398"/>
      <c r="JL30" s="397"/>
      <c r="JM30" s="398"/>
      <c r="JN30" s="396"/>
      <c r="JO30" s="398"/>
      <c r="JP30" s="396"/>
      <c r="JQ30" s="397"/>
      <c r="JR30" s="396"/>
      <c r="JS30" s="398"/>
      <c r="JT30" s="397"/>
      <c r="JU30" s="397"/>
      <c r="JV30" s="396"/>
      <c r="JW30" s="398"/>
      <c r="JX30" s="396"/>
      <c r="JY30" s="398"/>
      <c r="JZ30" s="396"/>
      <c r="KA30" s="398"/>
      <c r="KB30" s="397"/>
      <c r="KC30" s="398"/>
      <c r="KD30" s="396"/>
      <c r="KE30" s="398"/>
      <c r="KF30" s="397"/>
      <c r="KG30" s="397"/>
      <c r="KH30" s="396"/>
      <c r="KI30" s="398"/>
      <c r="KJ30" s="396"/>
      <c r="KK30" s="398"/>
      <c r="KL30" s="396"/>
      <c r="KM30" s="398"/>
      <c r="KN30" s="397"/>
      <c r="KO30" s="397"/>
      <c r="KP30" s="396"/>
      <c r="KQ30" s="398"/>
      <c r="KR30" s="397"/>
      <c r="KS30" s="397"/>
      <c r="KT30" s="396"/>
      <c r="KU30" s="398"/>
      <c r="KV30" s="396"/>
      <c r="KW30" s="398"/>
      <c r="KX30" s="396"/>
      <c r="KY30" s="398"/>
      <c r="KZ30" s="397"/>
      <c r="LA30" s="397"/>
      <c r="LB30" s="396"/>
      <c r="LC30" s="398"/>
      <c r="LD30" s="396"/>
      <c r="LE30" s="398"/>
      <c r="LF30" s="396"/>
      <c r="LG30" s="398"/>
      <c r="LH30" s="396"/>
      <c r="LI30" s="398"/>
      <c r="LJ30" s="339" t="s">
        <v>1785</v>
      </c>
      <c r="LK30" s="398"/>
      <c r="LL30" s="396"/>
      <c r="LM30" s="397"/>
      <c r="LN30" s="396"/>
      <c r="LO30" s="398"/>
      <c r="LP30" s="397"/>
      <c r="LQ30" s="398"/>
      <c r="LR30" s="396"/>
      <c r="LS30" s="398"/>
      <c r="LT30" s="397"/>
      <c r="LU30" s="397"/>
      <c r="LV30" s="396"/>
      <c r="LW30" s="398"/>
      <c r="LX30" s="396"/>
      <c r="LY30" s="398"/>
      <c r="LZ30" s="396"/>
      <c r="MA30" s="398"/>
      <c r="MB30" s="397"/>
      <c r="MC30" s="397"/>
      <c r="MD30" s="396"/>
      <c r="ME30" s="398"/>
      <c r="MF30" s="397"/>
      <c r="MG30" s="397"/>
      <c r="MH30" s="396"/>
      <c r="MI30" s="398"/>
      <c r="MJ30" s="396"/>
      <c r="MK30" s="398"/>
      <c r="ML30" s="396"/>
      <c r="MM30" s="398"/>
      <c r="MN30" s="397"/>
      <c r="MO30" s="397"/>
      <c r="MP30" s="396"/>
      <c r="MQ30" s="398"/>
      <c r="MR30" s="397"/>
      <c r="MS30" s="397"/>
      <c r="MT30" s="396"/>
      <c r="MU30" s="398"/>
      <c r="MV30" s="397"/>
      <c r="MW30" s="397"/>
      <c r="MX30" s="396"/>
      <c r="MY30" s="398"/>
      <c r="MZ30" s="396"/>
      <c r="NA30" s="398"/>
      <c r="NB30" s="396"/>
      <c r="NC30" s="398"/>
      <c r="ND30" s="396"/>
      <c r="NE30" s="398"/>
      <c r="NF30" s="397"/>
      <c r="NG30" s="397"/>
      <c r="NH30" s="396"/>
      <c r="NI30" s="398"/>
      <c r="NJ30" s="396"/>
      <c r="NK30" s="398"/>
      <c r="NL30" s="396"/>
      <c r="NM30" s="398"/>
      <c r="NN30" s="397"/>
      <c r="NO30" s="398"/>
      <c r="NP30" s="397"/>
      <c r="NQ30" s="397"/>
      <c r="NR30" s="396"/>
      <c r="NS30" s="398"/>
      <c r="NT30" s="397"/>
      <c r="NU30" s="398"/>
      <c r="NV30" s="397"/>
      <c r="NW30" s="398"/>
      <c r="NX30" s="397"/>
      <c r="NY30" s="397"/>
      <c r="NZ30" s="396"/>
      <c r="OA30" s="398"/>
      <c r="OB30" s="397"/>
      <c r="OC30" s="398"/>
      <c r="OD30" s="396"/>
      <c r="OE30" s="398"/>
      <c r="OF30" s="397"/>
      <c r="OG30" s="398"/>
      <c r="OH30" s="396"/>
      <c r="OI30" s="398"/>
      <c r="OJ30" s="397"/>
      <c r="OK30" s="398"/>
      <c r="OL30" s="396"/>
      <c r="OM30" s="398"/>
      <c r="ON30" s="396"/>
      <c r="OO30" s="398"/>
      <c r="OP30" s="397"/>
      <c r="OQ30" s="397"/>
      <c r="OR30" s="396"/>
      <c r="OS30" s="398"/>
      <c r="OT30" s="397"/>
      <c r="OU30" s="398"/>
      <c r="OV30" s="397"/>
      <c r="OW30" s="397"/>
      <c r="OX30" s="396"/>
      <c r="OY30" s="398"/>
      <c r="OZ30" s="397"/>
      <c r="PA30" s="398"/>
      <c r="PB30" s="396"/>
      <c r="PC30" s="398"/>
      <c r="PD30" s="397"/>
      <c r="PE30" s="398"/>
      <c r="PF30" s="396"/>
      <c r="PG30" s="398"/>
      <c r="PH30" s="397"/>
      <c r="PI30" s="398"/>
      <c r="PJ30" s="396"/>
      <c r="PK30" s="398"/>
      <c r="PL30" s="396"/>
      <c r="PM30" s="398"/>
      <c r="PN30" s="396"/>
      <c r="PO30" s="398"/>
      <c r="PP30" s="397"/>
      <c r="PQ30" s="397"/>
      <c r="PR30" s="396"/>
      <c r="PS30" s="398"/>
      <c r="PT30" s="396"/>
      <c r="PU30" s="398"/>
      <c r="PV30" s="396"/>
      <c r="PW30" s="398"/>
      <c r="PX30" s="397"/>
      <c r="PY30" s="397"/>
      <c r="PZ30" s="396"/>
      <c r="QA30" s="398"/>
      <c r="QB30" s="396"/>
      <c r="QC30" s="398"/>
      <c r="QD30" s="397"/>
      <c r="QE30" s="398"/>
      <c r="QF30" s="397"/>
      <c r="QG30" s="397"/>
      <c r="QH30" s="396"/>
      <c r="QI30" s="398"/>
      <c r="QJ30" s="397"/>
      <c r="QK30" s="397"/>
      <c r="QL30" s="396"/>
      <c r="QM30" s="398"/>
      <c r="QN30" s="396"/>
      <c r="QO30" s="398"/>
      <c r="QP30" s="396"/>
      <c r="QQ30" s="398"/>
      <c r="QR30" s="396"/>
      <c r="QS30" s="397"/>
      <c r="QT30" s="396"/>
      <c r="QU30" s="397"/>
      <c r="QV30" s="396"/>
      <c r="QW30" s="398"/>
      <c r="QX30" s="396"/>
      <c r="QY30" s="398"/>
      <c r="QZ30" s="396"/>
      <c r="RA30" s="398"/>
      <c r="RB30" s="396"/>
      <c r="RC30" s="398"/>
      <c r="RD30" s="396"/>
      <c r="RE30" s="398"/>
      <c r="RF30" s="396"/>
      <c r="RG30" s="398"/>
      <c r="RH30" s="397"/>
      <c r="RI30" s="397"/>
      <c r="RJ30" s="396"/>
      <c r="RK30" s="398"/>
      <c r="RL30" s="396"/>
      <c r="RM30" s="398"/>
      <c r="RN30" s="397"/>
      <c r="RO30" s="397"/>
      <c r="RP30" s="396"/>
      <c r="RQ30" s="398"/>
      <c r="RR30" s="397"/>
      <c r="RS30" s="397"/>
      <c r="RT30" s="396"/>
      <c r="RU30" s="398"/>
      <c r="RV30" s="396"/>
      <c r="RW30" s="398"/>
      <c r="RX30" s="396"/>
      <c r="RY30" s="398"/>
      <c r="RZ30" s="396"/>
      <c r="SA30" s="398"/>
      <c r="SB30" s="396"/>
      <c r="SC30" s="398"/>
      <c r="SD30" s="397"/>
      <c r="SE30" s="397"/>
      <c r="SF30" s="396"/>
      <c r="SG30" s="398"/>
      <c r="SH30" s="396"/>
      <c r="SI30" s="398"/>
      <c r="SJ30" s="396"/>
      <c r="SK30" s="398"/>
      <c r="SL30" s="396"/>
      <c r="SM30" s="398"/>
      <c r="SN30" s="396"/>
      <c r="SO30" s="398"/>
      <c r="SP30" s="397"/>
      <c r="SQ30" s="398"/>
      <c r="SR30" s="396"/>
      <c r="SS30" s="398"/>
      <c r="ST30" s="396"/>
      <c r="SU30" s="398"/>
      <c r="SV30" s="397"/>
      <c r="SW30" s="397"/>
      <c r="SX30" s="396"/>
      <c r="SY30" s="398"/>
      <c r="SZ30" s="397"/>
      <c r="TA30" s="397"/>
      <c r="TB30" s="396"/>
      <c r="TC30" s="398"/>
      <c r="TD30" s="397"/>
      <c r="TE30" s="397"/>
      <c r="TF30" s="396"/>
      <c r="TG30" s="398"/>
      <c r="TH30" s="397"/>
      <c r="TI30" s="398"/>
      <c r="TJ30" s="396"/>
      <c r="TK30" s="397"/>
      <c r="TL30" s="396"/>
      <c r="TM30" s="398"/>
      <c r="TN30" s="396"/>
      <c r="TO30" s="398"/>
      <c r="TP30" s="396"/>
      <c r="TQ30" s="398"/>
      <c r="TR30" s="397"/>
      <c r="TS30" s="397"/>
      <c r="TT30" s="396"/>
      <c r="TU30" s="398"/>
      <c r="TV30" s="396"/>
      <c r="TW30" s="398"/>
      <c r="TX30" s="396"/>
      <c r="TY30" s="398"/>
      <c r="TZ30" s="396"/>
      <c r="UA30" s="398"/>
      <c r="UB30" s="396"/>
      <c r="UC30" s="398"/>
      <c r="UD30" s="396"/>
      <c r="UE30" s="398"/>
      <c r="UF30" s="397"/>
      <c r="UG30" s="397"/>
      <c r="UH30" s="396"/>
      <c r="UI30" s="398"/>
      <c r="UJ30" s="397"/>
      <c r="UK30" s="397"/>
      <c r="UL30" s="396"/>
      <c r="UM30" s="398"/>
      <c r="UN30" s="396"/>
      <c r="UO30" s="398"/>
      <c r="UP30" s="396"/>
      <c r="UQ30" s="398"/>
      <c r="UR30" s="396"/>
      <c r="US30" s="398"/>
      <c r="UT30" s="396"/>
      <c r="UU30" s="398"/>
      <c r="UV30" s="396"/>
      <c r="UW30" s="398"/>
      <c r="UX30" s="396"/>
      <c r="UY30" s="398"/>
      <c r="UZ30" s="396"/>
      <c r="VA30" s="398"/>
      <c r="VB30" s="396"/>
      <c r="VC30" s="398"/>
      <c r="VD30" s="397"/>
      <c r="VE30" s="397"/>
      <c r="VF30" s="396"/>
      <c r="VG30" s="398"/>
      <c r="VH30" s="396"/>
      <c r="VI30" s="398"/>
      <c r="VJ30" s="397"/>
      <c r="VK30" s="397"/>
      <c r="VL30" s="396"/>
      <c r="VM30" s="398"/>
      <c r="VN30" s="397"/>
      <c r="VO30" s="397"/>
      <c r="VP30" s="396"/>
      <c r="VQ30" s="398"/>
      <c r="VR30" s="397"/>
      <c r="VS30" s="397"/>
      <c r="VT30" s="396"/>
      <c r="VU30" s="398"/>
      <c r="VV30" s="396"/>
      <c r="VW30" s="398"/>
      <c r="VX30" s="396"/>
      <c r="VY30" s="398"/>
      <c r="VZ30" s="396"/>
      <c r="WA30" s="398"/>
      <c r="WB30" s="396"/>
      <c r="WC30" s="398"/>
      <c r="WD30" s="396"/>
      <c r="WE30" s="398"/>
      <c r="WF30" s="396"/>
      <c r="WG30" s="398"/>
      <c r="WH30" s="396"/>
      <c r="WI30" s="397"/>
      <c r="WJ30" s="396"/>
      <c r="WK30" s="398"/>
      <c r="WL30" s="396"/>
      <c r="WM30" s="398"/>
      <c r="WN30" s="397"/>
      <c r="WO30" s="398"/>
      <c r="WP30" s="397"/>
      <c r="WQ30" s="397"/>
      <c r="WR30" s="396"/>
      <c r="WS30" s="398"/>
      <c r="WT30" s="396"/>
      <c r="WU30" s="398"/>
      <c r="WV30" s="396"/>
      <c r="WW30" s="398"/>
      <c r="WX30" s="396"/>
      <c r="WY30" s="398"/>
      <c r="WZ30" s="397"/>
      <c r="XA30" s="398"/>
      <c r="XB30" s="396"/>
      <c r="XC30" s="398"/>
      <c r="XD30" s="397"/>
      <c r="XE30" s="397"/>
      <c r="XF30" s="396"/>
      <c r="XG30" s="398"/>
      <c r="XH30" s="397"/>
      <c r="XI30" s="398"/>
      <c r="XJ30" s="397"/>
      <c r="XK30" s="397"/>
      <c r="XL30" s="396"/>
      <c r="XM30" s="398"/>
      <c r="XN30" s="396"/>
      <c r="XO30" s="398"/>
      <c r="XP30" s="396"/>
      <c r="XQ30" s="398"/>
      <c r="XR30" s="397"/>
      <c r="XS30" s="397"/>
      <c r="XT30" s="396"/>
      <c r="XU30" s="398"/>
      <c r="XV30" s="396"/>
      <c r="XW30" s="398"/>
      <c r="XX30" s="397"/>
      <c r="XY30" s="397"/>
      <c r="XZ30" s="396"/>
      <c r="YA30" s="398"/>
      <c r="YB30" s="397"/>
      <c r="YC30" s="397"/>
      <c r="YD30" s="396"/>
      <c r="YE30" s="398"/>
    </row>
    <row r="31" spans="1:655" ht="30" x14ac:dyDescent="0.2">
      <c r="A31" s="547">
        <v>2023</v>
      </c>
      <c r="B31" s="545" t="s">
        <v>1551</v>
      </c>
      <c r="C31" s="544" t="str">
        <f ca="1">CHOOSE(WEEKDAY(DATE($A31,B$43,C$42),2),"Monday","Tuesday","Wednesday","Thursday","Friday","Saturday","Sunday")</f>
        <v>Sunday</v>
      </c>
      <c r="D31" s="472" t="s">
        <v>22</v>
      </c>
      <c r="E31" s="544" t="s">
        <v>22</v>
      </c>
      <c r="F31" s="545" t="s">
        <v>1553</v>
      </c>
      <c r="G31" s="544" t="str">
        <f ca="1">CHOOSE(WEEKDAY(DATE($A31,F$43,G$42),2),"Monday","Tuesday","Wednesday","Thursday","Friday","Saturday","Sunday")</f>
        <v>Wednesday</v>
      </c>
      <c r="H31" s="545" t="s">
        <v>1554</v>
      </c>
      <c r="I31" s="544" t="str">
        <f ca="1">CHOOSE(WEEKDAY(DATE($A31,H$43,I$42),2),"Monday","Tuesday","Wednesday","Thursday","Friday","Saturday","Sunday")</f>
        <v>Sunday</v>
      </c>
      <c r="J31" s="472" t="s">
        <v>22</v>
      </c>
      <c r="K31" s="544" t="s">
        <v>22</v>
      </c>
      <c r="L31" s="472" t="s">
        <v>22</v>
      </c>
      <c r="M31" s="544" t="s">
        <v>22</v>
      </c>
      <c r="N31" s="545" t="s">
        <v>1556</v>
      </c>
      <c r="O31" s="544" t="str">
        <f ca="1">CHOOSE(WEEKDAY(DATE($A31,N$43,O$42),2),"Monday","Tuesday","Wednesday","Thursday","Friday","Saturday","Sunday")</f>
        <v>Thursday</v>
      </c>
      <c r="P31" s="545" t="s">
        <v>1561</v>
      </c>
      <c r="Q31" s="544" t="str">
        <f ca="1">CHOOSE(WEEKDAY(DATE($A31,P$43,Q$42),2),"Monday","Tuesday","Wednesday","Thursday","Friday","Saturday","Sunday")</f>
        <v>Friday</v>
      </c>
      <c r="R31" s="472" t="s">
        <v>22</v>
      </c>
      <c r="S31" s="544" t="s">
        <v>22</v>
      </c>
      <c r="T31" s="472" t="s">
        <v>22</v>
      </c>
      <c r="U31" s="544" t="s">
        <v>22</v>
      </c>
      <c r="V31" s="545" t="s">
        <v>1568</v>
      </c>
      <c r="W31" s="544" t="str">
        <f ca="1">CHOOSE(WEEKDAY(DATE($A31,V$43,W$42),2),"Monday","Tuesday","Wednesday","Thursday","Friday","Saturday","Sunday")</f>
        <v>Monday</v>
      </c>
      <c r="X31" s="472" t="s">
        <v>22</v>
      </c>
      <c r="Y31" s="544" t="s">
        <v>22</v>
      </c>
      <c r="Z31" s="545" t="s">
        <v>1585</v>
      </c>
      <c r="AA31" s="544" t="str">
        <f ca="1">CHOOSE(WEEKDAY(DATE($A31,Z$43,AA$42),2),"Monday","Tuesday","Wednesday","Thursday","Friday","Saturday","Sunday")</f>
        <v>Wednesday</v>
      </c>
      <c r="AB31" s="472" t="s">
        <v>22</v>
      </c>
      <c r="AC31" s="544" t="s">
        <v>22</v>
      </c>
      <c r="AD31" s="545" t="s">
        <v>1565</v>
      </c>
      <c r="AE31" s="544" t="str">
        <f ca="1">CHOOSE(WEEKDAY(DATE($A31,AD$43,AE$42),2),"Monday","Tuesday","Wednesday","Thursday","Friday","Saturday","Sunday")</f>
        <v>Friday</v>
      </c>
      <c r="AF31" s="472" t="s">
        <v>22</v>
      </c>
      <c r="AG31" s="544" t="s">
        <v>22</v>
      </c>
      <c r="AH31" s="472" t="s">
        <v>22</v>
      </c>
      <c r="AI31" s="544" t="s">
        <v>22</v>
      </c>
      <c r="AJ31" s="472" t="s">
        <v>22</v>
      </c>
      <c r="AK31" s="544" t="s">
        <v>22</v>
      </c>
      <c r="AL31" s="545" t="s">
        <v>1569</v>
      </c>
      <c r="AM31" s="544" t="str">
        <f ca="1">CHOOSE(WEEKDAY(DATE($A31,AL$43,AM$42),2),"Monday","Tuesday","Wednesday","Thursday","Friday","Saturday","Sunday")</f>
        <v>Tuesday</v>
      </c>
      <c r="AN31" s="472" t="s">
        <v>22</v>
      </c>
      <c r="AO31" s="544" t="s">
        <v>22</v>
      </c>
      <c r="AP31" s="545" t="s">
        <v>1572</v>
      </c>
      <c r="AQ31" s="473" t="str">
        <f ca="1">CHOOSE(WEEKDAY(DATE($A31,AP$43,AQ$42),2),"Monday","Tuesday","Wednesday","Thursday","Friday","Saturday","Sunday")</f>
        <v>Thursday</v>
      </c>
      <c r="AR31" s="472" t="s">
        <v>22</v>
      </c>
      <c r="AS31" s="544" t="s">
        <v>22</v>
      </c>
      <c r="AT31" s="545" t="s">
        <v>1574</v>
      </c>
      <c r="AU31" s="544" t="str">
        <f ca="1">CHOOSE(WEEKDAY(DATE($A31,AT$43,AU$42),2),"Monday","Tuesday","Wednesday","Thursday","Friday","Saturday","Sunday")</f>
        <v>Saturday</v>
      </c>
      <c r="AV31" s="472" t="s">
        <v>22</v>
      </c>
      <c r="AW31" s="544" t="s">
        <v>22</v>
      </c>
      <c r="AX31" s="472" t="s">
        <v>22</v>
      </c>
      <c r="AY31" s="544" t="s">
        <v>22</v>
      </c>
      <c r="AZ31" s="545" t="s">
        <v>1579</v>
      </c>
      <c r="BA31" s="544" t="str">
        <f ca="1">CHOOSE(WEEKDAY(DATE($A31,AZ$43,BA$42),2),"Monday","Tuesday","Wednesday","Thursday","Friday","Saturday","Sunday")</f>
        <v>Wednesday</v>
      </c>
      <c r="BB31" s="545" t="s">
        <v>1578</v>
      </c>
      <c r="BC31" s="544" t="str">
        <f ca="1">CHOOSE(WEEKDAY(DATE($A31,BB$43,BC$42),2),"Monday","Tuesday","Wednesday","Thursday","Friday","Saturday","Sunday")</f>
        <v>Thursday</v>
      </c>
      <c r="BD31" s="472" t="s">
        <v>22</v>
      </c>
      <c r="BE31" s="544" t="s">
        <v>22</v>
      </c>
      <c r="BF31" s="545" t="s">
        <v>1582</v>
      </c>
      <c r="BG31" s="544" t="str">
        <f ca="1">CHOOSE(WEEKDAY(DATE($A31,BF$43,BG$42),2),"Monday","Tuesday","Wednesday","Thursday","Friday","Saturday","Sunday")</f>
        <v>Saturday</v>
      </c>
      <c r="BH31" s="472" t="s">
        <v>22</v>
      </c>
      <c r="BI31" s="544" t="s">
        <v>22</v>
      </c>
      <c r="BJ31" s="472" t="s">
        <v>22</v>
      </c>
      <c r="BK31" s="544" t="s">
        <v>22</v>
      </c>
      <c r="BL31" s="545" t="s">
        <v>1715</v>
      </c>
      <c r="BM31" s="544" t="str">
        <f ca="1">CHOOSE(WEEKDAY(DATE($A31,BL$43,BM$42),2),"Monday","Tuesday","Wednesday","Thursday","Friday","Saturday","Sunday")</f>
        <v>Tuesday</v>
      </c>
      <c r="BN31" s="545" t="s">
        <v>1589</v>
      </c>
      <c r="BO31" s="544" t="str">
        <f ca="1">CHOOSE(WEEKDAY(DATE($A31,BN$43,BO$42),2),"Monday","Tuesday","Wednesday","Thursday","Friday","Saturday","Sunday")</f>
        <v>Wednesday</v>
      </c>
      <c r="BP31" s="472" t="s">
        <v>22</v>
      </c>
      <c r="BQ31" s="544" t="s">
        <v>22</v>
      </c>
      <c r="BR31" s="545" t="s">
        <v>1592</v>
      </c>
      <c r="BS31" s="544" t="str">
        <f ca="1">CHOOSE(WEEKDAY(DATE($A31,BR$43,BS$42),2),"Monday","Tuesday","Wednesday","Thursday","Friday","Saturday","Sunday")</f>
        <v>Friday</v>
      </c>
      <c r="BT31" s="545" t="s">
        <v>2052</v>
      </c>
      <c r="BU31" s="544" t="str">
        <f ca="1">CHOOSE(WEEKDAY(DATE($A31,BT$43,BU$42),2),"Monday","Tuesday","Wednesday","Thursday","Friday","Saturday","Sunday")</f>
        <v>Saturday</v>
      </c>
      <c r="BV31" s="472" t="s">
        <v>22</v>
      </c>
      <c r="BW31" s="544" t="s">
        <v>22</v>
      </c>
      <c r="BX31" s="472" t="s">
        <v>22</v>
      </c>
      <c r="BY31" s="544" t="s">
        <v>22</v>
      </c>
      <c r="BZ31" s="545" t="s">
        <v>1595</v>
      </c>
      <c r="CA31" s="544" t="str">
        <f ca="1">CHOOSE(WEEKDAY(DATE($A31,BZ$43,CA$42),2),"Monday","Tuesday","Wednesday","Thursday","Friday","Saturday","Sunday")</f>
        <v>Tuesday</v>
      </c>
      <c r="CB31" s="545" t="s">
        <v>1596</v>
      </c>
      <c r="CC31" s="544" t="str">
        <f ca="1">CHOOSE(WEEKDAY(DATE($A31,CB$43,CC$42),2),"Monday","Tuesday","Wednesday","Thursday","Friday","Saturday","Sunday")</f>
        <v>Wednesday</v>
      </c>
      <c r="CD31" s="545" t="s">
        <v>1599</v>
      </c>
      <c r="CE31" s="544" t="str">
        <f ca="1">CHOOSE(WEEKDAY(DATE($A31,CD$43,CE$42),2),"Monday","Tuesday","Wednesday","Thursday","Friday","Saturday","Sunday")</f>
        <v>Thursday</v>
      </c>
      <c r="CF31" s="472" t="s">
        <v>22</v>
      </c>
      <c r="CG31" s="544" t="s">
        <v>22</v>
      </c>
      <c r="CH31" s="472" t="s">
        <v>22</v>
      </c>
      <c r="CI31" s="544" t="s">
        <v>22</v>
      </c>
      <c r="CJ31" s="545" t="s">
        <v>1605</v>
      </c>
      <c r="CK31" s="544" t="str">
        <f ca="1">CHOOSE(WEEKDAY(DATE($A31,CJ$43,CK$42),2),"Monday","Tuesday","Wednesday","Thursday","Friday","Saturday","Sunday")</f>
        <v>Sunday</v>
      </c>
      <c r="CL31" s="472" t="s">
        <v>22</v>
      </c>
      <c r="CM31" s="544" t="s">
        <v>22</v>
      </c>
      <c r="CN31" s="545" t="s">
        <v>1603</v>
      </c>
      <c r="CO31" s="544" t="str">
        <f ca="1">CHOOSE(WEEKDAY(DATE($A31,CN$43,CO$42),2),"Monday","Tuesday","Wednesday","Thursday","Friday","Saturday","Sunday")</f>
        <v>Tuesday</v>
      </c>
      <c r="CP31" s="343" t="s">
        <v>1612</v>
      </c>
      <c r="CQ31" s="544" t="str">
        <f ca="1">CHOOSE(WEEKDAY(DATE($A31,CP$43,CQ$42),2),"Monday","Tuesday","Wednesday","Thursday","Friday","Saturday","Sunday")</f>
        <v>Wednesday</v>
      </c>
      <c r="CR31" s="472" t="s">
        <v>22</v>
      </c>
      <c r="CS31" s="544" t="s">
        <v>22</v>
      </c>
      <c r="CT31" s="472" t="s">
        <v>22</v>
      </c>
      <c r="CU31" s="544" t="s">
        <v>22</v>
      </c>
      <c r="CV31" s="545" t="s">
        <v>1617</v>
      </c>
      <c r="CW31" s="544" t="str">
        <f ca="1">CHOOSE(WEEKDAY(DATE($A31,CV$43,CW$42),2),"Monday","Tuesday","Wednesday","Thursday","Friday","Saturday","Sunday")</f>
        <v>Saturday</v>
      </c>
      <c r="CX31" s="472" t="s">
        <v>22</v>
      </c>
      <c r="CY31" s="544" t="s">
        <v>22</v>
      </c>
      <c r="CZ31" s="472" t="s">
        <v>22</v>
      </c>
      <c r="DA31" s="544" t="s">
        <v>22</v>
      </c>
      <c r="DB31" s="545" t="s">
        <v>1621</v>
      </c>
      <c r="DC31" s="544" t="str">
        <f ca="1">CHOOSE(WEEKDAY(DATE($A31,DB$43,DC$42),2),"Monday","Tuesday","Wednesday","Thursday","Friday","Saturday","Sunday")</f>
        <v>Wednesday</v>
      </c>
      <c r="DD31" s="472" t="s">
        <v>22</v>
      </c>
      <c r="DE31" s="544" t="s">
        <v>22</v>
      </c>
      <c r="DF31" s="472" t="s">
        <v>22</v>
      </c>
      <c r="DG31" s="544" t="s">
        <v>22</v>
      </c>
      <c r="DH31" s="472" t="s">
        <v>22</v>
      </c>
      <c r="DI31" s="544" t="s">
        <v>22</v>
      </c>
      <c r="DJ31" s="545" t="s">
        <v>1623</v>
      </c>
      <c r="DK31" s="544" t="str">
        <f ca="1">CHOOSE(WEEKDAY(DATE($A31,DJ$43,DK$42),2),"Monday","Tuesday","Wednesday","Thursday","Friday","Saturday","Sunday")</f>
        <v>Sunday</v>
      </c>
      <c r="DL31" s="343" t="s">
        <v>1626</v>
      </c>
      <c r="DM31" s="544" t="str">
        <f ca="1">CHOOSE(WEEKDAY(DATE($A31,DL$43,DM$42),2),"Monday","Tuesday","Wednesday","Thursday","Friday","Saturday","Sunday")</f>
        <v>Monday</v>
      </c>
      <c r="DN31" s="472" t="s">
        <v>22</v>
      </c>
      <c r="DO31" s="544" t="s">
        <v>22</v>
      </c>
      <c r="DP31" s="545" t="s">
        <v>1627</v>
      </c>
      <c r="DQ31" s="544" t="str">
        <f ca="1">CHOOSE(WEEKDAY(DATE($A31,DP$43,DQ$42),2),"Monday","Tuesday","Wednesday","Thursday","Friday","Saturday","Sunday")</f>
        <v>Wednesday</v>
      </c>
      <c r="DR31" s="545" t="s">
        <v>1630</v>
      </c>
      <c r="DS31" s="544" t="str">
        <f ca="1">CHOOSE(WEEKDAY(DATE($A31,DR$43,DS$42),2),"Monday","Tuesday","Wednesday","Thursday","Friday","Saturday","Sunday")</f>
        <v>Thursday</v>
      </c>
      <c r="DT31" s="472" t="s">
        <v>22</v>
      </c>
      <c r="DU31" s="544" t="s">
        <v>22</v>
      </c>
      <c r="DV31" s="472" t="s">
        <v>22</v>
      </c>
      <c r="DW31" s="544" t="s">
        <v>22</v>
      </c>
      <c r="DX31" s="545" t="s">
        <v>1636</v>
      </c>
      <c r="DY31" s="544" t="str">
        <f ca="1">CHOOSE(WEEKDAY(DATE($A31,DX$43,DY$42),2),"Monday","Tuesday","Wednesday","Thursday","Friday","Saturday","Sunday")</f>
        <v>Monday</v>
      </c>
      <c r="DZ31" s="472" t="s">
        <v>22</v>
      </c>
      <c r="EA31" s="544" t="s">
        <v>22</v>
      </c>
      <c r="EB31" s="472" t="s">
        <v>22</v>
      </c>
      <c r="EC31" s="544" t="s">
        <v>22</v>
      </c>
      <c r="ED31" s="545" t="s">
        <v>1637</v>
      </c>
      <c r="EE31" s="544" t="str">
        <f ca="1">CHOOSE(WEEKDAY(DATE($A31,ED$43,EE$42),2),"Monday","Tuesday","Wednesday","Thursday","Friday","Saturday","Sunday")</f>
        <v>Thursday</v>
      </c>
      <c r="EF31" s="545" t="s">
        <v>1638</v>
      </c>
      <c r="EG31" s="544" t="str">
        <f ca="1">CHOOSE(WEEKDAY(DATE($A31,EF$43,EG$42),2),"Monday","Tuesday","Wednesday","Thursday","Friday","Saturday","Sunday")</f>
        <v>Friday</v>
      </c>
      <c r="EH31" s="472" t="s">
        <v>22</v>
      </c>
      <c r="EI31" s="544" t="s">
        <v>22</v>
      </c>
      <c r="EJ31" s="472" t="s">
        <v>22</v>
      </c>
      <c r="EK31" s="544" t="s">
        <v>22</v>
      </c>
      <c r="EL31" s="545" t="s">
        <v>1640</v>
      </c>
      <c r="EM31" s="544" t="str">
        <f ca="1">CHOOSE(WEEKDAY(DATE($A31,EL$43,EM$42),2),"Monday","Tuesday","Wednesday","Thursday","Friday","Saturday","Sunday")</f>
        <v>Monday</v>
      </c>
      <c r="EN31" s="545" t="s">
        <v>1646</v>
      </c>
      <c r="EO31" s="544" t="str">
        <f ca="1">CHOOSE(WEEKDAY(DATE($A31,EN$43,EO$42),2),"Monday","Tuesday","Wednesday","Thursday","Friday","Saturday","Sunday")</f>
        <v>Tuesday</v>
      </c>
      <c r="EP31" s="472" t="s">
        <v>22</v>
      </c>
      <c r="EQ31" s="544" t="s">
        <v>22</v>
      </c>
      <c r="ER31" s="545" t="s">
        <v>1648</v>
      </c>
      <c r="ES31" s="544" t="str">
        <f ca="1">CHOOSE(WEEKDAY(DATE($A31,ER$43,ES$42),2),"Monday","Tuesday","Wednesday","Thursday","Friday","Saturday","Sunday")</f>
        <v>Thursday</v>
      </c>
      <c r="ET31" s="472" t="s">
        <v>22</v>
      </c>
      <c r="EU31" s="544" t="s">
        <v>22</v>
      </c>
      <c r="EV31" s="472" t="s">
        <v>22</v>
      </c>
      <c r="EW31" s="544" t="s">
        <v>22</v>
      </c>
      <c r="EX31" s="472" t="s">
        <v>22</v>
      </c>
      <c r="EY31" s="544" t="s">
        <v>22</v>
      </c>
      <c r="EZ31" s="545" t="s">
        <v>1653</v>
      </c>
      <c r="FA31" s="544" t="str">
        <f ca="1">CHOOSE(WEEKDAY(DATE($A31,EZ$43,FA$42),2),"Monday","Tuesday","Wednesday","Thursday","Friday","Saturday","Sunday")</f>
        <v>Monday</v>
      </c>
      <c r="FB31" s="343" t="s">
        <v>1656</v>
      </c>
      <c r="FC31" s="544" t="str">
        <f ca="1">CHOOSE(WEEKDAY(DATE($A31,FB$43,FC$42),2),"Monday","Tuesday","Wednesday","Thursday","Friday","Saturday","Sunday")</f>
        <v>Tuesday</v>
      </c>
      <c r="FD31" s="545" t="s">
        <v>2036</v>
      </c>
      <c r="FE31" s="544" t="str">
        <f ca="1">CHOOSE(WEEKDAY(DATE($A31,FD$43,FE$42),2),"Monday","Tuesday","Wednesday","Thursday","Friday","Saturday","Sunday")</f>
        <v>Wednesday</v>
      </c>
      <c r="FF31" s="545" t="s">
        <v>1658</v>
      </c>
      <c r="FG31" s="544" t="str">
        <f ca="1">CHOOSE(WEEKDAY(DATE($A31,FF$43,FG$42),2),"Monday","Tuesday","Wednesday","Thursday","Friday","Saturday","Sunday")</f>
        <v>Thursday</v>
      </c>
      <c r="FH31" s="343" t="s">
        <v>1660</v>
      </c>
      <c r="FI31" s="544" t="str">
        <f ca="1">CHOOSE(WEEKDAY(DATE($A31,FH$43,FI$42),2),"Monday","Tuesday","Wednesday","Thursday","Friday","Saturday","Sunday")</f>
        <v>Friday</v>
      </c>
      <c r="FJ31" s="545" t="s">
        <v>1663</v>
      </c>
      <c r="FK31" s="544" t="str">
        <f ca="1">CHOOSE(WEEKDAY(DATE($A31,FJ$43,FK$42),2),"Monday","Tuesday","Wednesday","Thursday","Friday","Saturday","Sunday")</f>
        <v>Saturday</v>
      </c>
      <c r="FL31" s="472" t="s">
        <v>22</v>
      </c>
      <c r="FM31" s="544" t="s">
        <v>22</v>
      </c>
      <c r="FN31" s="472" t="s">
        <v>22</v>
      </c>
      <c r="FO31" s="544" t="s">
        <v>22</v>
      </c>
      <c r="FP31" s="545" t="s">
        <v>1667</v>
      </c>
      <c r="FQ31" s="544" t="str">
        <f ca="1">CHOOSE(WEEKDAY(DATE($A31,FP$43,FQ$42),2),"Monday","Tuesday","Wednesday","Thursday","Friday","Saturday","Sunday")</f>
        <v>Wednesday</v>
      </c>
      <c r="FR31" s="472" t="s">
        <v>22</v>
      </c>
      <c r="FS31" s="544" t="s">
        <v>22</v>
      </c>
      <c r="FT31" s="472" t="s">
        <v>22</v>
      </c>
      <c r="FU31" s="544" t="s">
        <v>22</v>
      </c>
      <c r="FV31" s="472" t="s">
        <v>22</v>
      </c>
      <c r="FW31" s="544" t="s">
        <v>22</v>
      </c>
      <c r="FX31" s="545" t="s">
        <v>1671</v>
      </c>
      <c r="FY31" s="544" t="str">
        <f ca="1">CHOOSE(WEEKDAY(DATE($A31,FX$43,FY$42),2),"Monday","Tuesday","Wednesday","Thursday","Friday","Saturday","Sunday")</f>
        <v>Sunday</v>
      </c>
      <c r="FZ31" s="472" t="s">
        <v>22</v>
      </c>
      <c r="GA31" s="544" t="s">
        <v>22</v>
      </c>
      <c r="GB31" s="545" t="s">
        <v>2015</v>
      </c>
      <c r="GC31" s="544" t="str">
        <f ca="1">CHOOSE(WEEKDAY(DATE($A31,GB$43,GC$42),2),"Monday","Tuesday","Wednesday","Thursday","Friday","Saturday","Sunday")</f>
        <v>Wednesday</v>
      </c>
      <c r="GD31" s="343" t="s">
        <v>2053</v>
      </c>
      <c r="GE31" s="544" t="str">
        <f ca="1">CHOOSE(WEEKDAY(DATE($A31,GD$43,GE$42),2),"Monday","Tuesday","Wednesday","Thursday","Friday","Saturday","Sunday")</f>
        <v>Thursday</v>
      </c>
      <c r="GF31" s="472" t="s">
        <v>22</v>
      </c>
      <c r="GG31" s="544" t="s">
        <v>22</v>
      </c>
      <c r="GH31" s="545" t="s">
        <v>1678</v>
      </c>
      <c r="GI31" s="544" t="str">
        <f ca="1">CHOOSE(WEEKDAY(DATE($A31,GH$43,GI$42),2),"Monday","Tuesday","Wednesday","Thursday","Friday","Saturday","Sunday")</f>
        <v>Monday</v>
      </c>
      <c r="GJ31" s="545" t="s">
        <v>1681</v>
      </c>
      <c r="GK31" s="544" t="str">
        <f ca="1">CHOOSE(WEEKDAY(DATE($A31,GJ$43,GK$42),2),"Monday","Tuesday","Wednesday","Thursday","Friday","Saturday","Sunday")</f>
        <v>Tuesday</v>
      </c>
      <c r="GL31" s="545" t="s">
        <v>1683</v>
      </c>
      <c r="GM31" s="544" t="str">
        <f ca="1">CHOOSE(WEEKDAY(DATE($A31,GL$43,GM$42),2),"Monday","Tuesday","Wednesday","Thursday","Friday","Saturday","Sunday")</f>
        <v>Thursday</v>
      </c>
      <c r="GN31" s="472" t="s">
        <v>22</v>
      </c>
      <c r="GO31" s="544" t="s">
        <v>22</v>
      </c>
      <c r="GP31" s="472" t="s">
        <v>22</v>
      </c>
      <c r="GQ31" s="544" t="s">
        <v>22</v>
      </c>
      <c r="GR31" s="545" t="s">
        <v>2054</v>
      </c>
      <c r="GS31" s="544" t="str">
        <f ca="1">CHOOSE(WEEKDAY(DATE($A31,GR$43,GS$42),2),"Monday","Tuesday","Wednesday","Thursday","Friday","Saturday","Sunday")</f>
        <v>Monday</v>
      </c>
      <c r="GT31" s="343" t="s">
        <v>1690</v>
      </c>
      <c r="GU31" s="544" t="str">
        <f ca="1">CHOOSE(WEEKDAY(DATE($A31,GT$43,GU$42),2),"Monday","Tuesday","Wednesday","Thursday","Friday","Saturday","Sunday")</f>
        <v>Tuesday</v>
      </c>
      <c r="GV31" s="472" t="s">
        <v>22</v>
      </c>
      <c r="GW31" s="544" t="s">
        <v>22</v>
      </c>
      <c r="GX31" s="545" t="s">
        <v>1691</v>
      </c>
      <c r="GY31" s="544" t="str">
        <f ca="1">CHOOSE(WEEKDAY(DATE($A31,GX$43,GY$42),2),"Monday","Tuesday","Wednesday","Thursday","Friday","Saturday","Sunday")</f>
        <v>Thursday</v>
      </c>
      <c r="GZ31" s="343" t="s">
        <v>1711</v>
      </c>
      <c r="HA31" s="544" t="str">
        <f ca="1">CHOOSE(WEEKDAY(DATE($A31,GZ$43,HA$42),2),"Monday","Tuesday","Wednesday","Thursday","Friday","Saturday","Sunday")</f>
        <v>Friday</v>
      </c>
      <c r="HB31" s="472" t="s">
        <v>22</v>
      </c>
      <c r="HC31" s="544" t="s">
        <v>22</v>
      </c>
      <c r="HD31" s="472" t="s">
        <v>22</v>
      </c>
      <c r="HE31" s="544" t="s">
        <v>22</v>
      </c>
      <c r="HF31" s="545" t="s">
        <v>1697</v>
      </c>
      <c r="HG31" s="544" t="str">
        <f ca="1">CHOOSE(WEEKDAY(DATE($A31,HF$43,HG$42),2),"Monday","Tuesday","Wednesday","Thursday","Friday","Saturday","Sunday")</f>
        <v>Monday</v>
      </c>
      <c r="HH31" s="472" t="s">
        <v>22</v>
      </c>
      <c r="HI31" s="544" t="s">
        <v>22</v>
      </c>
      <c r="HJ31" s="545" t="s">
        <v>1700</v>
      </c>
      <c r="HK31" s="544" t="str">
        <f ca="1">CHOOSE(WEEKDAY(DATE($A31,HJ$43,HK$42),2),"Monday","Tuesday","Wednesday","Thursday","Friday","Saturday","Sunday")</f>
        <v>Wednesday</v>
      </c>
      <c r="HL31" s="545" t="s">
        <v>1706</v>
      </c>
      <c r="HM31" s="544" t="str">
        <f ca="1">CHOOSE(WEEKDAY(DATE($A31,HL$43,HM$42),2),"Monday","Tuesday","Wednesday","Thursday","Friday","Saturday","Sunday")</f>
        <v>Thursday</v>
      </c>
      <c r="HN31" s="343" t="s">
        <v>1711</v>
      </c>
      <c r="HO31" s="544" t="str">
        <f ca="1">CHOOSE(WEEKDAY(DATE($A31,HN$43,HO$42),2),"Monday","Tuesday","Wednesday","Thursday","Friday","Saturday","Sunday")</f>
        <v>Friday</v>
      </c>
      <c r="HP31" s="472" t="s">
        <v>22</v>
      </c>
      <c r="HQ31" s="544" t="s">
        <v>22</v>
      </c>
      <c r="HR31" s="545" t="s">
        <v>1709</v>
      </c>
      <c r="HS31" s="544" t="str">
        <f ca="1">CHOOSE(WEEKDAY(DATE($A31,HR$43,HS$42),2),"Monday","Tuesday","Wednesday","Thursday","Friday","Saturday","Sunday")</f>
        <v>Sunday</v>
      </c>
      <c r="HT31" s="472" t="s">
        <v>22</v>
      </c>
      <c r="HU31" s="544" t="s">
        <v>22</v>
      </c>
      <c r="HV31" s="472" t="s">
        <v>22</v>
      </c>
      <c r="HW31" s="544" t="s">
        <v>22</v>
      </c>
      <c r="HX31" s="545" t="s">
        <v>1713</v>
      </c>
      <c r="HY31" s="544" t="str">
        <f ca="1">CHOOSE(WEEKDAY(DATE($A31,HX$43,HY$42),2),"Monday","Tuesday","Wednesday","Thursday","Friday","Saturday","Sunday")</f>
        <v>Wednesday</v>
      </c>
      <c r="HZ31" s="472" t="s">
        <v>22</v>
      </c>
      <c r="IA31" s="544" t="s">
        <v>22</v>
      </c>
      <c r="IB31" s="545" t="s">
        <v>1714</v>
      </c>
      <c r="IC31" s="544" t="str">
        <f ca="1">CHOOSE(WEEKDAY(DATE($A31,IB$43,IC$42),2),"Monday","Tuesday","Wednesday","Thursday","Friday","Saturday","Sunday")</f>
        <v>Saturday</v>
      </c>
      <c r="ID31" s="472" t="s">
        <v>22</v>
      </c>
      <c r="IE31" s="544" t="s">
        <v>22</v>
      </c>
      <c r="IF31" s="472" t="s">
        <v>22</v>
      </c>
      <c r="IG31" s="544" t="s">
        <v>22</v>
      </c>
      <c r="IH31" s="472" t="s">
        <v>22</v>
      </c>
      <c r="II31" s="544" t="s">
        <v>22</v>
      </c>
      <c r="IJ31" s="472" t="s">
        <v>22</v>
      </c>
      <c r="IK31" s="544" t="s">
        <v>22</v>
      </c>
      <c r="IL31" s="545" t="s">
        <v>1721</v>
      </c>
      <c r="IM31" s="544" t="str">
        <f ca="1">CHOOSE(WEEKDAY(DATE($A31,IL$43,IM$42),2),"Monday","Tuesday","Wednesday","Thursday","Friday","Saturday","Sunday")</f>
        <v>Thursday</v>
      </c>
      <c r="IN31" s="343" t="s">
        <v>1722</v>
      </c>
      <c r="IO31" s="544" t="str">
        <f ca="1">CHOOSE(WEEKDAY(DATE($A31,IN$43,IO$42),2),"Monday","Tuesday","Wednesday","Thursday","Friday","Saturday","Sunday")</f>
        <v>Friday</v>
      </c>
      <c r="IP31" s="472" t="s">
        <v>22</v>
      </c>
      <c r="IQ31" s="544" t="s">
        <v>22</v>
      </c>
      <c r="IR31" s="472" t="s">
        <v>22</v>
      </c>
      <c r="IS31" s="544" t="s">
        <v>22</v>
      </c>
      <c r="IT31" s="545" t="s">
        <v>1727</v>
      </c>
      <c r="IU31" s="544" t="str">
        <f ca="1">CHOOSE(WEEKDAY(DATE($A31,IT$43,IU$42),2),"Monday","Tuesday","Wednesday","Thursday","Friday","Saturday","Sunday")</f>
        <v>Tuesday</v>
      </c>
      <c r="IV31" s="472" t="s">
        <v>22</v>
      </c>
      <c r="IW31" s="544" t="s">
        <v>22</v>
      </c>
      <c r="IX31" s="472" t="s">
        <v>22</v>
      </c>
      <c r="IY31" s="544" t="s">
        <v>22</v>
      </c>
      <c r="IZ31" s="343" t="s">
        <v>1727</v>
      </c>
      <c r="JA31" s="544" t="str">
        <f ca="1">CHOOSE(WEEKDAY(DATE($A31,IZ$43,JA$42),2),"Monday","Tuesday","Wednesday","Thursday","Friday","Saturday","Sunday")</f>
        <v>Friday</v>
      </c>
      <c r="JB31" s="545" t="s">
        <v>1736</v>
      </c>
      <c r="JC31" s="544" t="str">
        <f ca="1">CHOOSE(WEEKDAY(DATE($A31,JB$43,JC$42),2),"Monday","Tuesday","Wednesday","Thursday","Friday","Saturday","Sunday")</f>
        <v>Saturday</v>
      </c>
      <c r="JD31" s="472" t="s">
        <v>22</v>
      </c>
      <c r="JE31" s="544" t="s">
        <v>22</v>
      </c>
      <c r="JF31" s="472" t="s">
        <v>22</v>
      </c>
      <c r="JG31" s="544" t="s">
        <v>22</v>
      </c>
      <c r="JH31" s="472" t="s">
        <v>22</v>
      </c>
      <c r="JI31" s="544" t="s">
        <v>22</v>
      </c>
      <c r="JJ31" s="343" t="s">
        <v>1744</v>
      </c>
      <c r="JK31" s="544" t="str">
        <f ca="1">CHOOSE(WEEKDAY(DATE($A31,JJ$43,JK$42),2),"Monday","Tuesday","Wednesday","Thursday","Friday","Saturday","Sunday")</f>
        <v>Thursday</v>
      </c>
      <c r="JL31" s="343" t="s">
        <v>2006</v>
      </c>
      <c r="JM31" s="544" t="str">
        <f ca="1">CHOOSE(WEEKDAY(DATE($A31,JL$43,JM$42),2),"Monday","Tuesday","Wednesday","Thursday","Friday","Saturday","Sunday")</f>
        <v>Friday</v>
      </c>
      <c r="JN31" s="472" t="s">
        <v>22</v>
      </c>
      <c r="JO31" s="544" t="s">
        <v>22</v>
      </c>
      <c r="JP31" s="472" t="s">
        <v>22</v>
      </c>
      <c r="JQ31" s="544" t="s">
        <v>22</v>
      </c>
      <c r="JR31" s="343" t="s">
        <v>2006</v>
      </c>
      <c r="JS31" s="544" t="str">
        <f ca="1">CHOOSE(WEEKDAY(DATE($A31,JR$43,JS$42),2),"Monday","Tuesday","Wednesday","Thursday","Friday","Saturday","Sunday")</f>
        <v>Monday</v>
      </c>
      <c r="JT31" s="545" t="s">
        <v>2006</v>
      </c>
      <c r="JU31" s="544" t="str">
        <f ca="1">CHOOSE(WEEKDAY(DATE($A31,JT$43,JU$42),2),"Monday","Tuesday","Wednesday","Thursday","Friday","Saturday","Sunday")</f>
        <v>Tuesday</v>
      </c>
      <c r="JV31" s="472" t="s">
        <v>22</v>
      </c>
      <c r="JW31" s="544" t="s">
        <v>22</v>
      </c>
      <c r="JX31" s="343" t="s">
        <v>1751</v>
      </c>
      <c r="JY31" s="544" t="str">
        <f ca="1">CHOOSE(WEEKDAY(DATE($A31,JX$43,JY$42),2),"Monday","Tuesday","Wednesday","Thursday","Friday","Saturday","Sunday")</f>
        <v>Friday</v>
      </c>
      <c r="JZ31" s="545" t="s">
        <v>1752</v>
      </c>
      <c r="KA31" s="544" t="str">
        <f ca="1">CHOOSE(WEEKDAY(DATE($A31,JZ$43,KA$42),2),"Monday","Tuesday","Wednesday","Thursday","Friday","Saturday","Sunday")</f>
        <v>Saturday</v>
      </c>
      <c r="KB31" s="472" t="s">
        <v>22</v>
      </c>
      <c r="KC31" s="544" t="s">
        <v>22</v>
      </c>
      <c r="KD31" s="545" t="s">
        <v>1754</v>
      </c>
      <c r="KE31" s="544" t="str">
        <f ca="1">CHOOSE(WEEKDAY(DATE($A31,KD$43,KE$42),2),"Monday","Tuesday","Wednesday","Thursday","Friday","Saturday","Sunday")</f>
        <v>Monday</v>
      </c>
      <c r="KF31" s="472" t="s">
        <v>22</v>
      </c>
      <c r="KG31" s="544" t="s">
        <v>22</v>
      </c>
      <c r="KH31" s="472" t="s">
        <v>22</v>
      </c>
      <c r="KI31" s="544" t="s">
        <v>22</v>
      </c>
      <c r="KJ31" s="343" t="s">
        <v>1757</v>
      </c>
      <c r="KK31" s="544" t="str">
        <f ca="1">CHOOSE(WEEKDAY(DATE($A31,KJ$43,KK$42),2),"Monday","Tuesday","Wednesday","Thursday","Friday","Saturday","Sunday")</f>
        <v>Thursday</v>
      </c>
      <c r="KL31" s="545" t="s">
        <v>1760</v>
      </c>
      <c r="KM31" s="544" t="str">
        <f ca="1">CHOOSE(WEEKDAY(DATE($A31,KL$43,KM$42),2),"Monday","Tuesday","Wednesday","Thursday","Friday","Saturday","Sunday")</f>
        <v>Friday</v>
      </c>
      <c r="KN31" s="472" t="s">
        <v>22</v>
      </c>
      <c r="KO31" s="544" t="s">
        <v>22</v>
      </c>
      <c r="KP31" s="545" t="s">
        <v>1764</v>
      </c>
      <c r="KQ31" s="544" t="str">
        <f ca="1">CHOOSE(WEEKDAY(DATE($A31,KP$43,KQ$42),2),"Monday","Tuesday","Wednesday","Thursday","Friday","Saturday","Sunday")</f>
        <v>Monday</v>
      </c>
      <c r="KR31" s="472" t="s">
        <v>22</v>
      </c>
      <c r="KS31" s="544" t="s">
        <v>22</v>
      </c>
      <c r="KT31" s="472" t="s">
        <v>22</v>
      </c>
      <c r="KU31" s="544" t="s">
        <v>22</v>
      </c>
      <c r="KV31" s="343" t="s">
        <v>1770</v>
      </c>
      <c r="KW31" s="544" t="str">
        <f ca="1">CHOOSE(WEEKDAY(DATE($A31,KV$43,KW$42),2),"Monday","Tuesday","Wednesday","Thursday","Friday","Saturday","Sunday")</f>
        <v>Friday</v>
      </c>
      <c r="KX31" s="472" t="s">
        <v>22</v>
      </c>
      <c r="KY31" s="544" t="s">
        <v>22</v>
      </c>
      <c r="KZ31" s="472" t="s">
        <v>22</v>
      </c>
      <c r="LA31" s="544" t="s">
        <v>22</v>
      </c>
      <c r="LB31" s="472" t="s">
        <v>22</v>
      </c>
      <c r="LC31" s="544" t="s">
        <v>22</v>
      </c>
      <c r="LD31" s="343" t="s">
        <v>2055</v>
      </c>
      <c r="LE31" s="544" t="str">
        <f ca="1">CHOOSE(WEEKDAY(DATE($A31,LD$43,LE$42),2),"Monday","Tuesday","Wednesday","Thursday","Friday","Saturday","Sunday")</f>
        <v>Tuesday</v>
      </c>
      <c r="LF31" s="472" t="s">
        <v>22</v>
      </c>
      <c r="LG31" s="544" t="s">
        <v>22</v>
      </c>
      <c r="LH31" s="343" t="s">
        <v>1784</v>
      </c>
      <c r="LI31" s="544" t="str">
        <f ca="1">CHOOSE(WEEKDAY(DATE($A31,LH$43,LI$42),2),"Monday","Tuesday","Wednesday","Thursday","Friday","Saturday","Sunday")</f>
        <v>Friday</v>
      </c>
      <c r="LJ31" s="545" t="s">
        <v>1786</v>
      </c>
      <c r="LK31" s="544" t="str">
        <f ca="1">CHOOSE(WEEKDAY(DATE($A31,LJ$43,LK$42),2),"Monday","Tuesday","Wednesday","Thursday","Friday","Saturday","Sunday")</f>
        <v>Saturday</v>
      </c>
      <c r="LL31" s="472" t="s">
        <v>22</v>
      </c>
      <c r="LM31" s="544" t="s">
        <v>22</v>
      </c>
      <c r="LN31" s="545" t="s">
        <v>1783</v>
      </c>
      <c r="LO31" s="544" t="str">
        <f ca="1">CHOOSE(WEEKDAY(DATE($A31,LN$43,LO$42),2),"Monday","Tuesday","Wednesday","Thursday","Friday","Saturday","Sunday")</f>
        <v>Monday</v>
      </c>
      <c r="LP31" s="545" t="s">
        <v>1788</v>
      </c>
      <c r="LQ31" s="544" t="str">
        <f ca="1">CHOOSE(WEEKDAY(DATE($A31,LP$43,LQ$42),2),"Monday","Tuesday","Wednesday","Thursday","Friday","Saturday","Sunday")</f>
        <v>Tuesday</v>
      </c>
      <c r="LR31" s="545" t="s">
        <v>2017</v>
      </c>
      <c r="LS31" s="544" t="str">
        <f ca="1">CHOOSE(WEEKDAY(DATE($A31,LR$43,LS$42),2),"Monday","Tuesday","Wednesday","Thursday","Friday","Saturday","Sunday")</f>
        <v>Wednesday</v>
      </c>
      <c r="LT31" s="545" t="s">
        <v>2007</v>
      </c>
      <c r="LU31" s="544" t="str">
        <f ca="1">CHOOSE(WEEKDAY(DATE($A31,LT$43,LU$42),2),"Monday","Tuesday","Wednesday","Thursday","Friday","Saturday","Sunday")</f>
        <v>Friday</v>
      </c>
      <c r="LV31" s="472" t="s">
        <v>22</v>
      </c>
      <c r="LW31" s="544" t="s">
        <v>22</v>
      </c>
      <c r="LX31" s="545" t="s">
        <v>2045</v>
      </c>
      <c r="LY31" s="544" t="str">
        <f ca="1">CHOOSE(WEEKDAY(DATE($A31,LX$43,LY$42),2),"Monday","Tuesday","Wednesday","Thursday","Friday","Saturday","Sunday")</f>
        <v>Sunday</v>
      </c>
      <c r="LZ31" s="472" t="s">
        <v>22</v>
      </c>
      <c r="MA31" s="544" t="s">
        <v>22</v>
      </c>
      <c r="MB31" s="545" t="s">
        <v>1797</v>
      </c>
      <c r="MC31" s="544" t="str">
        <f ca="1">CHOOSE(WEEKDAY(DATE($A31,MB$43,MC$42),2),"Monday","Tuesday","Wednesday","Thursday","Friday","Saturday","Sunday")</f>
        <v>Tuesday</v>
      </c>
      <c r="MD31" s="343" t="s">
        <v>1800</v>
      </c>
      <c r="ME31" s="544" t="str">
        <f ca="1">CHOOSE(WEEKDAY(DATE($A31,MD$43,ME$42),2),"Monday","Tuesday","Wednesday","Thursday","Friday","Saturday","Sunday")</f>
        <v>Wednesday</v>
      </c>
      <c r="MF31" s="472" t="s">
        <v>22</v>
      </c>
      <c r="MG31" s="544" t="s">
        <v>22</v>
      </c>
      <c r="MH31" s="545" t="s">
        <v>1805</v>
      </c>
      <c r="MI31" s="544" t="str">
        <f ca="1">CHOOSE(WEEKDAY(DATE($A31,MH$43,MI$42),2),"Monday","Tuesday","Wednesday","Thursday","Friday","Saturday","Sunday")</f>
        <v>Friday</v>
      </c>
      <c r="MJ31" s="472" t="s">
        <v>22</v>
      </c>
      <c r="MK31" s="544" t="s">
        <v>22</v>
      </c>
      <c r="ML31" s="545" t="s">
        <v>1804</v>
      </c>
      <c r="MM31" s="544" t="str">
        <f ca="1">CHOOSE(WEEKDAY(DATE($A31,ML$43,MM$42),2),"Monday","Tuesday","Wednesday","Thursday","Friday","Saturday","Sunday")</f>
        <v>Sunday</v>
      </c>
      <c r="MN31" s="472" t="s">
        <v>22</v>
      </c>
      <c r="MO31" s="544" t="s">
        <v>22</v>
      </c>
      <c r="MP31" s="472" t="s">
        <v>22</v>
      </c>
      <c r="MQ31" s="544" t="s">
        <v>22</v>
      </c>
      <c r="MR31" s="472" t="s">
        <v>22</v>
      </c>
      <c r="MS31" s="544" t="s">
        <v>22</v>
      </c>
      <c r="MT31" s="343" t="s">
        <v>1808</v>
      </c>
      <c r="MU31" s="544" t="str">
        <f ca="1">CHOOSE(WEEKDAY(DATE($A31,MT$43,MU$42),2),"Monday","Tuesday","Wednesday","Thursday","Friday","Saturday","Sunday")</f>
        <v>Thursday</v>
      </c>
      <c r="MV31" s="472" t="s">
        <v>22</v>
      </c>
      <c r="MW31" s="544" t="s">
        <v>22</v>
      </c>
      <c r="MX31" s="472" t="s">
        <v>22</v>
      </c>
      <c r="MY31" s="544" t="s">
        <v>22</v>
      </c>
      <c r="MZ31" s="472" t="s">
        <v>22</v>
      </c>
      <c r="NA31" s="544" t="s">
        <v>22</v>
      </c>
      <c r="NB31" s="545" t="s">
        <v>1812</v>
      </c>
      <c r="NC31" s="544" t="str">
        <f ca="1">CHOOSE(WEEKDAY(DATE($A31,NB$43,NC$42),2),"Monday","Tuesday","Wednesday","Thursday","Friday","Saturday","Sunday")</f>
        <v>Monday</v>
      </c>
      <c r="ND31" s="472" t="s">
        <v>22</v>
      </c>
      <c r="NE31" s="544" t="s">
        <v>22</v>
      </c>
      <c r="NF31" s="472" t="s">
        <v>22</v>
      </c>
      <c r="NG31" s="544" t="s">
        <v>22</v>
      </c>
      <c r="NH31" s="472" t="s">
        <v>22</v>
      </c>
      <c r="NI31" s="544" t="s">
        <v>22</v>
      </c>
      <c r="NJ31" s="343" t="s">
        <v>1815</v>
      </c>
      <c r="NK31" s="544" t="str">
        <f ca="1">CHOOSE(WEEKDAY(DATE($A31,NJ$43,NK$42),2),"Monday","Tuesday","Wednesday","Thursday","Friday","Saturday","Sunday")</f>
        <v>Friday</v>
      </c>
      <c r="NL31" s="472" t="s">
        <v>22</v>
      </c>
      <c r="NM31" s="544" t="s">
        <v>22</v>
      </c>
      <c r="NN31" s="472" t="s">
        <v>22</v>
      </c>
      <c r="NO31" s="544" t="s">
        <v>22</v>
      </c>
      <c r="NP31" s="472" t="s">
        <v>22</v>
      </c>
      <c r="NQ31" s="544" t="s">
        <v>22</v>
      </c>
      <c r="NR31" s="343" t="s">
        <v>1817</v>
      </c>
      <c r="NS31" s="544" t="str">
        <f ca="1">CHOOSE(WEEKDAY(DATE($A31,NR$43,NS$42),2),"Monday","Tuesday","Wednesday","Thursday","Friday","Saturday","Sunday")</f>
        <v>Tuesday</v>
      </c>
      <c r="NT31" s="545" t="s">
        <v>2037</v>
      </c>
      <c r="NU31" s="544" t="str">
        <f ca="1">CHOOSE(WEEKDAY(DATE($A31,NT$43,NU$42),2),"Monday","Tuesday","Wednesday","Thursday","Friday","Saturday","Sunday")</f>
        <v>Wednesday</v>
      </c>
      <c r="NV31" s="472" t="s">
        <v>22</v>
      </c>
      <c r="NW31" s="544" t="s">
        <v>22</v>
      </c>
      <c r="NX31" s="343" t="s">
        <v>1823</v>
      </c>
      <c r="NY31" s="544" t="str">
        <f ca="1">CHOOSE(WEEKDAY(DATE($A31,NX$43,NY$42),2),"Monday","Tuesday","Wednesday","Thursday","Friday","Saturday","Sunday")</f>
        <v>Friday</v>
      </c>
      <c r="NZ31" s="472" t="s">
        <v>22</v>
      </c>
      <c r="OA31" s="544" t="s">
        <v>22</v>
      </c>
      <c r="OB31" s="472" t="s">
        <v>22</v>
      </c>
      <c r="OC31" s="544" t="s">
        <v>22</v>
      </c>
      <c r="OD31" s="545" t="s">
        <v>1827</v>
      </c>
      <c r="OE31" s="544" t="str">
        <f ca="1">CHOOSE(WEEKDAY(DATE($A31,OD$43,OE$42),2),"Monday","Tuesday","Wednesday","Thursday","Friday","Saturday","Sunday")</f>
        <v>Wednesday</v>
      </c>
      <c r="OF31" s="472" t="s">
        <v>22</v>
      </c>
      <c r="OG31" s="544" t="s">
        <v>22</v>
      </c>
      <c r="OH31" s="545" t="s">
        <v>1828</v>
      </c>
      <c r="OI31" s="544" t="str">
        <f ca="1">CHOOSE(WEEKDAY(DATE($A31,OH$43,OI$42),2),"Monday","Tuesday","Wednesday","Thursday","Friday","Saturday","Sunday")</f>
        <v>Friday</v>
      </c>
      <c r="OJ31" s="545" t="s">
        <v>1829</v>
      </c>
      <c r="OK31" s="544" t="str">
        <f ca="1">CHOOSE(WEEKDAY(DATE($A31,OJ$43,OK$42),2),"Monday","Tuesday","Wednesday","Thursday","Friday","Saturday","Sunday")</f>
        <v>Saturday</v>
      </c>
      <c r="OL31" s="472" t="s">
        <v>22</v>
      </c>
      <c r="OM31" s="544" t="s">
        <v>22</v>
      </c>
      <c r="ON31" s="472" t="s">
        <v>22</v>
      </c>
      <c r="OO31" s="544" t="s">
        <v>22</v>
      </c>
      <c r="OP31" s="545" t="s">
        <v>1833</v>
      </c>
      <c r="OQ31" s="544" t="str">
        <f ca="1">CHOOSE(WEEKDAY(DATE($A31,OP$43,OQ$42),2),"Monday","Tuesday","Wednesday","Thursday","Friday","Saturday","Sunday")</f>
        <v>Tuesday</v>
      </c>
      <c r="OR31" s="545" t="s">
        <v>1835</v>
      </c>
      <c r="OS31" s="544" t="str">
        <f ca="1">CHOOSE(WEEKDAY(DATE($A31,OR$43,OS$42),2),"Monday","Tuesday","Wednesday","Thursday","Friday","Saturday","Sunday")</f>
        <v>Wednesday</v>
      </c>
      <c r="OT31" s="545" t="s">
        <v>1837</v>
      </c>
      <c r="OU31" s="544" t="str">
        <f ca="1">CHOOSE(WEEKDAY(DATE($A31,OT$43,OU$42),2),"Monday","Tuesday","Wednesday","Thursday","Friday","Saturday","Sunday")</f>
        <v>Thursday</v>
      </c>
      <c r="OV31" s="472" t="s">
        <v>22</v>
      </c>
      <c r="OW31" s="544" t="s">
        <v>22</v>
      </c>
      <c r="OX31" s="545" t="s">
        <v>1840</v>
      </c>
      <c r="OY31" s="544" t="str">
        <f ca="1">CHOOSE(WEEKDAY(DATE($A31,OX$43,OY$42),2),"Monday","Tuesday","Wednesday","Thursday","Friday","Saturday","Sunday")</f>
        <v>Sunday</v>
      </c>
      <c r="OZ31" s="472" t="s">
        <v>22</v>
      </c>
      <c r="PA31" s="544" t="s">
        <v>22</v>
      </c>
      <c r="PB31" s="472" t="s">
        <v>22</v>
      </c>
      <c r="PC31" s="544" t="s">
        <v>22</v>
      </c>
      <c r="PD31" s="343" t="s">
        <v>2017</v>
      </c>
      <c r="PE31" s="544" t="str">
        <f ca="1">CHOOSE(WEEKDAY(DATE($A31,PD$43,PE$42),2),"Monday","Tuesday","Wednesday","Thursday","Friday","Saturday","Sunday")</f>
        <v>Wednesday</v>
      </c>
      <c r="PF31" s="545" t="s">
        <v>1846</v>
      </c>
      <c r="PG31" s="544" t="str">
        <f ca="1">CHOOSE(WEEKDAY(DATE($A31,PF$43,PG$42),2),"Monday","Tuesday","Wednesday","Thursday","Friday","Saturday","Sunday")</f>
        <v>Thursday</v>
      </c>
      <c r="PH31" s="545" t="s">
        <v>1849</v>
      </c>
      <c r="PI31" s="544" t="str">
        <f ca="1">CHOOSE(WEEKDAY(DATE($A31,PH$43,PI$42),2),"Monday","Tuesday","Wednesday","Thursday","Friday","Saturday","Sunday")</f>
        <v>Monday</v>
      </c>
      <c r="PJ31" s="472" t="s">
        <v>22</v>
      </c>
      <c r="PK31" s="544" t="s">
        <v>22</v>
      </c>
      <c r="PL31" s="343" t="s">
        <v>1852</v>
      </c>
      <c r="PM31" s="544" t="str">
        <f ca="1">CHOOSE(WEEKDAY(DATE($A31,PL$43,PM$42),2),"Monday","Tuesday","Wednesday","Thursday","Friday","Saturday","Sunday")</f>
        <v>Friday</v>
      </c>
      <c r="PN31" s="472" t="s">
        <v>22</v>
      </c>
      <c r="PO31" s="544" t="s">
        <v>22</v>
      </c>
      <c r="PP31" s="472" t="s">
        <v>22</v>
      </c>
      <c r="PQ31" s="544" t="s">
        <v>22</v>
      </c>
      <c r="PR31" s="545" t="s">
        <v>1858</v>
      </c>
      <c r="PS31" s="544" t="str">
        <f ca="1">CHOOSE(WEEKDAY(DATE($A31,PR$43,PS$42),2),"Monday","Tuesday","Wednesday","Thursday","Friday","Saturday","Sunday")</f>
        <v>Monday</v>
      </c>
      <c r="PT31" s="472" t="s">
        <v>22</v>
      </c>
      <c r="PU31" s="544" t="s">
        <v>22</v>
      </c>
      <c r="PV31" s="472" t="s">
        <v>22</v>
      </c>
      <c r="PW31" s="544" t="s">
        <v>22</v>
      </c>
      <c r="PX31" s="472" t="s">
        <v>22</v>
      </c>
      <c r="PY31" s="544" t="s">
        <v>22</v>
      </c>
      <c r="PZ31" s="343" t="s">
        <v>1859</v>
      </c>
      <c r="QA31" s="544" t="str">
        <f ca="1">CHOOSE(WEEKDAY(DATE($A31,PZ$43,QA$42),2),"Monday","Tuesday","Wednesday","Thursday","Friday","Saturday","Sunday")</f>
        <v>Friday</v>
      </c>
      <c r="QB31" s="472" t="s">
        <v>22</v>
      </c>
      <c r="QC31" s="544" t="s">
        <v>22</v>
      </c>
      <c r="QD31" s="472" t="s">
        <v>22</v>
      </c>
      <c r="QE31" s="544" t="s">
        <v>22</v>
      </c>
      <c r="QF31" s="472" t="s">
        <v>22</v>
      </c>
      <c r="QG31" s="544" t="s">
        <v>22</v>
      </c>
      <c r="QH31" s="545" t="s">
        <v>1867</v>
      </c>
      <c r="QI31" s="544" t="str">
        <f ca="1">CHOOSE(WEEKDAY(DATE($A31,QH$43,QI$42),2),"Monday","Tuesday","Wednesday","Thursday","Friday","Saturday","Sunday")</f>
        <v>Tuesday</v>
      </c>
      <c r="QJ31" s="472" t="s">
        <v>22</v>
      </c>
      <c r="QK31" s="544" t="s">
        <v>22</v>
      </c>
      <c r="QL31" s="472" t="s">
        <v>22</v>
      </c>
      <c r="QM31" s="544" t="s">
        <v>22</v>
      </c>
      <c r="QN31" s="343" t="s">
        <v>1871</v>
      </c>
      <c r="QO31" s="544" t="str">
        <f ca="1">CHOOSE(WEEKDAY(DATE($A31,QN$43,QO$42),2),"Monday","Tuesday","Wednesday","Thursday","Friday","Saturday","Sunday")</f>
        <v>Friday</v>
      </c>
      <c r="QP31" s="545" t="s">
        <v>1875</v>
      </c>
      <c r="QQ31" s="544" t="str">
        <f ca="1">CHOOSE(WEEKDAY(DATE($A31,QP$43,QQ$42),2),"Monday","Tuesday","Wednesday","Thursday","Friday","Saturday","Sunday")</f>
        <v>Saturday</v>
      </c>
      <c r="QR31" s="472" t="s">
        <v>22</v>
      </c>
      <c r="QS31" s="544" t="s">
        <v>22</v>
      </c>
      <c r="QT31" s="545" t="s">
        <v>1876</v>
      </c>
      <c r="QU31" s="544" t="str">
        <f ca="1">CHOOSE(WEEKDAY(DATE($A31,QT$43,QU$42),2),"Monday","Tuesday","Wednesday","Thursday","Friday","Saturday","Sunday")</f>
        <v>Monday</v>
      </c>
      <c r="QV31" s="472" t="s">
        <v>22</v>
      </c>
      <c r="QW31" s="544" t="s">
        <v>22</v>
      </c>
      <c r="QX31" s="343" t="s">
        <v>1880</v>
      </c>
      <c r="QY31" s="544" t="str">
        <f ca="1">CHOOSE(WEEKDAY(DATE($A31,QX$43,QY$42),2),"Monday","Tuesday","Wednesday","Thursday","Friday","Saturday","Sunday")</f>
        <v>Wednesday</v>
      </c>
      <c r="QZ31" s="472" t="s">
        <v>22</v>
      </c>
      <c r="RA31" s="544" t="s">
        <v>22</v>
      </c>
      <c r="RB31" s="545" t="s">
        <v>1882</v>
      </c>
      <c r="RC31" s="544" t="str">
        <f ca="1">CHOOSE(WEEKDAY(DATE($A31,RB$43,RC$42),2),"Monday","Tuesday","Wednesday","Thursday","Friday","Saturday","Sunday")</f>
        <v>Friday</v>
      </c>
      <c r="RD31" s="545" t="s">
        <v>1884</v>
      </c>
      <c r="RE31" s="544" t="str">
        <f ca="1">CHOOSE(WEEKDAY(DATE($A31,RD$43,RE$42),2),"Monday","Tuesday","Wednesday","Thursday","Friday","Saturday","Sunday")</f>
        <v>Saturday</v>
      </c>
      <c r="RF31" s="472" t="s">
        <v>22</v>
      </c>
      <c r="RG31" s="544" t="s">
        <v>22</v>
      </c>
      <c r="RH31" s="472" t="s">
        <v>22</v>
      </c>
      <c r="RI31" s="544" t="s">
        <v>22</v>
      </c>
      <c r="RJ31" s="472" t="s">
        <v>22</v>
      </c>
      <c r="RK31" s="544" t="s">
        <v>22</v>
      </c>
      <c r="RL31" s="545" t="s">
        <v>2056</v>
      </c>
      <c r="RM31" s="544" t="str">
        <f ca="1">CHOOSE(WEEKDAY(DATE($A31,RL$43,RM$42),2),"Monday","Tuesday","Wednesday","Thursday","Friday","Saturday","Sunday")</f>
        <v>Wednesday</v>
      </c>
      <c r="RN31" s="545" t="s">
        <v>1893</v>
      </c>
      <c r="RO31" s="544" t="str">
        <f ca="1">CHOOSE(WEEKDAY(DATE($A31,RN$43,RO$42),2),"Monday","Tuesday","Wednesday","Thursday","Friday","Saturday","Sunday")</f>
        <v>Friday</v>
      </c>
      <c r="RP31" s="472" t="s">
        <v>22</v>
      </c>
      <c r="RQ31" s="544" t="s">
        <v>22</v>
      </c>
      <c r="RR31" s="545" t="s">
        <v>1894</v>
      </c>
      <c r="RS31" s="544" t="str">
        <f ca="1">CHOOSE(WEEKDAY(DATE($A31,RR$43,RS$42),2),"Monday","Tuesday","Wednesday","Thursday","Friday","Saturday","Sunday")</f>
        <v>Sunday</v>
      </c>
      <c r="RT31" s="472" t="s">
        <v>22</v>
      </c>
      <c r="RU31" s="544" t="s">
        <v>22</v>
      </c>
      <c r="RV31" s="545" t="s">
        <v>1895</v>
      </c>
      <c r="RW31" s="544" t="str">
        <f ca="1">CHOOSE(WEEKDAY(DATE($A31,RV$43,RW$42),2),"Monday","Tuesday","Wednesday","Thursday","Friday","Saturday","Sunday")</f>
        <v>Tuesday</v>
      </c>
      <c r="RX31" s="472" t="s">
        <v>22</v>
      </c>
      <c r="RY31" s="544" t="s">
        <v>22</v>
      </c>
      <c r="RZ31" s="545" t="s">
        <v>1900</v>
      </c>
      <c r="SA31" s="544" t="str">
        <f ca="1">CHOOSE(WEEKDAY(DATE($A31,RZ$43,SA$42),2),"Monday","Tuesday","Wednesday","Thursday","Friday","Saturday","Sunday")</f>
        <v>Thursday</v>
      </c>
      <c r="SB31" s="472" t="s">
        <v>22</v>
      </c>
      <c r="SC31" s="544" t="s">
        <v>22</v>
      </c>
      <c r="SD31" s="472" t="s">
        <v>22</v>
      </c>
      <c r="SE31" s="544" t="s">
        <v>22</v>
      </c>
      <c r="SF31" s="343" t="s">
        <v>1902</v>
      </c>
      <c r="SG31" s="544" t="str">
        <f ca="1">CHOOSE(WEEKDAY(DATE($A31,SF$43,SG$42),2),"Monday","Tuesday","Wednesday","Thursday","Friday","Saturday","Sunday")</f>
        <v>Monday</v>
      </c>
      <c r="SH31" s="472" t="s">
        <v>22</v>
      </c>
      <c r="SI31" s="544" t="s">
        <v>22</v>
      </c>
      <c r="SJ31" s="472" t="s">
        <v>22</v>
      </c>
      <c r="SK31" s="544" t="s">
        <v>22</v>
      </c>
      <c r="SL31" s="343" t="s">
        <v>1906</v>
      </c>
      <c r="SM31" s="544" t="str">
        <f ca="1">CHOOSE(WEEKDAY(DATE($A31,SL$43,SM$42),2),"Monday","Tuesday","Wednesday","Thursday","Friday","Saturday","Sunday")</f>
        <v>Friday</v>
      </c>
      <c r="SN31" s="472" t="s">
        <v>22</v>
      </c>
      <c r="SO31" s="544" t="s">
        <v>22</v>
      </c>
      <c r="SP31" s="472" t="s">
        <v>22</v>
      </c>
      <c r="SQ31" s="544" t="s">
        <v>22</v>
      </c>
      <c r="SR31" s="343" t="s">
        <v>1913</v>
      </c>
      <c r="SS31" s="544" t="str">
        <f ca="1">CHOOSE(WEEKDAY(DATE($A31,SR$43,SS$42),2),"Monday","Tuesday","Wednesday","Thursday","Friday","Saturday","Sunday")</f>
        <v>Monday</v>
      </c>
      <c r="ST31" s="472" t="s">
        <v>22</v>
      </c>
      <c r="SU31" s="544" t="s">
        <v>22</v>
      </c>
      <c r="SV31" s="472" t="s">
        <v>22</v>
      </c>
      <c r="SW31" s="544" t="s">
        <v>22</v>
      </c>
      <c r="SX31" s="343" t="s">
        <v>1917</v>
      </c>
      <c r="SY31" s="544" t="str">
        <f ca="1">CHOOSE(WEEKDAY(DATE($A31,SX$43,SY$42),2),"Monday","Tuesday","Wednesday","Thursday","Friday","Saturday","Sunday")</f>
        <v>Friday</v>
      </c>
      <c r="SZ31" s="472" t="s">
        <v>22</v>
      </c>
      <c r="TA31" s="544" t="s">
        <v>22</v>
      </c>
      <c r="TB31" s="472" t="s">
        <v>22</v>
      </c>
      <c r="TC31" s="544" t="s">
        <v>22</v>
      </c>
      <c r="TD31" s="545" t="s">
        <v>1921</v>
      </c>
      <c r="TE31" s="544" t="str">
        <f ca="1">CHOOSE(WEEKDAY(DATE($A31,TD$43,TE$42),2),"Monday","Tuesday","Wednesday","Thursday","Friday","Saturday","Sunday")</f>
        <v>Monday</v>
      </c>
      <c r="TF31" s="472" t="s">
        <v>22</v>
      </c>
      <c r="TG31" s="544" t="s">
        <v>22</v>
      </c>
      <c r="TH31" s="545" t="s">
        <v>1927</v>
      </c>
      <c r="TI31" s="544" t="str">
        <f ca="1">CHOOSE(WEEKDAY(DATE($A31,TH$43,TI$42),2),"Monday","Tuesday","Wednesday","Thursday","Friday","Saturday","Sunday")</f>
        <v>Wednesday</v>
      </c>
      <c r="TJ31" s="472" t="s">
        <v>22</v>
      </c>
      <c r="TK31" s="544" t="s">
        <v>22</v>
      </c>
      <c r="TL31" s="343" t="s">
        <v>1929</v>
      </c>
      <c r="TM31" s="544" t="str">
        <f ca="1">CHOOSE(WEEKDAY(DATE($A31,TL$43,TM$42),2),"Monday","Tuesday","Wednesday","Thursday","Friday","Saturday","Sunday")</f>
        <v>Friday</v>
      </c>
      <c r="TN31" s="472" t="s">
        <v>22</v>
      </c>
      <c r="TO31" s="544" t="s">
        <v>22</v>
      </c>
      <c r="TP31" s="472" t="s">
        <v>22</v>
      </c>
      <c r="TQ31" s="544" t="s">
        <v>22</v>
      </c>
      <c r="TR31" s="472" t="s">
        <v>22</v>
      </c>
      <c r="TS31" s="544" t="s">
        <v>22</v>
      </c>
      <c r="TT31" s="545" t="s">
        <v>1935</v>
      </c>
      <c r="TU31" s="544" t="str">
        <f ca="1">CHOOSE(WEEKDAY(DATE($A31,TT$43,TU$42),2),"Monday","Tuesday","Wednesday","Thursday","Friday","Saturday","Sunday")</f>
        <v>Tuesday</v>
      </c>
      <c r="TV31" s="545" t="s">
        <v>1933</v>
      </c>
      <c r="TW31" s="544" t="str">
        <f ca="1">CHOOSE(WEEKDAY(DATE($A31,TV$43,TW$42),2),"Monday","Tuesday","Wednesday","Thursday","Friday","Saturday","Sunday")</f>
        <v>Wednesday</v>
      </c>
      <c r="TX31" s="472" t="s">
        <v>22</v>
      </c>
      <c r="TY31" s="544" t="s">
        <v>22</v>
      </c>
      <c r="TZ31" s="343" t="s">
        <v>1935</v>
      </c>
      <c r="UA31" s="544" t="str">
        <f ca="1">CHOOSE(WEEKDAY(DATE($A31,TZ$43,UA$42),2),"Monday","Tuesday","Wednesday","Thursday","Friday","Saturday","Sunday")</f>
        <v>Friday</v>
      </c>
      <c r="UB31" s="472" t="s">
        <v>22</v>
      </c>
      <c r="UC31" s="544" t="s">
        <v>22</v>
      </c>
      <c r="UD31" s="545" t="s">
        <v>1936</v>
      </c>
      <c r="UE31" s="544" t="str">
        <f ca="1">CHOOSE(WEEKDAY(DATE($A31,UD$43,UE$42),2),"Monday","Tuesday","Wednesday","Thursday","Friday","Saturday","Sunday")</f>
        <v>Sunday</v>
      </c>
      <c r="UF31" s="545" t="s">
        <v>1935</v>
      </c>
      <c r="UG31" s="544" t="str">
        <f ca="1">CHOOSE(WEEKDAY(DATE($A31,UF$43,UG$42),2),"Monday","Tuesday","Wednesday","Thursday","Friday","Saturday","Sunday")</f>
        <v>Monday</v>
      </c>
      <c r="UH31" s="472" t="s">
        <v>22</v>
      </c>
      <c r="UI31" s="544" t="s">
        <v>22</v>
      </c>
      <c r="UJ31" s="472" t="s">
        <v>22</v>
      </c>
      <c r="UK31" s="544" t="s">
        <v>22</v>
      </c>
      <c r="UL31" s="545" t="s">
        <v>1941</v>
      </c>
      <c r="UM31" s="544" t="str">
        <f ca="1">CHOOSE(WEEKDAY(DATE($A31,UL$43,UM$42),2),"Monday","Tuesday","Wednesday","Thursday","Friday","Saturday","Sunday")</f>
        <v>Thursday</v>
      </c>
      <c r="UN31" s="343" t="s">
        <v>1771</v>
      </c>
      <c r="UO31" s="544" t="str">
        <f ca="1">CHOOSE(WEEKDAY(DATE($A31,UN$43,UO$42),2),"Monday","Tuesday","Wednesday","Thursday","Friday","Saturday","Sunday")</f>
        <v>Friday</v>
      </c>
      <c r="UP31" s="472" t="s">
        <v>22</v>
      </c>
      <c r="UQ31" s="544" t="s">
        <v>22</v>
      </c>
      <c r="UR31" s="545" t="s">
        <v>1946</v>
      </c>
      <c r="US31" s="544" t="str">
        <f ca="1">CHOOSE(WEEKDAY(DATE($A31,UR$43,US$42),2),"Monday","Tuesday","Wednesday","Thursday","Friday","Saturday","Sunday")</f>
        <v>Sunday</v>
      </c>
      <c r="UT31" s="472" t="s">
        <v>22</v>
      </c>
      <c r="UU31" s="544" t="s">
        <v>22</v>
      </c>
      <c r="UV31" s="472" t="s">
        <v>22</v>
      </c>
      <c r="UW31" s="544" t="s">
        <v>22</v>
      </c>
      <c r="UX31" s="472" t="s">
        <v>22</v>
      </c>
      <c r="UY31" s="544" t="s">
        <v>22</v>
      </c>
      <c r="UZ31" s="545" t="s">
        <v>1951</v>
      </c>
      <c r="VA31" s="544" t="str">
        <f ca="1">CHOOSE(WEEKDAY(DATE($A31,UZ$43,VA$42),2),"Monday","Tuesday","Wednesday","Thursday","Friday","Saturday","Sunday")</f>
        <v>Thursday</v>
      </c>
      <c r="VB31" s="545" t="s">
        <v>1952</v>
      </c>
      <c r="VC31" s="544" t="str">
        <f ca="1">CHOOSE(WEEKDAY(DATE($A31,VB$43,VC$42),2),"Monday","Tuesday","Wednesday","Thursday","Friday","Saturday","Sunday")</f>
        <v>Sunday</v>
      </c>
      <c r="VD31" s="545" t="s">
        <v>1955</v>
      </c>
      <c r="VE31" s="544" t="str">
        <f ca="1">CHOOSE(WEEKDAY(DATE($A31,VD$43,VE$42),2),"Monday","Tuesday","Wednesday","Thursday","Friday","Saturday","Sunday")</f>
        <v>Tuesday</v>
      </c>
      <c r="VF31" s="472" t="s">
        <v>22</v>
      </c>
      <c r="VG31" s="544" t="s">
        <v>22</v>
      </c>
      <c r="VH31" s="546" t="s">
        <v>1966</v>
      </c>
      <c r="VI31" s="544" t="str">
        <f ca="1">CHOOSE(WEEKDAY(DATE($A31,VH$43,VI$42),2),"Monday","Tuesday","Wednesday","Thursday","Friday","Saturday","Sunday")</f>
        <v>Thursday</v>
      </c>
      <c r="VJ31" s="472" t="s">
        <v>22</v>
      </c>
      <c r="VK31" s="544" t="s">
        <v>22</v>
      </c>
      <c r="VL31" s="472" t="s">
        <v>22</v>
      </c>
      <c r="VM31" s="544" t="s">
        <v>22</v>
      </c>
      <c r="VN31" s="472" t="s">
        <v>22</v>
      </c>
      <c r="VO31" s="544" t="s">
        <v>22</v>
      </c>
      <c r="VP31" s="545" t="s">
        <v>1959</v>
      </c>
      <c r="VQ31" s="544" t="str">
        <f ca="1">CHOOSE(WEEKDAY(DATE($A31,VP$43,VQ$42),2),"Monday","Tuesday","Wednesday","Thursday","Friday","Saturday","Sunday")</f>
        <v>Monday</v>
      </c>
      <c r="VR31" s="472" t="s">
        <v>22</v>
      </c>
      <c r="VS31" s="544" t="s">
        <v>22</v>
      </c>
      <c r="VT31" s="545" t="s">
        <v>1963</v>
      </c>
      <c r="VU31" s="544" t="str">
        <f ca="1">CHOOSE(WEEKDAY(DATE($A31,VT$43,VU$42),2),"Monday","Tuesday","Wednesday","Thursday","Friday","Saturday","Sunday")</f>
        <v>Wednesday</v>
      </c>
      <c r="VV31" s="472" t="s">
        <v>22</v>
      </c>
      <c r="VW31" s="544" t="s">
        <v>22</v>
      </c>
      <c r="VX31" s="545" t="s">
        <v>1965</v>
      </c>
      <c r="VY31" s="544" t="str">
        <f ca="1">CHOOSE(WEEKDAY(DATE($A31,VX$43,VY$42),2),"Monday","Tuesday","Wednesday","Thursday","Friday","Saturday","Sunday")</f>
        <v>Friday</v>
      </c>
      <c r="VZ31" s="472" t="s">
        <v>22</v>
      </c>
      <c r="WA31" s="544" t="s">
        <v>22</v>
      </c>
      <c r="WB31" s="472" t="s">
        <v>22</v>
      </c>
      <c r="WC31" s="544" t="s">
        <v>22</v>
      </c>
      <c r="WD31" s="545" t="s">
        <v>1970</v>
      </c>
      <c r="WE31" s="544" t="str">
        <f ca="1">CHOOSE(WEEKDAY(DATE($A31,WD$43,WE$42),2),"Monday","Tuesday","Wednesday","Thursday","Friday","Saturday","Sunday")</f>
        <v>Tuesday</v>
      </c>
      <c r="WF31" s="472" t="s">
        <v>22</v>
      </c>
      <c r="WG31" s="544" t="s">
        <v>22</v>
      </c>
      <c r="WH31" s="472" t="s">
        <v>22</v>
      </c>
      <c r="WI31" s="544" t="s">
        <v>22</v>
      </c>
      <c r="WJ31" s="472" t="s">
        <v>22</v>
      </c>
      <c r="WK31" s="544" t="s">
        <v>22</v>
      </c>
      <c r="WL31" s="545" t="s">
        <v>2049</v>
      </c>
      <c r="WM31" s="544" t="str">
        <f ca="1">CHOOSE(WEEKDAY(DATE($A31,WL$43,WM$42),2),"Monday","Tuesday","Wednesday","Thursday","Friday","Saturday","Sunday")</f>
        <v>Saturday</v>
      </c>
      <c r="WN31" s="472" t="s">
        <v>22</v>
      </c>
      <c r="WO31" s="544" t="s">
        <v>22</v>
      </c>
      <c r="WP31" s="472" t="s">
        <v>22</v>
      </c>
      <c r="WQ31" s="544" t="s">
        <v>22</v>
      </c>
      <c r="WR31" s="545" t="s">
        <v>1981</v>
      </c>
      <c r="WS31" s="544" t="str">
        <f ca="1">CHOOSE(WEEKDAY(DATE($A31,WR$43,WS$42),2),"Monday","Tuesday","Wednesday","Thursday","Friday","Saturday","Sunday")</f>
        <v>Tuesday</v>
      </c>
      <c r="WT31" s="472" t="s">
        <v>22</v>
      </c>
      <c r="WU31" s="544" t="s">
        <v>22</v>
      </c>
      <c r="WV31" s="472" t="s">
        <v>22</v>
      </c>
      <c r="WW31" s="544" t="s">
        <v>22</v>
      </c>
      <c r="WX31" s="472" t="s">
        <v>22</v>
      </c>
      <c r="WY31" s="544" t="s">
        <v>22</v>
      </c>
      <c r="WZ31" s="545" t="s">
        <v>2050</v>
      </c>
      <c r="XA31" s="544" t="str">
        <f ca="1">CHOOSE(WEEKDAY(DATE($A31,WZ$43,XA$42),2),"Monday","Tuesday","Wednesday","Thursday","Friday","Saturday","Sunday")</f>
        <v>Saturday</v>
      </c>
      <c r="XB31" s="472" t="s">
        <v>22</v>
      </c>
      <c r="XC31" s="544" t="s">
        <v>22</v>
      </c>
      <c r="XD31" s="472" t="s">
        <v>22</v>
      </c>
      <c r="XE31" s="544" t="s">
        <v>22</v>
      </c>
      <c r="XF31" s="545" t="s">
        <v>1989</v>
      </c>
      <c r="XG31" s="544" t="str">
        <f ca="1">CHOOSE(WEEKDAY(DATE($A31,XF$43,XG$42),2),"Monday","Tuesday","Wednesday","Thursday","Friday","Saturday","Sunday")</f>
        <v>Tuesday</v>
      </c>
      <c r="XH31" s="545" t="s">
        <v>2020</v>
      </c>
      <c r="XI31" s="544" t="str">
        <f ca="1">CHOOSE(WEEKDAY(DATE($A31,XH$43,XI$42),2),"Monday","Tuesday","Wednesday","Thursday","Friday","Saturday","Sunday")</f>
        <v>Wednesday</v>
      </c>
      <c r="XJ31" s="472" t="s">
        <v>22</v>
      </c>
      <c r="XK31" s="544" t="s">
        <v>22</v>
      </c>
      <c r="XL31" s="472" t="s">
        <v>22</v>
      </c>
      <c r="XM31" s="544" t="s">
        <v>22</v>
      </c>
      <c r="XN31" s="545" t="s">
        <v>1993</v>
      </c>
      <c r="XO31" s="544" t="str">
        <f ca="1">CHOOSE(WEEKDAY(DATE($A31,XN$43,XO$42),2),"Monday","Tuesday","Wednesday","Thursday","Friday","Saturday","Sunday")</f>
        <v>Saturday</v>
      </c>
      <c r="XP31" s="472" t="s">
        <v>22</v>
      </c>
      <c r="XQ31" s="544" t="s">
        <v>22</v>
      </c>
      <c r="XR31" s="472" t="s">
        <v>22</v>
      </c>
      <c r="XS31" s="544" t="s">
        <v>22</v>
      </c>
      <c r="XT31" s="545" t="s">
        <v>2020</v>
      </c>
      <c r="XU31" s="544" t="str">
        <f ca="1">CHOOSE(WEEKDAY(DATE($A31,XT$43,XU$42),2),"Monday","Tuesday","Wednesday","Thursday","Friday","Saturday","Sunday")</f>
        <v>Tuesday</v>
      </c>
      <c r="XV31" s="545" t="s">
        <v>1998</v>
      </c>
      <c r="XW31" s="544" t="str">
        <f ca="1">CHOOSE(WEEKDAY(DATE($A31,XV$43,XW$42),2),"Monday","Tuesday","Wednesday","Thursday","Friday","Saturday","Sunday")</f>
        <v>Wednesday</v>
      </c>
      <c r="XX31" s="472" t="s">
        <v>22</v>
      </c>
      <c r="XY31" s="544" t="s">
        <v>22</v>
      </c>
      <c r="XZ31" s="545" t="s">
        <v>1999</v>
      </c>
      <c r="YA31" s="544" t="str">
        <f ca="1">CHOOSE(WEEKDAY(DATE($A31,XZ$43,YA$42),2),"Monday","Tuesday","Wednesday","Thursday","Friday","Saturday","Sunday")</f>
        <v>Friday</v>
      </c>
      <c r="YB31" s="472" t="s">
        <v>22</v>
      </c>
      <c r="YC31" s="544" t="s">
        <v>22</v>
      </c>
      <c r="YD31" s="545" t="s">
        <v>2003</v>
      </c>
      <c r="YE31" s="544" t="str">
        <f ca="1">CHOOSE(WEEKDAY(DATE($A31,YD$43,YE$42),2),"Monday","Tuesday","Wednesday","Thursday","Friday","Saturday","Sunday")</f>
        <v>Sunday</v>
      </c>
    </row>
    <row r="32" spans="1:655" ht="30" x14ac:dyDescent="0.2">
      <c r="A32" s="412"/>
      <c r="B32" s="417"/>
      <c r="C32" s="412"/>
      <c r="D32" s="417"/>
      <c r="E32" s="412"/>
      <c r="F32" s="417"/>
      <c r="G32" s="412"/>
      <c r="H32" s="417"/>
      <c r="I32" s="412"/>
      <c r="J32" s="417"/>
      <c r="K32" s="412"/>
      <c r="L32" s="417"/>
      <c r="M32" s="412"/>
      <c r="N32" s="417"/>
      <c r="O32" s="412"/>
      <c r="P32" s="417"/>
      <c r="Q32" s="412"/>
      <c r="R32" s="417"/>
      <c r="S32" s="412"/>
      <c r="T32" s="417"/>
      <c r="U32" s="412"/>
      <c r="V32" s="417"/>
      <c r="W32" s="412"/>
      <c r="X32" s="417"/>
      <c r="Y32" s="412"/>
      <c r="Z32" s="417"/>
      <c r="AA32" s="412"/>
      <c r="AB32" s="417"/>
      <c r="AC32" s="412"/>
      <c r="AD32" s="417"/>
      <c r="AE32" s="412"/>
      <c r="AF32" s="417"/>
      <c r="AG32" s="412"/>
      <c r="AH32" s="417"/>
      <c r="AI32" s="412"/>
      <c r="AJ32" s="417"/>
      <c r="AK32" s="412"/>
      <c r="AL32" s="417"/>
      <c r="AM32" s="412"/>
      <c r="AN32" s="417"/>
      <c r="AO32" s="412"/>
      <c r="AP32" s="417"/>
      <c r="AQ32" s="412"/>
      <c r="AR32" s="417"/>
      <c r="AS32" s="412"/>
      <c r="AT32" s="417"/>
      <c r="AU32" s="412"/>
      <c r="AV32" s="417"/>
      <c r="AW32" s="412"/>
      <c r="AX32" s="417"/>
      <c r="AY32" s="412"/>
      <c r="AZ32" s="417"/>
      <c r="BA32" s="412"/>
      <c r="BB32" s="417"/>
      <c r="BC32" s="412"/>
      <c r="BD32" s="417"/>
      <c r="BE32" s="412"/>
      <c r="BF32" s="417"/>
      <c r="BG32" s="412"/>
      <c r="BH32" s="417"/>
      <c r="BI32" s="412"/>
      <c r="BJ32" s="417"/>
      <c r="BK32" s="412"/>
      <c r="BL32" s="417"/>
      <c r="BM32" s="412"/>
      <c r="BN32" s="417"/>
      <c r="BO32" s="412"/>
      <c r="BP32" s="417"/>
      <c r="BQ32" s="412"/>
      <c r="BR32" s="417"/>
      <c r="BS32" s="412"/>
      <c r="BT32" s="417"/>
      <c r="BU32" s="412"/>
      <c r="BV32" s="417"/>
      <c r="BW32" s="412"/>
      <c r="BX32" s="417"/>
      <c r="BY32" s="412"/>
      <c r="BZ32" s="417"/>
      <c r="CA32" s="412"/>
      <c r="CB32" s="417"/>
      <c r="CC32" s="412"/>
      <c r="CD32" s="417"/>
      <c r="CE32" s="412"/>
      <c r="CF32" s="417"/>
      <c r="CG32" s="412"/>
      <c r="CH32" s="417"/>
      <c r="CI32" s="412"/>
      <c r="CJ32" s="417"/>
      <c r="CK32" s="412"/>
      <c r="CL32" s="417"/>
      <c r="CM32" s="412"/>
      <c r="CN32" s="417"/>
      <c r="CO32" s="412"/>
      <c r="CP32" s="545" t="s">
        <v>1611</v>
      </c>
      <c r="CQ32" s="412"/>
      <c r="CR32" s="417"/>
      <c r="CS32" s="412"/>
      <c r="CT32" s="417"/>
      <c r="CU32" s="412"/>
      <c r="CV32" s="417"/>
      <c r="CW32" s="412"/>
      <c r="CX32" s="417"/>
      <c r="CY32" s="412"/>
      <c r="CZ32" s="417"/>
      <c r="DA32" s="412"/>
      <c r="DB32" s="417"/>
      <c r="DC32" s="412"/>
      <c r="DD32" s="417"/>
      <c r="DE32" s="412"/>
      <c r="DF32" s="417"/>
      <c r="DG32" s="412"/>
      <c r="DH32" s="417"/>
      <c r="DI32" s="412"/>
      <c r="DJ32" s="417"/>
      <c r="DK32" s="412"/>
      <c r="DL32" s="545" t="s">
        <v>1644</v>
      </c>
      <c r="DM32" s="412"/>
      <c r="DN32" s="417"/>
      <c r="DO32" s="412"/>
      <c r="DP32" s="417"/>
      <c r="DQ32" s="412"/>
      <c r="DR32" s="417"/>
      <c r="DS32" s="412"/>
      <c r="DT32" s="417"/>
      <c r="DU32" s="412"/>
      <c r="DV32" s="417"/>
      <c r="DW32" s="412"/>
      <c r="DX32" s="417"/>
      <c r="DY32" s="412"/>
      <c r="DZ32" s="417"/>
      <c r="EA32" s="412"/>
      <c r="EB32" s="417"/>
      <c r="EC32" s="412"/>
      <c r="ED32" s="417"/>
      <c r="EE32" s="412"/>
      <c r="EF32" s="417"/>
      <c r="EG32" s="412"/>
      <c r="EH32" s="417"/>
      <c r="EI32" s="412"/>
      <c r="EJ32" s="417"/>
      <c r="EK32" s="412"/>
      <c r="EL32" s="417"/>
      <c r="EM32" s="412"/>
      <c r="EN32" s="417"/>
      <c r="EO32" s="412"/>
      <c r="EP32" s="417"/>
      <c r="EQ32" s="412"/>
      <c r="ER32" s="417"/>
      <c r="ES32" s="412"/>
      <c r="ET32" s="417"/>
      <c r="EU32" s="412"/>
      <c r="EV32" s="417"/>
      <c r="EW32" s="412"/>
      <c r="EX32" s="417"/>
      <c r="EY32" s="412"/>
      <c r="EZ32" s="417"/>
      <c r="FA32" s="412"/>
      <c r="FB32" s="545" t="s">
        <v>2057</v>
      </c>
      <c r="FC32" s="412"/>
      <c r="FD32" s="417"/>
      <c r="FE32" s="412"/>
      <c r="FF32" s="417"/>
      <c r="FG32" s="412"/>
      <c r="FH32" s="343" t="s">
        <v>1660</v>
      </c>
      <c r="FI32" s="412"/>
      <c r="FJ32" s="417"/>
      <c r="FK32" s="412"/>
      <c r="FL32" s="417"/>
      <c r="FM32" s="412"/>
      <c r="FN32" s="417"/>
      <c r="FO32" s="412"/>
      <c r="FP32" s="417"/>
      <c r="FQ32" s="412"/>
      <c r="FR32" s="417"/>
      <c r="FS32" s="412"/>
      <c r="FT32" s="417"/>
      <c r="FU32" s="412"/>
      <c r="FV32" s="417"/>
      <c r="FW32" s="412"/>
      <c r="FX32" s="417"/>
      <c r="FY32" s="412"/>
      <c r="FZ32" s="417"/>
      <c r="GA32" s="412"/>
      <c r="GB32" s="417"/>
      <c r="GC32" s="412"/>
      <c r="GD32" s="545" t="s">
        <v>1676</v>
      </c>
      <c r="GE32" s="412"/>
      <c r="GF32" s="417"/>
      <c r="GG32" s="412"/>
      <c r="GH32" s="417"/>
      <c r="GI32" s="412"/>
      <c r="GJ32" s="417"/>
      <c r="GK32" s="412"/>
      <c r="GL32" s="417"/>
      <c r="GM32" s="412"/>
      <c r="GN32" s="417"/>
      <c r="GO32" s="412"/>
      <c r="GP32" s="417"/>
      <c r="GQ32" s="412"/>
      <c r="GR32" s="417"/>
      <c r="GS32" s="412"/>
      <c r="GT32" s="545" t="s">
        <v>1705</v>
      </c>
      <c r="GU32" s="412"/>
      <c r="GV32" s="417"/>
      <c r="GW32" s="412"/>
      <c r="GX32" s="417"/>
      <c r="GY32" s="412"/>
      <c r="GZ32" s="545" t="s">
        <v>1692</v>
      </c>
      <c r="HA32" s="412"/>
      <c r="HB32" s="417"/>
      <c r="HC32" s="412"/>
      <c r="HD32" s="417"/>
      <c r="HE32" s="412"/>
      <c r="HF32" s="417"/>
      <c r="HG32" s="412"/>
      <c r="HH32" s="417"/>
      <c r="HI32" s="412"/>
      <c r="HJ32" s="417"/>
      <c r="HK32" s="412"/>
      <c r="HL32" s="417"/>
      <c r="HM32" s="412"/>
      <c r="HN32" s="545" t="s">
        <v>1711</v>
      </c>
      <c r="HO32" s="412"/>
      <c r="HP32" s="417"/>
      <c r="HQ32" s="412"/>
      <c r="HR32" s="417"/>
      <c r="HS32" s="412"/>
      <c r="HT32" s="417"/>
      <c r="HU32" s="412"/>
      <c r="HV32" s="417"/>
      <c r="HW32" s="412"/>
      <c r="HX32" s="417"/>
      <c r="HY32" s="412"/>
      <c r="HZ32" s="417"/>
      <c r="IA32" s="412"/>
      <c r="IB32" s="417"/>
      <c r="IC32" s="412"/>
      <c r="ID32" s="417"/>
      <c r="IE32" s="412"/>
      <c r="IF32" s="417"/>
      <c r="IG32" s="412"/>
      <c r="IH32" s="417"/>
      <c r="II32" s="412"/>
      <c r="IJ32" s="417"/>
      <c r="IK32" s="412"/>
      <c r="IL32" s="417"/>
      <c r="IM32" s="412"/>
      <c r="IN32" s="545" t="s">
        <v>1723</v>
      </c>
      <c r="IO32" s="412"/>
      <c r="IP32" s="417"/>
      <c r="IQ32" s="412"/>
      <c r="IR32" s="417"/>
      <c r="IS32" s="412"/>
      <c r="IT32" s="417"/>
      <c r="IU32" s="412"/>
      <c r="IV32" s="417"/>
      <c r="IW32" s="412"/>
      <c r="IX32" s="417"/>
      <c r="IY32" s="412"/>
      <c r="IZ32" s="343" t="s">
        <v>1732</v>
      </c>
      <c r="JA32" s="412"/>
      <c r="JB32" s="417"/>
      <c r="JC32" s="412"/>
      <c r="JD32" s="417"/>
      <c r="JE32" s="412"/>
      <c r="JF32" s="417"/>
      <c r="JG32" s="412"/>
      <c r="JH32" s="417"/>
      <c r="JI32" s="412"/>
      <c r="JJ32" s="545" t="s">
        <v>1742</v>
      </c>
      <c r="JK32" s="412"/>
      <c r="JL32" s="545" t="s">
        <v>1743</v>
      </c>
      <c r="JM32" s="412"/>
      <c r="JN32" s="417"/>
      <c r="JO32" s="412"/>
      <c r="JP32" s="417"/>
      <c r="JQ32" s="412"/>
      <c r="JR32" s="545" t="s">
        <v>1745</v>
      </c>
      <c r="JS32" s="412"/>
      <c r="JT32" s="417"/>
      <c r="JU32" s="412"/>
      <c r="JV32" s="417"/>
      <c r="JW32" s="412"/>
      <c r="JX32" s="545" t="s">
        <v>1749</v>
      </c>
      <c r="JY32" s="412"/>
      <c r="JZ32" s="417"/>
      <c r="KA32" s="412"/>
      <c r="KB32" s="417"/>
      <c r="KC32" s="412"/>
      <c r="KD32" s="417"/>
      <c r="KE32" s="412"/>
      <c r="KF32" s="417"/>
      <c r="KG32" s="412"/>
      <c r="KH32" s="417"/>
      <c r="KI32" s="412"/>
      <c r="KJ32" s="545" t="s">
        <v>1758</v>
      </c>
      <c r="KK32" s="412"/>
      <c r="KL32" s="417"/>
      <c r="KM32" s="412"/>
      <c r="KN32" s="417"/>
      <c r="KO32" s="412"/>
      <c r="KP32" s="417"/>
      <c r="KQ32" s="412"/>
      <c r="KR32" s="417"/>
      <c r="KS32" s="412"/>
      <c r="KT32" s="417"/>
      <c r="KU32" s="412"/>
      <c r="KV32" s="545" t="s">
        <v>1772</v>
      </c>
      <c r="KW32" s="412"/>
      <c r="KX32" s="417"/>
      <c r="KY32" s="412"/>
      <c r="KZ32" s="417"/>
      <c r="LA32" s="412"/>
      <c r="LB32" s="417"/>
      <c r="LC32" s="412"/>
      <c r="LD32" s="545" t="s">
        <v>1761</v>
      </c>
      <c r="LE32" s="412"/>
      <c r="LF32" s="417"/>
      <c r="LG32" s="412"/>
      <c r="LH32" s="343" t="s">
        <v>1779</v>
      </c>
      <c r="LI32" s="412"/>
      <c r="LJ32" s="417"/>
      <c r="LK32" s="412"/>
      <c r="LL32" s="417"/>
      <c r="LM32" s="412"/>
      <c r="LN32" s="417"/>
      <c r="LO32" s="412"/>
      <c r="LP32" s="417"/>
      <c r="LQ32" s="412"/>
      <c r="LR32" s="417"/>
      <c r="LS32" s="412"/>
      <c r="LT32" s="417"/>
      <c r="LU32" s="412"/>
      <c r="LV32" s="417"/>
      <c r="LW32" s="412"/>
      <c r="LX32" s="417"/>
      <c r="LY32" s="412"/>
      <c r="LZ32" s="417"/>
      <c r="MA32" s="412"/>
      <c r="MB32" s="417"/>
      <c r="MC32" s="412"/>
      <c r="MD32" s="545" t="s">
        <v>1799</v>
      </c>
      <c r="ME32" s="412"/>
      <c r="MF32" s="417"/>
      <c r="MG32" s="412"/>
      <c r="MH32" s="417"/>
      <c r="MI32" s="412"/>
      <c r="MJ32" s="417"/>
      <c r="MK32" s="412"/>
      <c r="ML32" s="417"/>
      <c r="MM32" s="412"/>
      <c r="MN32" s="417"/>
      <c r="MO32" s="412"/>
      <c r="MP32" s="417"/>
      <c r="MQ32" s="412"/>
      <c r="MR32" s="417"/>
      <c r="MS32" s="412"/>
      <c r="MT32" s="343" t="s">
        <v>1809</v>
      </c>
      <c r="MU32" s="412"/>
      <c r="MV32" s="417"/>
      <c r="MW32" s="412"/>
      <c r="MX32" s="417"/>
      <c r="MY32" s="412"/>
      <c r="MZ32" s="417"/>
      <c r="NA32" s="412"/>
      <c r="NB32" s="417"/>
      <c r="NC32" s="412"/>
      <c r="ND32" s="417"/>
      <c r="NE32" s="412"/>
      <c r="NF32" s="417"/>
      <c r="NG32" s="412"/>
      <c r="NH32" s="417"/>
      <c r="NI32" s="412"/>
      <c r="NJ32" s="545" t="s">
        <v>1813</v>
      </c>
      <c r="NK32" s="412"/>
      <c r="NL32" s="417"/>
      <c r="NM32" s="412"/>
      <c r="NN32" s="417"/>
      <c r="NO32" s="412"/>
      <c r="NP32" s="417"/>
      <c r="NQ32" s="412"/>
      <c r="NR32" s="545" t="s">
        <v>1816</v>
      </c>
      <c r="NS32" s="412"/>
      <c r="NT32" s="417"/>
      <c r="NU32" s="412"/>
      <c r="NV32" s="417"/>
      <c r="NW32" s="412"/>
      <c r="NX32" s="545" t="s">
        <v>1822</v>
      </c>
      <c r="NY32" s="412"/>
      <c r="NZ32" s="417"/>
      <c r="OA32" s="412"/>
      <c r="OB32" s="417"/>
      <c r="OC32" s="412"/>
      <c r="OD32" s="417"/>
      <c r="OE32" s="412"/>
      <c r="OF32" s="417"/>
      <c r="OG32" s="412"/>
      <c r="OH32" s="417"/>
      <c r="OI32" s="412"/>
      <c r="OJ32" s="417"/>
      <c r="OK32" s="412"/>
      <c r="OL32" s="417"/>
      <c r="OM32" s="412"/>
      <c r="ON32" s="417"/>
      <c r="OO32" s="412"/>
      <c r="OP32" s="417"/>
      <c r="OQ32" s="412"/>
      <c r="OR32" s="417"/>
      <c r="OS32" s="412"/>
      <c r="OT32" s="417"/>
      <c r="OU32" s="412"/>
      <c r="OV32" s="417"/>
      <c r="OW32" s="412"/>
      <c r="OX32" s="417"/>
      <c r="OY32" s="412"/>
      <c r="OZ32" s="417"/>
      <c r="PA32" s="412"/>
      <c r="PB32" s="417"/>
      <c r="PC32" s="412"/>
      <c r="PD32" s="545" t="s">
        <v>1844</v>
      </c>
      <c r="PE32" s="412"/>
      <c r="PF32" s="417"/>
      <c r="PG32" s="412"/>
      <c r="PH32" s="417"/>
      <c r="PI32" s="412"/>
      <c r="PJ32" s="417"/>
      <c r="PK32" s="412"/>
      <c r="PL32" s="545" t="s">
        <v>1853</v>
      </c>
      <c r="PM32" s="412"/>
      <c r="PN32" s="417"/>
      <c r="PO32" s="412"/>
      <c r="PP32" s="417"/>
      <c r="PQ32" s="412"/>
      <c r="PR32" s="417"/>
      <c r="PS32" s="412"/>
      <c r="PT32" s="417"/>
      <c r="PU32" s="412"/>
      <c r="PV32" s="417"/>
      <c r="PW32" s="412"/>
      <c r="PX32" s="417"/>
      <c r="PY32" s="412"/>
      <c r="PZ32" s="545" t="s">
        <v>1863</v>
      </c>
      <c r="QA32" s="412"/>
      <c r="QB32" s="417"/>
      <c r="QC32" s="412"/>
      <c r="QD32" s="417"/>
      <c r="QE32" s="412"/>
      <c r="QF32" s="417"/>
      <c r="QG32" s="412"/>
      <c r="QH32" s="417"/>
      <c r="QI32" s="412"/>
      <c r="QJ32" s="417"/>
      <c r="QK32" s="412"/>
      <c r="QL32" s="417"/>
      <c r="QM32" s="412"/>
      <c r="QN32" s="545" t="s">
        <v>1872</v>
      </c>
      <c r="QO32" s="412"/>
      <c r="QP32" s="417"/>
      <c r="QQ32" s="412"/>
      <c r="QR32" s="417"/>
      <c r="QS32" s="412"/>
      <c r="QT32" s="417"/>
      <c r="QU32" s="412"/>
      <c r="QV32" s="417"/>
      <c r="QW32" s="412"/>
      <c r="QX32" s="545" t="s">
        <v>1881</v>
      </c>
      <c r="QY32" s="412"/>
      <c r="QZ32" s="417"/>
      <c r="RA32" s="412"/>
      <c r="RB32" s="417"/>
      <c r="RC32" s="412"/>
      <c r="RD32" s="417"/>
      <c r="RE32" s="412"/>
      <c r="RF32" s="417"/>
      <c r="RG32" s="412"/>
      <c r="RH32" s="417"/>
      <c r="RI32" s="412"/>
      <c r="RJ32" s="417"/>
      <c r="RK32" s="412"/>
      <c r="RL32" s="417"/>
      <c r="RM32" s="412"/>
      <c r="RN32" s="417"/>
      <c r="RO32" s="412"/>
      <c r="RP32" s="417"/>
      <c r="RQ32" s="412"/>
      <c r="RR32" s="417"/>
      <c r="RS32" s="412"/>
      <c r="RT32" s="417"/>
      <c r="RU32" s="412"/>
      <c r="RV32" s="417"/>
      <c r="RW32" s="412"/>
      <c r="RX32" s="417"/>
      <c r="RY32" s="412"/>
      <c r="RZ32" s="417"/>
      <c r="SA32" s="412"/>
      <c r="SB32" s="417"/>
      <c r="SC32" s="412"/>
      <c r="SD32" s="417"/>
      <c r="SE32" s="412"/>
      <c r="SF32" s="545" t="s">
        <v>1887</v>
      </c>
      <c r="SG32" s="412"/>
      <c r="SH32" s="417"/>
      <c r="SI32" s="412"/>
      <c r="SJ32" s="417"/>
      <c r="SK32" s="412"/>
      <c r="SL32" s="545" t="s">
        <v>1908</v>
      </c>
      <c r="SM32" s="412"/>
      <c r="SN32" s="417"/>
      <c r="SO32" s="412"/>
      <c r="SP32" s="417"/>
      <c r="SQ32" s="412"/>
      <c r="SR32" s="545" t="s">
        <v>2048</v>
      </c>
      <c r="SS32" s="412"/>
      <c r="ST32" s="417"/>
      <c r="SU32" s="412"/>
      <c r="SV32" s="417"/>
      <c r="SW32" s="412"/>
      <c r="SX32" s="545" t="s">
        <v>1916</v>
      </c>
      <c r="SY32" s="412"/>
      <c r="SZ32" s="417"/>
      <c r="TA32" s="412"/>
      <c r="TB32" s="417"/>
      <c r="TC32" s="412"/>
      <c r="TD32" s="417"/>
      <c r="TE32" s="412"/>
      <c r="TF32" s="417"/>
      <c r="TG32" s="412"/>
      <c r="TH32" s="417"/>
      <c r="TI32" s="412"/>
      <c r="TJ32" s="417"/>
      <c r="TK32" s="412"/>
      <c r="TL32" s="343" t="s">
        <v>1928</v>
      </c>
      <c r="TM32" s="412"/>
      <c r="TN32" s="417"/>
      <c r="TO32" s="412"/>
      <c r="TP32" s="417"/>
      <c r="TQ32" s="412"/>
      <c r="TR32" s="417"/>
      <c r="TS32" s="412"/>
      <c r="TT32" s="417"/>
      <c r="TU32" s="412"/>
      <c r="TV32" s="417"/>
      <c r="TW32" s="412"/>
      <c r="TX32" s="417"/>
      <c r="TY32" s="412"/>
      <c r="TZ32" s="545" t="s">
        <v>1934</v>
      </c>
      <c r="UA32" s="412"/>
      <c r="UB32" s="417"/>
      <c r="UC32" s="412"/>
      <c r="UD32" s="417"/>
      <c r="UE32" s="412"/>
      <c r="UF32" s="417"/>
      <c r="UG32" s="412"/>
      <c r="UH32" s="417"/>
      <c r="UI32" s="412"/>
      <c r="UJ32" s="417"/>
      <c r="UK32" s="412"/>
      <c r="UL32" s="417"/>
      <c r="UM32" s="412"/>
      <c r="UN32" s="343" t="s">
        <v>1945</v>
      </c>
      <c r="UO32" s="412"/>
      <c r="UP32" s="417"/>
      <c r="UQ32" s="412"/>
      <c r="UR32" s="417"/>
      <c r="US32" s="412"/>
      <c r="UT32" s="417"/>
      <c r="UU32" s="412"/>
      <c r="UV32" s="417"/>
      <c r="UW32" s="412"/>
      <c r="UX32" s="417"/>
      <c r="UY32" s="412"/>
      <c r="UZ32" s="417"/>
      <c r="VA32" s="412"/>
      <c r="VB32" s="417"/>
      <c r="VC32" s="412"/>
      <c r="VD32" s="417"/>
      <c r="VE32" s="412"/>
      <c r="VF32" s="417"/>
      <c r="VG32" s="412"/>
      <c r="VH32" s="417"/>
      <c r="VI32" s="412"/>
      <c r="VJ32" s="417"/>
      <c r="VK32" s="412"/>
      <c r="VL32" s="417"/>
      <c r="VM32" s="412"/>
      <c r="VN32" s="417"/>
      <c r="VO32" s="412"/>
      <c r="VP32" s="417"/>
      <c r="VQ32" s="412"/>
      <c r="VR32" s="417"/>
      <c r="VS32" s="412"/>
      <c r="VT32" s="417"/>
      <c r="VU32" s="412"/>
      <c r="VV32" s="417"/>
      <c r="VW32" s="412"/>
      <c r="VX32" s="417"/>
      <c r="VY32" s="412"/>
      <c r="VZ32" s="417"/>
      <c r="WA32" s="412"/>
      <c r="WB32" s="417"/>
      <c r="WC32" s="412"/>
      <c r="WD32" s="417"/>
      <c r="WE32" s="412"/>
      <c r="WF32" s="417"/>
      <c r="WG32" s="412"/>
      <c r="WH32" s="417"/>
      <c r="WI32" s="412"/>
      <c r="WJ32" s="417"/>
      <c r="WK32" s="412"/>
      <c r="WL32" s="417"/>
      <c r="WM32" s="412"/>
      <c r="WN32" s="417"/>
      <c r="WO32" s="412"/>
      <c r="WP32" s="417"/>
      <c r="WQ32" s="412"/>
      <c r="WR32" s="417"/>
      <c r="WS32" s="412"/>
      <c r="WT32" s="417"/>
      <c r="WU32" s="412"/>
      <c r="WV32" s="417"/>
      <c r="WW32" s="412"/>
      <c r="WX32" s="417"/>
      <c r="WY32" s="412"/>
      <c r="WZ32" s="417"/>
      <c r="XA32" s="412"/>
      <c r="XB32" s="417"/>
      <c r="XC32" s="412"/>
      <c r="XD32" s="417"/>
      <c r="XE32" s="412"/>
      <c r="XF32" s="417"/>
      <c r="XG32" s="412"/>
      <c r="XH32" s="417"/>
      <c r="XI32" s="412"/>
      <c r="XJ32" s="417"/>
      <c r="XK32" s="412"/>
      <c r="XL32" s="417"/>
      <c r="XM32" s="412"/>
      <c r="XN32" s="417"/>
      <c r="XO32" s="412"/>
      <c r="XP32" s="417"/>
      <c r="XQ32" s="412"/>
      <c r="XR32" s="417"/>
      <c r="XS32" s="412"/>
      <c r="XT32" s="417"/>
      <c r="XU32" s="412"/>
      <c r="XV32" s="417"/>
      <c r="XW32" s="412"/>
      <c r="XX32" s="417"/>
      <c r="XY32" s="412"/>
      <c r="XZ32" s="417"/>
      <c r="YA32" s="412"/>
      <c r="YB32" s="417"/>
      <c r="YC32" s="412"/>
      <c r="YD32" s="417"/>
      <c r="YE32" s="412"/>
    </row>
    <row r="33" spans="1:655" ht="30" x14ac:dyDescent="0.2">
      <c r="A33" s="398"/>
      <c r="B33" s="396"/>
      <c r="C33" s="398"/>
      <c r="D33" s="396"/>
      <c r="E33" s="398"/>
      <c r="F33" s="396"/>
      <c r="G33" s="398"/>
      <c r="H33" s="396"/>
      <c r="I33" s="398"/>
      <c r="J33" s="396"/>
      <c r="K33" s="398"/>
      <c r="L33" s="396"/>
      <c r="M33" s="398"/>
      <c r="N33" s="396"/>
      <c r="O33" s="398"/>
      <c r="P33" s="396"/>
      <c r="Q33" s="398"/>
      <c r="R33" s="396"/>
      <c r="S33" s="398"/>
      <c r="T33" s="396"/>
      <c r="U33" s="398"/>
      <c r="V33" s="396"/>
      <c r="W33" s="398"/>
      <c r="X33" s="396"/>
      <c r="Y33" s="398"/>
      <c r="Z33" s="396"/>
      <c r="AA33" s="398"/>
      <c r="AB33" s="396"/>
      <c r="AC33" s="398"/>
      <c r="AD33" s="396"/>
      <c r="AE33" s="398"/>
      <c r="AF33" s="396"/>
      <c r="AG33" s="398"/>
      <c r="AH33" s="396"/>
      <c r="AI33" s="398"/>
      <c r="AJ33" s="396"/>
      <c r="AK33" s="398"/>
      <c r="AL33" s="396"/>
      <c r="AM33" s="398"/>
      <c r="AN33" s="396"/>
      <c r="AO33" s="398"/>
      <c r="AP33" s="396"/>
      <c r="AQ33" s="398"/>
      <c r="AR33" s="396"/>
      <c r="AS33" s="398"/>
      <c r="AT33" s="396"/>
      <c r="AU33" s="398"/>
      <c r="AV33" s="396"/>
      <c r="AW33" s="398"/>
      <c r="AX33" s="396"/>
      <c r="AY33" s="398"/>
      <c r="AZ33" s="396"/>
      <c r="BA33" s="398"/>
      <c r="BB33" s="396"/>
      <c r="BC33" s="398"/>
      <c r="BD33" s="396"/>
      <c r="BE33" s="398"/>
      <c r="BF33" s="396"/>
      <c r="BG33" s="398"/>
      <c r="BH33" s="396"/>
      <c r="BI33" s="398"/>
      <c r="BJ33" s="396"/>
      <c r="BK33" s="398"/>
      <c r="BL33" s="396"/>
      <c r="BM33" s="398"/>
      <c r="BN33" s="396"/>
      <c r="BO33" s="398"/>
      <c r="BP33" s="396"/>
      <c r="BQ33" s="398"/>
      <c r="BR33" s="396"/>
      <c r="BS33" s="398"/>
      <c r="BT33" s="396"/>
      <c r="BU33" s="398"/>
      <c r="BV33" s="396"/>
      <c r="BW33" s="398"/>
      <c r="BX33" s="396"/>
      <c r="BY33" s="398"/>
      <c r="BZ33" s="396"/>
      <c r="CA33" s="398"/>
      <c r="CB33" s="396"/>
      <c r="CC33" s="398"/>
      <c r="CD33" s="396"/>
      <c r="CE33" s="398"/>
      <c r="CF33" s="396"/>
      <c r="CG33" s="398"/>
      <c r="CH33" s="396"/>
      <c r="CI33" s="398"/>
      <c r="CJ33" s="396"/>
      <c r="CK33" s="398"/>
      <c r="CL33" s="396"/>
      <c r="CM33" s="398"/>
      <c r="CN33" s="396"/>
      <c r="CO33" s="398"/>
      <c r="CP33" s="396"/>
      <c r="CQ33" s="398"/>
      <c r="CR33" s="396"/>
      <c r="CS33" s="398"/>
      <c r="CT33" s="396"/>
      <c r="CU33" s="398"/>
      <c r="CV33" s="396"/>
      <c r="CW33" s="398"/>
      <c r="CX33" s="396"/>
      <c r="CY33" s="398"/>
      <c r="CZ33" s="396"/>
      <c r="DA33" s="398"/>
      <c r="DB33" s="396"/>
      <c r="DC33" s="398"/>
      <c r="DD33" s="396"/>
      <c r="DE33" s="398"/>
      <c r="DF33" s="396"/>
      <c r="DG33" s="398"/>
      <c r="DH33" s="396"/>
      <c r="DI33" s="398"/>
      <c r="DJ33" s="396"/>
      <c r="DK33" s="398"/>
      <c r="DL33" s="396"/>
      <c r="DM33" s="398"/>
      <c r="DN33" s="396"/>
      <c r="DO33" s="398"/>
      <c r="DP33" s="396"/>
      <c r="DQ33" s="398"/>
      <c r="DR33" s="396"/>
      <c r="DS33" s="398"/>
      <c r="DT33" s="396"/>
      <c r="DU33" s="398"/>
      <c r="DV33" s="396"/>
      <c r="DW33" s="398"/>
      <c r="DX33" s="396"/>
      <c r="DY33" s="398"/>
      <c r="DZ33" s="396"/>
      <c r="EA33" s="398"/>
      <c r="EB33" s="396"/>
      <c r="EC33" s="398"/>
      <c r="ED33" s="396"/>
      <c r="EE33" s="398"/>
      <c r="EF33" s="396"/>
      <c r="EG33" s="398"/>
      <c r="EH33" s="396"/>
      <c r="EI33" s="398"/>
      <c r="EJ33" s="396"/>
      <c r="EK33" s="398"/>
      <c r="EL33" s="396"/>
      <c r="EM33" s="398"/>
      <c r="EN33" s="396"/>
      <c r="EO33" s="398"/>
      <c r="EP33" s="396"/>
      <c r="EQ33" s="398"/>
      <c r="ER33" s="396"/>
      <c r="ES33" s="398"/>
      <c r="ET33" s="396"/>
      <c r="EU33" s="398"/>
      <c r="EV33" s="396"/>
      <c r="EW33" s="398"/>
      <c r="EX33" s="396"/>
      <c r="EY33" s="398"/>
      <c r="EZ33" s="396"/>
      <c r="FA33" s="398"/>
      <c r="FB33" s="396"/>
      <c r="FC33" s="398"/>
      <c r="FD33" s="396"/>
      <c r="FE33" s="398"/>
      <c r="FF33" s="396"/>
      <c r="FG33" s="398"/>
      <c r="FH33" s="344" t="s">
        <v>1661</v>
      </c>
      <c r="FI33" s="398"/>
      <c r="FJ33" s="396"/>
      <c r="FK33" s="398"/>
      <c r="FL33" s="396"/>
      <c r="FM33" s="398"/>
      <c r="FN33" s="396"/>
      <c r="FO33" s="398"/>
      <c r="FP33" s="396"/>
      <c r="FQ33" s="398"/>
      <c r="FR33" s="396"/>
      <c r="FS33" s="398"/>
      <c r="FT33" s="396"/>
      <c r="FU33" s="398"/>
      <c r="FV33" s="396"/>
      <c r="FW33" s="398"/>
      <c r="FX33" s="396"/>
      <c r="FY33" s="398"/>
      <c r="FZ33" s="396"/>
      <c r="GA33" s="398"/>
      <c r="GB33" s="396"/>
      <c r="GC33" s="398"/>
      <c r="GD33" s="396"/>
      <c r="GE33" s="398"/>
      <c r="GF33" s="396"/>
      <c r="GG33" s="398"/>
      <c r="GH33" s="396"/>
      <c r="GI33" s="398"/>
      <c r="GJ33" s="396"/>
      <c r="GK33" s="398"/>
      <c r="GL33" s="396"/>
      <c r="GM33" s="398"/>
      <c r="GN33" s="396"/>
      <c r="GO33" s="398"/>
      <c r="GP33" s="396"/>
      <c r="GQ33" s="398"/>
      <c r="GR33" s="417"/>
      <c r="GS33" s="398"/>
      <c r="GT33" s="396"/>
      <c r="GU33" s="398"/>
      <c r="GV33" s="396"/>
      <c r="GW33" s="398"/>
      <c r="GX33" s="396"/>
      <c r="GY33" s="398"/>
      <c r="GZ33" s="396"/>
      <c r="HA33" s="398"/>
      <c r="HB33" s="396"/>
      <c r="HC33" s="398"/>
      <c r="HD33" s="396"/>
      <c r="HE33" s="398"/>
      <c r="HF33" s="396"/>
      <c r="HG33" s="398"/>
      <c r="HH33" s="396"/>
      <c r="HI33" s="398"/>
      <c r="HJ33" s="396"/>
      <c r="HK33" s="398"/>
      <c r="HL33" s="396"/>
      <c r="HM33" s="398"/>
      <c r="HN33" s="396"/>
      <c r="HO33" s="398"/>
      <c r="HP33" s="396"/>
      <c r="HQ33" s="398"/>
      <c r="HR33" s="396"/>
      <c r="HS33" s="398"/>
      <c r="HT33" s="396"/>
      <c r="HU33" s="398"/>
      <c r="HV33" s="396"/>
      <c r="HW33" s="398"/>
      <c r="HX33" s="396"/>
      <c r="HY33" s="398"/>
      <c r="HZ33" s="396"/>
      <c r="IA33" s="398"/>
      <c r="IB33" s="396"/>
      <c r="IC33" s="398"/>
      <c r="ID33" s="396"/>
      <c r="IE33" s="398"/>
      <c r="IF33" s="396"/>
      <c r="IG33" s="398"/>
      <c r="IH33" s="396"/>
      <c r="II33" s="398"/>
      <c r="IJ33" s="396"/>
      <c r="IK33" s="398"/>
      <c r="IL33" s="396"/>
      <c r="IM33" s="398"/>
      <c r="IN33" s="396"/>
      <c r="IO33" s="398"/>
      <c r="IP33" s="396"/>
      <c r="IQ33" s="398"/>
      <c r="IR33" s="396"/>
      <c r="IS33" s="398"/>
      <c r="IT33" s="396"/>
      <c r="IU33" s="398"/>
      <c r="IV33" s="396"/>
      <c r="IW33" s="398"/>
      <c r="IX33" s="396"/>
      <c r="IY33" s="398"/>
      <c r="IZ33" s="344" t="s">
        <v>1735</v>
      </c>
      <c r="JA33" s="398"/>
      <c r="JB33" s="396"/>
      <c r="JC33" s="398"/>
      <c r="JD33" s="396"/>
      <c r="JE33" s="398"/>
      <c r="JF33" s="396"/>
      <c r="JG33" s="398"/>
      <c r="JH33" s="396"/>
      <c r="JI33" s="398"/>
      <c r="JJ33" s="396"/>
      <c r="JK33" s="398"/>
      <c r="JL33" s="396"/>
      <c r="JM33" s="398"/>
      <c r="JN33" s="396"/>
      <c r="JO33" s="398"/>
      <c r="JP33" s="396"/>
      <c r="JQ33" s="398"/>
      <c r="JR33" s="396"/>
      <c r="JS33" s="398"/>
      <c r="JT33" s="396"/>
      <c r="JU33" s="398"/>
      <c r="JV33" s="396"/>
      <c r="JW33" s="398"/>
      <c r="JX33" s="396"/>
      <c r="JY33" s="398"/>
      <c r="JZ33" s="396"/>
      <c r="KA33" s="398"/>
      <c r="KB33" s="396"/>
      <c r="KC33" s="398"/>
      <c r="KD33" s="396"/>
      <c r="KE33" s="398"/>
      <c r="KF33" s="396"/>
      <c r="KG33" s="398"/>
      <c r="KH33" s="396"/>
      <c r="KI33" s="398"/>
      <c r="KJ33" s="396"/>
      <c r="KK33" s="398"/>
      <c r="KL33" s="396"/>
      <c r="KM33" s="398"/>
      <c r="KN33" s="396"/>
      <c r="KO33" s="398"/>
      <c r="KP33" s="396"/>
      <c r="KQ33" s="398"/>
      <c r="KR33" s="396"/>
      <c r="KS33" s="398"/>
      <c r="KT33" s="396"/>
      <c r="KU33" s="398"/>
      <c r="KV33" s="396"/>
      <c r="KW33" s="398"/>
      <c r="KX33" s="396"/>
      <c r="KY33" s="398"/>
      <c r="KZ33" s="396"/>
      <c r="LA33" s="398"/>
      <c r="LB33" s="396"/>
      <c r="LC33" s="398"/>
      <c r="LD33" s="396"/>
      <c r="LE33" s="398"/>
      <c r="LF33" s="396"/>
      <c r="LG33" s="398"/>
      <c r="LH33" s="344" t="s">
        <v>1782</v>
      </c>
      <c r="LI33" s="398"/>
      <c r="LJ33" s="396"/>
      <c r="LK33" s="398"/>
      <c r="LL33" s="396"/>
      <c r="LM33" s="398"/>
      <c r="LN33" s="396"/>
      <c r="LO33" s="398"/>
      <c r="LP33" s="396"/>
      <c r="LQ33" s="398"/>
      <c r="LR33" s="396"/>
      <c r="LS33" s="398"/>
      <c r="LT33" s="396"/>
      <c r="LU33" s="398"/>
      <c r="LV33" s="396"/>
      <c r="LW33" s="398"/>
      <c r="LX33" s="396"/>
      <c r="LY33" s="398"/>
      <c r="LZ33" s="396"/>
      <c r="MA33" s="398"/>
      <c r="MB33" s="396"/>
      <c r="MC33" s="398"/>
      <c r="MD33" s="396"/>
      <c r="ME33" s="398"/>
      <c r="MF33" s="396"/>
      <c r="MG33" s="398"/>
      <c r="MH33" s="396"/>
      <c r="MI33" s="398"/>
      <c r="MJ33" s="396"/>
      <c r="MK33" s="398"/>
      <c r="ML33" s="396"/>
      <c r="MM33" s="398"/>
      <c r="MN33" s="396"/>
      <c r="MO33" s="398"/>
      <c r="MP33" s="396"/>
      <c r="MQ33" s="398"/>
      <c r="MR33" s="396"/>
      <c r="MS33" s="398"/>
      <c r="MT33" s="344" t="s">
        <v>1810</v>
      </c>
      <c r="MU33" s="398"/>
      <c r="MV33" s="396"/>
      <c r="MW33" s="398"/>
      <c r="MX33" s="396"/>
      <c r="MY33" s="398"/>
      <c r="MZ33" s="396"/>
      <c r="NA33" s="398"/>
      <c r="NB33" s="396"/>
      <c r="NC33" s="398"/>
      <c r="ND33" s="396"/>
      <c r="NE33" s="398"/>
      <c r="NF33" s="396"/>
      <c r="NG33" s="398"/>
      <c r="NH33" s="396"/>
      <c r="NI33" s="398"/>
      <c r="NJ33" s="396"/>
      <c r="NK33" s="398"/>
      <c r="NL33" s="396"/>
      <c r="NM33" s="398"/>
      <c r="NN33" s="396"/>
      <c r="NO33" s="398"/>
      <c r="NP33" s="396"/>
      <c r="NQ33" s="398"/>
      <c r="NR33" s="396"/>
      <c r="NS33" s="398"/>
      <c r="NT33" s="396"/>
      <c r="NU33" s="398"/>
      <c r="NV33" s="396"/>
      <c r="NW33" s="398"/>
      <c r="NX33" s="396"/>
      <c r="NY33" s="398"/>
      <c r="NZ33" s="396"/>
      <c r="OA33" s="398"/>
      <c r="OB33" s="396"/>
      <c r="OC33" s="398"/>
      <c r="OD33" s="396"/>
      <c r="OE33" s="398"/>
      <c r="OF33" s="396"/>
      <c r="OG33" s="398"/>
      <c r="OH33" s="396"/>
      <c r="OI33" s="398"/>
      <c r="OJ33" s="396"/>
      <c r="OK33" s="398"/>
      <c r="OL33" s="396"/>
      <c r="OM33" s="398"/>
      <c r="ON33" s="396"/>
      <c r="OO33" s="398"/>
      <c r="OP33" s="396"/>
      <c r="OQ33" s="398"/>
      <c r="OR33" s="396"/>
      <c r="OS33" s="398"/>
      <c r="OT33" s="396"/>
      <c r="OU33" s="398"/>
      <c r="OV33" s="396"/>
      <c r="OW33" s="398"/>
      <c r="OX33" s="396"/>
      <c r="OY33" s="398"/>
      <c r="OZ33" s="396"/>
      <c r="PA33" s="398"/>
      <c r="PB33" s="396"/>
      <c r="PC33" s="398"/>
      <c r="PD33" s="396"/>
      <c r="PE33" s="398"/>
      <c r="PF33" s="396"/>
      <c r="PG33" s="398"/>
      <c r="PH33" s="396"/>
      <c r="PI33" s="398"/>
      <c r="PJ33" s="396"/>
      <c r="PK33" s="398"/>
      <c r="PL33" s="396"/>
      <c r="PM33" s="398"/>
      <c r="PN33" s="396"/>
      <c r="PO33" s="398"/>
      <c r="PP33" s="396"/>
      <c r="PQ33" s="398"/>
      <c r="PR33" s="396"/>
      <c r="PS33" s="398"/>
      <c r="PT33" s="396"/>
      <c r="PU33" s="398"/>
      <c r="PV33" s="396"/>
      <c r="PW33" s="398"/>
      <c r="PX33" s="396"/>
      <c r="PY33" s="398"/>
      <c r="PZ33" s="396"/>
      <c r="QA33" s="398"/>
      <c r="QB33" s="396"/>
      <c r="QC33" s="398"/>
      <c r="QD33" s="396"/>
      <c r="QE33" s="398"/>
      <c r="QF33" s="396"/>
      <c r="QG33" s="398"/>
      <c r="QH33" s="396"/>
      <c r="QI33" s="398"/>
      <c r="QJ33" s="396"/>
      <c r="QK33" s="398"/>
      <c r="QL33" s="396"/>
      <c r="QM33" s="398"/>
      <c r="QN33" s="396"/>
      <c r="QO33" s="398"/>
      <c r="QP33" s="396"/>
      <c r="QQ33" s="398"/>
      <c r="QR33" s="396"/>
      <c r="QS33" s="398"/>
      <c r="QT33" s="396"/>
      <c r="QU33" s="398"/>
      <c r="QV33" s="396"/>
      <c r="QW33" s="398"/>
      <c r="QX33" s="396"/>
      <c r="QY33" s="398"/>
      <c r="QZ33" s="396"/>
      <c r="RA33" s="398"/>
      <c r="RB33" s="396"/>
      <c r="RC33" s="398"/>
      <c r="RD33" s="396"/>
      <c r="RE33" s="398"/>
      <c r="RF33" s="396"/>
      <c r="RG33" s="398"/>
      <c r="RH33" s="396"/>
      <c r="RI33" s="398"/>
      <c r="RJ33" s="396"/>
      <c r="RK33" s="398"/>
      <c r="RL33" s="396"/>
      <c r="RM33" s="398"/>
      <c r="RN33" s="396"/>
      <c r="RO33" s="398"/>
      <c r="RP33" s="396"/>
      <c r="RQ33" s="398"/>
      <c r="RR33" s="396"/>
      <c r="RS33" s="398"/>
      <c r="RT33" s="396"/>
      <c r="RU33" s="398"/>
      <c r="RV33" s="396"/>
      <c r="RW33" s="398"/>
      <c r="RX33" s="396"/>
      <c r="RY33" s="398"/>
      <c r="RZ33" s="396"/>
      <c r="SA33" s="398"/>
      <c r="SB33" s="396"/>
      <c r="SC33" s="398"/>
      <c r="SD33" s="396"/>
      <c r="SE33" s="398"/>
      <c r="SF33" s="396"/>
      <c r="SG33" s="398"/>
      <c r="SH33" s="396"/>
      <c r="SI33" s="398"/>
      <c r="SJ33" s="396"/>
      <c r="SK33" s="398"/>
      <c r="SL33" s="396"/>
      <c r="SM33" s="398"/>
      <c r="SN33" s="396"/>
      <c r="SO33" s="398"/>
      <c r="SP33" s="396"/>
      <c r="SQ33" s="398"/>
      <c r="SR33" s="396"/>
      <c r="SS33" s="398"/>
      <c r="ST33" s="396"/>
      <c r="SU33" s="398"/>
      <c r="SV33" s="396"/>
      <c r="SW33" s="398"/>
      <c r="SX33" s="396"/>
      <c r="SY33" s="398"/>
      <c r="SZ33" s="396"/>
      <c r="TA33" s="398"/>
      <c r="TB33" s="396"/>
      <c r="TC33" s="398"/>
      <c r="TD33" s="396"/>
      <c r="TE33" s="398"/>
      <c r="TF33" s="396"/>
      <c r="TG33" s="398"/>
      <c r="TH33" s="396"/>
      <c r="TI33" s="398"/>
      <c r="TJ33" s="396"/>
      <c r="TK33" s="398"/>
      <c r="TL33" s="344" t="s">
        <v>1932</v>
      </c>
      <c r="TM33" s="398"/>
      <c r="TN33" s="396"/>
      <c r="TO33" s="398"/>
      <c r="TP33" s="396"/>
      <c r="TQ33" s="398"/>
      <c r="TR33" s="396"/>
      <c r="TS33" s="398"/>
      <c r="TT33" s="417"/>
      <c r="TU33" s="398"/>
      <c r="TV33" s="396"/>
      <c r="TW33" s="398"/>
      <c r="TX33" s="396"/>
      <c r="TY33" s="398"/>
      <c r="TZ33" s="396"/>
      <c r="UA33" s="398"/>
      <c r="UB33" s="396"/>
      <c r="UC33" s="398"/>
      <c r="UD33" s="396"/>
      <c r="UE33" s="398"/>
      <c r="UF33" s="396"/>
      <c r="UG33" s="398"/>
      <c r="UH33" s="396"/>
      <c r="UI33" s="398"/>
      <c r="UJ33" s="396"/>
      <c r="UK33" s="398"/>
      <c r="UL33" s="396"/>
      <c r="UM33" s="398"/>
      <c r="UN33" s="344" t="s">
        <v>1944</v>
      </c>
      <c r="UO33" s="398"/>
      <c r="UP33" s="396"/>
      <c r="UQ33" s="398"/>
      <c r="UR33" s="396"/>
      <c r="US33" s="398"/>
      <c r="UT33" s="396"/>
      <c r="UU33" s="398"/>
      <c r="UV33" s="396"/>
      <c r="UW33" s="398"/>
      <c r="UX33" s="396"/>
      <c r="UY33" s="398"/>
      <c r="UZ33" s="396"/>
      <c r="VA33" s="398"/>
      <c r="VB33" s="396"/>
      <c r="VC33" s="398"/>
      <c r="VD33" s="396"/>
      <c r="VE33" s="398"/>
      <c r="VF33" s="396"/>
      <c r="VG33" s="398"/>
      <c r="VH33" s="396"/>
      <c r="VI33" s="398"/>
      <c r="VJ33" s="396"/>
      <c r="VK33" s="398"/>
      <c r="VL33" s="396"/>
      <c r="VM33" s="398"/>
      <c r="VN33" s="396"/>
      <c r="VO33" s="398"/>
      <c r="VP33" s="396"/>
      <c r="VQ33" s="398"/>
      <c r="VR33" s="396"/>
      <c r="VS33" s="398"/>
      <c r="VT33" s="396"/>
      <c r="VU33" s="398"/>
      <c r="VV33" s="396"/>
      <c r="VW33" s="398"/>
      <c r="VX33" s="396"/>
      <c r="VY33" s="398"/>
      <c r="VZ33" s="396"/>
      <c r="WA33" s="398"/>
      <c r="WB33" s="396"/>
      <c r="WC33" s="398"/>
      <c r="WD33" s="396"/>
      <c r="WE33" s="398"/>
      <c r="WF33" s="396"/>
      <c r="WG33" s="398"/>
      <c r="WH33" s="396"/>
      <c r="WI33" s="398"/>
      <c r="WJ33" s="396"/>
      <c r="WK33" s="398"/>
      <c r="WL33" s="396"/>
      <c r="WM33" s="398"/>
      <c r="WN33" s="396"/>
      <c r="WO33" s="398"/>
      <c r="WP33" s="396"/>
      <c r="WQ33" s="398"/>
      <c r="WR33" s="396"/>
      <c r="WS33" s="398"/>
      <c r="WT33" s="396"/>
      <c r="WU33" s="398"/>
      <c r="WV33" s="396"/>
      <c r="WW33" s="398"/>
      <c r="WX33" s="396"/>
      <c r="WY33" s="398"/>
      <c r="WZ33" s="396"/>
      <c r="XA33" s="398"/>
      <c r="XB33" s="396"/>
      <c r="XC33" s="398"/>
      <c r="XD33" s="396"/>
      <c r="XE33" s="398"/>
      <c r="XF33" s="396"/>
      <c r="XG33" s="398"/>
      <c r="XH33" s="396"/>
      <c r="XI33" s="398"/>
      <c r="XJ33" s="396"/>
      <c r="XK33" s="398"/>
      <c r="XL33" s="396"/>
      <c r="XM33" s="398"/>
      <c r="XN33" s="396"/>
      <c r="XO33" s="398"/>
      <c r="XP33" s="396"/>
      <c r="XQ33" s="398"/>
      <c r="XR33" s="396"/>
      <c r="XS33" s="398"/>
      <c r="XT33" s="396"/>
      <c r="XU33" s="398"/>
      <c r="XV33" s="396"/>
      <c r="XW33" s="398"/>
      <c r="XX33" s="396"/>
      <c r="XY33" s="398"/>
      <c r="XZ33" s="396"/>
      <c r="YA33" s="398"/>
      <c r="YB33" s="396"/>
      <c r="YC33" s="398"/>
      <c r="YD33" s="396"/>
      <c r="YE33" s="398"/>
    </row>
    <row r="34" spans="1:655" ht="15" x14ac:dyDescent="0.2">
      <c r="A34" s="426">
        <v>2024</v>
      </c>
      <c r="B34" s="536" t="s">
        <v>1550</v>
      </c>
      <c r="C34" s="473" t="str">
        <f ca="1">CHOOSE(WEEKDAY(DATE($A34,B$43,C$42),2),"Monday","Tuesday","Wednesday","Thursday","Friday","Saturday","Sunday")</f>
        <v>Monday</v>
      </c>
      <c r="D34" s="476" t="s">
        <v>22</v>
      </c>
      <c r="E34" s="473" t="s">
        <v>22</v>
      </c>
      <c r="F34" s="536" t="s">
        <v>1553</v>
      </c>
      <c r="G34" s="473" t="str">
        <f ca="1">CHOOSE(WEEKDAY(DATE($A34,F$43,G$42),2),"Monday","Tuesday","Wednesday","Thursday","Friday","Saturday","Sunday")</f>
        <v>Thursday</v>
      </c>
      <c r="H34" s="536" t="s">
        <v>1554</v>
      </c>
      <c r="I34" s="473" t="str">
        <f ca="1">CHOOSE(WEEKDAY(DATE($A34,H$43,I$42),2),"Monday","Tuesday","Wednesday","Thursday","Friday","Saturday","Sunday")</f>
        <v>Monday</v>
      </c>
      <c r="J34" s="476" t="s">
        <v>22</v>
      </c>
      <c r="K34" s="473" t="s">
        <v>22</v>
      </c>
      <c r="L34" s="476" t="s">
        <v>22</v>
      </c>
      <c r="M34" s="473" t="s">
        <v>22</v>
      </c>
      <c r="N34" s="536" t="s">
        <v>1559</v>
      </c>
      <c r="O34" s="473" t="str">
        <f ca="1">CHOOSE(WEEKDAY(DATE($A34,N$43,O$42),2),"Monday","Tuesday","Wednesday","Thursday","Friday","Saturday","Sunday")</f>
        <v>Friday</v>
      </c>
      <c r="P34" s="426" t="s">
        <v>22</v>
      </c>
      <c r="Q34" s="426" t="s">
        <v>22</v>
      </c>
      <c r="R34" s="476" t="s">
        <v>22</v>
      </c>
      <c r="S34" s="473" t="s">
        <v>22</v>
      </c>
      <c r="T34" s="476" t="s">
        <v>22</v>
      </c>
      <c r="U34" s="473" t="s">
        <v>22</v>
      </c>
      <c r="V34" s="536" t="s">
        <v>1568</v>
      </c>
      <c r="W34" s="473" t="str">
        <f ca="1">CHOOSE(WEEKDAY(DATE($A34,V$43,W$42),2),"Monday","Tuesday","Wednesday","Thursday","Friday","Saturday","Sunday")</f>
        <v>Tuesday</v>
      </c>
      <c r="X34" s="476" t="s">
        <v>22</v>
      </c>
      <c r="Y34" s="473" t="s">
        <v>22</v>
      </c>
      <c r="Z34" s="476" t="s">
        <v>22</v>
      </c>
      <c r="AA34" s="473" t="s">
        <v>22</v>
      </c>
      <c r="AB34" s="426" t="s">
        <v>22</v>
      </c>
      <c r="AC34" s="426" t="s">
        <v>22</v>
      </c>
      <c r="AD34" s="536" t="s">
        <v>1565</v>
      </c>
      <c r="AE34" s="473" t="str">
        <f ca="1">CHOOSE(WEEKDAY(DATE($A34,AD$43,AE$42),2),"Monday","Tuesday","Wednesday","Thursday","Friday","Saturday","Sunday")</f>
        <v>Saturday</v>
      </c>
      <c r="AF34" s="476" t="s">
        <v>22</v>
      </c>
      <c r="AG34" s="473" t="s">
        <v>22</v>
      </c>
      <c r="AH34" s="426" t="s">
        <v>22</v>
      </c>
      <c r="AI34" s="426" t="s">
        <v>22</v>
      </c>
      <c r="AJ34" s="476" t="s">
        <v>22</v>
      </c>
      <c r="AK34" s="473" t="s">
        <v>22</v>
      </c>
      <c r="AL34" s="536" t="s">
        <v>1571</v>
      </c>
      <c r="AM34" s="473" t="str">
        <f ca="1">CHOOSE(WEEKDAY(DATE($A34,AL$43,AM$42),2),"Monday","Tuesday","Wednesday","Thursday","Friday","Saturday","Sunday")</f>
        <v>Wednesday</v>
      </c>
      <c r="AN34" s="476" t="s">
        <v>22</v>
      </c>
      <c r="AO34" s="473" t="s">
        <v>22</v>
      </c>
      <c r="AP34" s="536" t="s">
        <v>1572</v>
      </c>
      <c r="AQ34" s="473" t="str">
        <f ca="1">CHOOSE(WEEKDAY(DATE($A34,AP$43,AQ$42),2),"Monday","Tuesday","Wednesday","Thursday","Friday","Saturday","Sunday")</f>
        <v>Friday</v>
      </c>
      <c r="AR34" s="476" t="s">
        <v>22</v>
      </c>
      <c r="AS34" s="473" t="s">
        <v>22</v>
      </c>
      <c r="AT34" s="536" t="s">
        <v>1574</v>
      </c>
      <c r="AU34" s="473" t="str">
        <f ca="1">CHOOSE(WEEKDAY(DATE($A34,AT$43,AU$42),2),"Monday","Tuesday","Wednesday","Thursday","Friday","Saturday","Sunday")</f>
        <v>Sunday</v>
      </c>
      <c r="AV34" s="476" t="s">
        <v>22</v>
      </c>
      <c r="AW34" s="473" t="s">
        <v>22</v>
      </c>
      <c r="AX34" s="537" t="s">
        <v>1577</v>
      </c>
      <c r="AY34" s="473" t="str">
        <f ca="1">CHOOSE(WEEKDAY(DATE($A34,AX$43,AY$42),2),"Monday","Tuesday","Wednesday","Thursday","Friday","Saturday","Sunday")</f>
        <v>Tuesday</v>
      </c>
      <c r="AZ34" s="537" t="s">
        <v>1580</v>
      </c>
      <c r="BA34" s="473" t="str">
        <f ca="1">CHOOSE(WEEKDAY(DATE($A34,AZ$43,BA$42),2),"Monday","Tuesday","Wednesday","Thursday","Friday","Saturday","Sunday")</f>
        <v>Thursday</v>
      </c>
      <c r="BB34" s="476" t="s">
        <v>22</v>
      </c>
      <c r="BC34" s="473" t="s">
        <v>22</v>
      </c>
      <c r="BD34" s="476" t="s">
        <v>22</v>
      </c>
      <c r="BE34" s="473" t="s">
        <v>22</v>
      </c>
      <c r="BF34" s="537" t="s">
        <v>1583</v>
      </c>
      <c r="BG34" s="473" t="str">
        <f ca="1">CHOOSE(WEEKDAY(DATE($A34,BF$43,BG$42),2),"Monday","Tuesday","Wednesday","Thursday","Friday","Saturday","Sunday")</f>
        <v>Sunday</v>
      </c>
      <c r="BH34" s="426" t="s">
        <v>22</v>
      </c>
      <c r="BI34" s="426" t="s">
        <v>22</v>
      </c>
      <c r="BJ34" s="476" t="s">
        <v>22</v>
      </c>
      <c r="BK34" s="473" t="s">
        <v>22</v>
      </c>
      <c r="BL34" s="426" t="s">
        <v>22</v>
      </c>
      <c r="BM34" s="473" t="s">
        <v>22</v>
      </c>
      <c r="BN34" s="537" t="s">
        <v>1589</v>
      </c>
      <c r="BO34" s="473" t="str">
        <f ca="1">CHOOSE(WEEKDAY(DATE($A34,BN$43,BO$42),2),"Monday","Tuesday","Wednesday","Thursday","Friday","Saturday","Sunday")</f>
        <v>Thursday</v>
      </c>
      <c r="BP34" s="334" t="s">
        <v>1915</v>
      </c>
      <c r="BQ34" s="473" t="str">
        <f ca="1">CHOOSE(WEEKDAY(DATE($A34,BP$43,BQ$42),2),"Monday","Tuesday","Wednesday","Thursday","Friday","Saturday","Sunday")</f>
        <v>Friday</v>
      </c>
      <c r="BR34" s="476" t="s">
        <v>22</v>
      </c>
      <c r="BS34" s="473" t="s">
        <v>22</v>
      </c>
      <c r="BT34" s="537" t="s">
        <v>2052</v>
      </c>
      <c r="BU34" s="473" t="str">
        <f ca="1">CHOOSE(WEEKDAY(DATE($A34,BT$43,BU$42),2),"Monday","Tuesday","Wednesday","Thursday","Friday","Saturday","Sunday")</f>
        <v>Sunday</v>
      </c>
      <c r="BV34" s="476" t="s">
        <v>22</v>
      </c>
      <c r="BW34" s="473" t="s">
        <v>22</v>
      </c>
      <c r="BX34" s="426" t="s">
        <v>22</v>
      </c>
      <c r="BY34" s="473" t="s">
        <v>22</v>
      </c>
      <c r="BZ34" s="537" t="s">
        <v>1595</v>
      </c>
      <c r="CA34" s="473" t="str">
        <f ca="1">CHOOSE(WEEKDAY(DATE($A34,BZ$43,CA$42),2),"Monday","Tuesday","Wednesday","Thursday","Friday","Saturday","Sunday")</f>
        <v>Wednesday</v>
      </c>
      <c r="CB34" s="537" t="s">
        <v>1597</v>
      </c>
      <c r="CC34" s="473" t="str">
        <f ca="1">CHOOSE(WEEKDAY(DATE($A34,CB$43,CC$42),2),"Monday","Tuesday","Wednesday","Thursday","Friday","Saturday","Sunday")</f>
        <v>Thursday</v>
      </c>
      <c r="CD34" s="537" t="s">
        <v>1599</v>
      </c>
      <c r="CE34" s="473" t="str">
        <f ca="1">CHOOSE(WEEKDAY(DATE($A34,CD$43,CE$42),2),"Monday","Tuesday","Wednesday","Thursday","Friday","Saturday","Sunday")</f>
        <v>Friday</v>
      </c>
      <c r="CF34" s="476" t="s">
        <v>22</v>
      </c>
      <c r="CG34" s="473" t="s">
        <v>22</v>
      </c>
      <c r="CH34" s="476" t="s">
        <v>22</v>
      </c>
      <c r="CI34" s="473" t="s">
        <v>22</v>
      </c>
      <c r="CJ34" s="537" t="s">
        <v>1606</v>
      </c>
      <c r="CK34" s="473" t="str">
        <f ca="1">CHOOSE(WEEKDAY(DATE($A34,CJ$43,CK$42),2),"Monday","Tuesday","Wednesday","Thursday","Friday","Saturday","Sunday")</f>
        <v>Monday</v>
      </c>
      <c r="CL34" s="476" t="s">
        <v>22</v>
      </c>
      <c r="CM34" s="473" t="s">
        <v>22</v>
      </c>
      <c r="CN34" s="537" t="s">
        <v>1603</v>
      </c>
      <c r="CO34" s="473" t="str">
        <f ca="1">CHOOSE(WEEKDAY(DATE($A34,CN$43,CO$42),2),"Monday","Tuesday","Wednesday","Thursday","Friday","Saturday","Sunday")</f>
        <v>Wednesday</v>
      </c>
      <c r="CP34" s="537" t="s">
        <v>1612</v>
      </c>
      <c r="CQ34" s="473" t="str">
        <f ca="1">CHOOSE(WEEKDAY(DATE($A34,CP$43,CQ$42),2),"Monday","Tuesday","Wednesday","Thursday","Friday","Saturday","Sunday")</f>
        <v>Thursday</v>
      </c>
      <c r="CR34" s="476" t="s">
        <v>22</v>
      </c>
      <c r="CS34" s="473" t="s">
        <v>22</v>
      </c>
      <c r="CT34" s="426" t="s">
        <v>22</v>
      </c>
      <c r="CU34" s="473" t="s">
        <v>22</v>
      </c>
      <c r="CV34" s="476" t="s">
        <v>22</v>
      </c>
      <c r="CW34" s="473" t="s">
        <v>22</v>
      </c>
      <c r="CX34" s="536" t="s">
        <v>1617</v>
      </c>
      <c r="CY34" s="473" t="str">
        <f ca="1">CHOOSE(WEEKDAY(DATE($A34,CX$43,CY$42),2),"Monday","Tuesday","Wednesday","Thursday","Friday","Saturday","Sunday")</f>
        <v>Monday</v>
      </c>
      <c r="CZ34" s="536" t="s">
        <v>1619</v>
      </c>
      <c r="DA34" s="473" t="str">
        <f ca="1">CHOOSE(WEEKDAY(DATE($A34,CZ$43,DA$42),2),"Monday","Tuesday","Wednesday","Thursday","Friday","Saturday","Sunday")</f>
        <v>Thursday</v>
      </c>
      <c r="DB34" s="537" t="s">
        <v>1621</v>
      </c>
      <c r="DC34" s="473" t="str">
        <f ca="1">CHOOSE(WEEKDAY(DATE($A34,DB$43,DC$42),2),"Monday","Tuesday","Wednesday","Thursday","Friday","Saturday","Sunday")</f>
        <v>Friday</v>
      </c>
      <c r="DD34" s="426" t="s">
        <v>22</v>
      </c>
      <c r="DE34" s="473" t="s">
        <v>22</v>
      </c>
      <c r="DF34" s="476" t="s">
        <v>22</v>
      </c>
      <c r="DG34" s="473" t="s">
        <v>22</v>
      </c>
      <c r="DH34" s="426" t="s">
        <v>22</v>
      </c>
      <c r="DI34" s="473" t="s">
        <v>22</v>
      </c>
      <c r="DJ34" s="536" t="s">
        <v>1623</v>
      </c>
      <c r="DK34" s="473" t="str">
        <f ca="1">CHOOSE(WEEKDAY(DATE($A34,DJ$43,DK$42),2),"Monday","Tuesday","Wednesday","Thursday","Friday","Saturday","Sunday")</f>
        <v>Tuesday</v>
      </c>
      <c r="DL34" s="537" t="s">
        <v>1626</v>
      </c>
      <c r="DM34" s="473" t="str">
        <f ca="1">CHOOSE(WEEKDAY(DATE($A34,DL$43,DM$42),2),"Monday","Tuesday","Wednesday","Thursday","Friday","Saturday","Sunday")</f>
        <v>Wednesday</v>
      </c>
      <c r="DN34" s="536" t="s">
        <v>1627</v>
      </c>
      <c r="DO34" s="473" t="str">
        <f ca="1">CHOOSE(WEEKDAY(DATE($A34,DN$43,DO$42),2),"Monday","Tuesday","Wednesday","Thursday","Friday","Saturday","Sunday")</f>
        <v>Thursday</v>
      </c>
      <c r="DP34" s="426" t="s">
        <v>22</v>
      </c>
      <c r="DQ34" s="473" t="s">
        <v>22</v>
      </c>
      <c r="DR34" s="536" t="s">
        <v>1630</v>
      </c>
      <c r="DS34" s="473" t="str">
        <f ca="1">CHOOSE(WEEKDAY(DATE($A34,DR$43,DS$42),2),"Monday","Tuesday","Wednesday","Thursday","Friday","Saturday","Sunday")</f>
        <v>Saturday</v>
      </c>
      <c r="DT34" s="476" t="s">
        <v>22</v>
      </c>
      <c r="DU34" s="473" t="s">
        <v>22</v>
      </c>
      <c r="DV34" s="536" t="s">
        <v>1790</v>
      </c>
      <c r="DW34" s="473" t="str">
        <f ca="1">CHOOSE(WEEKDAY(DATE($A34,DV$43,DW$42),2),"Monday","Tuesday","Wednesday","Thursday","Friday","Saturday","Sunday")</f>
        <v>Monday</v>
      </c>
      <c r="DX34" s="536" t="s">
        <v>1634</v>
      </c>
      <c r="DY34" s="473" t="str">
        <f ca="1">CHOOSE(WEEKDAY(DATE($A34,DX$43,DY$42),2),"Monday","Tuesday","Wednesday","Thursday","Friday","Saturday","Sunday")</f>
        <v>Wednesday</v>
      </c>
      <c r="DZ34" s="476" t="s">
        <v>22</v>
      </c>
      <c r="EA34" s="473" t="s">
        <v>22</v>
      </c>
      <c r="EB34" s="536" t="s">
        <v>1638</v>
      </c>
      <c r="EC34" s="473" t="str">
        <f ca="1">CHOOSE(WEEKDAY(DATE($A34,EB$43,EC$42),2),"Monday","Tuesday","Wednesday","Thursday","Friday","Saturday","Sunday")</f>
        <v>Friday</v>
      </c>
      <c r="ED34" s="536" t="s">
        <v>1637</v>
      </c>
      <c r="EE34" s="473" t="str">
        <f ca="1">CHOOSE(WEEKDAY(DATE($A34,ED$43,EE$42),2),"Monday","Tuesday","Wednesday","Thursday","Friday","Saturday","Sunday")</f>
        <v>Saturday</v>
      </c>
      <c r="EF34" s="476" t="s">
        <v>22</v>
      </c>
      <c r="EG34" s="473" t="s">
        <v>22</v>
      </c>
      <c r="EH34" s="426" t="s">
        <v>22</v>
      </c>
      <c r="EI34" s="473" t="s">
        <v>22</v>
      </c>
      <c r="EJ34" s="476" t="s">
        <v>22</v>
      </c>
      <c r="EK34" s="473" t="s">
        <v>22</v>
      </c>
      <c r="EL34" s="536" t="s">
        <v>1648</v>
      </c>
      <c r="EM34" s="473" t="str">
        <f ca="1">CHOOSE(WEEKDAY(DATE($A34,EL$43,EM$42),2),"Monday","Tuesday","Wednesday","Thursday","Friday","Saturday","Sunday")</f>
        <v>Wednesday</v>
      </c>
      <c r="EN34" s="536" t="s">
        <v>1646</v>
      </c>
      <c r="EO34" s="473" t="str">
        <f ca="1">CHOOSE(WEEKDAY(DATE($A34,EN$43,EO$42),2),"Monday","Tuesday","Wednesday","Thursday","Friday","Saturday","Sunday")</f>
        <v>Thursday</v>
      </c>
      <c r="EP34" s="426" t="s">
        <v>22</v>
      </c>
      <c r="EQ34" s="473" t="s">
        <v>22</v>
      </c>
      <c r="ER34" s="536" t="s">
        <v>1649</v>
      </c>
      <c r="ES34" s="473" t="str">
        <f ca="1">CHOOSE(WEEKDAY(DATE($A34,ER$43,ES$42),2),"Monday","Tuesday","Wednesday","Thursday","Friday","Saturday","Sunday")</f>
        <v>Saturday</v>
      </c>
      <c r="ET34" s="426" t="s">
        <v>22</v>
      </c>
      <c r="EU34" s="426" t="s">
        <v>22</v>
      </c>
      <c r="EV34" s="476" t="s">
        <v>22</v>
      </c>
      <c r="EW34" s="473" t="s">
        <v>22</v>
      </c>
      <c r="EX34" s="426" t="s">
        <v>22</v>
      </c>
      <c r="EY34" s="426" t="s">
        <v>22</v>
      </c>
      <c r="EZ34" s="536" t="s">
        <v>1653</v>
      </c>
      <c r="FA34" s="473" t="str">
        <f ca="1">CHOOSE(WEEKDAY(DATE($A34,EZ$43,FA$42),2),"Monday","Tuesday","Wednesday","Thursday","Friday","Saturday","Sunday")</f>
        <v>Wednesday</v>
      </c>
      <c r="FB34" s="536" t="s">
        <v>1656</v>
      </c>
      <c r="FC34" s="473" t="str">
        <f ca="1">CHOOSE(WEEKDAY(DATE($A34,FB$43,FC$42),2),"Monday","Tuesday","Wednesday","Thursday","Friday","Saturday","Sunday")</f>
        <v>Thursday</v>
      </c>
      <c r="FD34" s="536" t="s">
        <v>1661</v>
      </c>
      <c r="FE34" s="473" t="str">
        <f ca="1">CHOOSE(WEEKDAY(DATE($A34,FD$43,FE$42),2),"Monday","Tuesday","Wednesday","Thursday","Friday","Saturday","Sunday")</f>
        <v>Friday</v>
      </c>
      <c r="FF34" s="426" t="s">
        <v>22</v>
      </c>
      <c r="FG34" s="426" t="s">
        <v>22</v>
      </c>
      <c r="FH34" s="476" t="s">
        <v>22</v>
      </c>
      <c r="FI34" s="473" t="s">
        <v>22</v>
      </c>
      <c r="FJ34" s="536" t="s">
        <v>1660</v>
      </c>
      <c r="FK34" s="473" t="str">
        <f ca="1">CHOOSE(WEEKDAY(DATE($A34,FJ$43,FK$42),2),"Monday","Tuesday","Wednesday","Thursday","Friday","Saturday","Sunday")</f>
        <v>Monday</v>
      </c>
      <c r="FL34" s="476" t="s">
        <v>22</v>
      </c>
      <c r="FM34" s="473" t="s">
        <v>22</v>
      </c>
      <c r="FN34" s="476" t="s">
        <v>22</v>
      </c>
      <c r="FO34" s="426" t="s">
        <v>22</v>
      </c>
      <c r="FP34" s="536" t="s">
        <v>1667</v>
      </c>
      <c r="FQ34" s="473" t="str">
        <f ca="1">CHOOSE(WEEKDAY(DATE($A34,FP$43,FQ$42),2),"Monday","Tuesday","Wednesday","Thursday","Friday","Saturday","Sunday")</f>
        <v>Friday</v>
      </c>
      <c r="FR34" s="476" t="s">
        <v>22</v>
      </c>
      <c r="FS34" s="473" t="s">
        <v>22</v>
      </c>
      <c r="FT34" s="476" t="s">
        <v>22</v>
      </c>
      <c r="FU34" s="426" t="s">
        <v>22</v>
      </c>
      <c r="FV34" s="476" t="s">
        <v>22</v>
      </c>
      <c r="FW34" s="473" t="s">
        <v>22</v>
      </c>
      <c r="FX34" s="536" t="s">
        <v>1671</v>
      </c>
      <c r="FY34" s="473" t="str">
        <f ca="1">CHOOSE(WEEKDAY(DATE($A34,FX$43,FY$42),2),"Monday","Tuesday","Wednesday","Thursday","Friday","Saturday","Sunday")</f>
        <v>Tuesday</v>
      </c>
      <c r="FZ34" s="476" t="s">
        <v>22</v>
      </c>
      <c r="GA34" s="473" t="s">
        <v>22</v>
      </c>
      <c r="GB34" s="536" t="s">
        <v>2015</v>
      </c>
      <c r="GC34" s="473" t="str">
        <f ca="1">CHOOSE(WEEKDAY(DATE($A34,GB$43,GC$42),2),"Monday","Tuesday","Wednesday","Thursday","Friday","Saturday","Sunday")</f>
        <v>Friday</v>
      </c>
      <c r="GD34" s="536" t="s">
        <v>2053</v>
      </c>
      <c r="GE34" s="473" t="str">
        <f ca="1">CHOOSE(WEEKDAY(DATE($A34,GD$43,GE$42),2),"Monday","Tuesday","Wednesday","Thursday","Friday","Saturday","Sunday")</f>
        <v>Saturday</v>
      </c>
      <c r="GF34" s="476" t="s">
        <v>22</v>
      </c>
      <c r="GG34" s="473" t="s">
        <v>22</v>
      </c>
      <c r="GH34" s="536" t="s">
        <v>1678</v>
      </c>
      <c r="GI34" s="473" t="str">
        <f ca="1">CHOOSE(WEEKDAY(DATE($A34,GH$43,GI$42),2),"Monday","Tuesday","Wednesday","Thursday","Friday","Saturday","Sunday")</f>
        <v>Wednesday</v>
      </c>
      <c r="GJ34" s="476" t="s">
        <v>22</v>
      </c>
      <c r="GK34" s="473" t="s">
        <v>22</v>
      </c>
      <c r="GL34" s="536" t="s">
        <v>1683</v>
      </c>
      <c r="GM34" s="473" t="str">
        <f ca="1">CHOOSE(WEEKDAY(DATE($A34,GL$43,GM$42),2),"Monday","Tuesday","Wednesday","Thursday","Friday","Saturday","Sunday")</f>
        <v>Saturday</v>
      </c>
      <c r="GN34" s="476" t="s">
        <v>22</v>
      </c>
      <c r="GO34" s="473" t="s">
        <v>22</v>
      </c>
      <c r="GP34" s="536" t="s">
        <v>1686</v>
      </c>
      <c r="GQ34" s="473" t="str">
        <f ca="1">CHOOSE(WEEKDAY(DATE($A34,GP$43,GQ$42),2),"Monday","Tuesday","Wednesday","Thursday","Friday","Saturday","Sunday")</f>
        <v>Tuesday</v>
      </c>
      <c r="GR34" s="536" t="s">
        <v>1688</v>
      </c>
      <c r="GS34" s="473" t="str">
        <f ca="1">CHOOSE(WEEKDAY(DATE($A34,GR$43,GS$42),2),"Monday","Tuesday","Wednesday","Thursday","Friday","Saturday","Sunday")</f>
        <v>Wednesday</v>
      </c>
      <c r="GT34" s="536" t="s">
        <v>1690</v>
      </c>
      <c r="GU34" s="473" t="str">
        <f ca="1">CHOOSE(WEEKDAY(DATE($A34,GT$43,GU$42),2),"Monday","Tuesday","Wednesday","Thursday","Friday","Saturday","Sunday")</f>
        <v>Thursday</v>
      </c>
      <c r="GV34" s="536" t="s">
        <v>1711</v>
      </c>
      <c r="GW34" s="473" t="str">
        <f ca="1">CHOOSE(WEEKDAY(DATE($A34,GV$43,GW$42),2),"Monday","Tuesday","Wednesday","Thursday","Friday","Saturday","Sunday")</f>
        <v>Friday</v>
      </c>
      <c r="GX34" s="536" t="s">
        <v>1691</v>
      </c>
      <c r="GY34" s="473" t="str">
        <f ca="1">CHOOSE(WEEKDAY(DATE($A34,GX$43,GY$42),2),"Monday","Tuesday","Wednesday","Thursday","Friday","Saturday","Sunday")</f>
        <v>Saturday</v>
      </c>
      <c r="GZ34" s="476" t="s">
        <v>22</v>
      </c>
      <c r="HA34" s="473" t="s">
        <v>22</v>
      </c>
      <c r="HB34" s="536" t="s">
        <v>1692</v>
      </c>
      <c r="HC34" s="473" t="str">
        <f ca="1">CHOOSE(WEEKDAY(DATE($A34,HB$43,HC$42),2),"Monday","Tuesday","Wednesday","Thursday","Friday","Saturday","Sunday")</f>
        <v>Monday</v>
      </c>
      <c r="HD34" s="476" t="s">
        <v>22</v>
      </c>
      <c r="HE34" s="426" t="s">
        <v>22</v>
      </c>
      <c r="HF34" s="536" t="s">
        <v>1698</v>
      </c>
      <c r="HG34" s="473" t="str">
        <f ca="1">CHOOSE(WEEKDAY(DATE($A34,HF$43,HG$42),2),"Monday","Tuesday","Wednesday","Thursday","Friday","Saturday","Sunday")</f>
        <v>Wednesday</v>
      </c>
      <c r="HH34" s="476" t="s">
        <v>22</v>
      </c>
      <c r="HI34" s="473" t="s">
        <v>22</v>
      </c>
      <c r="HJ34" s="476" t="s">
        <v>22</v>
      </c>
      <c r="HK34" s="473" t="s">
        <v>22</v>
      </c>
      <c r="HL34" s="536" t="s">
        <v>1706</v>
      </c>
      <c r="HM34" s="473" t="str">
        <f ca="1">CHOOSE(WEEKDAY(DATE($A34,HL$43,HM$42),2),"Monday","Tuesday","Wednesday","Thursday","Friday","Saturday","Sunday")</f>
        <v>Saturday</v>
      </c>
      <c r="HN34" s="476" t="s">
        <v>22</v>
      </c>
      <c r="HO34" s="473" t="s">
        <v>22</v>
      </c>
      <c r="HP34" s="536" t="s">
        <v>1711</v>
      </c>
      <c r="HQ34" s="473" t="str">
        <f ca="1">CHOOSE(WEEKDAY(DATE($A34,HP$43,HQ$42),2),"Monday","Tuesday","Wednesday","Thursday","Friday","Saturday","Sunday")</f>
        <v>Monday</v>
      </c>
      <c r="HR34" s="536" t="s">
        <v>1709</v>
      </c>
      <c r="HS34" s="473" t="str">
        <f ca="1">CHOOSE(WEEKDAY(DATE($A34,HR$43,HS$42),2),"Monday","Tuesday","Wednesday","Thursday","Friday","Saturday","Sunday")</f>
        <v>Tuesday</v>
      </c>
      <c r="HT34" s="536" t="s">
        <v>1711</v>
      </c>
      <c r="HU34" s="473" t="str">
        <f ca="1">CHOOSE(WEEKDAY(DATE($A34,HT$43,HU$42),2),"Monday","Tuesday","Wednesday","Thursday","Friday","Saturday","Sunday")</f>
        <v>Wednesday</v>
      </c>
      <c r="HV34" s="476" t="s">
        <v>22</v>
      </c>
      <c r="HW34" s="473" t="s">
        <v>22</v>
      </c>
      <c r="HX34" s="536" t="s">
        <v>1713</v>
      </c>
      <c r="HY34" s="473" t="str">
        <f ca="1">CHOOSE(WEEKDAY(DATE($A34,HX$43,HY$42),2),"Monday","Tuesday","Wednesday","Thursday","Friday","Saturday","Sunday")</f>
        <v>Friday</v>
      </c>
      <c r="HZ34" s="426" t="s">
        <v>22</v>
      </c>
      <c r="IA34" s="426" t="s">
        <v>22</v>
      </c>
      <c r="IB34" s="536" t="s">
        <v>1714</v>
      </c>
      <c r="IC34" s="473" t="str">
        <f ca="1">CHOOSE(WEEKDAY(DATE($A34,IB$43,IC$42),2),"Monday","Tuesday","Wednesday","Thursday","Friday","Saturday","Sunday")</f>
        <v>Monday</v>
      </c>
      <c r="ID34" s="426" t="s">
        <v>22</v>
      </c>
      <c r="IE34" s="426" t="s">
        <v>22</v>
      </c>
      <c r="IF34" s="476" t="s">
        <v>22</v>
      </c>
      <c r="IG34" s="473" t="s">
        <v>22</v>
      </c>
      <c r="IH34" s="426" t="s">
        <v>22</v>
      </c>
      <c r="II34" s="426" t="s">
        <v>22</v>
      </c>
      <c r="IJ34" s="536" t="s">
        <v>1722</v>
      </c>
      <c r="IK34" s="473" t="str">
        <f ca="1">CHOOSE(WEEKDAY(DATE($A34,IJ$43,IK$42),2),"Monday","Tuesday","Wednesday","Thursday","Friday","Saturday","Sunday")</f>
        <v>Friday</v>
      </c>
      <c r="IL34" s="536" t="s">
        <v>1721</v>
      </c>
      <c r="IM34" s="473" t="str">
        <f ca="1">CHOOSE(WEEKDAY(DATE($A34,IL$43,IM$42),2),"Monday","Tuesday","Wednesday","Thursday","Friday","Saturday","Sunday")</f>
        <v>Saturday</v>
      </c>
      <c r="IN34" s="476" t="s">
        <v>22</v>
      </c>
      <c r="IO34" s="473" t="s">
        <v>22</v>
      </c>
      <c r="IP34" s="476" t="s">
        <v>22</v>
      </c>
      <c r="IQ34" s="473" t="s">
        <v>22</v>
      </c>
      <c r="IR34" s="536" t="s">
        <v>1723</v>
      </c>
      <c r="IS34" s="473" t="str">
        <f ca="1">CHOOSE(WEEKDAY(DATE($A34,IR$43,IS$42),2),"Monday","Tuesday","Wednesday","Thursday","Friday","Saturday","Sunday")</f>
        <v>Wednesday</v>
      </c>
      <c r="IT34" s="536" t="s">
        <v>1727</v>
      </c>
      <c r="IU34" s="473" t="str">
        <f ca="1">CHOOSE(WEEKDAY(DATE($A34,IT$43,IU$42),2),"Monday","Tuesday","Wednesday","Thursday","Friday","Saturday","Sunday")</f>
        <v>Thursday</v>
      </c>
      <c r="IV34" s="536" t="s">
        <v>1728</v>
      </c>
      <c r="IW34" s="473" t="str">
        <f ca="1">CHOOSE(WEEKDAY(DATE($A34,IV$43,IW$42),2),"Monday","Tuesday","Wednesday","Thursday","Friday","Saturday","Sunday")</f>
        <v>Friday</v>
      </c>
      <c r="IX34" s="476" t="s">
        <v>22</v>
      </c>
      <c r="IY34" s="473" t="s">
        <v>22</v>
      </c>
      <c r="IZ34" s="476" t="s">
        <v>22</v>
      </c>
      <c r="JA34" s="473" t="s">
        <v>22</v>
      </c>
      <c r="JB34" s="536" t="s">
        <v>1736</v>
      </c>
      <c r="JC34" s="473" t="str">
        <f ca="1">CHOOSE(WEEKDAY(DATE($A34,JB$43,JC$42),2),"Monday","Tuesday","Wednesday","Thursday","Friday","Saturday","Sunday")</f>
        <v>Monday</v>
      </c>
      <c r="JD34" s="536" t="s">
        <v>1738</v>
      </c>
      <c r="JE34" s="473" t="str">
        <f ca="1">CHOOSE(WEEKDAY(DATE($A34,JD$43,JE$42),2),"Monday","Tuesday","Wednesday","Thursday","Friday","Saturday","Sunday")</f>
        <v>Tuesday</v>
      </c>
      <c r="JF34" s="536" t="s">
        <v>1741</v>
      </c>
      <c r="JG34" s="473" t="str">
        <f ca="1">CHOOSE(WEEKDAY(DATE($A34,JF$43,JG$42),2),"Monday","Tuesday","Wednesday","Thursday","Friday","Saturday","Sunday")</f>
        <v>Wednesday</v>
      </c>
      <c r="JH34" s="536" t="s">
        <v>1742</v>
      </c>
      <c r="JI34" s="473" t="str">
        <f ca="1">CHOOSE(WEEKDAY(DATE($A34,JH$43,JI$42),2),"Monday","Tuesday","Wednesday","Thursday","Friday","Saturday","Sunday")</f>
        <v>Friday</v>
      </c>
      <c r="JJ34" s="536" t="s">
        <v>1744</v>
      </c>
      <c r="JK34" s="473" t="str">
        <f ca="1">CHOOSE(WEEKDAY(DATE($A34,JJ$43,JK$42),2),"Monday","Tuesday","Wednesday","Thursday","Friday","Saturday","Sunday")</f>
        <v>Saturday</v>
      </c>
      <c r="JL34" s="476" t="s">
        <v>22</v>
      </c>
      <c r="JM34" s="473" t="s">
        <v>22</v>
      </c>
      <c r="JN34" s="476" t="s">
        <v>22</v>
      </c>
      <c r="JO34" s="473" t="s">
        <v>22</v>
      </c>
      <c r="JP34" s="476" t="s">
        <v>22</v>
      </c>
      <c r="JQ34" s="426" t="s">
        <v>22</v>
      </c>
      <c r="JR34" s="536" t="s">
        <v>2006</v>
      </c>
      <c r="JS34" s="473" t="str">
        <f ca="1">CHOOSE(WEEKDAY(DATE($A34,JR$43,JS$42),2),"Monday","Tuesday","Wednesday","Thursday","Friday","Saturday","Sunday")</f>
        <v>Wednesday</v>
      </c>
      <c r="JT34" s="536" t="s">
        <v>2006</v>
      </c>
      <c r="JU34" s="473" t="str">
        <f ca="1">CHOOSE(WEEKDAY(DATE($A34,JT$43,JU$42),2),"Monday","Tuesday","Wednesday","Thursday","Friday","Saturday","Sunday")</f>
        <v>Thursday</v>
      </c>
      <c r="JV34" s="476" t="s">
        <v>22</v>
      </c>
      <c r="JW34" s="473" t="s">
        <v>22</v>
      </c>
      <c r="JX34" s="536" t="s">
        <v>1750</v>
      </c>
      <c r="JY34" s="473" t="str">
        <f ca="1">CHOOSE(WEEKDAY(DATE($A34,JX$43,JY$42),2),"Monday","Tuesday","Wednesday","Thursday","Friday","Saturday","Sunday")</f>
        <v>Sunday</v>
      </c>
      <c r="JZ34" s="536" t="s">
        <v>1751</v>
      </c>
      <c r="KA34" s="473" t="str">
        <f ca="1">CHOOSE(WEEKDAY(DATE($A34,JZ$43,KA$42),2),"Monday","Tuesday","Wednesday","Thursday","Friday","Saturday","Sunday")</f>
        <v>Monday</v>
      </c>
      <c r="KB34" s="426" t="s">
        <v>22</v>
      </c>
      <c r="KC34" s="473" t="s">
        <v>22</v>
      </c>
      <c r="KD34" s="536" t="s">
        <v>1752</v>
      </c>
      <c r="KE34" s="473" t="str">
        <f ca="1">CHOOSE(WEEKDAY(DATE($A34,KD$43,KE$42),2),"Monday","Tuesday","Wednesday","Thursday","Friday","Saturday","Sunday")</f>
        <v>Wednesday</v>
      </c>
      <c r="KF34" s="426" t="s">
        <v>22</v>
      </c>
      <c r="KG34" s="426" t="s">
        <v>22</v>
      </c>
      <c r="KH34" s="536" t="s">
        <v>1760</v>
      </c>
      <c r="KI34" s="473" t="str">
        <f ca="1">CHOOSE(WEEKDAY(DATE($A34,KH$43,KI$42),2),"Monday","Tuesday","Wednesday","Thursday","Friday","Saturday","Sunday")</f>
        <v>Friday</v>
      </c>
      <c r="KJ34" s="536" t="s">
        <v>1758</v>
      </c>
      <c r="KK34" s="473" t="str">
        <f ca="1">CHOOSE(WEEKDAY(DATE($A34,KJ$43,KK$42),2),"Monday","Tuesday","Wednesday","Thursday","Friday","Saturday","Sunday")</f>
        <v>Saturday</v>
      </c>
      <c r="KL34" s="476" t="s">
        <v>22</v>
      </c>
      <c r="KM34" s="473" t="s">
        <v>22</v>
      </c>
      <c r="KN34" s="426" t="s">
        <v>22</v>
      </c>
      <c r="KO34" s="426" t="s">
        <v>22</v>
      </c>
      <c r="KP34" s="536" t="s">
        <v>1764</v>
      </c>
      <c r="KQ34" s="473" t="str">
        <f ca="1">CHOOSE(WEEKDAY(DATE($A34,KP$43,KQ$42),2),"Monday","Tuesday","Wednesday","Thursday","Friday","Saturday","Sunday")</f>
        <v>Wednesday</v>
      </c>
      <c r="KR34" s="426" t="s">
        <v>22</v>
      </c>
      <c r="KS34" s="473" t="s">
        <v>22</v>
      </c>
      <c r="KT34" s="426" t="s">
        <v>22</v>
      </c>
      <c r="KU34" s="473" t="s">
        <v>22</v>
      </c>
      <c r="KV34" s="536" t="s">
        <v>1770</v>
      </c>
      <c r="KW34" s="473" t="str">
        <f ca="1">CHOOSE(WEEKDAY(DATE($A34,KV$43,KW$42),2),"Monday","Tuesday","Wednesday","Thursday","Friday","Saturday","Sunday")</f>
        <v>Sunday</v>
      </c>
      <c r="KX34" s="476" t="s">
        <v>22</v>
      </c>
      <c r="KY34" s="473" t="s">
        <v>22</v>
      </c>
      <c r="KZ34" s="426" t="s">
        <v>22</v>
      </c>
      <c r="LA34" s="426" t="s">
        <v>22</v>
      </c>
      <c r="LB34" s="536" t="s">
        <v>1761</v>
      </c>
      <c r="LC34" s="473" t="str">
        <f ca="1">CHOOSE(WEEKDAY(DATE($A34,LB$43,LC$42),2),"Monday","Tuesday","Wednesday","Thursday","Friday","Saturday","Sunday")</f>
        <v>Wednesday</v>
      </c>
      <c r="LD34" s="536" t="s">
        <v>1778</v>
      </c>
      <c r="LE34" s="473" t="str">
        <f ca="1">CHOOSE(WEEKDAY(DATE($A34,LD$43,LE$42),2),"Monday","Tuesday","Wednesday","Thursday","Friday","Saturday","Sunday")</f>
        <v>Thursday</v>
      </c>
      <c r="LF34" s="536" t="s">
        <v>1772</v>
      </c>
      <c r="LG34" s="473" t="str">
        <f ca="1">CHOOSE(WEEKDAY(DATE($A34,LF$43,LG$42),2),"Monday","Tuesday","Wednesday","Thursday","Friday","Saturday","Sunday")</f>
        <v>Friday</v>
      </c>
      <c r="LH34" s="476" t="s">
        <v>22</v>
      </c>
      <c r="LI34" s="473" t="s">
        <v>22</v>
      </c>
      <c r="LJ34" s="333" t="s">
        <v>1786</v>
      </c>
      <c r="LK34" s="473" t="str">
        <f ca="1">CHOOSE(WEEKDAY(DATE($A34,LJ$43,LK$42),2),"Monday","Tuesday","Wednesday","Thursday","Friday","Saturday","Sunday")</f>
        <v>Monday</v>
      </c>
      <c r="LL34" s="476" t="s">
        <v>22</v>
      </c>
      <c r="LM34" s="426" t="s">
        <v>22</v>
      </c>
      <c r="LN34" s="536" t="s">
        <v>1783</v>
      </c>
      <c r="LO34" s="473" t="str">
        <f ca="1">CHOOSE(WEEKDAY(DATE($A34,LN$43,LO$42),2),"Monday","Tuesday","Wednesday","Thursday","Friday","Saturday","Sunday")</f>
        <v>Wednesday</v>
      </c>
      <c r="LP34" s="536" t="s">
        <v>1788</v>
      </c>
      <c r="LQ34" s="473" t="str">
        <f ca="1">CHOOSE(WEEKDAY(DATE($A34,LP$43,LQ$42),2),"Monday","Tuesday","Wednesday","Thursday","Friday","Saturday","Sunday")</f>
        <v>Thursday</v>
      </c>
      <c r="LR34" s="536" t="s">
        <v>2017</v>
      </c>
      <c r="LS34" s="473" t="str">
        <f ca="1">CHOOSE(WEEKDAY(DATE($A34,LR$43,LS$42),2),"Monday","Tuesday","Wednesday","Thursday","Friday","Saturday","Sunday")</f>
        <v>Friday</v>
      </c>
      <c r="LT34" s="426" t="s">
        <v>22</v>
      </c>
      <c r="LU34" s="426" t="s">
        <v>22</v>
      </c>
      <c r="LV34" s="476" t="s">
        <v>22</v>
      </c>
      <c r="LW34" s="473" t="s">
        <v>22</v>
      </c>
      <c r="LX34" s="536" t="s">
        <v>2045</v>
      </c>
      <c r="LY34" s="473" t="str">
        <f ca="1">CHOOSE(WEEKDAY(DATE($A34,LX$43,LY$42),2),"Monday","Tuesday","Wednesday","Thursday","Friday","Saturday","Sunday")</f>
        <v>Tuesday</v>
      </c>
      <c r="LZ34" s="476" t="s">
        <v>22</v>
      </c>
      <c r="MA34" s="473" t="s">
        <v>22</v>
      </c>
      <c r="MB34" s="426" t="s">
        <v>22</v>
      </c>
      <c r="MC34" s="426" t="s">
        <v>22</v>
      </c>
      <c r="MD34" s="333" t="s">
        <v>1800</v>
      </c>
      <c r="ME34" s="473" t="str">
        <f ca="1">CHOOSE(WEEKDAY(DATE($A34,MD$43,ME$42),2),"Monday","Tuesday","Wednesday","Thursday","Friday","Saturday","Sunday")</f>
        <v>Friday</v>
      </c>
      <c r="MF34" s="426" t="s">
        <v>22</v>
      </c>
      <c r="MG34" s="426" t="s">
        <v>22</v>
      </c>
      <c r="MH34" s="476" t="s">
        <v>22</v>
      </c>
      <c r="MI34" s="473" t="s">
        <v>22</v>
      </c>
      <c r="MJ34" s="476" t="s">
        <v>22</v>
      </c>
      <c r="MK34" s="473" t="s">
        <v>22</v>
      </c>
      <c r="ML34" s="536" t="s">
        <v>1804</v>
      </c>
      <c r="MM34" s="473" t="str">
        <f ca="1">CHOOSE(WEEKDAY(DATE($A34,ML$43,MM$42),2),"Monday","Tuesday","Wednesday","Thursday","Friday","Saturday","Sunday")</f>
        <v>Tuesday</v>
      </c>
      <c r="MN34" s="426" t="s">
        <v>22</v>
      </c>
      <c r="MO34" s="426" t="s">
        <v>22</v>
      </c>
      <c r="MP34" s="476" t="s">
        <v>22</v>
      </c>
      <c r="MQ34" s="473" t="s">
        <v>22</v>
      </c>
      <c r="MR34" s="536" t="s">
        <v>1809</v>
      </c>
      <c r="MS34" s="473" t="str">
        <f ca="1">CHOOSE(WEEKDAY(DATE($A34,MR$43,MS$42),2),"Monday","Tuesday","Wednesday","Thursday","Friday","Saturday","Sunday")</f>
        <v>Friday</v>
      </c>
      <c r="MT34" s="536" t="s">
        <v>1808</v>
      </c>
      <c r="MU34" s="473" t="str">
        <f ca="1">CHOOSE(WEEKDAY(DATE($A34,MT$43,MU$42),2),"Monday","Tuesday","Wednesday","Thursday","Friday","Saturday","Sunday")</f>
        <v>Saturday</v>
      </c>
      <c r="MV34" s="426" t="s">
        <v>22</v>
      </c>
      <c r="MW34" s="426" t="s">
        <v>22</v>
      </c>
      <c r="MX34" s="476" t="s">
        <v>22</v>
      </c>
      <c r="MY34" s="473" t="s">
        <v>22</v>
      </c>
      <c r="MZ34" s="476" t="s">
        <v>22</v>
      </c>
      <c r="NA34" s="473" t="s">
        <v>22</v>
      </c>
      <c r="NB34" s="536" t="s">
        <v>1812</v>
      </c>
      <c r="NC34" s="473" t="str">
        <f ca="1">CHOOSE(WEEKDAY(DATE($A34,NB$43,NC$42),2),"Monday","Tuesday","Wednesday","Thursday","Friday","Saturday","Sunday")</f>
        <v>Wednesday</v>
      </c>
      <c r="ND34" s="476" t="s">
        <v>22</v>
      </c>
      <c r="NE34" s="473" t="s">
        <v>22</v>
      </c>
      <c r="NF34" s="536" t="s">
        <v>1813</v>
      </c>
      <c r="NG34" s="473" t="str">
        <f ca="1">CHOOSE(WEEKDAY(DATE($A34,NF$43,NG$42),2),"Monday","Tuesday","Wednesday","Thursday","Friday","Saturday","Sunday")</f>
        <v>Friday</v>
      </c>
      <c r="NH34" s="476" t="s">
        <v>22</v>
      </c>
      <c r="NI34" s="473" t="s">
        <v>22</v>
      </c>
      <c r="NJ34" s="536" t="s">
        <v>1815</v>
      </c>
      <c r="NK34" s="473" t="str">
        <f ca="1">CHOOSE(WEEKDAY(DATE($A34,NJ$43,NK$42),2),"Monday","Tuesday","Wednesday","Thursday","Friday","Saturday","Sunday")</f>
        <v>Sunday</v>
      </c>
      <c r="NL34" s="476" t="s">
        <v>22</v>
      </c>
      <c r="NM34" s="473" t="s">
        <v>22</v>
      </c>
      <c r="NN34" s="426" t="s">
        <v>22</v>
      </c>
      <c r="NO34" s="473" t="s">
        <v>22</v>
      </c>
      <c r="NP34" s="426" t="s">
        <v>22</v>
      </c>
      <c r="NQ34" s="426" t="s">
        <v>22</v>
      </c>
      <c r="NR34" s="536" t="s">
        <v>1817</v>
      </c>
      <c r="NS34" s="473" t="str">
        <f ca="1">CHOOSE(WEEKDAY(DATE($A34,NR$43,NS$42),2),"Monday","Tuesday","Wednesday","Thursday","Friday","Saturday","Sunday")</f>
        <v>Thursday</v>
      </c>
      <c r="NT34" s="537" t="s">
        <v>1822</v>
      </c>
      <c r="NU34" s="473" t="str">
        <f ca="1">CHOOSE(WEEKDAY(DATE($A34,NT$43,NU$42),2),"Monday","Tuesday","Wednesday","Thursday","Friday","Saturday","Sunday")</f>
        <v>Friday</v>
      </c>
      <c r="NV34" s="476" t="s">
        <v>22</v>
      </c>
      <c r="NW34" s="473" t="s">
        <v>22</v>
      </c>
      <c r="NX34" s="426" t="s">
        <v>22</v>
      </c>
      <c r="NY34" s="426" t="s">
        <v>22</v>
      </c>
      <c r="NZ34" s="536" t="s">
        <v>1823</v>
      </c>
      <c r="OA34" s="473" t="str">
        <f ca="1">CHOOSE(WEEKDAY(DATE($A34,NZ$43,OA$42),2),"Monday","Tuesday","Wednesday","Thursday","Friday","Saturday","Sunday")</f>
        <v>Monday</v>
      </c>
      <c r="OB34" s="426" t="s">
        <v>22</v>
      </c>
      <c r="OC34" s="473" t="s">
        <v>22</v>
      </c>
      <c r="OD34" s="536" t="s">
        <v>1827</v>
      </c>
      <c r="OE34" s="473" t="str">
        <f ca="1">CHOOSE(WEEKDAY(DATE($A34,OD$43,OE$42),2),"Monday","Tuesday","Wednesday","Thursday","Friday","Saturday","Sunday")</f>
        <v>Friday</v>
      </c>
      <c r="OF34" s="426" t="s">
        <v>22</v>
      </c>
      <c r="OG34" s="473" t="s">
        <v>22</v>
      </c>
      <c r="OH34" s="476" t="s">
        <v>22</v>
      </c>
      <c r="OI34" s="473" t="s">
        <v>22</v>
      </c>
      <c r="OJ34" s="536" t="s">
        <v>1829</v>
      </c>
      <c r="OK34" s="473" t="str">
        <f ca="1">CHOOSE(WEEKDAY(DATE($A34,OJ$43,OK$42),2),"Monday","Tuesday","Wednesday","Thursday","Friday","Saturday","Sunday")</f>
        <v>Monday</v>
      </c>
      <c r="OL34" s="476" t="s">
        <v>22</v>
      </c>
      <c r="OM34" s="473" t="s">
        <v>22</v>
      </c>
      <c r="ON34" s="536" t="s">
        <v>1831</v>
      </c>
      <c r="OO34" s="473" t="str">
        <f ca="1">CHOOSE(WEEKDAY(DATE($A34,ON$43,OO$42),2),"Monday","Tuesday","Wednesday","Thursday","Friday","Saturday","Sunday")</f>
        <v>Wednesday</v>
      </c>
      <c r="OP34" s="536" t="s">
        <v>1833</v>
      </c>
      <c r="OQ34" s="473" t="str">
        <f ca="1">CHOOSE(WEEKDAY(DATE($A34,OP$43,OQ$42),2),"Monday","Tuesday","Wednesday","Thursday","Friday","Saturday","Sunday")</f>
        <v>Thursday</v>
      </c>
      <c r="OR34" s="536" t="s">
        <v>1835</v>
      </c>
      <c r="OS34" s="473" t="str">
        <f ca="1">CHOOSE(WEEKDAY(DATE($A34,OR$43,OS$42),2),"Monday","Tuesday","Wednesday","Thursday","Friday","Saturday","Sunday")</f>
        <v>Friday</v>
      </c>
      <c r="OT34" s="536" t="s">
        <v>1837</v>
      </c>
      <c r="OU34" s="473" t="str">
        <f ca="1">CHOOSE(WEEKDAY(DATE($A34,OT$43,OU$42),2),"Monday","Tuesday","Wednesday","Thursday","Friday","Saturday","Sunday")</f>
        <v>Saturday</v>
      </c>
      <c r="OV34" s="426" t="s">
        <v>22</v>
      </c>
      <c r="OW34" s="426" t="s">
        <v>22</v>
      </c>
      <c r="OX34" s="476" t="s">
        <v>22</v>
      </c>
      <c r="OY34" s="473" t="s">
        <v>22</v>
      </c>
      <c r="OZ34" s="536" t="s">
        <v>1840</v>
      </c>
      <c r="PA34" s="473" t="str">
        <f ca="1">CHOOSE(WEEKDAY(DATE($A34,OZ$43,PA$42),2),"Monday","Tuesday","Wednesday","Thursday","Friday","Saturday","Sunday")</f>
        <v>Wednesday</v>
      </c>
      <c r="PB34" s="536" t="s">
        <v>1843</v>
      </c>
      <c r="PC34" s="473" t="str">
        <f ca="1">CHOOSE(WEEKDAY(DATE($A34,PB$43,PC$42),2),"Monday","Tuesday","Wednesday","Thursday","Friday","Saturday","Sunday")</f>
        <v>Thursday</v>
      </c>
      <c r="PD34" s="536" t="s">
        <v>1844</v>
      </c>
      <c r="PE34" s="473" t="str">
        <f ca="1">CHOOSE(WEEKDAY(DATE($A34,PD$43,PE$42),2),"Monday","Tuesday","Wednesday","Thursday","Friday","Saturday","Sunday")</f>
        <v>Friday</v>
      </c>
      <c r="PF34" s="536" t="s">
        <v>1846</v>
      </c>
      <c r="PG34" s="473" t="str">
        <f ca="1">CHOOSE(WEEKDAY(DATE($A34,PF$43,PG$42),2),"Monday","Tuesday","Wednesday","Thursday","Friday","Saturday","Sunday")</f>
        <v>Saturday</v>
      </c>
      <c r="PH34" s="536" t="s">
        <v>1849</v>
      </c>
      <c r="PI34" s="473" t="str">
        <f ca="1">CHOOSE(WEEKDAY(DATE($A34,PH$43,PI$42),2),"Monday","Tuesday","Wednesday","Thursday","Friday","Saturday","Sunday")</f>
        <v>Wednesday</v>
      </c>
      <c r="PJ34" s="536" t="s">
        <v>1769</v>
      </c>
      <c r="PK34" s="473" t="str">
        <f ca="1">CHOOSE(WEEKDAY(DATE($A34,PJ$43,PK$42),2),"Monday","Tuesday","Wednesday","Thursday","Friday","Saturday","Sunday")</f>
        <v>Thursday</v>
      </c>
      <c r="PL34" s="536" t="s">
        <v>1852</v>
      </c>
      <c r="PM34" s="473" t="str">
        <f ca="1">CHOOSE(WEEKDAY(DATE($A34,PL$43,PM$42),2),"Monday","Tuesday","Wednesday","Thursday","Friday","Saturday","Sunday")</f>
        <v>Sunday</v>
      </c>
      <c r="PN34" s="536" t="s">
        <v>1853</v>
      </c>
      <c r="PO34" s="473" t="str">
        <f ca="1">CHOOSE(WEEKDAY(DATE($A34,PN$43,PO$42),2),"Monday","Tuesday","Wednesday","Thursday","Friday","Saturday","Sunday")</f>
        <v>Monday</v>
      </c>
      <c r="PP34" s="426" t="s">
        <v>22</v>
      </c>
      <c r="PQ34" s="426" t="s">
        <v>22</v>
      </c>
      <c r="PR34" s="476" t="s">
        <v>22</v>
      </c>
      <c r="PS34" s="473" t="s">
        <v>22</v>
      </c>
      <c r="PT34" s="536" t="s">
        <v>1858</v>
      </c>
      <c r="PU34" s="473" t="str">
        <f ca="1">CHOOSE(WEEKDAY(DATE($A34,PT$43,PU$42),2),"Monday","Tuesday","Wednesday","Thursday","Friday","Saturday","Sunday")</f>
        <v>Thursday</v>
      </c>
      <c r="PV34" s="536" t="s">
        <v>1859</v>
      </c>
      <c r="PW34" s="473" t="str">
        <f ca="1">CHOOSE(WEEKDAY(DATE($A34,PV$43,PW$42),2),"Monday","Tuesday","Wednesday","Thursday","Friday","Saturday","Sunday")</f>
        <v>Friday</v>
      </c>
      <c r="PX34" s="536" t="s">
        <v>1860</v>
      </c>
      <c r="PY34" s="473" t="str">
        <f ca="1">CHOOSE(WEEKDAY(DATE($A34,PX$43,PY$42),2),"Monday","Tuesday","Wednesday","Thursday","Friday","Saturday","Sunday")</f>
        <v>Saturday</v>
      </c>
      <c r="PZ34" s="536" t="s">
        <v>1863</v>
      </c>
      <c r="QA34" s="473" t="str">
        <f ca="1">CHOOSE(WEEKDAY(DATE($A34,PZ$43,QA$42),2),"Monday","Tuesday","Wednesday","Thursday","Friday","Saturday","Sunday")</f>
        <v>Sunday</v>
      </c>
      <c r="QB34" s="476" t="s">
        <v>22</v>
      </c>
      <c r="QC34" s="473" t="s">
        <v>22</v>
      </c>
      <c r="QD34" s="426" t="s">
        <v>22</v>
      </c>
      <c r="QE34" s="473" t="s">
        <v>22</v>
      </c>
      <c r="QF34" s="426" t="s">
        <v>22</v>
      </c>
      <c r="QG34" s="426" t="s">
        <v>22</v>
      </c>
      <c r="QH34" s="536" t="s">
        <v>1867</v>
      </c>
      <c r="QI34" s="473" t="str">
        <f ca="1">CHOOSE(WEEKDAY(DATE($A34,QH$43,QI$42),2),"Monday","Tuesday","Wednesday","Thursday","Friday","Saturday","Sunday")</f>
        <v>Thursday</v>
      </c>
      <c r="QJ34" s="536" t="s">
        <v>1871</v>
      </c>
      <c r="QK34" s="473" t="str">
        <f ca="1">CHOOSE(WEEKDAY(DATE($A34,QJ$43,QK$42),2),"Monday","Tuesday","Wednesday","Thursday","Friday","Saturday","Sunday")</f>
        <v>Friday</v>
      </c>
      <c r="QL34" s="476" t="s">
        <v>22</v>
      </c>
      <c r="QM34" s="473" t="s">
        <v>22</v>
      </c>
      <c r="QN34" s="476" t="s">
        <v>22</v>
      </c>
      <c r="QO34" s="473" t="s">
        <v>22</v>
      </c>
      <c r="QP34" s="536" t="s">
        <v>1875</v>
      </c>
      <c r="QQ34" s="473" t="str">
        <f ca="1">CHOOSE(WEEKDAY(DATE($A34,QP$43,QQ$42),2),"Monday","Tuesday","Wednesday","Thursday","Friday","Saturday","Sunday")</f>
        <v>Monday</v>
      </c>
      <c r="QR34" s="536" t="s">
        <v>1872</v>
      </c>
      <c r="QS34" s="473" t="str">
        <f ca="1">CHOOSE(WEEKDAY(DATE($A34,QR$43,QS$42),2),"Monday","Tuesday","Wednesday","Thursday","Friday","Saturday","Sunday")</f>
        <v>Tuesday</v>
      </c>
      <c r="QT34" s="536" t="s">
        <v>1876</v>
      </c>
      <c r="QU34" s="473" t="str">
        <f ca="1">CHOOSE(WEEKDAY(DATE($A34,QT$43,QU$42),2),"Monday","Tuesday","Wednesday","Thursday","Friday","Saturday","Sunday")</f>
        <v>Wednesday</v>
      </c>
      <c r="QV34" s="536" t="s">
        <v>1877</v>
      </c>
      <c r="QW34" s="473" t="str">
        <f ca="1">CHOOSE(WEEKDAY(DATE($A34,QV$43,QW$42),2),"Monday","Tuesday","Wednesday","Thursday","Friday","Saturday","Sunday")</f>
        <v>Thursday</v>
      </c>
      <c r="QX34" s="536" t="s">
        <v>1882</v>
      </c>
      <c r="QY34" s="473" t="str">
        <f ca="1">CHOOSE(WEEKDAY(DATE($A34,QX$43,QY$42),2),"Monday","Tuesday","Wednesday","Thursday","Friday","Saturday","Sunday")</f>
        <v>Friday</v>
      </c>
      <c r="QZ34" s="476" t="s">
        <v>22</v>
      </c>
      <c r="RA34" s="473" t="s">
        <v>22</v>
      </c>
      <c r="RB34" s="476" t="s">
        <v>22</v>
      </c>
      <c r="RC34" s="473" t="s">
        <v>22</v>
      </c>
      <c r="RD34" s="536" t="s">
        <v>1884</v>
      </c>
      <c r="RE34" s="473" t="str">
        <f ca="1">CHOOSE(WEEKDAY(DATE($A34,RD$43,RE$42),2),"Monday","Tuesday","Wednesday","Thursday","Friday","Saturday","Sunday")</f>
        <v>Monday</v>
      </c>
      <c r="RF34" s="476" t="s">
        <v>22</v>
      </c>
      <c r="RG34" s="473" t="s">
        <v>22</v>
      </c>
      <c r="RH34" s="426" t="s">
        <v>22</v>
      </c>
      <c r="RI34" s="426" t="s">
        <v>22</v>
      </c>
      <c r="RJ34" s="476" t="s">
        <v>22</v>
      </c>
      <c r="RK34" s="473" t="s">
        <v>22</v>
      </c>
      <c r="RL34" s="536" t="s">
        <v>2056</v>
      </c>
      <c r="RM34" s="473" t="str">
        <f ca="1">CHOOSE(WEEKDAY(DATE($A34,RL$43,RM$42),2),"Monday","Tuesday","Wednesday","Thursday","Friday","Saturday","Sunday")</f>
        <v>Friday</v>
      </c>
      <c r="RN34" s="426" t="s">
        <v>22</v>
      </c>
      <c r="RO34" s="426" t="s">
        <v>22</v>
      </c>
      <c r="RP34" s="476" t="s">
        <v>22</v>
      </c>
      <c r="RQ34" s="473" t="s">
        <v>22</v>
      </c>
      <c r="RR34" s="536" t="s">
        <v>1894</v>
      </c>
      <c r="RS34" s="473" t="str">
        <f ca="1">CHOOSE(WEEKDAY(DATE($A34,RR$43,RS$42),2),"Monday","Tuesday","Wednesday","Thursday","Friday","Saturday","Sunday")</f>
        <v>Tuesday</v>
      </c>
      <c r="RT34" s="476" t="s">
        <v>22</v>
      </c>
      <c r="RU34" s="473" t="s">
        <v>22</v>
      </c>
      <c r="RV34" s="536" t="s">
        <v>1895</v>
      </c>
      <c r="RW34" s="473" t="str">
        <f ca="1">CHOOSE(WEEKDAY(DATE($A34,RV$43,RW$42),2),"Monday","Tuesday","Wednesday","Thursday","Friday","Saturday","Sunday")</f>
        <v>Thursday</v>
      </c>
      <c r="RX34" s="476" t="s">
        <v>22</v>
      </c>
      <c r="RY34" s="473" t="s">
        <v>22</v>
      </c>
      <c r="RZ34" s="536" t="s">
        <v>1899</v>
      </c>
      <c r="SA34" s="473" t="str">
        <f ca="1">CHOOSE(WEEKDAY(DATE($A34,RZ$43,SA$42),2),"Monday","Tuesday","Wednesday","Thursday","Friday","Saturday","Sunday")</f>
        <v>Saturday</v>
      </c>
      <c r="SB34" s="476" t="s">
        <v>22</v>
      </c>
      <c r="SC34" s="473" t="s">
        <v>22</v>
      </c>
      <c r="SD34" s="426" t="s">
        <v>22</v>
      </c>
      <c r="SE34" s="426" t="s">
        <v>22</v>
      </c>
      <c r="SF34" s="536" t="s">
        <v>1902</v>
      </c>
      <c r="SG34" s="473" t="str">
        <f ca="1">CHOOSE(WEEKDAY(DATE($A34,SF$43,SG$42),2),"Monday","Tuesday","Wednesday","Thursday","Friday","Saturday","Sunday")</f>
        <v>Wednesday</v>
      </c>
      <c r="SH34" s="476" t="s">
        <v>22</v>
      </c>
      <c r="SI34" s="473" t="s">
        <v>22</v>
      </c>
      <c r="SJ34" s="536" t="s">
        <v>1905</v>
      </c>
      <c r="SK34" s="473" t="str">
        <f ca="1">CHOOSE(WEEKDAY(DATE($A34,SJ$43,SK$42),2),"Monday","Tuesday","Wednesday","Thursday","Friday","Saturday","Sunday")</f>
        <v>Friday</v>
      </c>
      <c r="SL34" s="536" t="s">
        <v>1907</v>
      </c>
      <c r="SM34" s="473" t="str">
        <f ca="1">CHOOSE(WEEKDAY(DATE($A34,SL$43,SM$42),2),"Monday","Tuesday","Wednesday","Thursday","Friday","Saturday","Sunday")</f>
        <v>Sunday</v>
      </c>
      <c r="SN34" s="476" t="s">
        <v>22</v>
      </c>
      <c r="SO34" s="473" t="s">
        <v>22</v>
      </c>
      <c r="SP34" s="426" t="s">
        <v>22</v>
      </c>
      <c r="SQ34" s="473" t="s">
        <v>22</v>
      </c>
      <c r="SR34" s="536" t="s">
        <v>1913</v>
      </c>
      <c r="SS34" s="473" t="str">
        <f ca="1">CHOOSE(WEEKDAY(DATE($A34,SR$43,SS$42),2),"Monday","Tuesday","Wednesday","Thursday","Friday","Saturday","Sunday")</f>
        <v>Wednesday</v>
      </c>
      <c r="ST34" s="536" t="s">
        <v>1920</v>
      </c>
      <c r="SU34" s="473" t="str">
        <f ca="1">CHOOSE(WEEKDAY(DATE($A34,ST$43,SU$42),2),"Monday","Tuesday","Wednesday","Thursday","Friday","Saturday","Sunday")</f>
        <v>Thursday</v>
      </c>
      <c r="SV34" s="426" t="s">
        <v>22</v>
      </c>
      <c r="SW34" s="426" t="s">
        <v>22</v>
      </c>
      <c r="SX34" s="536" t="s">
        <v>1916</v>
      </c>
      <c r="SY34" s="473" t="str">
        <f ca="1">CHOOSE(WEEKDAY(DATE($A34,SX$43,SY$42),2),"Monday","Tuesday","Wednesday","Thursday","Friday","Saturday","Sunday")</f>
        <v>Sunday</v>
      </c>
      <c r="SZ34" s="536" t="s">
        <v>1917</v>
      </c>
      <c r="TA34" s="473" t="str">
        <f ca="1">CHOOSE(WEEKDAY(DATE($A34,SZ$43,TA$42),2),"Monday","Tuesday","Wednesday","Thursday","Friday","Saturday","Sunday")</f>
        <v>Monday</v>
      </c>
      <c r="TB34" s="536" t="s">
        <v>1922</v>
      </c>
      <c r="TC34" s="473" t="str">
        <f ca="1">CHOOSE(WEEKDAY(DATE($A34,TB$43,TC$42),2),"Monday","Tuesday","Wednesday","Thursday","Friday","Saturday","Sunday")</f>
        <v>Tuesday</v>
      </c>
      <c r="TD34" s="536" t="s">
        <v>1921</v>
      </c>
      <c r="TE34" s="473" t="str">
        <f ca="1">CHOOSE(WEEKDAY(DATE($A34,TD$43,TE$42),2),"Monday","Tuesday","Wednesday","Thursday","Friday","Saturday","Sunday")</f>
        <v>Wednesday</v>
      </c>
      <c r="TF34" s="476" t="s">
        <v>22</v>
      </c>
      <c r="TG34" s="473" t="s">
        <v>22</v>
      </c>
      <c r="TH34" s="536" t="s">
        <v>1927</v>
      </c>
      <c r="TI34" s="473" t="str">
        <f ca="1">CHOOSE(WEEKDAY(DATE($A34,TH$43,TI$42),2),"Monday","Tuesday","Wednesday","Thursday","Friday","Saturday","Sunday")</f>
        <v>Friday</v>
      </c>
      <c r="TJ34" s="476" t="s">
        <v>22</v>
      </c>
      <c r="TK34" s="426" t="s">
        <v>22</v>
      </c>
      <c r="TL34" s="476" t="s">
        <v>22</v>
      </c>
      <c r="TM34" s="473" t="s">
        <v>22</v>
      </c>
      <c r="TN34" s="536" t="s">
        <v>1929</v>
      </c>
      <c r="TO34" s="473" t="str">
        <f ca="1">CHOOSE(WEEKDAY(DATE($A34,TN$43,TO$42),2),"Monday","Tuesday","Wednesday","Thursday","Friday","Saturday","Sunday")</f>
        <v>Monday</v>
      </c>
      <c r="TP34" s="536" t="s">
        <v>1935</v>
      </c>
      <c r="TQ34" s="473" t="str">
        <f ca="1">CHOOSE(WEEKDAY(DATE($A34,TP$43,TQ$42),2),"Monday","Tuesday","Wednesday","Thursday","Friday","Saturday","Sunday")</f>
        <v>Tuesday</v>
      </c>
      <c r="TR34" s="426" t="s">
        <v>22</v>
      </c>
      <c r="TS34" s="426" t="s">
        <v>22</v>
      </c>
      <c r="TT34" s="457" t="s">
        <v>22</v>
      </c>
      <c r="TU34" s="473" t="s">
        <v>22</v>
      </c>
      <c r="TV34" s="536" t="s">
        <v>1935</v>
      </c>
      <c r="TW34" s="473" t="str">
        <f ca="1">CHOOSE(WEEKDAY(DATE($A34,TV$43,TW$42),2),"Monday","Tuesday","Wednesday","Thursday","Friday","Saturday","Sunday")</f>
        <v>Friday</v>
      </c>
      <c r="TX34" s="476" t="s">
        <v>22</v>
      </c>
      <c r="TY34" s="473" t="s">
        <v>22</v>
      </c>
      <c r="TZ34" s="476" t="s">
        <v>22</v>
      </c>
      <c r="UA34" s="473" t="s">
        <v>22</v>
      </c>
      <c r="UB34" s="536" t="s">
        <v>1934</v>
      </c>
      <c r="UC34" s="473" t="str">
        <f ca="1">CHOOSE(WEEKDAY(DATE($A34,UB$43,UC$42),2),"Monday","Tuesday","Wednesday","Thursday","Friday","Saturday","Sunday")</f>
        <v>Monday</v>
      </c>
      <c r="UD34" s="536" t="s">
        <v>1937</v>
      </c>
      <c r="UE34" s="473" t="str">
        <f ca="1">CHOOSE(WEEKDAY(DATE($A34,UD$43,UE$42),2),"Monday","Tuesday","Wednesday","Thursday","Friday","Saturday","Sunday")</f>
        <v>Tuesday</v>
      </c>
      <c r="UF34" s="537" t="s">
        <v>1938</v>
      </c>
      <c r="UG34" s="473" t="str">
        <f ca="1">CHOOSE(WEEKDAY(DATE($A34,UF$43,UG$42),2),"Monday","Tuesday","Wednesday","Thursday","Friday","Saturday","Sunday")</f>
        <v>Wednesday</v>
      </c>
      <c r="UH34" s="476" t="s">
        <v>22</v>
      </c>
      <c r="UI34" s="473" t="s">
        <v>22</v>
      </c>
      <c r="UJ34" s="537" t="s">
        <v>1939</v>
      </c>
      <c r="UK34" s="473" t="str">
        <f ca="1">CHOOSE(WEEKDAY(DATE($A34,UJ$43,UK$42),2),"Monday","Tuesday","Wednesday","Thursday","Friday","Saturday","Sunday")</f>
        <v>Friday</v>
      </c>
      <c r="UL34" s="536" t="s">
        <v>1941</v>
      </c>
      <c r="UM34" s="473" t="str">
        <f ca="1">CHOOSE(WEEKDAY(DATE($A34,UL$43,UM$42),2),"Monday","Tuesday","Wednesday","Thursday","Friday","Saturday","Sunday")</f>
        <v>Saturday</v>
      </c>
      <c r="UN34" s="476" t="s">
        <v>22</v>
      </c>
      <c r="UO34" s="473" t="s">
        <v>22</v>
      </c>
      <c r="UP34" s="333" t="s">
        <v>1943</v>
      </c>
      <c r="UQ34" s="473" t="str">
        <f ca="1">CHOOSE(WEEKDAY(DATE($A34,UP$43,UQ$42),2),"Monday","Tuesday","Wednesday","Thursday","Friday","Saturday","Sunday")</f>
        <v>Monday</v>
      </c>
      <c r="UR34" s="536" t="s">
        <v>1771</v>
      </c>
      <c r="US34" s="473" t="str">
        <f ca="1">CHOOSE(WEEKDAY(DATE($A34,UR$43,US$42),2),"Monday","Tuesday","Wednesday","Thursday","Friday","Saturday","Sunday")</f>
        <v>Tuesday</v>
      </c>
      <c r="UT34" s="536" t="s">
        <v>1946</v>
      </c>
      <c r="UU34" s="473" t="str">
        <f ca="1">CHOOSE(WEEKDAY(DATE($A34,UT$43,UU$42),2),"Monday","Tuesday","Wednesday","Thursday","Friday","Saturday","Sunday")</f>
        <v>Wednesday</v>
      </c>
      <c r="UV34" s="476" t="s">
        <v>22</v>
      </c>
      <c r="UW34" s="473" t="s">
        <v>22</v>
      </c>
      <c r="UX34" s="476" t="s">
        <v>22</v>
      </c>
      <c r="UY34" s="473" t="s">
        <v>22</v>
      </c>
      <c r="UZ34" s="536" t="s">
        <v>1951</v>
      </c>
      <c r="VA34" s="473" t="str">
        <f ca="1">CHOOSE(WEEKDAY(DATE($A34,UZ$43,VA$42),2),"Monday","Tuesday","Wednesday","Thursday","Friday","Saturday","Sunday")</f>
        <v>Saturday</v>
      </c>
      <c r="VB34" s="536" t="s">
        <v>1952</v>
      </c>
      <c r="VC34" s="473" t="str">
        <f ca="1">CHOOSE(WEEKDAY(DATE($A34,VB$43,VC$42),2),"Monday","Tuesday","Wednesday","Thursday","Friday","Saturday","Sunday")</f>
        <v>Tuesday</v>
      </c>
      <c r="VD34" s="426" t="s">
        <v>22</v>
      </c>
      <c r="VE34" s="426" t="s">
        <v>22</v>
      </c>
      <c r="VF34" s="476" t="s">
        <v>22</v>
      </c>
      <c r="VG34" s="473" t="s">
        <v>22</v>
      </c>
      <c r="VH34" s="551" t="s">
        <v>1966</v>
      </c>
      <c r="VI34" s="473" t="str">
        <f ca="1">CHOOSE(WEEKDAY(DATE($A34,VH$43,VI$42),2),"Monday","Tuesday","Wednesday","Thursday","Friday","Saturday","Sunday")</f>
        <v>Saturday</v>
      </c>
      <c r="VJ34" s="426" t="s">
        <v>22</v>
      </c>
      <c r="VK34" s="473" t="s">
        <v>22</v>
      </c>
      <c r="VL34" s="426" t="s">
        <v>22</v>
      </c>
      <c r="VM34" s="473" t="s">
        <v>22</v>
      </c>
      <c r="VN34" s="426" t="s">
        <v>22</v>
      </c>
      <c r="VO34" s="426" t="s">
        <v>22</v>
      </c>
      <c r="VP34" s="536" t="s">
        <v>1959</v>
      </c>
      <c r="VQ34" s="473" t="str">
        <f ca="1">CHOOSE(WEEKDAY(DATE($A34,VP$43,VQ$42),2),"Monday","Tuesday","Wednesday","Thursday","Friday","Saturday","Sunday")</f>
        <v>Wednesday</v>
      </c>
      <c r="VR34" s="426" t="s">
        <v>22</v>
      </c>
      <c r="VS34" s="426" t="s">
        <v>22</v>
      </c>
      <c r="VT34" s="476" t="s">
        <v>22</v>
      </c>
      <c r="VU34" s="473" t="s">
        <v>22</v>
      </c>
      <c r="VV34" s="536" t="s">
        <v>1963</v>
      </c>
      <c r="VW34" s="473" t="str">
        <f ca="1">CHOOSE(WEEKDAY(DATE($A34,VV$43,VW$42),2),"Monday","Tuesday","Wednesday","Thursday","Friday","Saturday","Sunday")</f>
        <v>Saturday</v>
      </c>
      <c r="VX34" s="536" t="s">
        <v>1964</v>
      </c>
      <c r="VY34" s="473" t="str">
        <f ca="1">CHOOSE(WEEKDAY(DATE($A34,VX$43,VY$42),2),"Monday","Tuesday","Wednesday","Thursday","Friday","Saturday","Sunday")</f>
        <v>Sunday</v>
      </c>
      <c r="VZ34" s="476" t="s">
        <v>22</v>
      </c>
      <c r="WA34" s="473" t="s">
        <v>22</v>
      </c>
      <c r="WB34" s="476" t="s">
        <v>22</v>
      </c>
      <c r="WC34" s="473" t="s">
        <v>22</v>
      </c>
      <c r="WD34" s="536" t="s">
        <v>1970</v>
      </c>
      <c r="WE34" s="473" t="str">
        <f ca="1">CHOOSE(WEEKDAY(DATE($A34,WD$43,WE$42),2),"Monday","Tuesday","Wednesday","Thursday","Friday","Saturday","Sunday")</f>
        <v>Thursday</v>
      </c>
      <c r="WF34" s="536" t="s">
        <v>1972</v>
      </c>
      <c r="WG34" s="473" t="str">
        <f ca="1">CHOOSE(WEEKDAY(DATE($A34,WF$43,WG$42),2),"Monday","Tuesday","Wednesday","Thursday","Friday","Saturday","Sunday")</f>
        <v>Friday</v>
      </c>
      <c r="WH34" s="476" t="s">
        <v>22</v>
      </c>
      <c r="WI34" s="426" t="s">
        <v>22</v>
      </c>
      <c r="WJ34" s="476" t="s">
        <v>22</v>
      </c>
      <c r="WK34" s="473" t="s">
        <v>22</v>
      </c>
      <c r="WL34" s="536" t="s">
        <v>2049</v>
      </c>
      <c r="WM34" s="473" t="str">
        <f ca="1">CHOOSE(WEEKDAY(DATE($A34,WL$43,WM$42),2),"Monday","Tuesday","Wednesday","Thursday","Friday","Saturday","Sunday")</f>
        <v>Monday</v>
      </c>
      <c r="WN34" s="537" t="s">
        <v>1978</v>
      </c>
      <c r="WO34" s="473" t="str">
        <f ca="1">CHOOSE(WEEKDAY(DATE($A34,WN$43,WO$42),2),"Monday","Tuesday","Wednesday","Thursday","Friday","Saturday","Sunday")</f>
        <v>Tuesday</v>
      </c>
      <c r="WP34" s="426" t="s">
        <v>22</v>
      </c>
      <c r="WQ34" s="426" t="s">
        <v>22</v>
      </c>
      <c r="WR34" s="476" t="s">
        <v>22</v>
      </c>
      <c r="WS34" s="473" t="s">
        <v>22</v>
      </c>
      <c r="WT34" s="536" t="s">
        <v>1981</v>
      </c>
      <c r="WU34" s="473" t="str">
        <f ca="1">CHOOSE(WEEKDAY(DATE($A34,WT$43,WU$42),2),"Monday","Tuesday","Wednesday","Thursday","Friday","Saturday","Sunday")</f>
        <v>Friday</v>
      </c>
      <c r="WV34" s="536" t="s">
        <v>1983</v>
      </c>
      <c r="WW34" s="473" t="str">
        <f ca="1">CHOOSE(WEEKDAY(DATE($A34,WV$43,WW$42),2),"Monday","Tuesday","Wednesday","Thursday","Friday","Saturday","Sunday")</f>
        <v>Saturday</v>
      </c>
      <c r="WX34" s="476" t="s">
        <v>22</v>
      </c>
      <c r="WY34" s="473" t="s">
        <v>22</v>
      </c>
      <c r="WZ34" s="536" t="s">
        <v>2050</v>
      </c>
      <c r="XA34" s="473" t="str">
        <f ca="1">CHOOSE(WEEKDAY(DATE($A34,WZ$43,XA$42),2),"Monday","Tuesday","Wednesday","Thursday","Friday","Saturday","Sunday")</f>
        <v>Monday</v>
      </c>
      <c r="XB34" s="476" t="s">
        <v>22</v>
      </c>
      <c r="XC34" s="473" t="s">
        <v>22</v>
      </c>
      <c r="XD34" s="426" t="s">
        <v>22</v>
      </c>
      <c r="XE34" s="426" t="s">
        <v>22</v>
      </c>
      <c r="XF34" s="536" t="s">
        <v>1989</v>
      </c>
      <c r="XG34" s="473" t="str">
        <f ca="1">CHOOSE(WEEKDAY(DATE($A34,XF$43,XG$42),2),"Monday","Tuesday","Wednesday","Thursday","Friday","Saturday","Sunday")</f>
        <v>Thursday</v>
      </c>
      <c r="XH34" s="536" t="s">
        <v>2020</v>
      </c>
      <c r="XI34" s="473" t="str">
        <f ca="1">CHOOSE(WEEKDAY(DATE($A34,XH$43,XI$42),2),"Monday","Tuesday","Wednesday","Thursday","Friday","Saturday","Sunday")</f>
        <v>Friday</v>
      </c>
      <c r="XJ34" s="426" t="s">
        <v>22</v>
      </c>
      <c r="XK34" s="426" t="s">
        <v>22</v>
      </c>
      <c r="XL34" s="476" t="s">
        <v>22</v>
      </c>
      <c r="XM34" s="473" t="s">
        <v>22</v>
      </c>
      <c r="XN34" s="536" t="s">
        <v>1993</v>
      </c>
      <c r="XO34" s="473" t="str">
        <f ca="1">CHOOSE(WEEKDAY(DATE($A34,XN$43,XO$42),2),"Monday","Tuesday","Wednesday","Thursday","Friday","Saturday","Sunday")</f>
        <v>Monday</v>
      </c>
      <c r="XP34" s="476" t="s">
        <v>22</v>
      </c>
      <c r="XQ34" s="473" t="s">
        <v>22</v>
      </c>
      <c r="XR34" s="426" t="s">
        <v>22</v>
      </c>
      <c r="XS34" s="426" t="s">
        <v>22</v>
      </c>
      <c r="XT34" s="536" t="s">
        <v>2020</v>
      </c>
      <c r="XU34" s="473" t="str">
        <f ca="1">CHOOSE(WEEKDAY(DATE($A34,XT$43,XU$42),2),"Monday","Tuesday","Wednesday","Thursday","Friday","Saturday","Sunday")</f>
        <v>Thursday</v>
      </c>
      <c r="XV34" s="536" t="s">
        <v>1998</v>
      </c>
      <c r="XW34" s="473" t="str">
        <f ca="1">CHOOSE(WEEKDAY(DATE($A34,XV$43,XW$42),2),"Monday","Tuesday","Wednesday","Thursday","Friday","Saturday","Sunday")</f>
        <v>Friday</v>
      </c>
      <c r="XX34" s="426" t="s">
        <v>22</v>
      </c>
      <c r="XY34" s="426" t="s">
        <v>22</v>
      </c>
      <c r="XZ34" s="478" t="s">
        <v>22</v>
      </c>
      <c r="YA34" s="473" t="s">
        <v>22</v>
      </c>
      <c r="YB34" s="476" t="s">
        <v>22</v>
      </c>
      <c r="YC34" s="473" t="s">
        <v>22</v>
      </c>
      <c r="YD34" s="476" t="s">
        <v>22</v>
      </c>
      <c r="YE34" s="473" t="s">
        <v>22</v>
      </c>
    </row>
    <row r="35" spans="1:655" ht="30" x14ac:dyDescent="0.2">
      <c r="A35" s="402"/>
      <c r="B35" s="417"/>
      <c r="C35" s="412"/>
      <c r="D35" s="417"/>
      <c r="E35" s="412"/>
      <c r="F35" s="417"/>
      <c r="G35" s="412"/>
      <c r="H35" s="417"/>
      <c r="I35" s="412"/>
      <c r="J35" s="417"/>
      <c r="K35" s="412"/>
      <c r="L35" s="417"/>
      <c r="M35" s="412"/>
      <c r="N35" s="417"/>
      <c r="O35" s="412"/>
      <c r="P35" s="402"/>
      <c r="Q35" s="402"/>
      <c r="R35" s="417"/>
      <c r="S35" s="412"/>
      <c r="T35" s="417"/>
      <c r="U35" s="412"/>
      <c r="V35" s="417"/>
      <c r="W35" s="412"/>
      <c r="X35" s="417"/>
      <c r="Y35" s="412"/>
      <c r="Z35" s="417"/>
      <c r="AA35" s="412"/>
      <c r="AB35" s="402"/>
      <c r="AC35" s="402"/>
      <c r="AD35" s="417"/>
      <c r="AE35" s="412"/>
      <c r="AF35" s="417"/>
      <c r="AG35" s="412"/>
      <c r="AH35" s="402"/>
      <c r="AI35" s="402"/>
      <c r="AJ35" s="417"/>
      <c r="AK35" s="412"/>
      <c r="AL35" s="417"/>
      <c r="AM35" s="412"/>
      <c r="AN35" s="417"/>
      <c r="AO35" s="412"/>
      <c r="AP35" s="417"/>
      <c r="AQ35" s="412"/>
      <c r="AR35" s="417"/>
      <c r="AS35" s="412"/>
      <c r="AT35" s="417"/>
      <c r="AU35" s="412"/>
      <c r="AV35" s="417"/>
      <c r="AW35" s="412"/>
      <c r="AX35" s="402"/>
      <c r="AY35" s="412"/>
      <c r="AZ35" s="402"/>
      <c r="BA35" s="412"/>
      <c r="BB35" s="417"/>
      <c r="BC35" s="412"/>
      <c r="BD35" s="417"/>
      <c r="BE35" s="412"/>
      <c r="BF35" s="402"/>
      <c r="BG35" s="412"/>
      <c r="BH35" s="402"/>
      <c r="BI35" s="402"/>
      <c r="BJ35" s="417"/>
      <c r="BK35" s="412"/>
      <c r="BL35" s="402"/>
      <c r="BM35" s="412"/>
      <c r="BN35" s="402"/>
      <c r="BO35" s="412"/>
      <c r="BP35" s="334" t="s">
        <v>1585</v>
      </c>
      <c r="BQ35" s="412"/>
      <c r="BR35" s="417"/>
      <c r="BS35" s="412"/>
      <c r="BT35" s="402"/>
      <c r="BU35" s="412"/>
      <c r="BV35" s="417"/>
      <c r="BW35" s="412"/>
      <c r="BX35" s="402"/>
      <c r="BY35" s="412"/>
      <c r="BZ35" s="402"/>
      <c r="CA35" s="412"/>
      <c r="CB35" s="402"/>
      <c r="CC35" s="412"/>
      <c r="CD35" s="402"/>
      <c r="CE35" s="412"/>
      <c r="CF35" s="417"/>
      <c r="CG35" s="412"/>
      <c r="CH35" s="417"/>
      <c r="CI35" s="412"/>
      <c r="CJ35" s="402"/>
      <c r="CK35" s="412"/>
      <c r="CL35" s="417"/>
      <c r="CM35" s="412"/>
      <c r="CN35" s="402"/>
      <c r="CO35" s="412"/>
      <c r="CP35" s="402"/>
      <c r="CQ35" s="412"/>
      <c r="CR35" s="417"/>
      <c r="CS35" s="412"/>
      <c r="CT35" s="402"/>
      <c r="CU35" s="412"/>
      <c r="CV35" s="417"/>
      <c r="CW35" s="412"/>
      <c r="CX35" s="417"/>
      <c r="CY35" s="412"/>
      <c r="CZ35" s="417"/>
      <c r="DA35" s="412"/>
      <c r="DB35" s="402"/>
      <c r="DC35" s="412"/>
      <c r="DD35" s="402"/>
      <c r="DE35" s="412"/>
      <c r="DF35" s="417"/>
      <c r="DG35" s="412"/>
      <c r="DH35" s="402"/>
      <c r="DI35" s="412"/>
      <c r="DJ35" s="417"/>
      <c r="DK35" s="412"/>
      <c r="DL35" s="402"/>
      <c r="DM35" s="412"/>
      <c r="DN35" s="417"/>
      <c r="DO35" s="412"/>
      <c r="DP35" s="402"/>
      <c r="DQ35" s="412"/>
      <c r="DR35" s="417"/>
      <c r="DS35" s="412"/>
      <c r="DT35" s="417"/>
      <c r="DU35" s="412"/>
      <c r="DV35" s="417"/>
      <c r="DW35" s="412"/>
      <c r="DX35" s="417"/>
      <c r="DY35" s="412"/>
      <c r="DZ35" s="417"/>
      <c r="EA35" s="412"/>
      <c r="EB35" s="417"/>
      <c r="EC35" s="412"/>
      <c r="ED35" s="417"/>
      <c r="EE35" s="412"/>
      <c r="EF35" s="417"/>
      <c r="EG35" s="412"/>
      <c r="EH35" s="402"/>
      <c r="EI35" s="412"/>
      <c r="EJ35" s="417"/>
      <c r="EK35" s="412"/>
      <c r="EL35" s="417"/>
      <c r="EM35" s="412"/>
      <c r="EN35" s="417"/>
      <c r="EO35" s="412"/>
      <c r="EP35" s="402"/>
      <c r="EQ35" s="412"/>
      <c r="ER35" s="417"/>
      <c r="ES35" s="412"/>
      <c r="ET35" s="402"/>
      <c r="EU35" s="402"/>
      <c r="EV35" s="417"/>
      <c r="EW35" s="412"/>
      <c r="EX35" s="402"/>
      <c r="EY35" s="402"/>
      <c r="EZ35" s="417"/>
      <c r="FA35" s="412"/>
      <c r="FB35" s="417"/>
      <c r="FC35" s="412"/>
      <c r="FD35" s="417"/>
      <c r="FE35" s="412"/>
      <c r="FF35" s="402"/>
      <c r="FG35" s="402"/>
      <c r="FH35" s="417"/>
      <c r="FI35" s="412"/>
      <c r="FJ35" s="417"/>
      <c r="FK35" s="412"/>
      <c r="FL35" s="417"/>
      <c r="FM35" s="412"/>
      <c r="FN35" s="417"/>
      <c r="FO35" s="402"/>
      <c r="FP35" s="417"/>
      <c r="FQ35" s="412"/>
      <c r="FR35" s="417"/>
      <c r="FS35" s="412"/>
      <c r="FT35" s="417"/>
      <c r="FU35" s="402"/>
      <c r="FV35" s="417"/>
      <c r="FW35" s="412"/>
      <c r="FX35" s="417"/>
      <c r="FY35" s="412"/>
      <c r="FZ35" s="417"/>
      <c r="GA35" s="412"/>
      <c r="GB35" s="417"/>
      <c r="GC35" s="412"/>
      <c r="GD35" s="417"/>
      <c r="GE35" s="412"/>
      <c r="GF35" s="417"/>
      <c r="GG35" s="412"/>
      <c r="GH35" s="417"/>
      <c r="GI35" s="412"/>
      <c r="GJ35" s="417"/>
      <c r="GK35" s="412"/>
      <c r="GL35" s="417"/>
      <c r="GM35" s="412"/>
      <c r="GN35" s="417"/>
      <c r="GO35" s="412"/>
      <c r="GP35" s="417"/>
      <c r="GQ35" s="412"/>
      <c r="GR35" s="417"/>
      <c r="GS35" s="412"/>
      <c r="GT35" s="417"/>
      <c r="GU35" s="412"/>
      <c r="GV35" s="417"/>
      <c r="GW35" s="412"/>
      <c r="GX35" s="417"/>
      <c r="GY35" s="412"/>
      <c r="GZ35" s="417"/>
      <c r="HA35" s="412"/>
      <c r="HB35" s="417"/>
      <c r="HC35" s="412"/>
      <c r="HD35" s="417"/>
      <c r="HE35" s="402"/>
      <c r="HF35" s="417"/>
      <c r="HG35" s="412"/>
      <c r="HH35" s="417"/>
      <c r="HI35" s="412"/>
      <c r="HJ35" s="417"/>
      <c r="HK35" s="412"/>
      <c r="HL35" s="417"/>
      <c r="HM35" s="412"/>
      <c r="HN35" s="417"/>
      <c r="HO35" s="412"/>
      <c r="HP35" s="417"/>
      <c r="HQ35" s="412"/>
      <c r="HR35" s="417"/>
      <c r="HS35" s="412"/>
      <c r="HT35" s="417"/>
      <c r="HU35" s="412"/>
      <c r="HV35" s="417"/>
      <c r="HW35" s="412"/>
      <c r="HX35" s="417"/>
      <c r="HY35" s="412"/>
      <c r="HZ35" s="402"/>
      <c r="IA35" s="402"/>
      <c r="IB35" s="417"/>
      <c r="IC35" s="412"/>
      <c r="ID35" s="402"/>
      <c r="IE35" s="402"/>
      <c r="IF35" s="417"/>
      <c r="IG35" s="412"/>
      <c r="IH35" s="402"/>
      <c r="II35" s="402"/>
      <c r="IJ35" s="417"/>
      <c r="IK35" s="412"/>
      <c r="IL35" s="417"/>
      <c r="IM35" s="412"/>
      <c r="IN35" s="417"/>
      <c r="IO35" s="412"/>
      <c r="IP35" s="417"/>
      <c r="IQ35" s="412"/>
      <c r="IR35" s="417"/>
      <c r="IS35" s="412"/>
      <c r="IT35" s="417"/>
      <c r="IU35" s="412"/>
      <c r="IV35" s="417"/>
      <c r="IW35" s="412"/>
      <c r="IX35" s="417"/>
      <c r="IY35" s="412"/>
      <c r="IZ35" s="417"/>
      <c r="JA35" s="412"/>
      <c r="JB35" s="417"/>
      <c r="JC35" s="412"/>
      <c r="JD35" s="417"/>
      <c r="JE35" s="412"/>
      <c r="JF35" s="417"/>
      <c r="JG35" s="412"/>
      <c r="JH35" s="417"/>
      <c r="JI35" s="412"/>
      <c r="JJ35" s="417"/>
      <c r="JK35" s="412"/>
      <c r="JL35" s="417"/>
      <c r="JM35" s="412"/>
      <c r="JN35" s="417"/>
      <c r="JO35" s="412"/>
      <c r="JP35" s="417"/>
      <c r="JQ35" s="402"/>
      <c r="JR35" s="417"/>
      <c r="JS35" s="412"/>
      <c r="JT35" s="417"/>
      <c r="JU35" s="412"/>
      <c r="JV35" s="417"/>
      <c r="JW35" s="412"/>
      <c r="JX35" s="417"/>
      <c r="JY35" s="412"/>
      <c r="JZ35" s="417"/>
      <c r="KA35" s="412"/>
      <c r="KB35" s="402"/>
      <c r="KC35" s="412"/>
      <c r="KD35" s="417"/>
      <c r="KE35" s="412"/>
      <c r="KF35" s="402"/>
      <c r="KG35" s="402"/>
      <c r="KH35" s="417"/>
      <c r="KI35" s="412"/>
      <c r="KJ35" s="417"/>
      <c r="KK35" s="412"/>
      <c r="KL35" s="417"/>
      <c r="KM35" s="412"/>
      <c r="KN35" s="402"/>
      <c r="KO35" s="402"/>
      <c r="KP35" s="417"/>
      <c r="KQ35" s="412"/>
      <c r="KR35" s="402"/>
      <c r="KS35" s="412"/>
      <c r="KT35" s="402"/>
      <c r="KU35" s="412"/>
      <c r="KV35" s="417"/>
      <c r="KW35" s="412"/>
      <c r="KX35" s="417"/>
      <c r="KY35" s="412"/>
      <c r="KZ35" s="402"/>
      <c r="LA35" s="402"/>
      <c r="LB35" s="417"/>
      <c r="LC35" s="412"/>
      <c r="LD35" s="417"/>
      <c r="LE35" s="412"/>
      <c r="LF35" s="417"/>
      <c r="LG35" s="412"/>
      <c r="LH35" s="417"/>
      <c r="LI35" s="412"/>
      <c r="LJ35" s="333" t="s">
        <v>1779</v>
      </c>
      <c r="LK35" s="412"/>
      <c r="LL35" s="417"/>
      <c r="LM35" s="402"/>
      <c r="LN35" s="417"/>
      <c r="LO35" s="412"/>
      <c r="LP35" s="417"/>
      <c r="LQ35" s="412"/>
      <c r="LR35" s="417"/>
      <c r="LS35" s="412"/>
      <c r="LT35" s="402"/>
      <c r="LU35" s="402"/>
      <c r="LV35" s="417"/>
      <c r="LW35" s="412"/>
      <c r="LX35" s="417"/>
      <c r="LY35" s="412"/>
      <c r="LZ35" s="417"/>
      <c r="MA35" s="412"/>
      <c r="MB35" s="402"/>
      <c r="MC35" s="402"/>
      <c r="MD35" s="333" t="s">
        <v>1799</v>
      </c>
      <c r="ME35" s="412"/>
      <c r="MF35" s="402"/>
      <c r="MG35" s="402"/>
      <c r="MH35" s="417"/>
      <c r="MI35" s="412"/>
      <c r="MJ35" s="417"/>
      <c r="MK35" s="412"/>
      <c r="ML35" s="417"/>
      <c r="MM35" s="412"/>
      <c r="MN35" s="402"/>
      <c r="MO35" s="402"/>
      <c r="MP35" s="417"/>
      <c r="MQ35" s="412"/>
      <c r="MR35" s="417"/>
      <c r="MS35" s="412"/>
      <c r="MT35" s="417"/>
      <c r="MU35" s="412"/>
      <c r="MV35" s="402"/>
      <c r="MW35" s="402"/>
      <c r="MX35" s="417"/>
      <c r="MY35" s="412"/>
      <c r="MZ35" s="417"/>
      <c r="NA35" s="412"/>
      <c r="NB35" s="417"/>
      <c r="NC35" s="412"/>
      <c r="ND35" s="417"/>
      <c r="NE35" s="412"/>
      <c r="NF35" s="417"/>
      <c r="NG35" s="412"/>
      <c r="NH35" s="417"/>
      <c r="NI35" s="412"/>
      <c r="NJ35" s="417"/>
      <c r="NK35" s="412"/>
      <c r="NL35" s="417"/>
      <c r="NM35" s="412"/>
      <c r="NN35" s="402"/>
      <c r="NO35" s="412"/>
      <c r="NP35" s="402"/>
      <c r="NQ35" s="402"/>
      <c r="NR35" s="417"/>
      <c r="NS35" s="412"/>
      <c r="NT35" s="402"/>
      <c r="NU35" s="412"/>
      <c r="NV35" s="417"/>
      <c r="NW35" s="412"/>
      <c r="NX35" s="402"/>
      <c r="NY35" s="402"/>
      <c r="NZ35" s="417"/>
      <c r="OA35" s="412"/>
      <c r="OB35" s="402"/>
      <c r="OC35" s="412"/>
      <c r="OD35" s="417"/>
      <c r="OE35" s="412"/>
      <c r="OF35" s="402"/>
      <c r="OG35" s="412"/>
      <c r="OH35" s="417"/>
      <c r="OI35" s="412"/>
      <c r="OJ35" s="417"/>
      <c r="OK35" s="412"/>
      <c r="OL35" s="417"/>
      <c r="OM35" s="412"/>
      <c r="ON35" s="417"/>
      <c r="OO35" s="412"/>
      <c r="OP35" s="417"/>
      <c r="OQ35" s="412"/>
      <c r="OR35" s="417"/>
      <c r="OS35" s="412"/>
      <c r="OT35" s="417"/>
      <c r="OU35" s="412"/>
      <c r="OV35" s="402"/>
      <c r="OW35" s="402"/>
      <c r="OX35" s="417"/>
      <c r="OY35" s="412"/>
      <c r="OZ35" s="417"/>
      <c r="PA35" s="412"/>
      <c r="PB35" s="417"/>
      <c r="PC35" s="412"/>
      <c r="PD35" s="417"/>
      <c r="PE35" s="412"/>
      <c r="PF35" s="417"/>
      <c r="PG35" s="412"/>
      <c r="PH35" s="417"/>
      <c r="PI35" s="412"/>
      <c r="PJ35" s="417"/>
      <c r="PK35" s="412"/>
      <c r="PL35" s="417"/>
      <c r="PM35" s="412"/>
      <c r="PN35" s="417"/>
      <c r="PO35" s="412"/>
      <c r="PP35" s="402"/>
      <c r="PQ35" s="402"/>
      <c r="PR35" s="417"/>
      <c r="PS35" s="412"/>
      <c r="PT35" s="417"/>
      <c r="PU35" s="412"/>
      <c r="PV35" s="417"/>
      <c r="PW35" s="412"/>
      <c r="PX35" s="417"/>
      <c r="PY35" s="412"/>
      <c r="PZ35" s="417"/>
      <c r="QA35" s="412"/>
      <c r="QB35" s="417"/>
      <c r="QC35" s="412"/>
      <c r="QD35" s="402"/>
      <c r="QE35" s="412"/>
      <c r="QF35" s="402"/>
      <c r="QG35" s="402"/>
      <c r="QH35" s="417"/>
      <c r="QI35" s="412"/>
      <c r="QJ35" s="417"/>
      <c r="QK35" s="412"/>
      <c r="QL35" s="417"/>
      <c r="QM35" s="412"/>
      <c r="QN35" s="417"/>
      <c r="QO35" s="412"/>
      <c r="QP35" s="417"/>
      <c r="QQ35" s="412"/>
      <c r="QR35" s="417"/>
      <c r="QS35" s="412"/>
      <c r="QT35" s="417"/>
      <c r="QU35" s="412"/>
      <c r="QV35" s="417"/>
      <c r="QW35" s="412"/>
      <c r="QX35" s="417"/>
      <c r="QY35" s="412"/>
      <c r="QZ35" s="417"/>
      <c r="RA35" s="412"/>
      <c r="RB35" s="417"/>
      <c r="RC35" s="412"/>
      <c r="RD35" s="417"/>
      <c r="RE35" s="412"/>
      <c r="RF35" s="417"/>
      <c r="RG35" s="412"/>
      <c r="RH35" s="402"/>
      <c r="RI35" s="402"/>
      <c r="RJ35" s="417"/>
      <c r="RK35" s="412"/>
      <c r="RL35" s="417"/>
      <c r="RM35" s="412"/>
      <c r="RN35" s="402"/>
      <c r="RO35" s="402"/>
      <c r="RP35" s="417"/>
      <c r="RQ35" s="412"/>
      <c r="RR35" s="417"/>
      <c r="RS35" s="412"/>
      <c r="RT35" s="417"/>
      <c r="RU35" s="412"/>
      <c r="RV35" s="417"/>
      <c r="RW35" s="412"/>
      <c r="RX35" s="417"/>
      <c r="RY35" s="412"/>
      <c r="RZ35" s="417"/>
      <c r="SA35" s="412"/>
      <c r="SB35" s="417"/>
      <c r="SC35" s="412"/>
      <c r="SD35" s="402"/>
      <c r="SE35" s="402"/>
      <c r="SF35" s="417"/>
      <c r="SG35" s="412"/>
      <c r="SH35" s="417"/>
      <c r="SI35" s="412"/>
      <c r="SJ35" s="417"/>
      <c r="SK35" s="412"/>
      <c r="SL35" s="417"/>
      <c r="SM35" s="412"/>
      <c r="SN35" s="417"/>
      <c r="SO35" s="412"/>
      <c r="SP35" s="402"/>
      <c r="SQ35" s="412"/>
      <c r="SR35" s="417"/>
      <c r="SS35" s="412"/>
      <c r="ST35" s="417"/>
      <c r="SU35" s="412"/>
      <c r="SV35" s="402"/>
      <c r="SW35" s="402"/>
      <c r="SX35" s="417"/>
      <c r="SY35" s="412"/>
      <c r="SZ35" s="417"/>
      <c r="TA35" s="412"/>
      <c r="TB35" s="417"/>
      <c r="TC35" s="412"/>
      <c r="TD35" s="417"/>
      <c r="TE35" s="412"/>
      <c r="TF35" s="417"/>
      <c r="TG35" s="412"/>
      <c r="TH35" s="417"/>
      <c r="TI35" s="412"/>
      <c r="TJ35" s="417"/>
      <c r="TK35" s="402"/>
      <c r="TL35" s="417"/>
      <c r="TM35" s="412"/>
      <c r="TN35" s="417"/>
      <c r="TO35" s="412"/>
      <c r="TP35" s="417"/>
      <c r="TQ35" s="412"/>
      <c r="TR35" s="402"/>
      <c r="TS35" s="402"/>
      <c r="TT35" s="417"/>
      <c r="TU35" s="412"/>
      <c r="TV35" s="417"/>
      <c r="TW35" s="412"/>
      <c r="TX35" s="417"/>
      <c r="TY35" s="412"/>
      <c r="TZ35" s="417"/>
      <c r="UA35" s="412"/>
      <c r="UB35" s="417"/>
      <c r="UC35" s="412"/>
      <c r="UD35" s="417"/>
      <c r="UE35" s="412"/>
      <c r="UF35" s="402"/>
      <c r="UG35" s="412"/>
      <c r="UH35" s="417"/>
      <c r="UI35" s="412"/>
      <c r="UJ35" s="402"/>
      <c r="UK35" s="412"/>
      <c r="UL35" s="417"/>
      <c r="UM35" s="412"/>
      <c r="UN35" s="417"/>
      <c r="UO35" s="412"/>
      <c r="UP35" s="333" t="s">
        <v>1944</v>
      </c>
      <c r="UQ35" s="412"/>
      <c r="UR35" s="417"/>
      <c r="US35" s="412"/>
      <c r="UT35" s="417"/>
      <c r="UU35" s="412"/>
      <c r="UV35" s="417"/>
      <c r="UW35" s="412"/>
      <c r="UX35" s="417"/>
      <c r="UY35" s="412"/>
      <c r="UZ35" s="417"/>
      <c r="VA35" s="412"/>
      <c r="VB35" s="417"/>
      <c r="VC35" s="412"/>
      <c r="VD35" s="402"/>
      <c r="VE35" s="402"/>
      <c r="VF35" s="417"/>
      <c r="VG35" s="412"/>
      <c r="VH35" s="417"/>
      <c r="VI35" s="412"/>
      <c r="VJ35" s="402"/>
      <c r="VK35" s="412"/>
      <c r="VL35" s="402"/>
      <c r="VM35" s="412"/>
      <c r="VN35" s="402"/>
      <c r="VO35" s="402"/>
      <c r="VP35" s="417"/>
      <c r="VQ35" s="412"/>
      <c r="VR35" s="402"/>
      <c r="VS35" s="402"/>
      <c r="VT35" s="417"/>
      <c r="VU35" s="412"/>
      <c r="VV35" s="417"/>
      <c r="VW35" s="412"/>
      <c r="VX35" s="417"/>
      <c r="VY35" s="412"/>
      <c r="VZ35" s="417"/>
      <c r="WA35" s="412"/>
      <c r="WB35" s="417"/>
      <c r="WC35" s="412"/>
      <c r="WD35" s="417"/>
      <c r="WE35" s="412"/>
      <c r="WF35" s="417"/>
      <c r="WG35" s="412"/>
      <c r="WH35" s="417"/>
      <c r="WI35" s="402"/>
      <c r="WJ35" s="417"/>
      <c r="WK35" s="412"/>
      <c r="WL35" s="417"/>
      <c r="WM35" s="412"/>
      <c r="WN35" s="402"/>
      <c r="WO35" s="412"/>
      <c r="WP35" s="402"/>
      <c r="WQ35" s="402"/>
      <c r="WR35" s="417"/>
      <c r="WS35" s="412"/>
      <c r="WT35" s="417"/>
      <c r="WU35" s="412"/>
      <c r="WV35" s="417"/>
      <c r="WW35" s="412"/>
      <c r="WX35" s="417"/>
      <c r="WY35" s="412"/>
      <c r="WZ35" s="417"/>
      <c r="XA35" s="412"/>
      <c r="XB35" s="417"/>
      <c r="XC35" s="412"/>
      <c r="XD35" s="402"/>
      <c r="XE35" s="402"/>
      <c r="XF35" s="417"/>
      <c r="XG35" s="412"/>
      <c r="XH35" s="417"/>
      <c r="XI35" s="412"/>
      <c r="XJ35" s="402"/>
      <c r="XK35" s="402"/>
      <c r="XL35" s="417"/>
      <c r="XM35" s="412"/>
      <c r="XN35" s="417"/>
      <c r="XO35" s="412"/>
      <c r="XP35" s="417"/>
      <c r="XQ35" s="412"/>
      <c r="XR35" s="402"/>
      <c r="XS35" s="402"/>
      <c r="XT35" s="417"/>
      <c r="XU35" s="412"/>
      <c r="XV35" s="417"/>
      <c r="XW35" s="412"/>
      <c r="XX35" s="402"/>
      <c r="XY35" s="402"/>
      <c r="XZ35" s="417"/>
      <c r="YA35" s="412"/>
      <c r="YB35" s="417"/>
      <c r="YC35" s="412"/>
      <c r="YD35" s="417"/>
      <c r="YE35" s="412"/>
    </row>
    <row r="36" spans="1:655" ht="15" x14ac:dyDescent="0.2">
      <c r="A36" s="402"/>
      <c r="B36" s="417"/>
      <c r="C36" s="412"/>
      <c r="D36" s="417"/>
      <c r="E36" s="412"/>
      <c r="F36" s="417"/>
      <c r="G36" s="412"/>
      <c r="H36" s="417"/>
      <c r="I36" s="412"/>
      <c r="J36" s="417"/>
      <c r="K36" s="412"/>
      <c r="L36" s="417"/>
      <c r="M36" s="412"/>
      <c r="N36" s="536" t="s">
        <v>1561</v>
      </c>
      <c r="O36" s="412"/>
      <c r="P36" s="402"/>
      <c r="Q36" s="402"/>
      <c r="R36" s="417"/>
      <c r="S36" s="412"/>
      <c r="T36" s="417"/>
      <c r="U36" s="412"/>
      <c r="V36" s="417"/>
      <c r="W36" s="412"/>
      <c r="X36" s="417"/>
      <c r="Y36" s="412"/>
      <c r="Z36" s="417"/>
      <c r="AA36" s="412"/>
      <c r="AB36" s="402"/>
      <c r="AC36" s="402"/>
      <c r="AD36" s="417"/>
      <c r="AE36" s="412"/>
      <c r="AF36" s="417"/>
      <c r="AG36" s="412"/>
      <c r="AH36" s="402"/>
      <c r="AI36" s="402"/>
      <c r="AJ36" s="417"/>
      <c r="AK36" s="412"/>
      <c r="AL36" s="536" t="s">
        <v>1570</v>
      </c>
      <c r="AM36" s="412"/>
      <c r="AN36" s="417"/>
      <c r="AO36" s="412"/>
      <c r="AP36" s="536" t="s">
        <v>1568</v>
      </c>
      <c r="AQ36" s="412"/>
      <c r="AR36" s="417"/>
      <c r="AS36" s="412"/>
      <c r="AT36" s="417"/>
      <c r="AU36" s="412"/>
      <c r="AV36" s="417"/>
      <c r="AW36" s="412"/>
      <c r="AX36" s="402"/>
      <c r="AY36" s="412"/>
      <c r="AZ36" s="402"/>
      <c r="BA36" s="412"/>
      <c r="BB36" s="417"/>
      <c r="BC36" s="412"/>
      <c r="BD36" s="417"/>
      <c r="BE36" s="412"/>
      <c r="BF36" s="402"/>
      <c r="BG36" s="412"/>
      <c r="BH36" s="402"/>
      <c r="BI36" s="402"/>
      <c r="BJ36" s="417"/>
      <c r="BK36" s="412"/>
      <c r="BL36" s="402"/>
      <c r="BM36" s="412"/>
      <c r="BN36" s="537" t="s">
        <v>1592</v>
      </c>
      <c r="BO36" s="412"/>
      <c r="BP36" s="537" t="s">
        <v>1590</v>
      </c>
      <c r="BQ36" s="412"/>
      <c r="BR36" s="417"/>
      <c r="BS36" s="412"/>
      <c r="BT36" s="402"/>
      <c r="BU36" s="412"/>
      <c r="BV36" s="417"/>
      <c r="BW36" s="412"/>
      <c r="BX36" s="402"/>
      <c r="BY36" s="412"/>
      <c r="BZ36" s="402"/>
      <c r="CA36" s="412"/>
      <c r="CB36" s="402"/>
      <c r="CC36" s="412"/>
      <c r="CD36" s="402"/>
      <c r="CE36" s="412"/>
      <c r="CF36" s="417"/>
      <c r="CG36" s="412"/>
      <c r="CH36" s="417"/>
      <c r="CI36" s="412"/>
      <c r="CJ36" s="548" t="s">
        <v>1605</v>
      </c>
      <c r="CK36" s="412"/>
      <c r="CL36" s="417"/>
      <c r="CM36" s="412"/>
      <c r="CN36" s="402"/>
      <c r="CO36" s="412"/>
      <c r="CP36" s="548" t="s">
        <v>1611</v>
      </c>
      <c r="CQ36" s="412"/>
      <c r="CR36" s="417"/>
      <c r="CS36" s="412"/>
      <c r="CT36" s="402"/>
      <c r="CU36" s="412"/>
      <c r="CV36" s="417"/>
      <c r="CW36" s="412"/>
      <c r="CX36" s="417"/>
      <c r="CY36" s="412"/>
      <c r="CZ36" s="417"/>
      <c r="DA36" s="412"/>
      <c r="DB36" s="402"/>
      <c r="DC36" s="412"/>
      <c r="DD36" s="402"/>
      <c r="DE36" s="412"/>
      <c r="DF36" s="417"/>
      <c r="DG36" s="412"/>
      <c r="DH36" s="402"/>
      <c r="DI36" s="412"/>
      <c r="DJ36" s="417"/>
      <c r="DK36" s="412"/>
      <c r="DL36" s="548" t="s">
        <v>1644</v>
      </c>
      <c r="DM36" s="412"/>
      <c r="DN36" s="417"/>
      <c r="DO36" s="412"/>
      <c r="DP36" s="402"/>
      <c r="DQ36" s="412"/>
      <c r="DR36" s="417"/>
      <c r="DS36" s="412"/>
      <c r="DT36" s="417"/>
      <c r="DU36" s="412"/>
      <c r="DV36" s="417"/>
      <c r="DW36" s="412"/>
      <c r="DX36" s="417"/>
      <c r="DY36" s="412"/>
      <c r="DZ36" s="417"/>
      <c r="EA36" s="412"/>
      <c r="EB36" s="417"/>
      <c r="EC36" s="412"/>
      <c r="ED36" s="417"/>
      <c r="EE36" s="412"/>
      <c r="EF36" s="417"/>
      <c r="EG36" s="412"/>
      <c r="EH36" s="402"/>
      <c r="EI36" s="412"/>
      <c r="EJ36" s="417"/>
      <c r="EK36" s="412"/>
      <c r="EL36" s="417"/>
      <c r="EM36" s="412"/>
      <c r="EN36" s="417"/>
      <c r="EO36" s="412"/>
      <c r="EP36" s="402"/>
      <c r="EQ36" s="412"/>
      <c r="ER36" s="417"/>
      <c r="ES36" s="412"/>
      <c r="ET36" s="402"/>
      <c r="EU36" s="402"/>
      <c r="EV36" s="417"/>
      <c r="EW36" s="412"/>
      <c r="EX36" s="402"/>
      <c r="EY36" s="402"/>
      <c r="EZ36" s="417"/>
      <c r="FA36" s="412"/>
      <c r="FB36" s="417"/>
      <c r="FC36" s="412"/>
      <c r="FD36" s="417"/>
      <c r="FE36" s="412"/>
      <c r="FF36" s="402"/>
      <c r="FG36" s="402"/>
      <c r="FH36" s="417"/>
      <c r="FI36" s="412"/>
      <c r="FJ36" s="548" t="s">
        <v>1664</v>
      </c>
      <c r="FK36" s="412"/>
      <c r="FL36" s="417"/>
      <c r="FM36" s="412"/>
      <c r="FN36" s="417"/>
      <c r="FO36" s="402"/>
      <c r="FP36" s="417"/>
      <c r="FQ36" s="412"/>
      <c r="FR36" s="417"/>
      <c r="FS36" s="412"/>
      <c r="FT36" s="417"/>
      <c r="FU36" s="402"/>
      <c r="FV36" s="417"/>
      <c r="FW36" s="412"/>
      <c r="FX36" s="417"/>
      <c r="FY36" s="412"/>
      <c r="FZ36" s="417"/>
      <c r="GA36" s="412"/>
      <c r="GB36" s="417"/>
      <c r="GC36" s="412"/>
      <c r="GD36" s="417"/>
      <c r="GE36" s="412"/>
      <c r="GF36" s="417"/>
      <c r="GG36" s="412"/>
      <c r="GH36" s="417"/>
      <c r="GI36" s="412"/>
      <c r="GJ36" s="417"/>
      <c r="GK36" s="412"/>
      <c r="GL36" s="417"/>
      <c r="GM36" s="412"/>
      <c r="GN36" s="417"/>
      <c r="GO36" s="412"/>
      <c r="GP36" s="417"/>
      <c r="GQ36" s="412"/>
      <c r="GR36" s="417"/>
      <c r="GS36" s="412"/>
      <c r="GT36" s="417"/>
      <c r="GU36" s="412"/>
      <c r="GV36" s="417"/>
      <c r="GW36" s="412"/>
      <c r="GX36" s="417"/>
      <c r="GY36" s="412"/>
      <c r="GZ36" s="417"/>
      <c r="HA36" s="412"/>
      <c r="HB36" s="417"/>
      <c r="HC36" s="412"/>
      <c r="HD36" s="417"/>
      <c r="HE36" s="402"/>
      <c r="HF36" s="548" t="s">
        <v>1699</v>
      </c>
      <c r="HG36" s="412"/>
      <c r="HH36" s="417"/>
      <c r="HI36" s="412"/>
      <c r="HJ36" s="417"/>
      <c r="HK36" s="412"/>
      <c r="HL36" s="417"/>
      <c r="HM36" s="412"/>
      <c r="HN36" s="417"/>
      <c r="HO36" s="412"/>
      <c r="HP36" s="417"/>
      <c r="HQ36" s="412"/>
      <c r="HR36" s="417"/>
      <c r="HS36" s="412"/>
      <c r="HT36" s="417"/>
      <c r="HU36" s="412"/>
      <c r="HV36" s="417"/>
      <c r="HW36" s="412"/>
      <c r="HX36" s="417"/>
      <c r="HY36" s="412"/>
      <c r="HZ36" s="402"/>
      <c r="IA36" s="402"/>
      <c r="IB36" s="417"/>
      <c r="IC36" s="412"/>
      <c r="ID36" s="402"/>
      <c r="IE36" s="402"/>
      <c r="IF36" s="417"/>
      <c r="IG36" s="412"/>
      <c r="IH36" s="402"/>
      <c r="II36" s="402"/>
      <c r="IJ36" s="417"/>
      <c r="IK36" s="412"/>
      <c r="IL36" s="417"/>
      <c r="IM36" s="412"/>
      <c r="IN36" s="417"/>
      <c r="IO36" s="412"/>
      <c r="IP36" s="417"/>
      <c r="IQ36" s="412"/>
      <c r="IR36" s="417"/>
      <c r="IS36" s="412"/>
      <c r="IT36" s="417"/>
      <c r="IU36" s="412"/>
      <c r="IV36" s="417"/>
      <c r="IW36" s="412"/>
      <c r="IX36" s="417"/>
      <c r="IY36" s="412"/>
      <c r="IZ36" s="417"/>
      <c r="JA36" s="412"/>
      <c r="JB36" s="417"/>
      <c r="JC36" s="412"/>
      <c r="JD36" s="417"/>
      <c r="JE36" s="412"/>
      <c r="JF36" s="548" t="s">
        <v>1735</v>
      </c>
      <c r="JG36" s="412"/>
      <c r="JH36" s="548" t="s">
        <v>1743</v>
      </c>
      <c r="JI36" s="412"/>
      <c r="JJ36" s="417"/>
      <c r="JK36" s="412"/>
      <c r="JL36" s="417"/>
      <c r="JM36" s="412"/>
      <c r="JN36" s="417"/>
      <c r="JO36" s="412"/>
      <c r="JP36" s="417"/>
      <c r="JQ36" s="402"/>
      <c r="JR36" s="417"/>
      <c r="JS36" s="412"/>
      <c r="JT36" s="417"/>
      <c r="JU36" s="412"/>
      <c r="JV36" s="417"/>
      <c r="JW36" s="412"/>
      <c r="JX36" s="417"/>
      <c r="JY36" s="412"/>
      <c r="JZ36" s="417"/>
      <c r="KA36" s="412"/>
      <c r="KB36" s="402"/>
      <c r="KC36" s="412"/>
      <c r="KD36" s="548" t="s">
        <v>1754</v>
      </c>
      <c r="KE36" s="412"/>
      <c r="KF36" s="402"/>
      <c r="KG36" s="402"/>
      <c r="KH36" s="548" t="s">
        <v>2058</v>
      </c>
      <c r="KI36" s="412"/>
      <c r="KJ36" s="417"/>
      <c r="KK36" s="412"/>
      <c r="KL36" s="417"/>
      <c r="KM36" s="412"/>
      <c r="KN36" s="402"/>
      <c r="KO36" s="402"/>
      <c r="KP36" s="417"/>
      <c r="KQ36" s="412"/>
      <c r="KR36" s="402"/>
      <c r="KS36" s="412"/>
      <c r="KT36" s="402"/>
      <c r="KU36" s="412"/>
      <c r="KV36" s="417"/>
      <c r="KW36" s="412"/>
      <c r="KX36" s="417"/>
      <c r="KY36" s="412"/>
      <c r="KZ36" s="402"/>
      <c r="LA36" s="402"/>
      <c r="LB36" s="417"/>
      <c r="LC36" s="412"/>
      <c r="LD36" s="417"/>
      <c r="LE36" s="412"/>
      <c r="LF36" s="417"/>
      <c r="LG36" s="412"/>
      <c r="LH36" s="417"/>
      <c r="LI36" s="412"/>
      <c r="LJ36" s="333" t="s">
        <v>1784</v>
      </c>
      <c r="LK36" s="412"/>
      <c r="LL36" s="417"/>
      <c r="LM36" s="402"/>
      <c r="LN36" s="417"/>
      <c r="LO36" s="412"/>
      <c r="LP36" s="417"/>
      <c r="LQ36" s="412"/>
      <c r="LR36" s="417"/>
      <c r="LS36" s="412"/>
      <c r="LT36" s="402"/>
      <c r="LU36" s="402"/>
      <c r="LV36" s="417"/>
      <c r="LW36" s="412"/>
      <c r="LX36" s="536" t="s">
        <v>1795</v>
      </c>
      <c r="LY36" s="412"/>
      <c r="LZ36" s="417"/>
      <c r="MA36" s="412"/>
      <c r="MB36" s="402"/>
      <c r="MC36" s="402"/>
      <c r="MD36" s="536" t="s">
        <v>1805</v>
      </c>
      <c r="ME36" s="412"/>
      <c r="MF36" s="402"/>
      <c r="MG36" s="402"/>
      <c r="MH36" s="417"/>
      <c r="MI36" s="412"/>
      <c r="MJ36" s="417"/>
      <c r="MK36" s="412"/>
      <c r="ML36" s="417"/>
      <c r="MM36" s="412"/>
      <c r="MN36" s="402"/>
      <c r="MO36" s="402"/>
      <c r="MP36" s="417"/>
      <c r="MQ36" s="412"/>
      <c r="MR36" s="536" t="s">
        <v>1810</v>
      </c>
      <c r="MS36" s="412"/>
      <c r="MT36" s="417"/>
      <c r="MU36" s="412"/>
      <c r="MV36" s="402"/>
      <c r="MW36" s="402"/>
      <c r="MX36" s="417"/>
      <c r="MY36" s="412"/>
      <c r="MZ36" s="417"/>
      <c r="NA36" s="412"/>
      <c r="NB36" s="417"/>
      <c r="NC36" s="412"/>
      <c r="ND36" s="417"/>
      <c r="NE36" s="412"/>
      <c r="NF36" s="536" t="s">
        <v>1566</v>
      </c>
      <c r="NG36" s="412"/>
      <c r="NH36" s="417"/>
      <c r="NI36" s="412"/>
      <c r="NJ36" s="417"/>
      <c r="NK36" s="412"/>
      <c r="NL36" s="417"/>
      <c r="NM36" s="412"/>
      <c r="NN36" s="402"/>
      <c r="NO36" s="412"/>
      <c r="NP36" s="402"/>
      <c r="NQ36" s="402"/>
      <c r="NR36" s="536" t="s">
        <v>1816</v>
      </c>
      <c r="NS36" s="412"/>
      <c r="NT36" s="537" t="s">
        <v>2037</v>
      </c>
      <c r="NU36" s="412"/>
      <c r="NV36" s="417"/>
      <c r="NW36" s="412"/>
      <c r="NX36" s="402"/>
      <c r="NY36" s="402"/>
      <c r="NZ36" s="417"/>
      <c r="OA36" s="412"/>
      <c r="OB36" s="402"/>
      <c r="OC36" s="412"/>
      <c r="OD36" s="417"/>
      <c r="OE36" s="412"/>
      <c r="OF36" s="402"/>
      <c r="OG36" s="412"/>
      <c r="OH36" s="417"/>
      <c r="OI36" s="412"/>
      <c r="OJ36" s="536" t="s">
        <v>1828</v>
      </c>
      <c r="OK36" s="412"/>
      <c r="OL36" s="417"/>
      <c r="OM36" s="412"/>
      <c r="ON36" s="417"/>
      <c r="OO36" s="412"/>
      <c r="OP36" s="417"/>
      <c r="OQ36" s="412"/>
      <c r="OR36" s="536" t="s">
        <v>1846</v>
      </c>
      <c r="OS36" s="412"/>
      <c r="OT36" s="417"/>
      <c r="OU36" s="412"/>
      <c r="OV36" s="402"/>
      <c r="OW36" s="402"/>
      <c r="OX36" s="417"/>
      <c r="OY36" s="412"/>
      <c r="OZ36" s="417"/>
      <c r="PA36" s="412"/>
      <c r="PB36" s="417"/>
      <c r="PC36" s="412"/>
      <c r="PD36" s="417"/>
      <c r="PE36" s="412"/>
      <c r="PF36" s="417"/>
      <c r="PG36" s="412"/>
      <c r="PH36" s="417"/>
      <c r="PI36" s="412"/>
      <c r="PJ36" s="417"/>
      <c r="PK36" s="412"/>
      <c r="PL36" s="417"/>
      <c r="PM36" s="412"/>
      <c r="PN36" s="417"/>
      <c r="PO36" s="412"/>
      <c r="PP36" s="402"/>
      <c r="PQ36" s="402"/>
      <c r="PR36" s="417"/>
      <c r="PS36" s="412"/>
      <c r="PT36" s="417"/>
      <c r="PU36" s="412"/>
      <c r="PV36" s="417"/>
      <c r="PW36" s="412"/>
      <c r="PX36" s="417"/>
      <c r="PY36" s="412"/>
      <c r="PZ36" s="417"/>
      <c r="QA36" s="412"/>
      <c r="QB36" s="417"/>
      <c r="QC36" s="412"/>
      <c r="QD36" s="402"/>
      <c r="QE36" s="412"/>
      <c r="QF36" s="402"/>
      <c r="QG36" s="402"/>
      <c r="QH36" s="417"/>
      <c r="QI36" s="412"/>
      <c r="QJ36" s="536" t="s">
        <v>1870</v>
      </c>
      <c r="QK36" s="412"/>
      <c r="QL36" s="417"/>
      <c r="QM36" s="412"/>
      <c r="QN36" s="417"/>
      <c r="QO36" s="412"/>
      <c r="QP36" s="417"/>
      <c r="QQ36" s="412"/>
      <c r="QR36" s="417"/>
      <c r="QS36" s="412"/>
      <c r="QT36" s="417"/>
      <c r="QU36" s="412"/>
      <c r="QV36" s="536" t="s">
        <v>1880</v>
      </c>
      <c r="QW36" s="412"/>
      <c r="QX36" s="417"/>
      <c r="QY36" s="412"/>
      <c r="QZ36" s="417"/>
      <c r="RA36" s="412"/>
      <c r="RB36" s="417"/>
      <c r="RC36" s="412"/>
      <c r="RD36" s="417"/>
      <c r="RE36" s="412"/>
      <c r="RF36" s="417"/>
      <c r="RG36" s="412"/>
      <c r="RH36" s="402"/>
      <c r="RI36" s="402"/>
      <c r="RJ36" s="417"/>
      <c r="RK36" s="412"/>
      <c r="RL36" s="417"/>
      <c r="RM36" s="412"/>
      <c r="RN36" s="402"/>
      <c r="RO36" s="402"/>
      <c r="RP36" s="417"/>
      <c r="RQ36" s="412"/>
      <c r="RR36" s="536" t="s">
        <v>1893</v>
      </c>
      <c r="RS36" s="412"/>
      <c r="RT36" s="417"/>
      <c r="RU36" s="412"/>
      <c r="RV36" s="417"/>
      <c r="RW36" s="412"/>
      <c r="RX36" s="417"/>
      <c r="RY36" s="412"/>
      <c r="RZ36" s="417"/>
      <c r="SA36" s="412"/>
      <c r="SB36" s="417"/>
      <c r="SC36" s="412"/>
      <c r="SD36" s="402"/>
      <c r="SE36" s="402"/>
      <c r="SF36" s="417"/>
      <c r="SG36" s="412"/>
      <c r="SH36" s="417"/>
      <c r="SI36" s="412"/>
      <c r="SJ36" s="417"/>
      <c r="SK36" s="412"/>
      <c r="SL36" s="417"/>
      <c r="SM36" s="412"/>
      <c r="SN36" s="417"/>
      <c r="SO36" s="412"/>
      <c r="SP36" s="402"/>
      <c r="SQ36" s="412"/>
      <c r="SR36" s="417"/>
      <c r="SS36" s="412"/>
      <c r="ST36" s="417"/>
      <c r="SU36" s="412"/>
      <c r="SV36" s="402"/>
      <c r="SW36" s="402"/>
      <c r="SX36" s="417"/>
      <c r="SY36" s="412"/>
      <c r="SZ36" s="536" t="s">
        <v>1918</v>
      </c>
      <c r="TA36" s="412"/>
      <c r="TB36" s="417"/>
      <c r="TC36" s="412"/>
      <c r="TD36" s="536" t="s">
        <v>1935</v>
      </c>
      <c r="TE36" s="412"/>
      <c r="TF36" s="417"/>
      <c r="TG36" s="412"/>
      <c r="TH36" s="536" t="s">
        <v>1932</v>
      </c>
      <c r="TI36" s="412"/>
      <c r="TJ36" s="417"/>
      <c r="TK36" s="402"/>
      <c r="TL36" s="417"/>
      <c r="TM36" s="412"/>
      <c r="TN36" s="417"/>
      <c r="TO36" s="412"/>
      <c r="TP36" s="417"/>
      <c r="TQ36" s="412"/>
      <c r="TR36" s="402"/>
      <c r="TS36" s="402"/>
      <c r="TT36" s="417"/>
      <c r="TU36" s="412"/>
      <c r="TV36" s="536" t="s">
        <v>1933</v>
      </c>
      <c r="TW36" s="412"/>
      <c r="TX36" s="417"/>
      <c r="TY36" s="412"/>
      <c r="TZ36" s="417"/>
      <c r="UA36" s="412"/>
      <c r="UB36" s="417"/>
      <c r="UC36" s="412"/>
      <c r="UD36" s="417"/>
      <c r="UE36" s="412"/>
      <c r="UF36" s="402"/>
      <c r="UG36" s="412"/>
      <c r="UH36" s="417"/>
      <c r="UI36" s="412"/>
      <c r="UJ36" s="402"/>
      <c r="UK36" s="412"/>
      <c r="UL36" s="417"/>
      <c r="UM36" s="412"/>
      <c r="UN36" s="417"/>
      <c r="UO36" s="412"/>
      <c r="UP36" s="536" t="s">
        <v>1945</v>
      </c>
      <c r="UQ36" s="412"/>
      <c r="UR36" s="417"/>
      <c r="US36" s="412"/>
      <c r="UT36" s="417"/>
      <c r="UU36" s="412"/>
      <c r="UV36" s="417"/>
      <c r="UW36" s="412"/>
      <c r="UX36" s="417"/>
      <c r="UY36" s="412"/>
      <c r="UZ36" s="417"/>
      <c r="VA36" s="412"/>
      <c r="VB36" s="417"/>
      <c r="VC36" s="412"/>
      <c r="VD36" s="402"/>
      <c r="VE36" s="402"/>
      <c r="VF36" s="417"/>
      <c r="VG36" s="412"/>
      <c r="VH36" s="417"/>
      <c r="VI36" s="412"/>
      <c r="VJ36" s="402"/>
      <c r="VK36" s="412"/>
      <c r="VL36" s="402"/>
      <c r="VM36" s="412"/>
      <c r="VN36" s="402"/>
      <c r="VO36" s="402"/>
      <c r="VP36" s="536" t="s">
        <v>1955</v>
      </c>
      <c r="VQ36" s="412"/>
      <c r="VR36" s="402"/>
      <c r="VS36" s="402"/>
      <c r="VT36" s="417"/>
      <c r="VU36" s="412"/>
      <c r="VV36" s="417"/>
      <c r="VW36" s="412"/>
      <c r="VX36" s="417"/>
      <c r="VY36" s="412"/>
      <c r="VZ36" s="417"/>
      <c r="WA36" s="412"/>
      <c r="WB36" s="417"/>
      <c r="WC36" s="412"/>
      <c r="WD36" s="417"/>
      <c r="WE36" s="412"/>
      <c r="WF36" s="417"/>
      <c r="WG36" s="412"/>
      <c r="WH36" s="417"/>
      <c r="WI36" s="402"/>
      <c r="WJ36" s="417"/>
      <c r="WK36" s="412"/>
      <c r="WL36" s="417"/>
      <c r="WM36" s="412"/>
      <c r="WN36" s="402"/>
      <c r="WO36" s="412"/>
      <c r="WP36" s="402"/>
      <c r="WQ36" s="402"/>
      <c r="WR36" s="417"/>
      <c r="WS36" s="412"/>
      <c r="WT36" s="417"/>
      <c r="WU36" s="412"/>
      <c r="WV36" s="417"/>
      <c r="WW36" s="412"/>
      <c r="WX36" s="417"/>
      <c r="WY36" s="412"/>
      <c r="WZ36" s="417"/>
      <c r="XA36" s="412"/>
      <c r="XB36" s="417"/>
      <c r="XC36" s="412"/>
      <c r="XD36" s="402"/>
      <c r="XE36" s="402"/>
      <c r="XF36" s="536" t="s">
        <v>2020</v>
      </c>
      <c r="XG36" s="412"/>
      <c r="XH36" s="417"/>
      <c r="XI36" s="412"/>
      <c r="XJ36" s="402"/>
      <c r="XK36" s="402"/>
      <c r="XL36" s="417"/>
      <c r="XM36" s="412"/>
      <c r="XN36" s="417"/>
      <c r="XO36" s="412"/>
      <c r="XP36" s="417"/>
      <c r="XQ36" s="412"/>
      <c r="XR36" s="402"/>
      <c r="XS36" s="402"/>
      <c r="XT36" s="417"/>
      <c r="XU36" s="412"/>
      <c r="XV36" s="417"/>
      <c r="XW36" s="412"/>
      <c r="XX36" s="402"/>
      <c r="XY36" s="402"/>
      <c r="XZ36" s="417"/>
      <c r="YA36" s="412"/>
      <c r="YB36" s="417"/>
      <c r="YC36" s="412"/>
      <c r="YD36" s="417"/>
      <c r="YE36" s="412"/>
    </row>
    <row r="37" spans="1:655" ht="30" x14ac:dyDescent="0.2">
      <c r="A37" s="397"/>
      <c r="B37" s="396"/>
      <c r="C37" s="398"/>
      <c r="D37" s="396"/>
      <c r="E37" s="398"/>
      <c r="F37" s="396"/>
      <c r="G37" s="398"/>
      <c r="H37" s="396"/>
      <c r="I37" s="398"/>
      <c r="J37" s="396"/>
      <c r="K37" s="398"/>
      <c r="L37" s="396"/>
      <c r="M37" s="398"/>
      <c r="N37" s="396"/>
      <c r="O37" s="398"/>
      <c r="P37" s="397"/>
      <c r="Q37" s="397"/>
      <c r="R37" s="396"/>
      <c r="S37" s="398"/>
      <c r="T37" s="396"/>
      <c r="U37" s="398"/>
      <c r="V37" s="396"/>
      <c r="W37" s="398"/>
      <c r="X37" s="396"/>
      <c r="Y37" s="398"/>
      <c r="Z37" s="396"/>
      <c r="AA37" s="398"/>
      <c r="AB37" s="397"/>
      <c r="AC37" s="397"/>
      <c r="AD37" s="396"/>
      <c r="AE37" s="398"/>
      <c r="AF37" s="396"/>
      <c r="AG37" s="398"/>
      <c r="AH37" s="397"/>
      <c r="AI37" s="397"/>
      <c r="AJ37" s="396"/>
      <c r="AK37" s="398"/>
      <c r="AL37" s="396"/>
      <c r="AM37" s="398"/>
      <c r="AN37" s="396"/>
      <c r="AO37" s="398"/>
      <c r="AP37" s="396"/>
      <c r="AQ37" s="398"/>
      <c r="AR37" s="396"/>
      <c r="AS37" s="398"/>
      <c r="AT37" s="396"/>
      <c r="AU37" s="398"/>
      <c r="AV37" s="396"/>
      <c r="AW37" s="398"/>
      <c r="AX37" s="397"/>
      <c r="AY37" s="398"/>
      <c r="AZ37" s="397"/>
      <c r="BA37" s="398"/>
      <c r="BB37" s="396"/>
      <c r="BC37" s="398"/>
      <c r="BD37" s="396"/>
      <c r="BE37" s="398"/>
      <c r="BF37" s="397"/>
      <c r="BG37" s="398"/>
      <c r="BH37" s="397"/>
      <c r="BI37" s="397"/>
      <c r="BJ37" s="396"/>
      <c r="BK37" s="398"/>
      <c r="BL37" s="397"/>
      <c r="BM37" s="398"/>
      <c r="BN37" s="397"/>
      <c r="BO37" s="398"/>
      <c r="BP37" s="397"/>
      <c r="BQ37" s="398"/>
      <c r="BR37" s="396"/>
      <c r="BS37" s="398"/>
      <c r="BT37" s="397"/>
      <c r="BU37" s="398"/>
      <c r="BV37" s="396"/>
      <c r="BW37" s="398"/>
      <c r="BX37" s="397"/>
      <c r="BY37" s="398"/>
      <c r="BZ37" s="397"/>
      <c r="CA37" s="398"/>
      <c r="CB37" s="397"/>
      <c r="CC37" s="398"/>
      <c r="CD37" s="397"/>
      <c r="CE37" s="398"/>
      <c r="CF37" s="396"/>
      <c r="CG37" s="398"/>
      <c r="CH37" s="396"/>
      <c r="CI37" s="398"/>
      <c r="CJ37" s="396"/>
      <c r="CK37" s="398"/>
      <c r="CL37" s="396"/>
      <c r="CM37" s="398"/>
      <c r="CN37" s="397"/>
      <c r="CO37" s="398"/>
      <c r="CP37" s="396"/>
      <c r="CQ37" s="398"/>
      <c r="CR37" s="396"/>
      <c r="CS37" s="398"/>
      <c r="CT37" s="397"/>
      <c r="CU37" s="398"/>
      <c r="CV37" s="396"/>
      <c r="CW37" s="398"/>
      <c r="CX37" s="396"/>
      <c r="CY37" s="398"/>
      <c r="CZ37" s="396"/>
      <c r="DA37" s="398"/>
      <c r="DB37" s="397"/>
      <c r="DC37" s="398"/>
      <c r="DD37" s="397"/>
      <c r="DE37" s="398"/>
      <c r="DF37" s="396"/>
      <c r="DG37" s="398"/>
      <c r="DH37" s="397"/>
      <c r="DI37" s="398"/>
      <c r="DJ37" s="396"/>
      <c r="DK37" s="398"/>
      <c r="DL37" s="396"/>
      <c r="DM37" s="398"/>
      <c r="DN37" s="396"/>
      <c r="DO37" s="398"/>
      <c r="DP37" s="397"/>
      <c r="DQ37" s="398"/>
      <c r="DR37" s="396"/>
      <c r="DS37" s="398"/>
      <c r="DT37" s="396"/>
      <c r="DU37" s="398"/>
      <c r="DV37" s="396"/>
      <c r="DW37" s="398"/>
      <c r="DX37" s="396"/>
      <c r="DY37" s="398"/>
      <c r="DZ37" s="396"/>
      <c r="EA37" s="398"/>
      <c r="EB37" s="396"/>
      <c r="EC37" s="398"/>
      <c r="ED37" s="396"/>
      <c r="EE37" s="398"/>
      <c r="EF37" s="396"/>
      <c r="EG37" s="398"/>
      <c r="EH37" s="397"/>
      <c r="EI37" s="398"/>
      <c r="EJ37" s="396"/>
      <c r="EK37" s="398"/>
      <c r="EL37" s="396"/>
      <c r="EM37" s="398"/>
      <c r="EN37" s="396"/>
      <c r="EO37" s="398"/>
      <c r="EP37" s="397"/>
      <c r="EQ37" s="398"/>
      <c r="ER37" s="396"/>
      <c r="ES37" s="398"/>
      <c r="ET37" s="397"/>
      <c r="EU37" s="397"/>
      <c r="EV37" s="396"/>
      <c r="EW37" s="398"/>
      <c r="EX37" s="397"/>
      <c r="EY37" s="397"/>
      <c r="EZ37" s="396"/>
      <c r="FA37" s="398"/>
      <c r="FB37" s="396"/>
      <c r="FC37" s="398"/>
      <c r="FD37" s="396"/>
      <c r="FE37" s="398"/>
      <c r="FF37" s="397"/>
      <c r="FG37" s="397"/>
      <c r="FH37" s="396"/>
      <c r="FI37" s="398"/>
      <c r="FJ37" s="396"/>
      <c r="FK37" s="398"/>
      <c r="FL37" s="396"/>
      <c r="FM37" s="398"/>
      <c r="FN37" s="396"/>
      <c r="FO37" s="397"/>
      <c r="FP37" s="396"/>
      <c r="FQ37" s="398"/>
      <c r="FR37" s="396"/>
      <c r="FS37" s="398"/>
      <c r="FT37" s="396"/>
      <c r="FU37" s="397"/>
      <c r="FV37" s="396"/>
      <c r="FW37" s="398"/>
      <c r="FX37" s="396"/>
      <c r="FY37" s="398"/>
      <c r="FZ37" s="396"/>
      <c r="GA37" s="398"/>
      <c r="GB37" s="396"/>
      <c r="GC37" s="398"/>
      <c r="GD37" s="396"/>
      <c r="GE37" s="398"/>
      <c r="GF37" s="396"/>
      <c r="GG37" s="398"/>
      <c r="GH37" s="396"/>
      <c r="GI37" s="398"/>
      <c r="GJ37" s="396"/>
      <c r="GK37" s="398"/>
      <c r="GL37" s="396"/>
      <c r="GM37" s="398"/>
      <c r="GN37" s="396"/>
      <c r="GO37" s="398"/>
      <c r="GP37" s="396"/>
      <c r="GQ37" s="398"/>
      <c r="GR37" s="396"/>
      <c r="GS37" s="398"/>
      <c r="GT37" s="396"/>
      <c r="GU37" s="398"/>
      <c r="GV37" s="396"/>
      <c r="GW37" s="398"/>
      <c r="GX37" s="396"/>
      <c r="GY37" s="398"/>
      <c r="GZ37" s="396"/>
      <c r="HA37" s="398"/>
      <c r="HB37" s="396"/>
      <c r="HC37" s="398"/>
      <c r="HD37" s="396"/>
      <c r="HE37" s="397"/>
      <c r="HF37" s="396"/>
      <c r="HG37" s="398"/>
      <c r="HH37" s="396"/>
      <c r="HI37" s="398"/>
      <c r="HJ37" s="396"/>
      <c r="HK37" s="398"/>
      <c r="HL37" s="396"/>
      <c r="HM37" s="398"/>
      <c r="HN37" s="396"/>
      <c r="HO37" s="398"/>
      <c r="HP37" s="396"/>
      <c r="HQ37" s="398"/>
      <c r="HR37" s="396"/>
      <c r="HS37" s="398"/>
      <c r="HT37" s="396"/>
      <c r="HU37" s="398"/>
      <c r="HV37" s="396"/>
      <c r="HW37" s="398"/>
      <c r="HX37" s="396"/>
      <c r="HY37" s="398"/>
      <c r="HZ37" s="397"/>
      <c r="IA37" s="397"/>
      <c r="IB37" s="396"/>
      <c r="IC37" s="398"/>
      <c r="ID37" s="397"/>
      <c r="IE37" s="397"/>
      <c r="IF37" s="396"/>
      <c r="IG37" s="398"/>
      <c r="IH37" s="397"/>
      <c r="II37" s="397"/>
      <c r="IJ37" s="396"/>
      <c r="IK37" s="398"/>
      <c r="IL37" s="396"/>
      <c r="IM37" s="398"/>
      <c r="IN37" s="396"/>
      <c r="IO37" s="398"/>
      <c r="IP37" s="396"/>
      <c r="IQ37" s="398"/>
      <c r="IR37" s="396"/>
      <c r="IS37" s="398"/>
      <c r="IT37" s="396"/>
      <c r="IU37" s="398"/>
      <c r="IV37" s="396"/>
      <c r="IW37" s="398"/>
      <c r="IX37" s="396"/>
      <c r="IY37" s="398"/>
      <c r="IZ37" s="396"/>
      <c r="JA37" s="398"/>
      <c r="JB37" s="396"/>
      <c r="JC37" s="398"/>
      <c r="JD37" s="396"/>
      <c r="JE37" s="398"/>
      <c r="JF37" s="396"/>
      <c r="JG37" s="398"/>
      <c r="JH37" s="396"/>
      <c r="JI37" s="398"/>
      <c r="JJ37" s="396"/>
      <c r="JK37" s="398"/>
      <c r="JL37" s="396"/>
      <c r="JM37" s="398"/>
      <c r="JN37" s="396"/>
      <c r="JO37" s="398"/>
      <c r="JP37" s="396"/>
      <c r="JQ37" s="397"/>
      <c r="JR37" s="396"/>
      <c r="JS37" s="398"/>
      <c r="JT37" s="396"/>
      <c r="JU37" s="398"/>
      <c r="JV37" s="396"/>
      <c r="JW37" s="398"/>
      <c r="JX37" s="396"/>
      <c r="JY37" s="398"/>
      <c r="JZ37" s="396"/>
      <c r="KA37" s="398"/>
      <c r="KB37" s="397"/>
      <c r="KC37" s="398"/>
      <c r="KD37" s="396"/>
      <c r="KE37" s="398"/>
      <c r="KF37" s="397"/>
      <c r="KG37" s="397"/>
      <c r="KH37" s="396"/>
      <c r="KI37" s="398"/>
      <c r="KJ37" s="396"/>
      <c r="KK37" s="398"/>
      <c r="KL37" s="396"/>
      <c r="KM37" s="398"/>
      <c r="KN37" s="397"/>
      <c r="KO37" s="397"/>
      <c r="KP37" s="396"/>
      <c r="KQ37" s="398"/>
      <c r="KR37" s="397"/>
      <c r="KS37" s="398"/>
      <c r="KT37" s="397"/>
      <c r="KU37" s="398"/>
      <c r="KV37" s="396"/>
      <c r="KW37" s="398"/>
      <c r="KX37" s="396"/>
      <c r="KY37" s="398"/>
      <c r="KZ37" s="397"/>
      <c r="LA37" s="397"/>
      <c r="LB37" s="396"/>
      <c r="LC37" s="398"/>
      <c r="LD37" s="396"/>
      <c r="LE37" s="398"/>
      <c r="LF37" s="396"/>
      <c r="LG37" s="398"/>
      <c r="LH37" s="396"/>
      <c r="LI37" s="398"/>
      <c r="LJ37" s="345" t="s">
        <v>1787</v>
      </c>
      <c r="LK37" s="398"/>
      <c r="LL37" s="396"/>
      <c r="LM37" s="397"/>
      <c r="LN37" s="396"/>
      <c r="LO37" s="398"/>
      <c r="LP37" s="396"/>
      <c r="LQ37" s="398"/>
      <c r="LR37" s="396"/>
      <c r="LS37" s="398"/>
      <c r="LT37" s="397"/>
      <c r="LU37" s="397"/>
      <c r="LV37" s="396"/>
      <c r="LW37" s="398"/>
      <c r="LX37" s="396"/>
      <c r="LY37" s="398"/>
      <c r="LZ37" s="396"/>
      <c r="MA37" s="398"/>
      <c r="MB37" s="397"/>
      <c r="MC37" s="397"/>
      <c r="MD37" s="396"/>
      <c r="ME37" s="398"/>
      <c r="MF37" s="397"/>
      <c r="MG37" s="397"/>
      <c r="MH37" s="396"/>
      <c r="MI37" s="398"/>
      <c r="MJ37" s="396"/>
      <c r="MK37" s="398"/>
      <c r="ML37" s="396"/>
      <c r="MM37" s="398"/>
      <c r="MN37" s="397"/>
      <c r="MO37" s="397"/>
      <c r="MP37" s="396"/>
      <c r="MQ37" s="398"/>
      <c r="MR37" s="396"/>
      <c r="MS37" s="398"/>
      <c r="MT37" s="396"/>
      <c r="MU37" s="398"/>
      <c r="MV37" s="397"/>
      <c r="MW37" s="397"/>
      <c r="MX37" s="396"/>
      <c r="MY37" s="398"/>
      <c r="MZ37" s="396"/>
      <c r="NA37" s="398"/>
      <c r="NB37" s="396"/>
      <c r="NC37" s="398"/>
      <c r="ND37" s="396"/>
      <c r="NE37" s="398"/>
      <c r="NF37" s="396"/>
      <c r="NG37" s="398"/>
      <c r="NH37" s="396"/>
      <c r="NI37" s="398"/>
      <c r="NJ37" s="396"/>
      <c r="NK37" s="398"/>
      <c r="NL37" s="396"/>
      <c r="NM37" s="398"/>
      <c r="NN37" s="397"/>
      <c r="NO37" s="398"/>
      <c r="NP37" s="397"/>
      <c r="NQ37" s="397"/>
      <c r="NR37" s="396"/>
      <c r="NS37" s="398"/>
      <c r="NT37" s="397"/>
      <c r="NU37" s="398"/>
      <c r="NV37" s="396"/>
      <c r="NW37" s="398"/>
      <c r="NX37" s="397"/>
      <c r="NY37" s="397"/>
      <c r="NZ37" s="396"/>
      <c r="OA37" s="398"/>
      <c r="OB37" s="397"/>
      <c r="OC37" s="398"/>
      <c r="OD37" s="396"/>
      <c r="OE37" s="398"/>
      <c r="OF37" s="397"/>
      <c r="OG37" s="398"/>
      <c r="OH37" s="396"/>
      <c r="OI37" s="398"/>
      <c r="OJ37" s="396"/>
      <c r="OK37" s="398"/>
      <c r="OL37" s="396"/>
      <c r="OM37" s="398"/>
      <c r="ON37" s="396"/>
      <c r="OO37" s="398"/>
      <c r="OP37" s="396"/>
      <c r="OQ37" s="398"/>
      <c r="OR37" s="396"/>
      <c r="OS37" s="398"/>
      <c r="OT37" s="396"/>
      <c r="OU37" s="398"/>
      <c r="OV37" s="397"/>
      <c r="OW37" s="397"/>
      <c r="OX37" s="396"/>
      <c r="OY37" s="398"/>
      <c r="OZ37" s="396"/>
      <c r="PA37" s="398"/>
      <c r="PB37" s="396"/>
      <c r="PC37" s="398"/>
      <c r="PD37" s="396"/>
      <c r="PE37" s="398"/>
      <c r="PF37" s="396"/>
      <c r="PG37" s="398"/>
      <c r="PH37" s="396"/>
      <c r="PI37" s="398"/>
      <c r="PJ37" s="396"/>
      <c r="PK37" s="398"/>
      <c r="PL37" s="396"/>
      <c r="PM37" s="398"/>
      <c r="PN37" s="396"/>
      <c r="PO37" s="398"/>
      <c r="PP37" s="397"/>
      <c r="PQ37" s="397"/>
      <c r="PR37" s="396"/>
      <c r="PS37" s="398"/>
      <c r="PT37" s="396"/>
      <c r="PU37" s="398"/>
      <c r="PV37" s="396"/>
      <c r="PW37" s="398"/>
      <c r="PX37" s="396"/>
      <c r="PY37" s="398"/>
      <c r="PZ37" s="396"/>
      <c r="QA37" s="398"/>
      <c r="QB37" s="396"/>
      <c r="QC37" s="398"/>
      <c r="QD37" s="397"/>
      <c r="QE37" s="398"/>
      <c r="QF37" s="397"/>
      <c r="QG37" s="397"/>
      <c r="QH37" s="396"/>
      <c r="QI37" s="398"/>
      <c r="QJ37" s="396"/>
      <c r="QK37" s="398"/>
      <c r="QL37" s="396"/>
      <c r="QM37" s="398"/>
      <c r="QN37" s="396"/>
      <c r="QO37" s="398"/>
      <c r="QP37" s="396"/>
      <c r="QQ37" s="398"/>
      <c r="QR37" s="396"/>
      <c r="QS37" s="398"/>
      <c r="QT37" s="396"/>
      <c r="QU37" s="398"/>
      <c r="QV37" s="396"/>
      <c r="QW37" s="398"/>
      <c r="QX37" s="396"/>
      <c r="QY37" s="398"/>
      <c r="QZ37" s="396"/>
      <c r="RA37" s="398"/>
      <c r="RB37" s="396"/>
      <c r="RC37" s="398"/>
      <c r="RD37" s="396"/>
      <c r="RE37" s="398"/>
      <c r="RF37" s="396"/>
      <c r="RG37" s="398"/>
      <c r="RH37" s="397"/>
      <c r="RI37" s="397"/>
      <c r="RJ37" s="396"/>
      <c r="RK37" s="398"/>
      <c r="RL37" s="396"/>
      <c r="RM37" s="398"/>
      <c r="RN37" s="397"/>
      <c r="RO37" s="397"/>
      <c r="RP37" s="396"/>
      <c r="RQ37" s="398"/>
      <c r="RR37" s="396"/>
      <c r="RS37" s="398"/>
      <c r="RT37" s="396"/>
      <c r="RU37" s="398"/>
      <c r="RV37" s="396"/>
      <c r="RW37" s="398"/>
      <c r="RX37" s="396"/>
      <c r="RY37" s="398"/>
      <c r="RZ37" s="396"/>
      <c r="SA37" s="398"/>
      <c r="SB37" s="396"/>
      <c r="SC37" s="398"/>
      <c r="SD37" s="397"/>
      <c r="SE37" s="397"/>
      <c r="SF37" s="396"/>
      <c r="SG37" s="398"/>
      <c r="SH37" s="396"/>
      <c r="SI37" s="398"/>
      <c r="SJ37" s="396"/>
      <c r="SK37" s="398"/>
      <c r="SL37" s="396"/>
      <c r="SM37" s="398"/>
      <c r="SN37" s="396"/>
      <c r="SO37" s="398"/>
      <c r="SP37" s="397"/>
      <c r="SQ37" s="398"/>
      <c r="SR37" s="396"/>
      <c r="SS37" s="398"/>
      <c r="ST37" s="396"/>
      <c r="SU37" s="398"/>
      <c r="SV37" s="397"/>
      <c r="SW37" s="397"/>
      <c r="SX37" s="396"/>
      <c r="SY37" s="398"/>
      <c r="SZ37" s="396"/>
      <c r="TA37" s="398"/>
      <c r="TB37" s="396"/>
      <c r="TC37" s="398"/>
      <c r="TD37" s="396"/>
      <c r="TE37" s="398"/>
      <c r="TF37" s="396"/>
      <c r="TG37" s="398"/>
      <c r="TH37" s="396"/>
      <c r="TI37" s="398"/>
      <c r="TJ37" s="396"/>
      <c r="TK37" s="397"/>
      <c r="TL37" s="396"/>
      <c r="TM37" s="398"/>
      <c r="TN37" s="396"/>
      <c r="TO37" s="398"/>
      <c r="TP37" s="396"/>
      <c r="TQ37" s="398"/>
      <c r="TR37" s="397"/>
      <c r="TS37" s="397"/>
      <c r="TT37" s="396"/>
      <c r="TU37" s="398"/>
      <c r="TV37" s="396"/>
      <c r="TW37" s="398"/>
      <c r="TX37" s="396"/>
      <c r="TY37" s="398"/>
      <c r="TZ37" s="396"/>
      <c r="UA37" s="398"/>
      <c r="UB37" s="396"/>
      <c r="UC37" s="398"/>
      <c r="UD37" s="396"/>
      <c r="UE37" s="398"/>
      <c r="UF37" s="397"/>
      <c r="UG37" s="398"/>
      <c r="UH37" s="396"/>
      <c r="UI37" s="398"/>
      <c r="UJ37" s="397"/>
      <c r="UK37" s="398"/>
      <c r="UL37" s="396"/>
      <c r="UM37" s="398"/>
      <c r="UN37" s="396"/>
      <c r="UO37" s="398"/>
      <c r="UP37" s="396"/>
      <c r="UQ37" s="398"/>
      <c r="UR37" s="396"/>
      <c r="US37" s="398"/>
      <c r="UT37" s="396"/>
      <c r="UU37" s="398"/>
      <c r="UV37" s="396"/>
      <c r="UW37" s="398"/>
      <c r="UX37" s="396"/>
      <c r="UY37" s="398"/>
      <c r="UZ37" s="396"/>
      <c r="VA37" s="398"/>
      <c r="VB37" s="396"/>
      <c r="VC37" s="398"/>
      <c r="VD37" s="397"/>
      <c r="VE37" s="397"/>
      <c r="VF37" s="396"/>
      <c r="VG37" s="398"/>
      <c r="VH37" s="396"/>
      <c r="VI37" s="398"/>
      <c r="VJ37" s="397"/>
      <c r="VK37" s="398"/>
      <c r="VL37" s="397"/>
      <c r="VM37" s="398"/>
      <c r="VN37" s="397"/>
      <c r="VO37" s="397"/>
      <c r="VP37" s="396"/>
      <c r="VQ37" s="398"/>
      <c r="VR37" s="397"/>
      <c r="VS37" s="397"/>
      <c r="VT37" s="396"/>
      <c r="VU37" s="398"/>
      <c r="VV37" s="396"/>
      <c r="VW37" s="398"/>
      <c r="VX37" s="396"/>
      <c r="VY37" s="398"/>
      <c r="VZ37" s="396"/>
      <c r="WA37" s="398"/>
      <c r="WB37" s="396"/>
      <c r="WC37" s="398"/>
      <c r="WD37" s="396"/>
      <c r="WE37" s="398"/>
      <c r="WF37" s="396"/>
      <c r="WG37" s="398"/>
      <c r="WH37" s="396"/>
      <c r="WI37" s="397"/>
      <c r="WJ37" s="396"/>
      <c r="WK37" s="398"/>
      <c r="WL37" s="396"/>
      <c r="WM37" s="398"/>
      <c r="WN37" s="397"/>
      <c r="WO37" s="398"/>
      <c r="WP37" s="397"/>
      <c r="WQ37" s="397"/>
      <c r="WR37" s="396"/>
      <c r="WS37" s="398"/>
      <c r="WT37" s="396"/>
      <c r="WU37" s="398"/>
      <c r="WV37" s="396"/>
      <c r="WW37" s="398"/>
      <c r="WX37" s="396"/>
      <c r="WY37" s="398"/>
      <c r="WZ37" s="396"/>
      <c r="XA37" s="398"/>
      <c r="XB37" s="396"/>
      <c r="XC37" s="398"/>
      <c r="XD37" s="397"/>
      <c r="XE37" s="397"/>
      <c r="XF37" s="396"/>
      <c r="XG37" s="398"/>
      <c r="XH37" s="396"/>
      <c r="XI37" s="398"/>
      <c r="XJ37" s="397"/>
      <c r="XK37" s="397"/>
      <c r="XL37" s="396"/>
      <c r="XM37" s="398"/>
      <c r="XN37" s="396"/>
      <c r="XO37" s="398"/>
      <c r="XP37" s="396"/>
      <c r="XQ37" s="398"/>
      <c r="XR37" s="397"/>
      <c r="XS37" s="397"/>
      <c r="XT37" s="396"/>
      <c r="XU37" s="398"/>
      <c r="XV37" s="396"/>
      <c r="XW37" s="398"/>
      <c r="XX37" s="397"/>
      <c r="XY37" s="397"/>
      <c r="XZ37" s="396"/>
      <c r="YA37" s="398"/>
      <c r="YB37" s="396"/>
      <c r="YC37" s="398"/>
      <c r="YD37" s="396"/>
      <c r="YE37" s="398"/>
    </row>
    <row r="38" spans="1:655" ht="30" x14ac:dyDescent="0.2">
      <c r="A38" s="547">
        <v>2025</v>
      </c>
      <c r="B38" s="545" t="s">
        <v>1550</v>
      </c>
      <c r="C38" s="544" t="str">
        <f ca="1">CHOOSE(WEEKDAY(DATE($A38,B$43,C$42),2),"Monday","Tuesday","Wednesday","Thursday","Friday","Saturday","Sunday")</f>
        <v>Wednesday</v>
      </c>
      <c r="D38" s="472" t="s">
        <v>22</v>
      </c>
      <c r="E38" s="544" t="s">
        <v>22</v>
      </c>
      <c r="F38" s="545" t="s">
        <v>1553</v>
      </c>
      <c r="G38" s="544" t="str">
        <f ca="1">CHOOSE(WEEKDAY(DATE($A38,F$43,G$42),2),"Monday","Tuesday","Wednesday","Thursday","Friday","Saturday","Sunday")</f>
        <v>Saturday</v>
      </c>
      <c r="H38" s="545" t="s">
        <v>1554</v>
      </c>
      <c r="I38" s="544" t="str">
        <f ca="1">CHOOSE(WEEKDAY(DATE($A38,H$43,I$42),2),"Monday","Tuesday","Wednesday","Thursday","Friday","Saturday","Sunday")</f>
        <v>Wednesday</v>
      </c>
      <c r="J38" s="545" t="s">
        <v>1555</v>
      </c>
      <c r="K38" s="544" t="str">
        <f ca="1">CHOOSE(WEEKDAY(DATE($A38,J$43,K$42),2),"Monday","Tuesday","Wednesday","Thursday","Friday","Saturday","Sunday")</f>
        <v>Thursday</v>
      </c>
      <c r="L38" s="472" t="s">
        <v>22</v>
      </c>
      <c r="M38" s="544" t="s">
        <v>22</v>
      </c>
      <c r="N38" s="545" t="s">
        <v>1559</v>
      </c>
      <c r="O38" s="544" t="str">
        <f ca="1">CHOOSE(WEEKDAY(DATE($A38,N$43,O$42),2),"Monday","Tuesday","Wednesday","Thursday","Friday","Saturday","Sunday")</f>
        <v>Sunday</v>
      </c>
      <c r="P38" s="472" t="s">
        <v>22</v>
      </c>
      <c r="Q38" s="544" t="s">
        <v>22</v>
      </c>
      <c r="R38" s="545" t="s">
        <v>1561</v>
      </c>
      <c r="S38" s="544" t="str">
        <f ca="1">CHOOSE(WEEKDAY(DATE($A38,R$43,S$42),2),"Monday","Tuesday","Wednesday","Thursday","Friday","Saturday","Sunday")</f>
        <v>Tuesday</v>
      </c>
      <c r="T38" s="472" t="s">
        <v>22</v>
      </c>
      <c r="U38" s="544" t="s">
        <v>22</v>
      </c>
      <c r="V38" s="545" t="s">
        <v>1568</v>
      </c>
      <c r="W38" s="544" t="str">
        <f ca="1">CHOOSE(WEEKDAY(DATE($A38,V$43,W$42),2),"Monday","Tuesday","Wednesday","Thursday","Friday","Saturday","Sunday")</f>
        <v>Thursday</v>
      </c>
      <c r="X38" s="472" t="s">
        <v>22</v>
      </c>
      <c r="Y38" s="544" t="s">
        <v>22</v>
      </c>
      <c r="Z38" s="472" t="s">
        <v>22</v>
      </c>
      <c r="AA38" s="544" t="s">
        <v>22</v>
      </c>
      <c r="AB38" s="472" t="s">
        <v>22</v>
      </c>
      <c r="AC38" s="544" t="s">
        <v>22</v>
      </c>
      <c r="AD38" s="545" t="s">
        <v>1565</v>
      </c>
      <c r="AE38" s="544" t="str">
        <f ca="1">CHOOSE(WEEKDAY(DATE($A38,AD$43,AE$42),2),"Monday","Tuesday","Wednesday","Thursday","Friday","Saturday","Sunday")</f>
        <v>Monday</v>
      </c>
      <c r="AF38" s="472" t="s">
        <v>22</v>
      </c>
      <c r="AG38" s="544" t="s">
        <v>22</v>
      </c>
      <c r="AH38" s="472" t="s">
        <v>22</v>
      </c>
      <c r="AI38" s="544" t="s">
        <v>22</v>
      </c>
      <c r="AJ38" s="472" t="s">
        <v>22</v>
      </c>
      <c r="AK38" s="544" t="s">
        <v>22</v>
      </c>
      <c r="AL38" s="343" t="s">
        <v>1571</v>
      </c>
      <c r="AM38" s="544" t="str">
        <f ca="1">CHOOSE(WEEKDAY(DATE($A38,AL$43,AM$42),2),"Monday","Tuesday","Wednesday","Thursday","Friday","Saturday","Sunday")</f>
        <v>Friday</v>
      </c>
      <c r="AN38" s="472" t="s">
        <v>22</v>
      </c>
      <c r="AO38" s="544" t="s">
        <v>22</v>
      </c>
      <c r="AP38" s="545" t="s">
        <v>1572</v>
      </c>
      <c r="AQ38" s="544" t="str">
        <f ca="1">CHOOSE(WEEKDAY(DATE($A38,AP$43,AQ$42),2),"Monday","Tuesday","Wednesday","Thursday","Friday","Saturday","Sunday")</f>
        <v>Sunday</v>
      </c>
      <c r="AR38" s="472" t="s">
        <v>22</v>
      </c>
      <c r="AS38" s="544" t="s">
        <v>22</v>
      </c>
      <c r="AT38" s="545" t="s">
        <v>1574</v>
      </c>
      <c r="AU38" s="544" t="str">
        <f ca="1">CHOOSE(WEEKDAY(DATE($A38,AT$43,AU$42),2),"Monday","Tuesday","Wednesday","Thursday","Friday","Saturday","Sunday")</f>
        <v>Tuesday</v>
      </c>
      <c r="AV38" s="545" t="s">
        <v>1585</v>
      </c>
      <c r="AW38" s="544" t="str">
        <f ca="1">CHOOSE(WEEKDAY(DATE($A38,AV$43,AW$42),2),"Monday","Tuesday","Wednesday","Thursday","Friday","Saturday","Sunday")</f>
        <v>Wednesday</v>
      </c>
      <c r="AX38" s="472" t="s">
        <v>22</v>
      </c>
      <c r="AY38" s="544" t="s">
        <v>22</v>
      </c>
      <c r="AZ38" s="545" t="s">
        <v>1580</v>
      </c>
      <c r="BA38" s="544" t="str">
        <f ca="1">CHOOSE(WEEKDAY(DATE($A38,AZ$43,BA$42),2),"Monday","Tuesday","Wednesday","Thursday","Friday","Saturday","Sunday")</f>
        <v>Saturday</v>
      </c>
      <c r="BB38" s="472" t="s">
        <v>22</v>
      </c>
      <c r="BC38" s="544" t="s">
        <v>22</v>
      </c>
      <c r="BD38" s="472" t="s">
        <v>22</v>
      </c>
      <c r="BE38" s="544" t="s">
        <v>22</v>
      </c>
      <c r="BF38" s="545" t="s">
        <v>1583</v>
      </c>
      <c r="BG38" s="544" t="str">
        <f ca="1">CHOOSE(WEEKDAY(DATE($A38,BF$43,BG$42),2),"Monday","Tuesday","Wednesday","Thursday","Friday","Saturday","Sunday")</f>
        <v>Tuesday</v>
      </c>
      <c r="BH38" s="472" t="s">
        <v>22</v>
      </c>
      <c r="BI38" s="544" t="s">
        <v>22</v>
      </c>
      <c r="BJ38" s="472" t="s">
        <v>22</v>
      </c>
      <c r="BK38" s="544" t="s">
        <v>22</v>
      </c>
      <c r="BL38" s="472" t="s">
        <v>22</v>
      </c>
      <c r="BM38" s="544" t="s">
        <v>22</v>
      </c>
      <c r="BN38" s="545" t="s">
        <v>1589</v>
      </c>
      <c r="BO38" s="544" t="str">
        <f ca="1">CHOOSE(WEEKDAY(DATE($A38,BN$43,BO$42),2),"Monday","Tuesday","Wednesday","Thursday","Friday","Saturday","Sunday")</f>
        <v>Saturday</v>
      </c>
      <c r="BP38" s="472" t="s">
        <v>22</v>
      </c>
      <c r="BQ38" s="544" t="s">
        <v>22</v>
      </c>
      <c r="BR38" s="472" t="s">
        <v>22</v>
      </c>
      <c r="BS38" s="544" t="s">
        <v>22</v>
      </c>
      <c r="BT38" s="343" t="s">
        <v>2052</v>
      </c>
      <c r="BU38" s="544" t="str">
        <f ca="1">CHOOSE(WEEKDAY(DATE($A38,BT$43,BU$42),2),"Monday","Tuesday","Wednesday","Thursday","Friday","Saturday","Sunday")</f>
        <v>Tuesday</v>
      </c>
      <c r="BV38" s="472" t="s">
        <v>22</v>
      </c>
      <c r="BW38" s="544" t="s">
        <v>22</v>
      </c>
      <c r="BX38" s="472" t="s">
        <v>22</v>
      </c>
      <c r="BY38" s="544" t="s">
        <v>22</v>
      </c>
      <c r="BZ38" s="343" t="s">
        <v>1595</v>
      </c>
      <c r="CA38" s="544" t="str">
        <f ca="1">CHOOSE(WEEKDAY(DATE($A38,BZ$43,CA$42),2),"Monday","Tuesday","Wednesday","Thursday","Friday","Saturday","Sunday")</f>
        <v>Friday</v>
      </c>
      <c r="CB38" s="545" t="s">
        <v>1597</v>
      </c>
      <c r="CC38" s="544" t="str">
        <f ca="1">CHOOSE(WEEKDAY(DATE($A38,CB$43,CC$42),2),"Monday","Tuesday","Wednesday","Thursday","Friday","Saturday","Sunday")</f>
        <v>Saturday</v>
      </c>
      <c r="CD38" s="472" t="s">
        <v>22</v>
      </c>
      <c r="CE38" s="544" t="s">
        <v>22</v>
      </c>
      <c r="CF38" s="472" t="s">
        <v>22</v>
      </c>
      <c r="CG38" s="544" t="s">
        <v>22</v>
      </c>
      <c r="CH38" s="472" t="s">
        <v>22</v>
      </c>
      <c r="CI38" s="544" t="s">
        <v>22</v>
      </c>
      <c r="CJ38" s="545" t="s">
        <v>1605</v>
      </c>
      <c r="CK38" s="544" t="str">
        <f ca="1">CHOOSE(WEEKDAY(DATE($A38,CJ$43,CK$42),2),"Monday","Tuesday","Wednesday","Thursday","Friday","Saturday","Sunday")</f>
        <v>Wednesday</v>
      </c>
      <c r="CL38" s="472" t="s">
        <v>22</v>
      </c>
      <c r="CM38" s="544" t="s">
        <v>22</v>
      </c>
      <c r="CN38" s="346" t="s">
        <v>1611</v>
      </c>
      <c r="CO38" s="544" t="str">
        <f ca="1">CHOOSE(WEEKDAY(DATE($A38,CN$43,CO$42),2),"Monday","Tuesday","Wednesday","Thursday","Friday","Saturday","Sunday")</f>
        <v>Friday</v>
      </c>
      <c r="CP38" s="545" t="s">
        <v>1612</v>
      </c>
      <c r="CQ38" s="544" t="str">
        <f ca="1">CHOOSE(WEEKDAY(DATE($A38,CP$43,CQ$42),2),"Monday","Tuesday","Wednesday","Thursday","Friday","Saturday","Sunday")</f>
        <v>Saturday</v>
      </c>
      <c r="CR38" s="472"/>
      <c r="CS38" s="544"/>
      <c r="CT38" s="472"/>
      <c r="CU38" s="544"/>
      <c r="CV38" s="545" t="s">
        <v>1617</v>
      </c>
      <c r="CW38" s="544" t="str">
        <f ca="1">CHOOSE(WEEKDAY(DATE($A38,CV$43,CW$42),2),"Monday","Tuesday","Wednesday","Thursday","Friday","Saturday","Sunday")</f>
        <v>Tuesday</v>
      </c>
      <c r="CX38" s="472"/>
      <c r="CY38" s="544"/>
      <c r="CZ38" s="472"/>
      <c r="DA38" s="544"/>
      <c r="DB38" s="472"/>
      <c r="DC38" s="544"/>
      <c r="DD38" s="472"/>
      <c r="DE38" s="544"/>
      <c r="DF38" s="472"/>
      <c r="DG38" s="544"/>
      <c r="DH38" s="472"/>
      <c r="DI38" s="544"/>
      <c r="DJ38" s="472"/>
      <c r="DK38" s="544"/>
      <c r="DL38" s="472"/>
      <c r="DM38" s="544"/>
      <c r="DN38" s="472"/>
      <c r="DO38" s="544"/>
      <c r="DP38" s="472"/>
      <c r="DQ38" s="544"/>
      <c r="DR38" s="472"/>
      <c r="DS38" s="544"/>
      <c r="DT38" s="472"/>
      <c r="DU38" s="544"/>
      <c r="DV38" s="472"/>
      <c r="DW38" s="544"/>
      <c r="DX38" s="472"/>
      <c r="DY38" s="544"/>
      <c r="DZ38" s="472"/>
      <c r="EA38" s="544"/>
      <c r="EB38" s="472"/>
      <c r="EC38" s="544"/>
      <c r="ED38" s="472"/>
      <c r="EE38" s="544"/>
      <c r="EF38" s="472"/>
      <c r="EG38" s="544"/>
      <c r="EH38" s="472"/>
      <c r="EI38" s="544"/>
      <c r="EJ38" s="472"/>
      <c r="EK38" s="544"/>
      <c r="EL38" s="472"/>
      <c r="EM38" s="544"/>
      <c r="EN38" s="472"/>
      <c r="EO38" s="544"/>
      <c r="EP38" s="472"/>
      <c r="EQ38" s="544"/>
      <c r="ER38" s="472"/>
      <c r="ES38" s="544"/>
      <c r="ET38" s="472"/>
      <c r="EU38" s="544"/>
      <c r="EV38" s="472"/>
      <c r="EW38" s="544"/>
      <c r="EX38" s="472"/>
      <c r="EY38" s="544"/>
      <c r="EZ38" s="472"/>
      <c r="FA38" s="544"/>
      <c r="FB38" s="472"/>
      <c r="FC38" s="544"/>
      <c r="FD38" s="472"/>
      <c r="FE38" s="544"/>
      <c r="FF38" s="472"/>
      <c r="FG38" s="544"/>
      <c r="FH38" s="472"/>
      <c r="FI38" s="544"/>
      <c r="FJ38" s="472"/>
      <c r="FK38" s="544"/>
      <c r="FL38" s="472"/>
      <c r="FM38" s="544"/>
      <c r="FN38" s="472"/>
      <c r="FO38" s="544"/>
      <c r="FP38" s="472"/>
      <c r="FQ38" s="544"/>
      <c r="FR38" s="472"/>
      <c r="FS38" s="544"/>
      <c r="FT38" s="472"/>
      <c r="FU38" s="544"/>
      <c r="FV38" s="472"/>
      <c r="FW38" s="544"/>
      <c r="FX38" s="472"/>
      <c r="FY38" s="544"/>
      <c r="FZ38" s="472"/>
      <c r="GA38" s="544"/>
      <c r="GB38" s="472"/>
      <c r="GC38" s="544"/>
      <c r="GD38" s="472"/>
      <c r="GE38" s="544"/>
      <c r="GF38" s="472"/>
      <c r="GG38" s="544"/>
      <c r="GH38" s="472"/>
      <c r="GI38" s="544"/>
      <c r="GJ38" s="472"/>
      <c r="GK38" s="544"/>
      <c r="GL38" s="472"/>
      <c r="GM38" s="544"/>
      <c r="GN38" s="472"/>
      <c r="GO38" s="544"/>
      <c r="GP38" s="472"/>
      <c r="GQ38" s="544"/>
      <c r="GR38" s="472"/>
      <c r="GS38" s="544"/>
      <c r="GT38" s="472"/>
      <c r="GU38" s="544"/>
      <c r="GV38" s="472"/>
      <c r="GW38" s="544"/>
      <c r="GX38" s="472"/>
      <c r="GY38" s="544"/>
      <c r="GZ38" s="472"/>
      <c r="HA38" s="544"/>
      <c r="HB38" s="472"/>
      <c r="HC38" s="544"/>
      <c r="HD38" s="472"/>
      <c r="HE38" s="544"/>
      <c r="HF38" s="472"/>
      <c r="HG38" s="544"/>
      <c r="HH38" s="472"/>
      <c r="HI38" s="544"/>
      <c r="HJ38" s="472"/>
      <c r="HK38" s="544"/>
      <c r="HL38" s="472"/>
      <c r="HM38" s="544"/>
      <c r="HN38" s="472"/>
      <c r="HO38" s="544"/>
      <c r="HP38" s="472"/>
      <c r="HQ38" s="544"/>
      <c r="HR38" s="472"/>
      <c r="HS38" s="544"/>
      <c r="HT38" s="472"/>
      <c r="HU38" s="544"/>
      <c r="HV38" s="472"/>
      <c r="HW38" s="544"/>
      <c r="HX38" s="472"/>
      <c r="HY38" s="544"/>
      <c r="HZ38" s="472"/>
      <c r="IA38" s="544"/>
      <c r="IB38" s="472"/>
      <c r="IC38" s="544"/>
      <c r="ID38" s="472"/>
      <c r="IE38" s="544"/>
      <c r="IF38" s="472"/>
      <c r="IG38" s="544"/>
      <c r="IH38" s="472"/>
      <c r="II38" s="544"/>
      <c r="IJ38" s="472"/>
      <c r="IK38" s="544"/>
      <c r="IL38" s="472"/>
      <c r="IM38" s="544"/>
      <c r="IN38" s="472"/>
      <c r="IO38" s="544"/>
      <c r="IP38" s="472"/>
      <c r="IQ38" s="544"/>
      <c r="IR38" s="472"/>
      <c r="IS38" s="544"/>
      <c r="IT38" s="472"/>
      <c r="IU38" s="544"/>
      <c r="IV38" s="472"/>
      <c r="IW38" s="544"/>
      <c r="IX38" s="472"/>
      <c r="IY38" s="544"/>
      <c r="IZ38" s="472"/>
      <c r="JA38" s="544"/>
      <c r="JB38" s="472"/>
      <c r="JC38" s="544"/>
      <c r="JD38" s="472"/>
      <c r="JE38" s="544"/>
      <c r="JF38" s="472"/>
      <c r="JG38" s="544"/>
      <c r="JH38" s="472"/>
      <c r="JI38" s="544"/>
      <c r="JJ38" s="472"/>
      <c r="JK38" s="544"/>
      <c r="JL38" s="472"/>
      <c r="JM38" s="544"/>
      <c r="JN38" s="472"/>
      <c r="JO38" s="544"/>
      <c r="JP38" s="472"/>
      <c r="JQ38" s="544"/>
      <c r="JR38" s="472"/>
      <c r="JS38" s="544"/>
      <c r="JT38" s="472"/>
      <c r="JU38" s="544"/>
      <c r="JV38" s="472"/>
      <c r="JW38" s="544"/>
      <c r="JX38" s="472"/>
      <c r="JY38" s="544"/>
      <c r="JZ38" s="472"/>
      <c r="KA38" s="544"/>
      <c r="KB38" s="472"/>
      <c r="KC38" s="544"/>
      <c r="KD38" s="472"/>
      <c r="KE38" s="544"/>
      <c r="KF38" s="472"/>
      <c r="KG38" s="544"/>
      <c r="KH38" s="472"/>
      <c r="KI38" s="544"/>
      <c r="KJ38" s="472"/>
      <c r="KK38" s="544"/>
      <c r="KL38" s="472"/>
      <c r="KM38" s="544"/>
      <c r="KN38" s="472"/>
      <c r="KO38" s="544"/>
      <c r="KP38" s="472"/>
      <c r="KQ38" s="544"/>
      <c r="KR38" s="472"/>
      <c r="KS38" s="544"/>
      <c r="KT38" s="472"/>
      <c r="KU38" s="544"/>
      <c r="KV38" s="472"/>
      <c r="KW38" s="544"/>
      <c r="KX38" s="472"/>
      <c r="KY38" s="544"/>
      <c r="KZ38" s="472"/>
      <c r="LA38" s="544"/>
      <c r="LB38" s="472"/>
      <c r="LC38" s="544"/>
      <c r="LD38" s="472"/>
      <c r="LE38" s="544"/>
      <c r="LF38" s="472"/>
      <c r="LG38" s="544"/>
      <c r="LH38" s="472"/>
      <c r="LI38" s="544"/>
      <c r="LJ38" s="472"/>
      <c r="LK38" s="544"/>
      <c r="LL38" s="472"/>
      <c r="LM38" s="544"/>
      <c r="LN38" s="472"/>
      <c r="LO38" s="544"/>
      <c r="LP38" s="472"/>
      <c r="LQ38" s="544"/>
      <c r="LR38" s="472"/>
      <c r="LS38" s="544"/>
      <c r="LT38" s="472"/>
      <c r="LU38" s="544"/>
      <c r="LV38" s="472"/>
      <c r="LW38" s="544"/>
      <c r="LX38" s="472"/>
      <c r="LY38" s="544"/>
      <c r="LZ38" s="472"/>
      <c r="MA38" s="544"/>
      <c r="MB38" s="472"/>
      <c r="MC38" s="544"/>
      <c r="MD38" s="472"/>
      <c r="ME38" s="544"/>
      <c r="MF38" s="472"/>
      <c r="MG38" s="544"/>
      <c r="MH38" s="472"/>
      <c r="MI38" s="544"/>
      <c r="MJ38" s="472"/>
      <c r="MK38" s="544"/>
      <c r="ML38" s="472"/>
      <c r="MM38" s="544"/>
      <c r="MN38" s="472"/>
      <c r="MO38" s="544"/>
      <c r="MP38" s="472"/>
      <c r="MQ38" s="544"/>
      <c r="MR38" s="472"/>
      <c r="MS38" s="544"/>
      <c r="MT38" s="472"/>
      <c r="MU38" s="544"/>
      <c r="MV38" s="472"/>
      <c r="MW38" s="544"/>
      <c r="MX38" s="472"/>
      <c r="MY38" s="544"/>
      <c r="MZ38" s="472"/>
      <c r="NA38" s="544"/>
      <c r="NB38" s="472"/>
      <c r="NC38" s="544"/>
      <c r="ND38" s="472"/>
      <c r="NE38" s="544"/>
      <c r="NF38" s="472"/>
      <c r="NG38" s="544"/>
      <c r="NH38" s="472"/>
      <c r="NI38" s="544"/>
      <c r="NJ38" s="472"/>
      <c r="NK38" s="544"/>
      <c r="NL38" s="472"/>
      <c r="NM38" s="544"/>
      <c r="NN38" s="472"/>
      <c r="NO38" s="544"/>
      <c r="NP38" s="472"/>
      <c r="NQ38" s="544"/>
      <c r="NR38" s="472"/>
      <c r="NS38" s="544"/>
      <c r="NT38" s="472"/>
      <c r="NU38" s="544"/>
      <c r="NV38" s="472"/>
      <c r="NW38" s="544"/>
      <c r="NX38" s="472"/>
      <c r="NY38" s="544"/>
      <c r="NZ38" s="472"/>
      <c r="OA38" s="544"/>
      <c r="OB38" s="472"/>
      <c r="OC38" s="544"/>
      <c r="OD38" s="472"/>
      <c r="OE38" s="544"/>
      <c r="OF38" s="472"/>
      <c r="OG38" s="544"/>
      <c r="OH38" s="472"/>
      <c r="OI38" s="544"/>
      <c r="OJ38" s="472"/>
      <c r="OK38" s="544"/>
      <c r="OL38" s="472"/>
      <c r="OM38" s="544"/>
      <c r="ON38" s="472"/>
      <c r="OO38" s="544"/>
      <c r="OP38" s="472"/>
      <c r="OQ38" s="544"/>
      <c r="OR38" s="472"/>
      <c r="OS38" s="544"/>
      <c r="OT38" s="472"/>
      <c r="OU38" s="544"/>
      <c r="OV38" s="472"/>
      <c r="OW38" s="544"/>
      <c r="OX38" s="472"/>
      <c r="OY38" s="544"/>
      <c r="OZ38" s="472"/>
      <c r="PA38" s="544"/>
      <c r="PB38" s="472"/>
      <c r="PC38" s="544"/>
      <c r="PD38" s="472"/>
      <c r="PE38" s="544"/>
      <c r="PF38" s="472"/>
      <c r="PG38" s="544"/>
      <c r="PH38" s="472"/>
      <c r="PI38" s="544"/>
      <c r="PJ38" s="472"/>
      <c r="PK38" s="544"/>
      <c r="PL38" s="472"/>
      <c r="PM38" s="544"/>
      <c r="PN38" s="472"/>
      <c r="PO38" s="544"/>
      <c r="PP38" s="472"/>
      <c r="PQ38" s="544"/>
      <c r="PR38" s="472"/>
      <c r="PS38" s="544"/>
      <c r="PT38" s="472"/>
      <c r="PU38" s="544"/>
      <c r="PV38" s="472"/>
      <c r="PW38" s="544"/>
      <c r="PX38" s="472"/>
      <c r="PY38" s="544"/>
      <c r="PZ38" s="472"/>
      <c r="QA38" s="544"/>
      <c r="QB38" s="472"/>
      <c r="QC38" s="544"/>
      <c r="QD38" s="472"/>
      <c r="QE38" s="544"/>
      <c r="QF38" s="472"/>
      <c r="QG38" s="544"/>
      <c r="QH38" s="472"/>
      <c r="QI38" s="544"/>
      <c r="QJ38" s="472"/>
      <c r="QK38" s="544"/>
      <c r="QL38" s="472"/>
      <c r="QM38" s="544"/>
      <c r="QN38" s="472"/>
      <c r="QO38" s="544"/>
      <c r="QP38" s="472"/>
      <c r="QQ38" s="544"/>
      <c r="QR38" s="472"/>
      <c r="QS38" s="544"/>
      <c r="QT38" s="472"/>
      <c r="QU38" s="544"/>
      <c r="QV38" s="472"/>
      <c r="QW38" s="544"/>
      <c r="QX38" s="472"/>
      <c r="QY38" s="544"/>
      <c r="QZ38" s="472"/>
      <c r="RA38" s="544"/>
      <c r="RB38" s="472"/>
      <c r="RC38" s="544"/>
      <c r="RD38" s="472"/>
      <c r="RE38" s="544"/>
      <c r="RF38" s="472"/>
      <c r="RG38" s="544"/>
      <c r="RH38" s="472"/>
      <c r="RI38" s="544"/>
      <c r="RJ38" s="472"/>
      <c r="RK38" s="544"/>
      <c r="RL38" s="472"/>
      <c r="RM38" s="544"/>
      <c r="RN38" s="472"/>
      <c r="RO38" s="544"/>
      <c r="RP38" s="472"/>
      <c r="RQ38" s="544"/>
      <c r="RR38" s="472"/>
      <c r="RS38" s="544"/>
      <c r="RT38" s="472"/>
      <c r="RU38" s="544"/>
      <c r="RV38" s="472"/>
      <c r="RW38" s="544"/>
      <c r="RX38" s="472"/>
      <c r="RY38" s="544"/>
      <c r="RZ38" s="472"/>
      <c r="SA38" s="544"/>
      <c r="SB38" s="472"/>
      <c r="SC38" s="544"/>
      <c r="SD38" s="472"/>
      <c r="SE38" s="544"/>
      <c r="SF38" s="472"/>
      <c r="SG38" s="544"/>
      <c r="SH38" s="472"/>
      <c r="SI38" s="544"/>
      <c r="SJ38" s="472"/>
      <c r="SK38" s="544"/>
      <c r="SL38" s="472"/>
      <c r="SM38" s="544"/>
      <c r="SN38" s="472"/>
      <c r="SO38" s="544"/>
      <c r="SP38" s="472"/>
      <c r="SQ38" s="544"/>
      <c r="SR38" s="472"/>
      <c r="SS38" s="544"/>
      <c r="ST38" s="472"/>
      <c r="SU38" s="544"/>
      <c r="SV38" s="472"/>
      <c r="SW38" s="544"/>
      <c r="SX38" s="472"/>
      <c r="SY38" s="544"/>
      <c r="SZ38" s="472"/>
      <c r="TA38" s="544"/>
      <c r="TB38" s="472"/>
      <c r="TC38" s="544"/>
      <c r="TD38" s="472"/>
      <c r="TE38" s="544"/>
      <c r="TF38" s="472"/>
      <c r="TG38" s="544"/>
      <c r="TH38" s="472"/>
      <c r="TI38" s="544"/>
      <c r="TJ38" s="472"/>
      <c r="TK38" s="544"/>
      <c r="TL38" s="472"/>
      <c r="TM38" s="544"/>
      <c r="TN38" s="472"/>
      <c r="TO38" s="544"/>
      <c r="TP38" s="472"/>
      <c r="TQ38" s="544"/>
      <c r="TR38" s="472"/>
      <c r="TS38" s="544"/>
      <c r="TT38" s="472"/>
      <c r="TU38" s="544"/>
      <c r="TV38" s="472"/>
      <c r="TW38" s="544"/>
      <c r="TX38" s="472"/>
      <c r="TY38" s="544"/>
      <c r="TZ38" s="472"/>
      <c r="UA38" s="544"/>
      <c r="UB38" s="472"/>
      <c r="UC38" s="544"/>
      <c r="UD38" s="472"/>
      <c r="UE38" s="544"/>
      <c r="UF38" s="472"/>
      <c r="UG38" s="544"/>
      <c r="UH38" s="472"/>
      <c r="UI38" s="544"/>
      <c r="UJ38" s="472"/>
      <c r="UK38" s="544"/>
      <c r="UL38" s="472"/>
      <c r="UM38" s="544"/>
      <c r="UN38" s="472"/>
      <c r="UO38" s="544"/>
      <c r="UP38" s="472"/>
      <c r="UQ38" s="544"/>
      <c r="UR38" s="472"/>
      <c r="US38" s="544"/>
      <c r="UT38" s="472"/>
      <c r="UU38" s="544"/>
      <c r="UV38" s="472"/>
      <c r="UW38" s="544"/>
      <c r="UX38" s="472"/>
      <c r="UY38" s="544"/>
      <c r="UZ38" s="472"/>
      <c r="VA38" s="544"/>
      <c r="VB38" s="472"/>
      <c r="VC38" s="544"/>
      <c r="VD38" s="472"/>
      <c r="VE38" s="544"/>
      <c r="VF38" s="472"/>
      <c r="VG38" s="544"/>
      <c r="VH38" s="472"/>
      <c r="VI38" s="544"/>
      <c r="VJ38" s="472"/>
      <c r="VK38" s="544"/>
      <c r="VL38" s="472"/>
      <c r="VM38" s="544"/>
      <c r="VN38" s="472"/>
      <c r="VO38" s="544"/>
      <c r="VP38" s="472"/>
      <c r="VQ38" s="544"/>
      <c r="VR38" s="472"/>
      <c r="VS38" s="544"/>
      <c r="VT38" s="472"/>
      <c r="VU38" s="544"/>
      <c r="VV38" s="472"/>
      <c r="VW38" s="544"/>
      <c r="VX38" s="472"/>
      <c r="VY38" s="544"/>
      <c r="VZ38" s="472"/>
      <c r="WA38" s="544"/>
      <c r="WB38" s="472"/>
      <c r="WC38" s="544"/>
      <c r="WD38" s="472"/>
      <c r="WE38" s="544"/>
      <c r="WF38" s="472"/>
      <c r="WG38" s="544"/>
      <c r="WH38" s="472"/>
      <c r="WI38" s="544"/>
      <c r="WJ38" s="472"/>
      <c r="WK38" s="544"/>
      <c r="WL38" s="472"/>
      <c r="WM38" s="544"/>
      <c r="WN38" s="472"/>
      <c r="WO38" s="544"/>
      <c r="WP38" s="472"/>
      <c r="WQ38" s="544"/>
      <c r="WR38" s="472"/>
      <c r="WS38" s="544"/>
      <c r="WT38" s="472"/>
      <c r="WU38" s="544"/>
      <c r="WV38" s="472"/>
      <c r="WW38" s="544"/>
      <c r="WX38" s="472"/>
      <c r="WY38" s="544"/>
      <c r="WZ38" s="472"/>
      <c r="XA38" s="544"/>
      <c r="XB38" s="472"/>
      <c r="XC38" s="544"/>
      <c r="XD38" s="472"/>
      <c r="XE38" s="544"/>
      <c r="XF38" s="472"/>
      <c r="XG38" s="544"/>
      <c r="XH38" s="472"/>
      <c r="XI38" s="544"/>
      <c r="XJ38" s="472"/>
      <c r="XK38" s="544"/>
      <c r="XL38" s="472"/>
      <c r="XM38" s="544"/>
      <c r="XN38" s="472"/>
      <c r="XO38" s="544"/>
      <c r="XP38" s="472"/>
      <c r="XQ38" s="544"/>
      <c r="XR38" s="472"/>
      <c r="XS38" s="544"/>
      <c r="XT38" s="472"/>
      <c r="XU38" s="544"/>
      <c r="XV38" s="472"/>
      <c r="XW38" s="544"/>
      <c r="XX38" s="472"/>
      <c r="XY38" s="544"/>
      <c r="XZ38" s="472"/>
      <c r="YA38" s="544"/>
      <c r="YB38" s="472"/>
      <c r="YC38" s="544"/>
      <c r="YD38" s="472"/>
      <c r="YE38" s="544"/>
    </row>
    <row r="39" spans="1:655" ht="30" x14ac:dyDescent="0.2">
      <c r="A39" s="412"/>
      <c r="B39" s="417"/>
      <c r="C39" s="412"/>
      <c r="D39" s="417"/>
      <c r="E39" s="412"/>
      <c r="F39" s="417"/>
      <c r="G39" s="412"/>
      <c r="H39" s="417"/>
      <c r="I39" s="412"/>
      <c r="J39" s="417"/>
      <c r="K39" s="412"/>
      <c r="L39" s="417"/>
      <c r="M39" s="412"/>
      <c r="N39" s="417"/>
      <c r="O39" s="412"/>
      <c r="P39" s="417"/>
      <c r="Q39" s="412"/>
      <c r="R39" s="417"/>
      <c r="S39" s="412"/>
      <c r="T39" s="417"/>
      <c r="U39" s="412"/>
      <c r="V39" s="417"/>
      <c r="W39" s="412"/>
      <c r="X39" s="417"/>
      <c r="Y39" s="412"/>
      <c r="Z39" s="417"/>
      <c r="AA39" s="412"/>
      <c r="AB39" s="417"/>
      <c r="AC39" s="412"/>
      <c r="AD39" s="417"/>
      <c r="AE39" s="412"/>
      <c r="AF39" s="417"/>
      <c r="AG39" s="412"/>
      <c r="AH39" s="417"/>
      <c r="AI39" s="412"/>
      <c r="AJ39" s="417"/>
      <c r="AK39" s="412"/>
      <c r="AL39" s="545" t="s">
        <v>1570</v>
      </c>
      <c r="AM39" s="412"/>
      <c r="AN39" s="417"/>
      <c r="AO39" s="412"/>
      <c r="AP39" s="417"/>
      <c r="AQ39" s="412"/>
      <c r="AR39" s="417"/>
      <c r="AS39" s="412"/>
      <c r="AT39" s="417"/>
      <c r="AU39" s="412"/>
      <c r="AV39" s="417"/>
      <c r="AW39" s="412"/>
      <c r="AX39" s="417"/>
      <c r="AY39" s="412"/>
      <c r="AZ39" s="417"/>
      <c r="BA39" s="412"/>
      <c r="BB39" s="417"/>
      <c r="BC39" s="412"/>
      <c r="BD39" s="417"/>
      <c r="BE39" s="412"/>
      <c r="BF39" s="417"/>
      <c r="BG39" s="412"/>
      <c r="BH39" s="417"/>
      <c r="BI39" s="412"/>
      <c r="BJ39" s="417"/>
      <c r="BK39" s="412"/>
      <c r="BL39" s="417"/>
      <c r="BM39" s="412"/>
      <c r="BN39" s="417"/>
      <c r="BO39" s="412"/>
      <c r="BP39" s="417"/>
      <c r="BQ39" s="412"/>
      <c r="BR39" s="417"/>
      <c r="BS39" s="412"/>
      <c r="BT39" s="545" t="s">
        <v>1592</v>
      </c>
      <c r="BU39" s="412"/>
      <c r="BV39" s="417"/>
      <c r="BW39" s="412"/>
      <c r="BX39" s="417"/>
      <c r="BY39" s="412"/>
      <c r="BZ39" s="545" t="s">
        <v>1599</v>
      </c>
      <c r="CA39" s="412"/>
      <c r="CB39" s="417"/>
      <c r="CC39" s="412"/>
      <c r="CD39" s="417"/>
      <c r="CE39" s="412"/>
      <c r="CF39" s="417"/>
      <c r="CG39" s="412"/>
      <c r="CH39" s="417"/>
      <c r="CI39" s="412"/>
      <c r="CJ39" s="417"/>
      <c r="CK39" s="412"/>
      <c r="CL39" s="417"/>
      <c r="CM39" s="412"/>
      <c r="CN39" s="346" t="s">
        <v>1603</v>
      </c>
      <c r="CO39" s="412"/>
      <c r="CP39" s="417"/>
      <c r="CQ39" s="412"/>
      <c r="CR39" s="417"/>
      <c r="CS39" s="412"/>
      <c r="CT39" s="417"/>
      <c r="CU39" s="412"/>
      <c r="CV39" s="417"/>
      <c r="CW39" s="412"/>
      <c r="CX39" s="417"/>
      <c r="CY39" s="412"/>
      <c r="CZ39" s="417"/>
      <c r="DA39" s="412"/>
      <c r="DB39" s="417"/>
      <c r="DC39" s="412"/>
      <c r="DD39" s="417"/>
      <c r="DE39" s="412"/>
      <c r="DF39" s="417"/>
      <c r="DG39" s="412"/>
      <c r="DH39" s="417"/>
      <c r="DI39" s="412"/>
      <c r="DJ39" s="417"/>
      <c r="DK39" s="412"/>
      <c r="DL39" s="417"/>
      <c r="DM39" s="412"/>
      <c r="DN39" s="417"/>
      <c r="DO39" s="412"/>
      <c r="DP39" s="417"/>
      <c r="DQ39" s="412"/>
      <c r="DR39" s="417"/>
      <c r="DS39" s="412"/>
      <c r="DT39" s="417"/>
      <c r="DU39" s="412"/>
      <c r="DV39" s="417"/>
      <c r="DW39" s="412"/>
      <c r="DX39" s="417"/>
      <c r="DY39" s="412"/>
      <c r="DZ39" s="417"/>
      <c r="EA39" s="412"/>
      <c r="EB39" s="417"/>
      <c r="EC39" s="412"/>
      <c r="ED39" s="417"/>
      <c r="EE39" s="412"/>
      <c r="EF39" s="417"/>
      <c r="EG39" s="412"/>
      <c r="EH39" s="417"/>
      <c r="EI39" s="412"/>
      <c r="EJ39" s="417"/>
      <c r="EK39" s="412"/>
      <c r="EL39" s="417"/>
      <c r="EM39" s="412"/>
      <c r="EN39" s="417"/>
      <c r="EO39" s="412"/>
      <c r="EP39" s="417"/>
      <c r="EQ39" s="412"/>
      <c r="ER39" s="417"/>
      <c r="ES39" s="412"/>
      <c r="ET39" s="417"/>
      <c r="EU39" s="412"/>
      <c r="EV39" s="417"/>
      <c r="EW39" s="412"/>
      <c r="EX39" s="417"/>
      <c r="EY39" s="412"/>
      <c r="EZ39" s="417"/>
      <c r="FA39" s="412"/>
      <c r="FB39" s="417"/>
      <c r="FC39" s="412"/>
      <c r="FD39" s="417"/>
      <c r="FE39" s="412"/>
      <c r="FF39" s="417"/>
      <c r="FG39" s="412"/>
      <c r="FH39" s="417"/>
      <c r="FI39" s="412"/>
      <c r="FJ39" s="417"/>
      <c r="FK39" s="412"/>
      <c r="FL39" s="417"/>
      <c r="FM39" s="412"/>
      <c r="FN39" s="417"/>
      <c r="FO39" s="412"/>
      <c r="FP39" s="417"/>
      <c r="FQ39" s="412"/>
      <c r="FR39" s="417"/>
      <c r="FS39" s="412"/>
      <c r="FT39" s="417"/>
      <c r="FU39" s="412"/>
      <c r="FV39" s="417"/>
      <c r="FW39" s="412"/>
      <c r="FX39" s="417"/>
      <c r="FY39" s="412"/>
      <c r="FZ39" s="417"/>
      <c r="GA39" s="412"/>
      <c r="GB39" s="417"/>
      <c r="GC39" s="412"/>
      <c r="GD39" s="417"/>
      <c r="GE39" s="412"/>
      <c r="GF39" s="417"/>
      <c r="GG39" s="412"/>
      <c r="GH39" s="417"/>
      <c r="GI39" s="412"/>
      <c r="GJ39" s="417"/>
      <c r="GK39" s="412"/>
      <c r="GL39" s="417"/>
      <c r="GM39" s="412"/>
      <c r="GN39" s="417"/>
      <c r="GO39" s="412"/>
      <c r="GP39" s="417"/>
      <c r="GQ39" s="412"/>
      <c r="GR39" s="417"/>
      <c r="GS39" s="412"/>
      <c r="GT39" s="417"/>
      <c r="GU39" s="412"/>
      <c r="GV39" s="417"/>
      <c r="GW39" s="412"/>
      <c r="GX39" s="417"/>
      <c r="GY39" s="412"/>
      <c r="GZ39" s="417"/>
      <c r="HA39" s="412"/>
      <c r="HB39" s="417"/>
      <c r="HC39" s="412"/>
      <c r="HD39" s="417"/>
      <c r="HE39" s="412"/>
      <c r="HF39" s="417"/>
      <c r="HG39" s="412"/>
      <c r="HH39" s="417"/>
      <c r="HI39" s="412"/>
      <c r="HJ39" s="417"/>
      <c r="HK39" s="412"/>
      <c r="HL39" s="417"/>
      <c r="HM39" s="412"/>
      <c r="HN39" s="417"/>
      <c r="HO39" s="412"/>
      <c r="HP39" s="417"/>
      <c r="HQ39" s="412"/>
      <c r="HR39" s="417"/>
      <c r="HS39" s="412"/>
      <c r="HT39" s="417"/>
      <c r="HU39" s="412"/>
      <c r="HV39" s="417"/>
      <c r="HW39" s="412"/>
      <c r="HX39" s="417"/>
      <c r="HY39" s="412"/>
      <c r="HZ39" s="417"/>
      <c r="IA39" s="412"/>
      <c r="IB39" s="417"/>
      <c r="IC39" s="412"/>
      <c r="ID39" s="417"/>
      <c r="IE39" s="412"/>
      <c r="IF39" s="417"/>
      <c r="IG39" s="412"/>
      <c r="IH39" s="417"/>
      <c r="II39" s="412"/>
      <c r="IJ39" s="417"/>
      <c r="IK39" s="412"/>
      <c r="IL39" s="417"/>
      <c r="IM39" s="412"/>
      <c r="IN39" s="417"/>
      <c r="IO39" s="412"/>
      <c r="IP39" s="417"/>
      <c r="IQ39" s="412"/>
      <c r="IR39" s="417"/>
      <c r="IS39" s="412"/>
      <c r="IT39" s="417"/>
      <c r="IU39" s="412"/>
      <c r="IV39" s="417"/>
      <c r="IW39" s="412"/>
      <c r="IX39" s="417"/>
      <c r="IY39" s="412"/>
      <c r="IZ39" s="417"/>
      <c r="JA39" s="412"/>
      <c r="JB39" s="417"/>
      <c r="JC39" s="412"/>
      <c r="JD39" s="417"/>
      <c r="JE39" s="412"/>
      <c r="JF39" s="417"/>
      <c r="JG39" s="412"/>
      <c r="JH39" s="417"/>
      <c r="JI39" s="412"/>
      <c r="JJ39" s="417"/>
      <c r="JK39" s="412"/>
      <c r="JL39" s="417"/>
      <c r="JM39" s="412"/>
      <c r="JN39" s="417"/>
      <c r="JO39" s="412"/>
      <c r="JP39" s="417"/>
      <c r="JQ39" s="412"/>
      <c r="JR39" s="417"/>
      <c r="JS39" s="412"/>
      <c r="JT39" s="417"/>
      <c r="JU39" s="412"/>
      <c r="JV39" s="417"/>
      <c r="JW39" s="412"/>
      <c r="JX39" s="417"/>
      <c r="JY39" s="412"/>
      <c r="JZ39" s="417"/>
      <c r="KA39" s="412"/>
      <c r="KB39" s="417"/>
      <c r="KC39" s="412"/>
      <c r="KD39" s="417"/>
      <c r="KE39" s="412"/>
      <c r="KF39" s="417"/>
      <c r="KG39" s="412"/>
      <c r="KH39" s="417"/>
      <c r="KI39" s="412"/>
      <c r="KJ39" s="417"/>
      <c r="KK39" s="412"/>
      <c r="KL39" s="417"/>
      <c r="KM39" s="412"/>
      <c r="KN39" s="417"/>
      <c r="KO39" s="412"/>
      <c r="KP39" s="417"/>
      <c r="KQ39" s="412"/>
      <c r="KR39" s="417"/>
      <c r="KS39" s="412"/>
      <c r="KT39" s="417"/>
      <c r="KU39" s="412"/>
      <c r="KV39" s="417"/>
      <c r="KW39" s="412"/>
      <c r="KX39" s="417"/>
      <c r="KY39" s="412"/>
      <c r="KZ39" s="417"/>
      <c r="LA39" s="412"/>
      <c r="LB39" s="417"/>
      <c r="LC39" s="412"/>
      <c r="LD39" s="417"/>
      <c r="LE39" s="412"/>
      <c r="LF39" s="417"/>
      <c r="LG39" s="412"/>
      <c r="LH39" s="417"/>
      <c r="LI39" s="412"/>
      <c r="LJ39" s="417"/>
      <c r="LK39" s="412"/>
      <c r="LL39" s="417"/>
      <c r="LM39" s="412"/>
      <c r="LN39" s="417"/>
      <c r="LO39" s="412"/>
      <c r="LP39" s="417"/>
      <c r="LQ39" s="412"/>
      <c r="LR39" s="417"/>
      <c r="LS39" s="412"/>
      <c r="LT39" s="417"/>
      <c r="LU39" s="412"/>
      <c r="LV39" s="417"/>
      <c r="LW39" s="412"/>
      <c r="LX39" s="417"/>
      <c r="LY39" s="412"/>
      <c r="LZ39" s="417"/>
      <c r="MA39" s="412"/>
      <c r="MB39" s="417"/>
      <c r="MC39" s="412"/>
      <c r="MD39" s="417"/>
      <c r="ME39" s="412"/>
      <c r="MF39" s="417"/>
      <c r="MG39" s="412"/>
      <c r="MH39" s="417"/>
      <c r="MI39" s="412"/>
      <c r="MJ39" s="417"/>
      <c r="MK39" s="412"/>
      <c r="ML39" s="417"/>
      <c r="MM39" s="412"/>
      <c r="MN39" s="417"/>
      <c r="MO39" s="412"/>
      <c r="MP39" s="417"/>
      <c r="MQ39" s="412"/>
      <c r="MR39" s="417"/>
      <c r="MS39" s="412"/>
      <c r="MT39" s="417"/>
      <c r="MU39" s="412"/>
      <c r="MV39" s="417"/>
      <c r="MW39" s="412"/>
      <c r="MX39" s="417"/>
      <c r="MY39" s="412"/>
      <c r="MZ39" s="417"/>
      <c r="NA39" s="412"/>
      <c r="NB39" s="417"/>
      <c r="NC39" s="412"/>
      <c r="ND39" s="417"/>
      <c r="NE39" s="412"/>
      <c r="NF39" s="417"/>
      <c r="NG39" s="412"/>
      <c r="NH39" s="417"/>
      <c r="NI39" s="412"/>
      <c r="NJ39" s="417"/>
      <c r="NK39" s="412"/>
      <c r="NL39" s="417"/>
      <c r="NM39" s="412"/>
      <c r="NN39" s="417"/>
      <c r="NO39" s="412"/>
      <c r="NP39" s="417"/>
      <c r="NQ39" s="412"/>
      <c r="NR39" s="417"/>
      <c r="NS39" s="412"/>
      <c r="NT39" s="417"/>
      <c r="NU39" s="412"/>
      <c r="NV39" s="417"/>
      <c r="NW39" s="412"/>
      <c r="NX39" s="417"/>
      <c r="NY39" s="412"/>
      <c r="NZ39" s="417"/>
      <c r="OA39" s="412"/>
      <c r="OB39" s="417"/>
      <c r="OC39" s="412"/>
      <c r="OD39" s="417"/>
      <c r="OE39" s="412"/>
      <c r="OF39" s="417"/>
      <c r="OG39" s="412"/>
      <c r="OH39" s="417"/>
      <c r="OI39" s="412"/>
      <c r="OJ39" s="417"/>
      <c r="OK39" s="412"/>
      <c r="OL39" s="417"/>
      <c r="OM39" s="412"/>
      <c r="ON39" s="417"/>
      <c r="OO39" s="412"/>
      <c r="OP39" s="417"/>
      <c r="OQ39" s="412"/>
      <c r="OR39" s="417"/>
      <c r="OS39" s="412"/>
      <c r="OT39" s="417"/>
      <c r="OU39" s="412"/>
      <c r="OV39" s="417"/>
      <c r="OW39" s="412"/>
      <c r="OX39" s="417"/>
      <c r="OY39" s="412"/>
      <c r="OZ39" s="417"/>
      <c r="PA39" s="412"/>
      <c r="PB39" s="417"/>
      <c r="PC39" s="412"/>
      <c r="PD39" s="417"/>
      <c r="PE39" s="412"/>
      <c r="PF39" s="417"/>
      <c r="PG39" s="412"/>
      <c r="PH39" s="417"/>
      <c r="PI39" s="412"/>
      <c r="PJ39" s="417"/>
      <c r="PK39" s="412"/>
      <c r="PL39" s="417"/>
      <c r="PM39" s="412"/>
      <c r="PN39" s="417"/>
      <c r="PO39" s="412"/>
      <c r="PP39" s="417"/>
      <c r="PQ39" s="412"/>
      <c r="PR39" s="417"/>
      <c r="PS39" s="412"/>
      <c r="PT39" s="417"/>
      <c r="PU39" s="412"/>
      <c r="PV39" s="417"/>
      <c r="PW39" s="412"/>
      <c r="PX39" s="417"/>
      <c r="PY39" s="412"/>
      <c r="PZ39" s="417"/>
      <c r="QA39" s="412"/>
      <c r="QB39" s="417"/>
      <c r="QC39" s="412"/>
      <c r="QD39" s="417"/>
      <c r="QE39" s="412"/>
      <c r="QF39" s="417"/>
      <c r="QG39" s="412"/>
      <c r="QH39" s="417"/>
      <c r="QI39" s="412"/>
      <c r="QJ39" s="417"/>
      <c r="QK39" s="412"/>
      <c r="QL39" s="417"/>
      <c r="QM39" s="412"/>
      <c r="QN39" s="417"/>
      <c r="QO39" s="412"/>
      <c r="QP39" s="417"/>
      <c r="QQ39" s="412"/>
      <c r="QR39" s="417"/>
      <c r="QS39" s="412"/>
      <c r="QT39" s="417"/>
      <c r="QU39" s="412"/>
      <c r="QV39" s="417"/>
      <c r="QW39" s="412"/>
      <c r="QX39" s="417"/>
      <c r="QY39" s="412"/>
      <c r="QZ39" s="417"/>
      <c r="RA39" s="412"/>
      <c r="RB39" s="417"/>
      <c r="RC39" s="412"/>
      <c r="RD39" s="417"/>
      <c r="RE39" s="412"/>
      <c r="RF39" s="417"/>
      <c r="RG39" s="412"/>
      <c r="RH39" s="417"/>
      <c r="RI39" s="412"/>
      <c r="RJ39" s="417"/>
      <c r="RK39" s="412"/>
      <c r="RL39" s="417"/>
      <c r="RM39" s="412"/>
      <c r="RN39" s="417"/>
      <c r="RO39" s="412"/>
      <c r="RP39" s="417"/>
      <c r="RQ39" s="412"/>
      <c r="RR39" s="417"/>
      <c r="RS39" s="412"/>
      <c r="RT39" s="417"/>
      <c r="RU39" s="412"/>
      <c r="RV39" s="417"/>
      <c r="RW39" s="412"/>
      <c r="RX39" s="417"/>
      <c r="RY39" s="412"/>
      <c r="RZ39" s="417"/>
      <c r="SA39" s="412"/>
      <c r="SB39" s="417"/>
      <c r="SC39" s="412"/>
      <c r="SD39" s="417"/>
      <c r="SE39" s="412"/>
      <c r="SF39" s="417"/>
      <c r="SG39" s="412"/>
      <c r="SH39" s="417"/>
      <c r="SI39" s="412"/>
      <c r="SJ39" s="417"/>
      <c r="SK39" s="412"/>
      <c r="SL39" s="417"/>
      <c r="SM39" s="412"/>
      <c r="SN39" s="417"/>
      <c r="SO39" s="412"/>
      <c r="SP39" s="417"/>
      <c r="SQ39" s="412"/>
      <c r="SR39" s="417"/>
      <c r="SS39" s="412"/>
      <c r="ST39" s="417"/>
      <c r="SU39" s="412"/>
      <c r="SV39" s="417"/>
      <c r="SW39" s="412"/>
      <c r="SX39" s="417"/>
      <c r="SY39" s="412"/>
      <c r="SZ39" s="417"/>
      <c r="TA39" s="412"/>
      <c r="TB39" s="417"/>
      <c r="TC39" s="412"/>
      <c r="TD39" s="417"/>
      <c r="TE39" s="412"/>
      <c r="TF39" s="417"/>
      <c r="TG39" s="412"/>
      <c r="TH39" s="417"/>
      <c r="TI39" s="412"/>
      <c r="TJ39" s="417"/>
      <c r="TK39" s="412"/>
      <c r="TL39" s="417"/>
      <c r="TM39" s="412"/>
      <c r="TN39" s="417"/>
      <c r="TO39" s="412"/>
      <c r="TP39" s="417"/>
      <c r="TQ39" s="412"/>
      <c r="TR39" s="417"/>
      <c r="TS39" s="412"/>
      <c r="TT39" s="417"/>
      <c r="TU39" s="412"/>
      <c r="TV39" s="417"/>
      <c r="TW39" s="412"/>
      <c r="TX39" s="417"/>
      <c r="TY39" s="412"/>
      <c r="TZ39" s="417"/>
      <c r="UA39" s="412"/>
      <c r="UB39" s="417"/>
      <c r="UC39" s="412"/>
      <c r="UD39" s="417"/>
      <c r="UE39" s="412"/>
      <c r="UF39" s="417"/>
      <c r="UG39" s="412"/>
      <c r="UH39" s="417"/>
      <c r="UI39" s="412"/>
      <c r="UJ39" s="417"/>
      <c r="UK39" s="412"/>
      <c r="UL39" s="417"/>
      <c r="UM39" s="412"/>
      <c r="UN39" s="417"/>
      <c r="UO39" s="412"/>
      <c r="UP39" s="417"/>
      <c r="UQ39" s="412"/>
      <c r="UR39" s="417"/>
      <c r="US39" s="412"/>
      <c r="UT39" s="417"/>
      <c r="UU39" s="412"/>
      <c r="UV39" s="417"/>
      <c r="UW39" s="412"/>
      <c r="UX39" s="417"/>
      <c r="UY39" s="412"/>
      <c r="UZ39" s="417"/>
      <c r="VA39" s="412"/>
      <c r="VB39" s="417"/>
      <c r="VC39" s="412"/>
      <c r="VD39" s="417"/>
      <c r="VE39" s="412"/>
      <c r="VF39" s="417"/>
      <c r="VG39" s="412"/>
      <c r="VH39" s="417"/>
      <c r="VI39" s="412"/>
      <c r="VJ39" s="417"/>
      <c r="VK39" s="412"/>
      <c r="VL39" s="417"/>
      <c r="VM39" s="412"/>
      <c r="VN39" s="417"/>
      <c r="VO39" s="412"/>
      <c r="VP39" s="417"/>
      <c r="VQ39" s="412"/>
      <c r="VR39" s="417"/>
      <c r="VS39" s="412"/>
      <c r="VT39" s="417"/>
      <c r="VU39" s="412"/>
      <c r="VV39" s="417"/>
      <c r="VW39" s="412"/>
      <c r="VX39" s="417"/>
      <c r="VY39" s="412"/>
      <c r="VZ39" s="417"/>
      <c r="WA39" s="412"/>
      <c r="WB39" s="417"/>
      <c r="WC39" s="412"/>
      <c r="WD39" s="417"/>
      <c r="WE39" s="412"/>
      <c r="WF39" s="417"/>
      <c r="WG39" s="412"/>
      <c r="WH39" s="417"/>
      <c r="WI39" s="412"/>
      <c r="WJ39" s="417"/>
      <c r="WK39" s="412"/>
      <c r="WL39" s="417"/>
      <c r="WM39" s="412"/>
      <c r="WN39" s="417"/>
      <c r="WO39" s="412"/>
      <c r="WP39" s="417"/>
      <c r="WQ39" s="412"/>
      <c r="WR39" s="417"/>
      <c r="WS39" s="412"/>
      <c r="WT39" s="417"/>
      <c r="WU39" s="412"/>
      <c r="WV39" s="417"/>
      <c r="WW39" s="412"/>
      <c r="WX39" s="417"/>
      <c r="WY39" s="412"/>
      <c r="WZ39" s="417"/>
      <c r="XA39" s="412"/>
      <c r="XB39" s="417"/>
      <c r="XC39" s="412"/>
      <c r="XD39" s="417"/>
      <c r="XE39" s="412"/>
      <c r="XF39" s="417"/>
      <c r="XG39" s="412"/>
      <c r="XH39" s="417"/>
      <c r="XI39" s="412"/>
      <c r="XJ39" s="417"/>
      <c r="XK39" s="412"/>
      <c r="XL39" s="417"/>
      <c r="XM39" s="412"/>
      <c r="XN39" s="417"/>
      <c r="XO39" s="412"/>
      <c r="XP39" s="417"/>
      <c r="XQ39" s="412"/>
      <c r="XR39" s="417"/>
      <c r="XS39" s="412"/>
      <c r="XT39" s="417"/>
      <c r="XU39" s="412"/>
      <c r="XV39" s="417"/>
      <c r="XW39" s="412"/>
      <c r="XX39" s="417"/>
      <c r="XY39" s="412"/>
      <c r="XZ39" s="417"/>
      <c r="YA39" s="412"/>
      <c r="YB39" s="417"/>
      <c r="YC39" s="412"/>
      <c r="YD39" s="417"/>
      <c r="YE39" s="412"/>
    </row>
    <row r="40" spans="1:655" ht="15" x14ac:dyDescent="0.2">
      <c r="A40" s="398"/>
      <c r="B40" s="396"/>
      <c r="C40" s="398"/>
      <c r="D40" s="396"/>
      <c r="E40" s="398"/>
      <c r="F40" s="396"/>
      <c r="G40" s="398"/>
      <c r="H40" s="396"/>
      <c r="I40" s="398"/>
      <c r="J40" s="396"/>
      <c r="K40" s="398"/>
      <c r="L40" s="396"/>
      <c r="M40" s="398"/>
      <c r="N40" s="396"/>
      <c r="O40" s="398"/>
      <c r="P40" s="396"/>
      <c r="Q40" s="398"/>
      <c r="R40" s="396"/>
      <c r="S40" s="398"/>
      <c r="T40" s="396"/>
      <c r="U40" s="398"/>
      <c r="V40" s="396"/>
      <c r="W40" s="398"/>
      <c r="X40" s="396"/>
      <c r="Y40" s="398"/>
      <c r="Z40" s="396"/>
      <c r="AA40" s="398"/>
      <c r="AB40" s="396"/>
      <c r="AC40" s="398"/>
      <c r="AD40" s="396"/>
      <c r="AE40" s="398"/>
      <c r="AF40" s="396"/>
      <c r="AG40" s="398"/>
      <c r="AH40" s="396"/>
      <c r="AI40" s="398"/>
      <c r="AJ40" s="396"/>
      <c r="AK40" s="398"/>
      <c r="AL40" s="396"/>
      <c r="AM40" s="398"/>
      <c r="AN40" s="396"/>
      <c r="AO40" s="398"/>
      <c r="AP40" s="396"/>
      <c r="AQ40" s="398"/>
      <c r="AR40" s="396"/>
      <c r="AS40" s="398"/>
      <c r="AT40" s="396"/>
      <c r="AU40" s="398"/>
      <c r="AV40" s="396"/>
      <c r="AW40" s="398"/>
      <c r="AX40" s="396"/>
      <c r="AY40" s="398"/>
      <c r="AZ40" s="396"/>
      <c r="BA40" s="398"/>
      <c r="BB40" s="396"/>
      <c r="BC40" s="398"/>
      <c r="BD40" s="396"/>
      <c r="BE40" s="398"/>
      <c r="BF40" s="396"/>
      <c r="BG40" s="398"/>
      <c r="BH40" s="396"/>
      <c r="BI40" s="398"/>
      <c r="BJ40" s="396"/>
      <c r="BK40" s="398"/>
      <c r="BL40" s="396"/>
      <c r="BM40" s="398"/>
      <c r="BN40" s="396"/>
      <c r="BO40" s="398"/>
      <c r="BP40" s="396"/>
      <c r="BQ40" s="398"/>
      <c r="BR40" s="396"/>
      <c r="BS40" s="398"/>
      <c r="BT40" s="396"/>
      <c r="BU40" s="398"/>
      <c r="BV40" s="396"/>
      <c r="BW40" s="398"/>
      <c r="BX40" s="396"/>
      <c r="BY40" s="398"/>
      <c r="BZ40" s="396"/>
      <c r="CA40" s="398"/>
      <c r="CB40" s="396"/>
      <c r="CC40" s="398"/>
      <c r="CD40" s="396"/>
      <c r="CE40" s="398"/>
      <c r="CF40" s="396"/>
      <c r="CG40" s="398"/>
      <c r="CH40" s="396"/>
      <c r="CI40" s="398"/>
      <c r="CJ40" s="396"/>
      <c r="CK40" s="398"/>
      <c r="CL40" s="396"/>
      <c r="CM40" s="398"/>
      <c r="CN40" s="347" t="s">
        <v>1610</v>
      </c>
      <c r="CO40" s="398"/>
      <c r="CP40" s="396"/>
      <c r="CQ40" s="398"/>
      <c r="CR40" s="396"/>
      <c r="CS40" s="398"/>
      <c r="CT40" s="396"/>
      <c r="CU40" s="398"/>
      <c r="CV40" s="396"/>
      <c r="CW40" s="398"/>
      <c r="CX40" s="396"/>
      <c r="CY40" s="398"/>
      <c r="CZ40" s="396"/>
      <c r="DA40" s="398"/>
      <c r="DB40" s="396"/>
      <c r="DC40" s="398"/>
      <c r="DD40" s="396"/>
      <c r="DE40" s="398"/>
      <c r="DF40" s="396"/>
      <c r="DG40" s="398"/>
      <c r="DH40" s="396"/>
      <c r="DI40" s="398"/>
      <c r="DJ40" s="396"/>
      <c r="DK40" s="398"/>
      <c r="DL40" s="396"/>
      <c r="DM40" s="398"/>
      <c r="DN40" s="396"/>
      <c r="DO40" s="398"/>
      <c r="DP40" s="396"/>
      <c r="DQ40" s="398"/>
      <c r="DR40" s="396"/>
      <c r="DS40" s="398"/>
      <c r="DT40" s="396"/>
      <c r="DU40" s="398"/>
      <c r="DV40" s="396"/>
      <c r="DW40" s="398"/>
      <c r="DX40" s="396"/>
      <c r="DY40" s="398"/>
      <c r="DZ40" s="396"/>
      <c r="EA40" s="398"/>
      <c r="EB40" s="396"/>
      <c r="EC40" s="398"/>
      <c r="ED40" s="396"/>
      <c r="EE40" s="398"/>
      <c r="EF40" s="396"/>
      <c r="EG40" s="398"/>
      <c r="EH40" s="396"/>
      <c r="EI40" s="398"/>
      <c r="EJ40" s="396"/>
      <c r="EK40" s="398"/>
      <c r="EL40" s="396"/>
      <c r="EM40" s="398"/>
      <c r="EN40" s="396"/>
      <c r="EO40" s="398"/>
      <c r="EP40" s="396"/>
      <c r="EQ40" s="398"/>
      <c r="ER40" s="396"/>
      <c r="ES40" s="398"/>
      <c r="ET40" s="396"/>
      <c r="EU40" s="398"/>
      <c r="EV40" s="396"/>
      <c r="EW40" s="398"/>
      <c r="EX40" s="396"/>
      <c r="EY40" s="398"/>
      <c r="EZ40" s="396"/>
      <c r="FA40" s="398"/>
      <c r="FB40" s="396"/>
      <c r="FC40" s="398"/>
      <c r="FD40" s="396"/>
      <c r="FE40" s="398"/>
      <c r="FF40" s="396"/>
      <c r="FG40" s="398"/>
      <c r="FH40" s="396"/>
      <c r="FI40" s="398"/>
      <c r="FJ40" s="396"/>
      <c r="FK40" s="398"/>
      <c r="FL40" s="396"/>
      <c r="FM40" s="398"/>
      <c r="FN40" s="396"/>
      <c r="FO40" s="398"/>
      <c r="FP40" s="396"/>
      <c r="FQ40" s="398"/>
      <c r="FR40" s="396"/>
      <c r="FS40" s="398"/>
      <c r="FT40" s="396"/>
      <c r="FU40" s="398"/>
      <c r="FV40" s="396"/>
      <c r="FW40" s="398"/>
      <c r="FX40" s="396"/>
      <c r="FY40" s="398"/>
      <c r="FZ40" s="396"/>
      <c r="GA40" s="398"/>
      <c r="GB40" s="396"/>
      <c r="GC40" s="398"/>
      <c r="GD40" s="396"/>
      <c r="GE40" s="398"/>
      <c r="GF40" s="396"/>
      <c r="GG40" s="398"/>
      <c r="GH40" s="396"/>
      <c r="GI40" s="398"/>
      <c r="GJ40" s="396"/>
      <c r="GK40" s="398"/>
      <c r="GL40" s="396"/>
      <c r="GM40" s="398"/>
      <c r="GN40" s="396"/>
      <c r="GO40" s="398"/>
      <c r="GP40" s="396"/>
      <c r="GQ40" s="398"/>
      <c r="GR40" s="396"/>
      <c r="GS40" s="398"/>
      <c r="GT40" s="396"/>
      <c r="GU40" s="398"/>
      <c r="GV40" s="396"/>
      <c r="GW40" s="398"/>
      <c r="GX40" s="396"/>
      <c r="GY40" s="398"/>
      <c r="GZ40" s="396"/>
      <c r="HA40" s="398"/>
      <c r="HB40" s="396"/>
      <c r="HC40" s="398"/>
      <c r="HD40" s="396"/>
      <c r="HE40" s="398"/>
      <c r="HF40" s="396"/>
      <c r="HG40" s="398"/>
      <c r="HH40" s="396"/>
      <c r="HI40" s="398"/>
      <c r="HJ40" s="396"/>
      <c r="HK40" s="398"/>
      <c r="HL40" s="396"/>
      <c r="HM40" s="398"/>
      <c r="HN40" s="396"/>
      <c r="HO40" s="398"/>
      <c r="HP40" s="396"/>
      <c r="HQ40" s="398"/>
      <c r="HR40" s="396"/>
      <c r="HS40" s="398"/>
      <c r="HT40" s="396"/>
      <c r="HU40" s="398"/>
      <c r="HV40" s="396"/>
      <c r="HW40" s="398"/>
      <c r="HX40" s="396"/>
      <c r="HY40" s="398"/>
      <c r="HZ40" s="396"/>
      <c r="IA40" s="398"/>
      <c r="IB40" s="396"/>
      <c r="IC40" s="398"/>
      <c r="ID40" s="396"/>
      <c r="IE40" s="398"/>
      <c r="IF40" s="396"/>
      <c r="IG40" s="398"/>
      <c r="IH40" s="396"/>
      <c r="II40" s="398"/>
      <c r="IJ40" s="396"/>
      <c r="IK40" s="398"/>
      <c r="IL40" s="396"/>
      <c r="IM40" s="398"/>
      <c r="IN40" s="396"/>
      <c r="IO40" s="398"/>
      <c r="IP40" s="396"/>
      <c r="IQ40" s="398"/>
      <c r="IR40" s="396"/>
      <c r="IS40" s="398"/>
      <c r="IT40" s="396"/>
      <c r="IU40" s="398"/>
      <c r="IV40" s="396"/>
      <c r="IW40" s="398"/>
      <c r="IX40" s="396"/>
      <c r="IY40" s="398"/>
      <c r="IZ40" s="396"/>
      <c r="JA40" s="398"/>
      <c r="JB40" s="396"/>
      <c r="JC40" s="398"/>
      <c r="JD40" s="396"/>
      <c r="JE40" s="398"/>
      <c r="JF40" s="396"/>
      <c r="JG40" s="398"/>
      <c r="JH40" s="396"/>
      <c r="JI40" s="398"/>
      <c r="JJ40" s="396"/>
      <c r="JK40" s="398"/>
      <c r="JL40" s="396"/>
      <c r="JM40" s="398"/>
      <c r="JN40" s="396"/>
      <c r="JO40" s="398"/>
      <c r="JP40" s="396"/>
      <c r="JQ40" s="398"/>
      <c r="JR40" s="396"/>
      <c r="JS40" s="398"/>
      <c r="JT40" s="396"/>
      <c r="JU40" s="398"/>
      <c r="JV40" s="396"/>
      <c r="JW40" s="398"/>
      <c r="JX40" s="396"/>
      <c r="JY40" s="398"/>
      <c r="JZ40" s="396"/>
      <c r="KA40" s="398"/>
      <c r="KB40" s="396"/>
      <c r="KC40" s="398"/>
      <c r="KD40" s="396"/>
      <c r="KE40" s="398"/>
      <c r="KF40" s="396"/>
      <c r="KG40" s="398"/>
      <c r="KH40" s="396"/>
      <c r="KI40" s="398"/>
      <c r="KJ40" s="396"/>
      <c r="KK40" s="398"/>
      <c r="KL40" s="396"/>
      <c r="KM40" s="398"/>
      <c r="KN40" s="396"/>
      <c r="KO40" s="398"/>
      <c r="KP40" s="396"/>
      <c r="KQ40" s="398"/>
      <c r="KR40" s="396"/>
      <c r="KS40" s="398"/>
      <c r="KT40" s="396"/>
      <c r="KU40" s="398"/>
      <c r="KV40" s="396"/>
      <c r="KW40" s="398"/>
      <c r="KX40" s="396"/>
      <c r="KY40" s="398"/>
      <c r="KZ40" s="396"/>
      <c r="LA40" s="398"/>
      <c r="LB40" s="396"/>
      <c r="LC40" s="398"/>
      <c r="LD40" s="396"/>
      <c r="LE40" s="398"/>
      <c r="LF40" s="396"/>
      <c r="LG40" s="398"/>
      <c r="LH40" s="396"/>
      <c r="LI40" s="398"/>
      <c r="LJ40" s="396"/>
      <c r="LK40" s="398"/>
      <c r="LL40" s="396"/>
      <c r="LM40" s="398"/>
      <c r="LN40" s="396"/>
      <c r="LO40" s="398"/>
      <c r="LP40" s="396"/>
      <c r="LQ40" s="398"/>
      <c r="LR40" s="396"/>
      <c r="LS40" s="398"/>
      <c r="LT40" s="396"/>
      <c r="LU40" s="398"/>
      <c r="LV40" s="396"/>
      <c r="LW40" s="398"/>
      <c r="LX40" s="396"/>
      <c r="LY40" s="398"/>
      <c r="LZ40" s="396"/>
      <c r="MA40" s="398"/>
      <c r="MB40" s="396"/>
      <c r="MC40" s="398"/>
      <c r="MD40" s="396"/>
      <c r="ME40" s="398"/>
      <c r="MF40" s="396"/>
      <c r="MG40" s="398"/>
      <c r="MH40" s="396"/>
      <c r="MI40" s="398"/>
      <c r="MJ40" s="396"/>
      <c r="MK40" s="398"/>
      <c r="ML40" s="396"/>
      <c r="MM40" s="398"/>
      <c r="MN40" s="396"/>
      <c r="MO40" s="398"/>
      <c r="MP40" s="396"/>
      <c r="MQ40" s="398"/>
      <c r="MR40" s="396"/>
      <c r="MS40" s="398"/>
      <c r="MT40" s="396"/>
      <c r="MU40" s="398"/>
      <c r="MV40" s="396"/>
      <c r="MW40" s="398"/>
      <c r="MX40" s="396"/>
      <c r="MY40" s="398"/>
      <c r="MZ40" s="396"/>
      <c r="NA40" s="398"/>
      <c r="NB40" s="396"/>
      <c r="NC40" s="398"/>
      <c r="ND40" s="396"/>
      <c r="NE40" s="398"/>
      <c r="NF40" s="396"/>
      <c r="NG40" s="398"/>
      <c r="NH40" s="396"/>
      <c r="NI40" s="398"/>
      <c r="NJ40" s="396"/>
      <c r="NK40" s="398"/>
      <c r="NL40" s="396"/>
      <c r="NM40" s="398"/>
      <c r="NN40" s="396"/>
      <c r="NO40" s="398"/>
      <c r="NP40" s="396"/>
      <c r="NQ40" s="398"/>
      <c r="NR40" s="396"/>
      <c r="NS40" s="398"/>
      <c r="NT40" s="396"/>
      <c r="NU40" s="398"/>
      <c r="NV40" s="396"/>
      <c r="NW40" s="398"/>
      <c r="NX40" s="396"/>
      <c r="NY40" s="398"/>
      <c r="NZ40" s="396"/>
      <c r="OA40" s="398"/>
      <c r="OB40" s="396"/>
      <c r="OC40" s="398"/>
      <c r="OD40" s="396"/>
      <c r="OE40" s="398"/>
      <c r="OF40" s="396"/>
      <c r="OG40" s="398"/>
      <c r="OH40" s="396"/>
      <c r="OI40" s="398"/>
      <c r="OJ40" s="396"/>
      <c r="OK40" s="398"/>
      <c r="OL40" s="396"/>
      <c r="OM40" s="398"/>
      <c r="ON40" s="396"/>
      <c r="OO40" s="398"/>
      <c r="OP40" s="396"/>
      <c r="OQ40" s="398"/>
      <c r="OR40" s="396"/>
      <c r="OS40" s="398"/>
      <c r="OT40" s="396"/>
      <c r="OU40" s="398"/>
      <c r="OV40" s="396"/>
      <c r="OW40" s="398"/>
      <c r="OX40" s="396"/>
      <c r="OY40" s="398"/>
      <c r="OZ40" s="396"/>
      <c r="PA40" s="398"/>
      <c r="PB40" s="396"/>
      <c r="PC40" s="398"/>
      <c r="PD40" s="396"/>
      <c r="PE40" s="398"/>
      <c r="PF40" s="396"/>
      <c r="PG40" s="398"/>
      <c r="PH40" s="396"/>
      <c r="PI40" s="398"/>
      <c r="PJ40" s="396"/>
      <c r="PK40" s="398"/>
      <c r="PL40" s="396"/>
      <c r="PM40" s="398"/>
      <c r="PN40" s="396"/>
      <c r="PO40" s="398"/>
      <c r="PP40" s="396"/>
      <c r="PQ40" s="398"/>
      <c r="PR40" s="396"/>
      <c r="PS40" s="398"/>
      <c r="PT40" s="396"/>
      <c r="PU40" s="398"/>
      <c r="PV40" s="396"/>
      <c r="PW40" s="398"/>
      <c r="PX40" s="396"/>
      <c r="PY40" s="398"/>
      <c r="PZ40" s="396"/>
      <c r="QA40" s="398"/>
      <c r="QB40" s="396"/>
      <c r="QC40" s="398"/>
      <c r="QD40" s="396"/>
      <c r="QE40" s="398"/>
      <c r="QF40" s="396"/>
      <c r="QG40" s="398"/>
      <c r="QH40" s="396"/>
      <c r="QI40" s="398"/>
      <c r="QJ40" s="396"/>
      <c r="QK40" s="398"/>
      <c r="QL40" s="396"/>
      <c r="QM40" s="398"/>
      <c r="QN40" s="396"/>
      <c r="QO40" s="398"/>
      <c r="QP40" s="396"/>
      <c r="QQ40" s="398"/>
      <c r="QR40" s="396"/>
      <c r="QS40" s="398"/>
      <c r="QT40" s="396"/>
      <c r="QU40" s="398"/>
      <c r="QV40" s="396"/>
      <c r="QW40" s="398"/>
      <c r="QX40" s="396"/>
      <c r="QY40" s="398"/>
      <c r="QZ40" s="396"/>
      <c r="RA40" s="398"/>
      <c r="RB40" s="396"/>
      <c r="RC40" s="398"/>
      <c r="RD40" s="396"/>
      <c r="RE40" s="398"/>
      <c r="RF40" s="396"/>
      <c r="RG40" s="398"/>
      <c r="RH40" s="396"/>
      <c r="RI40" s="398"/>
      <c r="RJ40" s="396"/>
      <c r="RK40" s="398"/>
      <c r="RL40" s="396"/>
      <c r="RM40" s="398"/>
      <c r="RN40" s="396"/>
      <c r="RO40" s="398"/>
      <c r="RP40" s="396"/>
      <c r="RQ40" s="398"/>
      <c r="RR40" s="396"/>
      <c r="RS40" s="398"/>
      <c r="RT40" s="396"/>
      <c r="RU40" s="398"/>
      <c r="RV40" s="396"/>
      <c r="RW40" s="398"/>
      <c r="RX40" s="396"/>
      <c r="RY40" s="398"/>
      <c r="RZ40" s="396"/>
      <c r="SA40" s="398"/>
      <c r="SB40" s="396"/>
      <c r="SC40" s="398"/>
      <c r="SD40" s="396"/>
      <c r="SE40" s="398"/>
      <c r="SF40" s="396"/>
      <c r="SG40" s="398"/>
      <c r="SH40" s="396"/>
      <c r="SI40" s="398"/>
      <c r="SJ40" s="396"/>
      <c r="SK40" s="398"/>
      <c r="SL40" s="396"/>
      <c r="SM40" s="398"/>
      <c r="SN40" s="396"/>
      <c r="SO40" s="398"/>
      <c r="SP40" s="396"/>
      <c r="SQ40" s="398"/>
      <c r="SR40" s="396"/>
      <c r="SS40" s="398"/>
      <c r="ST40" s="396"/>
      <c r="SU40" s="398"/>
      <c r="SV40" s="396"/>
      <c r="SW40" s="398"/>
      <c r="SX40" s="396"/>
      <c r="SY40" s="398"/>
      <c r="SZ40" s="396"/>
      <c r="TA40" s="398"/>
      <c r="TB40" s="396"/>
      <c r="TC40" s="398"/>
      <c r="TD40" s="396"/>
      <c r="TE40" s="398"/>
      <c r="TF40" s="396"/>
      <c r="TG40" s="398"/>
      <c r="TH40" s="396"/>
      <c r="TI40" s="398"/>
      <c r="TJ40" s="396"/>
      <c r="TK40" s="398"/>
      <c r="TL40" s="396"/>
      <c r="TM40" s="398"/>
      <c r="TN40" s="396"/>
      <c r="TO40" s="398"/>
      <c r="TP40" s="396"/>
      <c r="TQ40" s="398"/>
      <c r="TR40" s="396"/>
      <c r="TS40" s="398"/>
      <c r="TT40" s="396"/>
      <c r="TU40" s="398"/>
      <c r="TV40" s="396"/>
      <c r="TW40" s="398"/>
      <c r="TX40" s="396"/>
      <c r="TY40" s="398"/>
      <c r="TZ40" s="396"/>
      <c r="UA40" s="398"/>
      <c r="UB40" s="396"/>
      <c r="UC40" s="398"/>
      <c r="UD40" s="396"/>
      <c r="UE40" s="398"/>
      <c r="UF40" s="396"/>
      <c r="UG40" s="398"/>
      <c r="UH40" s="396"/>
      <c r="UI40" s="398"/>
      <c r="UJ40" s="396"/>
      <c r="UK40" s="398"/>
      <c r="UL40" s="396"/>
      <c r="UM40" s="398"/>
      <c r="UN40" s="396"/>
      <c r="UO40" s="398"/>
      <c r="UP40" s="396"/>
      <c r="UQ40" s="398"/>
      <c r="UR40" s="396"/>
      <c r="US40" s="398"/>
      <c r="UT40" s="396"/>
      <c r="UU40" s="398"/>
      <c r="UV40" s="396"/>
      <c r="UW40" s="398"/>
      <c r="UX40" s="396"/>
      <c r="UY40" s="398"/>
      <c r="UZ40" s="396"/>
      <c r="VA40" s="398"/>
      <c r="VB40" s="396"/>
      <c r="VC40" s="398"/>
      <c r="VD40" s="396"/>
      <c r="VE40" s="398"/>
      <c r="VF40" s="396"/>
      <c r="VG40" s="398"/>
      <c r="VH40" s="396"/>
      <c r="VI40" s="398"/>
      <c r="VJ40" s="396"/>
      <c r="VK40" s="398"/>
      <c r="VL40" s="396"/>
      <c r="VM40" s="398"/>
      <c r="VN40" s="396"/>
      <c r="VO40" s="398"/>
      <c r="VP40" s="396"/>
      <c r="VQ40" s="398"/>
      <c r="VR40" s="396"/>
      <c r="VS40" s="398"/>
      <c r="VT40" s="396"/>
      <c r="VU40" s="398"/>
      <c r="VV40" s="396"/>
      <c r="VW40" s="398"/>
      <c r="VX40" s="396"/>
      <c r="VY40" s="398"/>
      <c r="VZ40" s="396"/>
      <c r="WA40" s="398"/>
      <c r="WB40" s="396"/>
      <c r="WC40" s="398"/>
      <c r="WD40" s="396"/>
      <c r="WE40" s="398"/>
      <c r="WF40" s="396"/>
      <c r="WG40" s="398"/>
      <c r="WH40" s="396"/>
      <c r="WI40" s="398"/>
      <c r="WJ40" s="396"/>
      <c r="WK40" s="398"/>
      <c r="WL40" s="396"/>
      <c r="WM40" s="398"/>
      <c r="WN40" s="396"/>
      <c r="WO40" s="398"/>
      <c r="WP40" s="396"/>
      <c r="WQ40" s="398"/>
      <c r="WR40" s="396"/>
      <c r="WS40" s="398"/>
      <c r="WT40" s="396"/>
      <c r="WU40" s="398"/>
      <c r="WV40" s="396"/>
      <c r="WW40" s="398"/>
      <c r="WX40" s="396"/>
      <c r="WY40" s="398"/>
      <c r="WZ40" s="396"/>
      <c r="XA40" s="398"/>
      <c r="XB40" s="396"/>
      <c r="XC40" s="398"/>
      <c r="XD40" s="396"/>
      <c r="XE40" s="398"/>
      <c r="XF40" s="396"/>
      <c r="XG40" s="398"/>
      <c r="XH40" s="396"/>
      <c r="XI40" s="398"/>
      <c r="XJ40" s="396"/>
      <c r="XK40" s="398"/>
      <c r="XL40" s="396"/>
      <c r="XM40" s="398"/>
      <c r="XN40" s="396"/>
      <c r="XO40" s="398"/>
      <c r="XP40" s="396"/>
      <c r="XQ40" s="398"/>
      <c r="XR40" s="396"/>
      <c r="XS40" s="398"/>
      <c r="XT40" s="396"/>
      <c r="XU40" s="398"/>
      <c r="XV40" s="396"/>
      <c r="XW40" s="398"/>
      <c r="XX40" s="396"/>
      <c r="XY40" s="398"/>
      <c r="XZ40" s="396"/>
      <c r="YA40" s="398"/>
      <c r="YB40" s="396"/>
      <c r="YC40" s="398"/>
      <c r="YD40" s="396"/>
      <c r="YE40" s="398"/>
    </row>
    <row r="41" spans="1:655" ht="18.75" hidden="1" x14ac:dyDescent="0.2">
      <c r="A41" s="95"/>
      <c r="B41" s="6"/>
      <c r="C41" s="7"/>
      <c r="D41" s="6"/>
      <c r="E41" s="7"/>
      <c r="F41" s="5"/>
      <c r="G41" s="7"/>
      <c r="H41" s="6"/>
      <c r="I41" s="5"/>
      <c r="J41" s="6"/>
      <c r="K41" s="7"/>
      <c r="L41" s="5"/>
      <c r="M41" s="5"/>
      <c r="N41" s="52"/>
      <c r="O41" s="7"/>
      <c r="P41" s="5"/>
      <c r="Q41" s="5"/>
      <c r="R41" s="6"/>
      <c r="S41" s="7"/>
      <c r="T41" s="6"/>
      <c r="U41" s="7"/>
      <c r="V41" s="5"/>
      <c r="W41" s="5"/>
      <c r="X41" s="6"/>
      <c r="Y41" s="7"/>
      <c r="Z41" s="6"/>
      <c r="AA41" s="7"/>
      <c r="AB41" s="5"/>
      <c r="AC41" s="5"/>
      <c r="AD41" s="6"/>
      <c r="AE41" s="7"/>
      <c r="AF41" s="6"/>
      <c r="AG41" s="7"/>
      <c r="AH41" s="5"/>
      <c r="AI41" s="5"/>
      <c r="AJ41" s="6"/>
      <c r="AK41" s="7"/>
      <c r="AL41" s="52"/>
      <c r="AM41" s="5"/>
      <c r="AN41" s="6"/>
      <c r="AO41" s="7"/>
      <c r="AP41" s="52"/>
      <c r="AQ41" s="5"/>
      <c r="AR41" s="6"/>
      <c r="AS41" s="7"/>
      <c r="AT41" s="5"/>
      <c r="AU41" s="5"/>
      <c r="AV41" s="6"/>
      <c r="AW41" s="7"/>
      <c r="AX41" s="5"/>
      <c r="AY41" s="5"/>
      <c r="AZ41" s="6"/>
      <c r="BA41" s="7"/>
      <c r="BB41" s="5"/>
      <c r="BC41" s="5"/>
      <c r="BD41" s="6"/>
      <c r="BE41" s="7"/>
      <c r="BF41" s="6"/>
      <c r="BG41" s="7"/>
      <c r="BH41" s="5"/>
      <c r="BI41" s="5"/>
      <c r="BJ41" s="6"/>
      <c r="BK41" s="7"/>
      <c r="BL41" s="5"/>
      <c r="BM41" s="5"/>
      <c r="BN41" s="17"/>
      <c r="BO41" s="7"/>
      <c r="BP41" s="6"/>
      <c r="BQ41" s="7"/>
      <c r="BR41" s="5"/>
      <c r="BS41" s="5"/>
      <c r="BT41" s="6"/>
      <c r="BU41" s="7"/>
      <c r="BV41" s="6"/>
      <c r="BW41" s="7"/>
      <c r="BX41" s="5"/>
      <c r="BY41" s="5"/>
      <c r="BZ41" s="6"/>
      <c r="CA41" s="7"/>
      <c r="CB41" s="6"/>
      <c r="CC41" s="7"/>
      <c r="CD41" s="5"/>
      <c r="CE41" s="5"/>
      <c r="CF41" s="6"/>
      <c r="CG41" s="7"/>
      <c r="CH41" s="5"/>
      <c r="CI41" s="5"/>
      <c r="CJ41" s="6"/>
      <c r="CK41" s="7"/>
      <c r="CL41" s="5"/>
      <c r="CM41" s="5"/>
      <c r="CN41" s="6"/>
      <c r="CO41" s="7"/>
      <c r="CP41" s="5"/>
      <c r="CQ41" s="5"/>
      <c r="CR41" s="6"/>
      <c r="CS41" s="7"/>
      <c r="CT41" s="5"/>
      <c r="CU41" s="5"/>
      <c r="CV41" s="6"/>
      <c r="CW41" s="7"/>
      <c r="CX41" s="6"/>
      <c r="CY41" s="5"/>
      <c r="CZ41" s="6"/>
      <c r="DA41" s="5"/>
      <c r="DB41" s="6"/>
      <c r="DC41" s="7"/>
      <c r="DD41" s="5"/>
      <c r="DE41" s="5"/>
      <c r="DF41" s="6"/>
      <c r="DG41" s="7"/>
      <c r="DH41" s="5"/>
      <c r="DI41" s="5"/>
      <c r="DJ41" s="6"/>
      <c r="DK41" s="7"/>
      <c r="DL41" s="5"/>
      <c r="DM41" s="5"/>
      <c r="DN41" s="6"/>
      <c r="DO41" s="7"/>
      <c r="DP41" s="5"/>
      <c r="DQ41" s="5"/>
      <c r="DR41" s="6"/>
      <c r="DS41" s="7"/>
      <c r="DT41" s="5"/>
      <c r="DU41" s="5"/>
      <c r="DV41" s="6"/>
      <c r="DW41" s="7"/>
      <c r="DX41" s="5"/>
      <c r="DY41" s="5"/>
      <c r="DZ41" s="6"/>
      <c r="EA41" s="7"/>
      <c r="EB41" s="6"/>
      <c r="EC41" s="7"/>
      <c r="ED41" s="5"/>
      <c r="EE41" s="5"/>
      <c r="EF41" s="6"/>
      <c r="EG41" s="7"/>
      <c r="EH41" s="5"/>
      <c r="EI41" s="5"/>
      <c r="EJ41" s="6"/>
      <c r="EK41" s="7"/>
      <c r="EL41" s="5"/>
      <c r="EM41" s="5"/>
      <c r="EN41" s="6"/>
      <c r="EO41" s="7"/>
      <c r="EP41" s="5"/>
      <c r="EQ41" s="5"/>
      <c r="ER41" s="6"/>
      <c r="ES41" s="7"/>
      <c r="ET41" s="5"/>
      <c r="EU41" s="5"/>
      <c r="EV41" s="6"/>
      <c r="EW41" s="7"/>
      <c r="EX41" s="5"/>
      <c r="EY41" s="5"/>
      <c r="EZ41" s="6"/>
      <c r="FA41" s="7"/>
      <c r="FB41" s="6"/>
      <c r="FC41" s="7"/>
      <c r="FD41" s="6"/>
      <c r="FE41" s="7"/>
      <c r="FF41" s="5"/>
      <c r="FG41" s="5"/>
      <c r="FH41" s="6"/>
      <c r="FI41" s="7"/>
      <c r="FJ41" s="6"/>
      <c r="FK41" s="7"/>
      <c r="FL41" s="6"/>
      <c r="FM41" s="7"/>
      <c r="FN41" s="5"/>
      <c r="FO41" s="5"/>
      <c r="FP41" s="6"/>
      <c r="FQ41" s="7"/>
      <c r="FR41" s="6"/>
      <c r="FS41" s="7"/>
      <c r="FT41" s="5"/>
      <c r="FU41" s="5"/>
      <c r="FV41" s="6"/>
      <c r="FW41" s="7"/>
      <c r="FX41" s="5"/>
      <c r="FY41" s="5"/>
      <c r="FZ41" s="6"/>
      <c r="GA41" s="7"/>
      <c r="GB41" s="5"/>
      <c r="GC41" s="5"/>
      <c r="GD41" s="6"/>
      <c r="GE41" s="7"/>
      <c r="GF41" s="347"/>
      <c r="GG41" s="128"/>
      <c r="GH41" s="6"/>
      <c r="GI41" s="7"/>
      <c r="GJ41" s="5"/>
      <c r="GK41" s="5"/>
      <c r="GL41" s="6"/>
      <c r="GM41" s="7"/>
      <c r="GN41" s="6"/>
      <c r="GO41" s="7"/>
      <c r="GP41" s="5"/>
      <c r="GQ41" s="5"/>
      <c r="GR41" s="6"/>
      <c r="GS41" s="7"/>
      <c r="GT41" s="6"/>
      <c r="GU41" s="7"/>
      <c r="GV41" s="6"/>
      <c r="GW41" s="7"/>
      <c r="GX41" s="6"/>
      <c r="GY41" s="7"/>
      <c r="GZ41" s="6"/>
      <c r="HA41" s="7"/>
      <c r="HB41" s="6"/>
      <c r="HC41" s="7"/>
      <c r="HD41" s="5"/>
      <c r="HE41" s="5"/>
      <c r="HF41" s="6"/>
      <c r="HG41" s="7"/>
      <c r="HH41" s="6"/>
      <c r="HI41" s="7"/>
      <c r="HJ41" s="5"/>
      <c r="HK41" s="5"/>
      <c r="HL41" s="5"/>
      <c r="HM41" s="5"/>
      <c r="HN41" s="6"/>
      <c r="HO41" s="7"/>
      <c r="HP41" s="5"/>
      <c r="HQ41" s="5"/>
      <c r="HR41" s="6"/>
      <c r="HS41" s="7"/>
      <c r="HT41" s="5"/>
      <c r="HU41" s="5"/>
      <c r="HV41" s="6"/>
      <c r="HW41" s="7"/>
      <c r="HX41" s="6"/>
      <c r="HY41" s="7"/>
      <c r="HZ41" s="5"/>
      <c r="IA41" s="5"/>
      <c r="IB41" s="6"/>
      <c r="IC41" s="7"/>
      <c r="ID41" s="5"/>
      <c r="IE41" s="5"/>
      <c r="IF41" s="6"/>
      <c r="IG41" s="7"/>
      <c r="IH41" s="5"/>
      <c r="II41" s="5"/>
      <c r="IJ41" s="6"/>
      <c r="IK41" s="7"/>
      <c r="IL41" s="6"/>
      <c r="IM41" s="7"/>
      <c r="IN41" s="6"/>
      <c r="IO41" s="7"/>
      <c r="IP41" s="6"/>
      <c r="IQ41" s="7"/>
      <c r="IR41" s="5"/>
      <c r="IS41" s="5"/>
      <c r="IT41" s="6"/>
      <c r="IU41" s="7"/>
      <c r="IV41" s="6"/>
      <c r="IW41" s="7"/>
      <c r="IX41" s="6"/>
      <c r="IY41" s="7"/>
      <c r="IZ41" s="5"/>
      <c r="JA41" s="5"/>
      <c r="JB41" s="6"/>
      <c r="JC41" s="7"/>
      <c r="JD41" s="5"/>
      <c r="JE41" s="5"/>
      <c r="JF41" s="6"/>
      <c r="JG41" s="7"/>
      <c r="JH41" s="6"/>
      <c r="JI41" s="7"/>
      <c r="JJ41" s="6"/>
      <c r="JK41" s="7"/>
      <c r="JL41" s="5"/>
      <c r="JM41" s="5"/>
      <c r="JN41" s="6"/>
      <c r="JO41" s="7"/>
      <c r="JP41" s="5"/>
      <c r="JQ41" s="5"/>
      <c r="JR41" s="6"/>
      <c r="JS41" s="7"/>
      <c r="JT41" s="5"/>
      <c r="JU41" s="5"/>
      <c r="JV41" s="6"/>
      <c r="JW41" s="7"/>
      <c r="JX41" s="5"/>
      <c r="JY41" s="5"/>
      <c r="JZ41" s="6"/>
      <c r="KA41" s="7"/>
      <c r="KB41" s="6"/>
      <c r="KC41" s="7"/>
      <c r="KD41" s="6"/>
      <c r="KE41" s="7"/>
      <c r="KF41" s="5"/>
      <c r="KG41" s="5"/>
      <c r="KH41" s="6"/>
      <c r="KI41" s="7"/>
      <c r="KJ41" s="6"/>
      <c r="KK41" s="7"/>
      <c r="KL41" s="6"/>
      <c r="KM41" s="7"/>
      <c r="KN41" s="5"/>
      <c r="KO41" s="5"/>
      <c r="KP41" s="6"/>
      <c r="KQ41" s="7"/>
      <c r="KR41" s="5"/>
      <c r="KS41" s="5"/>
      <c r="KT41" s="6"/>
      <c r="KU41" s="7"/>
      <c r="KV41" s="5"/>
      <c r="KW41" s="5"/>
      <c r="KX41" s="6"/>
      <c r="KY41" s="7"/>
      <c r="KZ41" s="5"/>
      <c r="LA41" s="5"/>
      <c r="LB41" s="6"/>
      <c r="LC41" s="7"/>
      <c r="LD41" s="5"/>
      <c r="LE41" s="5"/>
      <c r="LF41" s="6"/>
      <c r="LG41" s="7"/>
      <c r="LH41" s="5"/>
      <c r="LI41" s="5"/>
      <c r="LJ41" s="6"/>
      <c r="LK41" s="7"/>
      <c r="LL41" s="5"/>
      <c r="LM41" s="5"/>
      <c r="LN41" s="6"/>
      <c r="LO41" s="7"/>
      <c r="LP41" s="5"/>
      <c r="LQ41" s="5"/>
      <c r="LR41" s="6"/>
      <c r="LS41" s="7"/>
      <c r="LT41" s="5"/>
      <c r="LU41" s="5"/>
      <c r="LV41" s="6"/>
      <c r="LW41" s="7"/>
      <c r="LX41" s="5"/>
      <c r="LY41" s="5"/>
      <c r="LZ41" s="6"/>
      <c r="MA41" s="7"/>
      <c r="MB41" s="5"/>
      <c r="MC41" s="5"/>
      <c r="MD41" s="6"/>
      <c r="ME41" s="7"/>
      <c r="MF41" s="347"/>
      <c r="MG41" s="128"/>
      <c r="MH41" s="6"/>
      <c r="MI41" s="7"/>
      <c r="MJ41" s="6"/>
      <c r="MK41" s="7"/>
      <c r="ML41" s="6"/>
      <c r="MM41" s="7"/>
      <c r="MN41" s="5"/>
      <c r="MO41" s="5"/>
      <c r="MP41" s="6"/>
      <c r="MQ41" s="7"/>
      <c r="MR41" s="5"/>
      <c r="MS41" s="5"/>
      <c r="MT41" s="6"/>
      <c r="MU41" s="7"/>
      <c r="MV41" s="5"/>
      <c r="MW41" s="5"/>
      <c r="MX41" s="6"/>
      <c r="MY41" s="7"/>
      <c r="MZ41" s="6"/>
      <c r="NA41" s="7"/>
      <c r="NB41" s="5"/>
      <c r="NC41" s="5"/>
      <c r="ND41" s="6"/>
      <c r="NE41" s="7"/>
      <c r="NF41" s="5"/>
      <c r="NG41" s="5"/>
      <c r="NH41" s="6"/>
      <c r="NI41" s="7"/>
      <c r="NJ41" s="5"/>
      <c r="NK41" s="5"/>
      <c r="NL41" s="6"/>
      <c r="NM41" s="7"/>
      <c r="NN41" s="6"/>
      <c r="NO41" s="7"/>
      <c r="NP41" s="5"/>
      <c r="NQ41" s="5"/>
      <c r="NR41" s="6"/>
      <c r="NS41" s="7"/>
      <c r="NT41" s="5"/>
      <c r="NU41" s="5"/>
      <c r="NV41" s="6"/>
      <c r="NW41" s="7"/>
      <c r="NX41" s="5"/>
      <c r="NY41" s="5"/>
      <c r="NZ41" s="6"/>
      <c r="OA41" s="7"/>
      <c r="OB41" s="5"/>
      <c r="OC41" s="5"/>
      <c r="OD41" s="6"/>
      <c r="OE41" s="7"/>
      <c r="OF41" s="5"/>
      <c r="OG41" s="5"/>
      <c r="OH41" s="6"/>
      <c r="OI41" s="7"/>
      <c r="OJ41" s="5"/>
      <c r="OK41" s="5"/>
      <c r="OL41" s="6"/>
      <c r="OM41" s="7"/>
      <c r="ON41" s="6"/>
      <c r="OO41" s="7"/>
      <c r="OP41" s="5"/>
      <c r="OQ41" s="5"/>
      <c r="OR41" s="6"/>
      <c r="OS41" s="7"/>
      <c r="OT41" s="6"/>
      <c r="OU41" s="7"/>
      <c r="OV41" s="5"/>
      <c r="OW41" s="5"/>
      <c r="OX41" s="6"/>
      <c r="OY41" s="7"/>
      <c r="OZ41" s="5"/>
      <c r="PA41" s="5"/>
      <c r="PB41" s="6"/>
      <c r="PC41" s="7"/>
      <c r="PD41" s="5"/>
      <c r="PE41" s="5"/>
      <c r="PF41" s="5"/>
      <c r="PG41" s="5"/>
      <c r="PH41" s="6"/>
      <c r="PI41" s="7"/>
      <c r="PJ41" s="6"/>
      <c r="PK41" s="7"/>
      <c r="PL41" s="5"/>
      <c r="PM41" s="5"/>
      <c r="PN41" s="6"/>
      <c r="PO41" s="7"/>
      <c r="PP41" s="5"/>
      <c r="PQ41" s="5"/>
      <c r="PR41" s="6"/>
      <c r="PS41" s="7"/>
      <c r="PT41" s="5"/>
      <c r="PU41" s="5"/>
      <c r="PV41" s="6"/>
      <c r="PW41" s="7"/>
      <c r="PX41" s="5"/>
      <c r="PY41" s="5"/>
      <c r="PZ41" s="6"/>
      <c r="QA41" s="7"/>
      <c r="QB41" s="5"/>
      <c r="QC41" s="5"/>
      <c r="QD41" s="6"/>
      <c r="QE41" s="7"/>
      <c r="QF41" s="5"/>
      <c r="QG41" s="5"/>
      <c r="QH41" s="6"/>
      <c r="QI41" s="7"/>
      <c r="QJ41" s="5"/>
      <c r="QK41" s="5"/>
      <c r="QL41" s="6"/>
      <c r="QM41" s="7"/>
      <c r="QN41" s="5"/>
      <c r="QO41" s="5"/>
      <c r="QP41" s="6"/>
      <c r="QQ41" s="7"/>
      <c r="QR41" s="5"/>
      <c r="QS41" s="5"/>
      <c r="QT41" s="348"/>
      <c r="QU41" s="5"/>
      <c r="QV41" s="5"/>
      <c r="QW41" s="5"/>
      <c r="QX41" s="6"/>
      <c r="QY41" s="7"/>
      <c r="QZ41" s="5"/>
      <c r="RA41" s="7"/>
      <c r="RB41" s="5"/>
      <c r="RC41" s="7"/>
      <c r="RD41" s="5"/>
      <c r="RE41" s="5"/>
      <c r="RF41" s="347"/>
      <c r="RG41" s="128"/>
      <c r="RH41" s="347"/>
      <c r="RI41" s="128"/>
      <c r="RJ41" s="6"/>
      <c r="RK41" s="7"/>
      <c r="RL41" s="5"/>
      <c r="RM41" s="7"/>
      <c r="RN41" s="5"/>
      <c r="RO41" s="5"/>
      <c r="RP41" s="6"/>
      <c r="RQ41" s="7"/>
      <c r="RR41" s="5"/>
      <c r="RS41" s="5"/>
      <c r="RT41" s="6"/>
      <c r="RU41" s="7"/>
      <c r="RV41" s="5"/>
      <c r="RW41" s="5"/>
      <c r="RX41" s="6"/>
      <c r="RY41" s="7"/>
      <c r="RZ41" s="6"/>
      <c r="SA41" s="7"/>
      <c r="SB41" s="5"/>
      <c r="SC41" s="7"/>
      <c r="SD41" s="5"/>
      <c r="SE41" s="5"/>
      <c r="SF41" s="6"/>
      <c r="SG41" s="7"/>
      <c r="SH41" s="5"/>
      <c r="SI41" s="5"/>
      <c r="SJ41" s="6"/>
      <c r="SK41" s="7"/>
      <c r="SL41" s="6"/>
      <c r="SM41" s="7"/>
      <c r="SN41" s="5"/>
      <c r="SO41" s="5"/>
      <c r="SP41" s="6"/>
      <c r="SQ41" s="7"/>
      <c r="SR41" s="5"/>
      <c r="SS41" s="5"/>
      <c r="ST41" s="6"/>
      <c r="SU41" s="7"/>
      <c r="SV41" s="5"/>
      <c r="SW41" s="5"/>
      <c r="SX41" s="6"/>
      <c r="SY41" s="7"/>
      <c r="SZ41" s="5"/>
      <c r="TA41" s="5"/>
      <c r="TB41" s="6"/>
      <c r="TC41" s="7"/>
      <c r="TD41" s="5"/>
      <c r="TE41" s="5"/>
      <c r="TF41" s="6"/>
      <c r="TG41" s="7"/>
      <c r="TH41" s="5"/>
      <c r="TI41" s="7"/>
      <c r="TJ41" s="6"/>
      <c r="TK41" s="5"/>
      <c r="TL41" s="6"/>
      <c r="TM41" s="7"/>
      <c r="TN41" s="5"/>
      <c r="TO41" s="5"/>
      <c r="TP41" s="6"/>
      <c r="TQ41" s="7"/>
      <c r="TR41" s="5"/>
      <c r="TS41" s="5"/>
      <c r="TT41" s="6"/>
      <c r="TU41" s="7"/>
      <c r="TV41" s="5"/>
      <c r="TW41" s="5"/>
      <c r="TX41" s="6"/>
      <c r="TY41" s="7"/>
      <c r="TZ41" s="6"/>
      <c r="UA41" s="7"/>
      <c r="UB41" s="5"/>
      <c r="UC41" s="5"/>
      <c r="UD41" s="6"/>
      <c r="UE41" s="7"/>
      <c r="UF41" s="94"/>
      <c r="UG41" s="94"/>
      <c r="UH41" s="6"/>
      <c r="UI41" s="7"/>
      <c r="UJ41" s="6"/>
      <c r="UK41" s="7"/>
      <c r="UL41" s="5"/>
      <c r="UM41" s="5"/>
      <c r="UN41" s="6"/>
      <c r="UO41" s="7"/>
      <c r="UP41" s="5"/>
      <c r="UQ41" s="5"/>
      <c r="UR41" s="5"/>
      <c r="US41" s="7"/>
      <c r="UT41" s="6"/>
      <c r="UU41" s="7"/>
      <c r="UV41" s="5"/>
      <c r="UW41" s="5"/>
      <c r="UX41" s="6"/>
      <c r="UY41" s="7"/>
      <c r="UZ41" s="5"/>
      <c r="VA41" s="5"/>
      <c r="VB41" s="6"/>
      <c r="VC41" s="7"/>
      <c r="VD41" s="5"/>
      <c r="VE41" s="5"/>
      <c r="VF41" s="5"/>
      <c r="VG41" s="7"/>
      <c r="VH41" s="6"/>
      <c r="VI41" s="7"/>
      <c r="VJ41" s="5"/>
      <c r="VK41" s="5"/>
      <c r="VL41" s="6"/>
      <c r="VM41" s="7"/>
      <c r="VN41" s="5"/>
      <c r="VO41" s="5"/>
      <c r="VP41" s="6"/>
      <c r="VQ41" s="7"/>
      <c r="VR41" s="5"/>
      <c r="VS41" s="5"/>
      <c r="VT41" s="6"/>
      <c r="VU41" s="7"/>
      <c r="VV41" s="6"/>
      <c r="VW41" s="7"/>
      <c r="VX41" s="5"/>
      <c r="VY41" s="7"/>
      <c r="VZ41" s="6"/>
      <c r="WA41" s="7"/>
      <c r="WB41" s="6"/>
      <c r="WC41" s="7"/>
      <c r="WD41" s="5"/>
      <c r="WE41" s="5"/>
      <c r="WF41" s="6"/>
      <c r="WG41" s="7"/>
      <c r="WH41" s="5"/>
      <c r="WI41" s="5"/>
      <c r="WJ41" s="6"/>
      <c r="WK41" s="7"/>
      <c r="WL41" s="5"/>
      <c r="WM41" s="5"/>
      <c r="WN41" s="6"/>
      <c r="WO41" s="7"/>
      <c r="WP41" s="5"/>
      <c r="WQ41" s="5"/>
      <c r="WR41" s="5"/>
      <c r="WS41" s="7"/>
      <c r="WT41" s="6"/>
      <c r="WU41" s="7"/>
      <c r="WV41" s="6"/>
      <c r="WW41" s="7"/>
      <c r="WX41" s="5"/>
      <c r="WY41" s="7"/>
      <c r="WZ41" s="5"/>
      <c r="XA41" s="5"/>
      <c r="XB41" s="6"/>
      <c r="XC41" s="7"/>
      <c r="XD41" s="5"/>
      <c r="XE41" s="5"/>
      <c r="XF41" s="5"/>
      <c r="XG41" s="7"/>
      <c r="XH41" s="6"/>
      <c r="XI41" s="7"/>
      <c r="XJ41" s="5"/>
      <c r="XK41" s="5"/>
      <c r="XL41" s="6"/>
      <c r="XM41" s="7"/>
      <c r="XN41" s="5"/>
      <c r="XO41" s="5"/>
      <c r="XP41" s="6"/>
      <c r="XQ41" s="7"/>
      <c r="XR41" s="5"/>
      <c r="XS41" s="5"/>
      <c r="XT41" s="6"/>
      <c r="XU41" s="7"/>
      <c r="XV41" s="6"/>
      <c r="XW41" s="7"/>
      <c r="XX41" s="5"/>
      <c r="XY41" s="5"/>
      <c r="XZ41" s="6"/>
      <c r="YA41" s="7"/>
      <c r="YB41" s="5"/>
      <c r="YC41" s="5"/>
      <c r="YD41" s="6"/>
      <c r="YE41" s="7"/>
    </row>
    <row r="42" spans="1:655" ht="18.75" hidden="1" x14ac:dyDescent="0.2">
      <c r="A42" s="95"/>
      <c r="B42" s="6" t="str">
        <f ca="1">IFERROR(__xludf.DUMMYFUNCTION("SPLIT(B1,"" "")"),"Jan")</f>
        <v>Jan</v>
      </c>
      <c r="C42" s="7">
        <f ca="1">IFERROR(__xludf.DUMMYFUNCTION("""COMPUTED_VALUE"""),1)</f>
        <v>1</v>
      </c>
      <c r="D42" s="6" t="str">
        <f ca="1">IFERROR(__xludf.DUMMYFUNCTION("SPLIT(D1,"" "")"),"Jan")</f>
        <v>Jan</v>
      </c>
      <c r="E42" s="7">
        <f ca="1">IFERROR(__xludf.DUMMYFUNCTION("""COMPUTED_VALUE"""),2)</f>
        <v>2</v>
      </c>
      <c r="F42" s="5" t="str">
        <f ca="1">IFERROR(__xludf.DUMMYFUNCTION("SPLIT(F1,"" "")"),"Jan")</f>
        <v>Jan</v>
      </c>
      <c r="G42" s="7">
        <f ca="1">IFERROR(__xludf.DUMMYFUNCTION("""COMPUTED_VALUE"""),4)</f>
        <v>4</v>
      </c>
      <c r="H42" s="6" t="str">
        <f ca="1">IFERROR(__xludf.DUMMYFUNCTION("SPLIT(H1,"" "")"),"Jan")</f>
        <v>Jan</v>
      </c>
      <c r="I42" s="5">
        <f ca="1">IFERROR(__xludf.DUMMYFUNCTION("""COMPUTED_VALUE"""),8)</f>
        <v>8</v>
      </c>
      <c r="J42" s="6" t="str">
        <f ca="1">IFERROR(__xludf.DUMMYFUNCTION("SPLIT(J1,"" "")"),"Jan")</f>
        <v>Jan</v>
      </c>
      <c r="K42" s="7">
        <f ca="1">IFERROR(__xludf.DUMMYFUNCTION("""COMPUTED_VALUE"""),9)</f>
        <v>9</v>
      </c>
      <c r="L42" s="5" t="str">
        <f ca="1">IFERROR(__xludf.DUMMYFUNCTION("SPLIT(L1,"" "")"),"Jan")</f>
        <v>Jan</v>
      </c>
      <c r="M42" s="5">
        <f ca="1">IFERROR(__xludf.DUMMYFUNCTION("""COMPUTED_VALUE"""),10)</f>
        <v>10</v>
      </c>
      <c r="N42" s="6" t="str">
        <f ca="1">IFERROR(__xludf.DUMMYFUNCTION("SPLIT(N1,"" "")"),"Jan")</f>
        <v>Jan</v>
      </c>
      <c r="O42" s="7">
        <f ca="1">IFERROR(__xludf.DUMMYFUNCTION("""COMPUTED_VALUE"""),12)</f>
        <v>12</v>
      </c>
      <c r="P42" s="5" t="str">
        <f ca="1">IFERROR(__xludf.DUMMYFUNCTION("SPLIT(P1,"" "")"),"Jan")</f>
        <v>Jan</v>
      </c>
      <c r="Q42" s="5">
        <f ca="1">IFERROR(__xludf.DUMMYFUNCTION("""COMPUTED_VALUE"""),13)</f>
        <v>13</v>
      </c>
      <c r="R42" s="6" t="str">
        <f ca="1">IFERROR(__xludf.DUMMYFUNCTION("SPLIT(R1,"" "")"),"Jan")</f>
        <v>Jan</v>
      </c>
      <c r="S42" s="7">
        <f ca="1">IFERROR(__xludf.DUMMYFUNCTION("""COMPUTED_VALUE"""),14)</f>
        <v>14</v>
      </c>
      <c r="T42" s="6" t="str">
        <f ca="1">IFERROR(__xludf.DUMMYFUNCTION("SPLIT(T1,"" "")"),"Jan")</f>
        <v>Jan</v>
      </c>
      <c r="U42" s="7">
        <f ca="1">IFERROR(__xludf.DUMMYFUNCTION("""COMPUTED_VALUE"""),15)</f>
        <v>15</v>
      </c>
      <c r="V42" s="5" t="str">
        <f ca="1">IFERROR(__xludf.DUMMYFUNCTION("SPLIT(V1,"" "")"),"Jan")</f>
        <v>Jan</v>
      </c>
      <c r="W42" s="5">
        <f ca="1">IFERROR(__xludf.DUMMYFUNCTION("""COMPUTED_VALUE"""),16)</f>
        <v>16</v>
      </c>
      <c r="X42" s="6" t="str">
        <f ca="1">IFERROR(__xludf.DUMMYFUNCTION("SPLIT(X1,"" "")"),"Jan")</f>
        <v>Jan</v>
      </c>
      <c r="Y42" s="7">
        <f ca="1">IFERROR(__xludf.DUMMYFUNCTION("""COMPUTED_VALUE"""),17)</f>
        <v>17</v>
      </c>
      <c r="Z42" s="6" t="str">
        <f ca="1">IFERROR(__xludf.DUMMYFUNCTION("SPLIT(Z1,"" "")"),"Jan")</f>
        <v>Jan</v>
      </c>
      <c r="AA42" s="7">
        <f ca="1">IFERROR(__xludf.DUMMYFUNCTION("""COMPUTED_VALUE"""),18)</f>
        <v>18</v>
      </c>
      <c r="AB42" s="5" t="str">
        <f ca="1">IFERROR(__xludf.DUMMYFUNCTION("SPLIT(AB1,"" "")"),"Jan")</f>
        <v>Jan</v>
      </c>
      <c r="AC42" s="5">
        <f ca="1">IFERROR(__xludf.DUMMYFUNCTION("""COMPUTED_VALUE"""),19)</f>
        <v>19</v>
      </c>
      <c r="AD42" s="6" t="str">
        <f ca="1">IFERROR(__xludf.DUMMYFUNCTION("SPLIT(AD1,"" "")"),"Jan")</f>
        <v>Jan</v>
      </c>
      <c r="AE42" s="7">
        <f ca="1">IFERROR(__xludf.DUMMYFUNCTION("""COMPUTED_VALUE"""),20)</f>
        <v>20</v>
      </c>
      <c r="AF42" s="6" t="str">
        <f ca="1">IFERROR(__xludf.DUMMYFUNCTION("SPLIT(AF1,"" "")"),"Jan")</f>
        <v>Jan</v>
      </c>
      <c r="AG42" s="7">
        <f ca="1">IFERROR(__xludf.DUMMYFUNCTION("""COMPUTED_VALUE"""),21)</f>
        <v>21</v>
      </c>
      <c r="AH42" s="5" t="str">
        <f ca="1">IFERROR(__xludf.DUMMYFUNCTION("SPLIT(AH1,"" "")"),"Jan")</f>
        <v>Jan</v>
      </c>
      <c r="AI42" s="5">
        <f ca="1">IFERROR(__xludf.DUMMYFUNCTION("""COMPUTED_VALUE"""),22)</f>
        <v>22</v>
      </c>
      <c r="AJ42" s="6" t="str">
        <f ca="1">IFERROR(__xludf.DUMMYFUNCTION("SPLIT(AJ1,"" "")"),"Jan")</f>
        <v>Jan</v>
      </c>
      <c r="AK42" s="7">
        <f ca="1">IFERROR(__xludf.DUMMYFUNCTION("""COMPUTED_VALUE"""),23)</f>
        <v>23</v>
      </c>
      <c r="AL42" s="5" t="str">
        <f ca="1">IFERROR(__xludf.DUMMYFUNCTION("SPLIT(AL1,"" "")"),"Jan")</f>
        <v>Jan</v>
      </c>
      <c r="AM42" s="5">
        <f ca="1">IFERROR(__xludf.DUMMYFUNCTION("""COMPUTED_VALUE"""),24)</f>
        <v>24</v>
      </c>
      <c r="AN42" s="6" t="str">
        <f ca="1">IFERROR(__xludf.DUMMYFUNCTION("SPLIT(AN1,"" "")"),"Jan")</f>
        <v>Jan</v>
      </c>
      <c r="AO42" s="7">
        <f ca="1">IFERROR(__xludf.DUMMYFUNCTION("""COMPUTED_VALUE"""),25)</f>
        <v>25</v>
      </c>
      <c r="AP42" s="5" t="str">
        <f ca="1">IFERROR(__xludf.DUMMYFUNCTION("SPLIT(AP1,"" "")"),"Jan")</f>
        <v>Jan</v>
      </c>
      <c r="AQ42" s="5">
        <f ca="1">IFERROR(__xludf.DUMMYFUNCTION("""COMPUTED_VALUE"""),26)</f>
        <v>26</v>
      </c>
      <c r="AR42" s="6" t="str">
        <f ca="1">IFERROR(__xludf.DUMMYFUNCTION("SPLIT(AR1,"" "")"),"Jan")</f>
        <v>Jan</v>
      </c>
      <c r="AS42" s="7">
        <f ca="1">IFERROR(__xludf.DUMMYFUNCTION("""COMPUTED_VALUE"""),27)</f>
        <v>27</v>
      </c>
      <c r="AT42" s="5" t="str">
        <f ca="1">IFERROR(__xludf.DUMMYFUNCTION("SPLIT(AT1,"" "")"),"Jan")</f>
        <v>Jan</v>
      </c>
      <c r="AU42" s="5">
        <f ca="1">IFERROR(__xludf.DUMMYFUNCTION("""COMPUTED_VALUE"""),28)</f>
        <v>28</v>
      </c>
      <c r="AV42" s="6" t="str">
        <f ca="1">IFERROR(__xludf.DUMMYFUNCTION("SPLIT(AV1,"" "")"),"Jan")</f>
        <v>Jan</v>
      </c>
      <c r="AW42" s="7">
        <f ca="1">IFERROR(__xludf.DUMMYFUNCTION("""COMPUTED_VALUE"""),29)</f>
        <v>29</v>
      </c>
      <c r="AX42" s="5" t="str">
        <f ca="1">IFERROR(__xludf.DUMMYFUNCTION("SPLIT(AX1,"" "")"),"Jan")</f>
        <v>Jan</v>
      </c>
      <c r="AY42" s="5">
        <f ca="1">IFERROR(__xludf.DUMMYFUNCTION("""COMPUTED_VALUE"""),30)</f>
        <v>30</v>
      </c>
      <c r="AZ42" s="6" t="str">
        <f ca="1">IFERROR(__xludf.DUMMYFUNCTION("SPLIT(AZ1,"" "")"),"Feb")</f>
        <v>Feb</v>
      </c>
      <c r="BA42" s="7">
        <f ca="1">IFERROR(__xludf.DUMMYFUNCTION("""COMPUTED_VALUE"""),1)</f>
        <v>1</v>
      </c>
      <c r="BB42" s="5" t="str">
        <f ca="1">IFERROR(__xludf.DUMMYFUNCTION("SPLIT(BB1,"" "")"),"Feb")</f>
        <v>Feb</v>
      </c>
      <c r="BC42" s="5">
        <f ca="1">IFERROR(__xludf.DUMMYFUNCTION("""COMPUTED_VALUE"""),2)</f>
        <v>2</v>
      </c>
      <c r="BD42" s="6" t="str">
        <f ca="1">IFERROR(__xludf.DUMMYFUNCTION("SPLIT(BD1,"" "")"),"Feb")</f>
        <v>Feb</v>
      </c>
      <c r="BE42" s="7">
        <f ca="1">IFERROR(__xludf.DUMMYFUNCTION("""COMPUTED_VALUE"""),3)</f>
        <v>3</v>
      </c>
      <c r="BF42" s="6" t="str">
        <f ca="1">IFERROR(__xludf.DUMMYFUNCTION("SPLIT(BF1,"" "")"),"Feb")</f>
        <v>Feb</v>
      </c>
      <c r="BG42" s="7">
        <f ca="1">IFERROR(__xludf.DUMMYFUNCTION("""COMPUTED_VALUE"""),4)</f>
        <v>4</v>
      </c>
      <c r="BH42" s="5" t="str">
        <f ca="1">IFERROR(__xludf.DUMMYFUNCTION("SPLIT(BH1,"" "")"),"Feb")</f>
        <v>Feb</v>
      </c>
      <c r="BI42" s="5">
        <f ca="1">IFERROR(__xludf.DUMMYFUNCTION("""COMPUTED_VALUE"""),5)</f>
        <v>5</v>
      </c>
      <c r="BJ42" s="6" t="str">
        <f ca="1">IFERROR(__xludf.DUMMYFUNCTION("SPLIT(BJ1,"" "")"),"Feb")</f>
        <v>Feb</v>
      </c>
      <c r="BK42" s="7">
        <f ca="1">IFERROR(__xludf.DUMMYFUNCTION("""COMPUTED_VALUE"""),6)</f>
        <v>6</v>
      </c>
      <c r="BL42" s="5" t="str">
        <f ca="1">IFERROR(__xludf.DUMMYFUNCTION("SPLIT(BL1,"" "")"),"Feb")</f>
        <v>Feb</v>
      </c>
      <c r="BM42" s="5">
        <f ca="1">IFERROR(__xludf.DUMMYFUNCTION("""COMPUTED_VALUE"""),7)</f>
        <v>7</v>
      </c>
      <c r="BN42" s="6" t="str">
        <f ca="1">IFERROR(__xludf.DUMMYFUNCTION("SPLIT(BN1,"" "")"),"Feb")</f>
        <v>Feb</v>
      </c>
      <c r="BO42" s="7">
        <f ca="1">IFERROR(__xludf.DUMMYFUNCTION("""COMPUTED_VALUE"""),8)</f>
        <v>8</v>
      </c>
      <c r="BP42" s="6" t="str">
        <f ca="1">IFERROR(__xludf.DUMMYFUNCTION("SPLIT(BP1,"" "")"),"Feb")</f>
        <v>Feb</v>
      </c>
      <c r="BQ42" s="7">
        <f ca="1">IFERROR(__xludf.DUMMYFUNCTION("""COMPUTED_VALUE"""),9)</f>
        <v>9</v>
      </c>
      <c r="BR42" s="5" t="str">
        <f ca="1">IFERROR(__xludf.DUMMYFUNCTION("SPLIT(BR1,"" "")"),"Feb")</f>
        <v>Feb</v>
      </c>
      <c r="BS42" s="5">
        <f ca="1">IFERROR(__xludf.DUMMYFUNCTION("""COMPUTED_VALUE"""),10)</f>
        <v>10</v>
      </c>
      <c r="BT42" s="6" t="str">
        <f ca="1">IFERROR(__xludf.DUMMYFUNCTION("SPLIT(BT1,"" "")"),"Feb")</f>
        <v>Feb</v>
      </c>
      <c r="BU42" s="7">
        <f ca="1">IFERROR(__xludf.DUMMYFUNCTION("""COMPUTED_VALUE"""),11)</f>
        <v>11</v>
      </c>
      <c r="BV42" s="6" t="str">
        <f ca="1">IFERROR(__xludf.DUMMYFUNCTION("SPLIT(BV1,"" "")"),"Feb")</f>
        <v>Feb</v>
      </c>
      <c r="BW42" s="7">
        <f ca="1">IFERROR(__xludf.DUMMYFUNCTION("""COMPUTED_VALUE"""),12)</f>
        <v>12</v>
      </c>
      <c r="BX42" s="5" t="str">
        <f ca="1">IFERROR(__xludf.DUMMYFUNCTION("SPLIT(BX1,"" "")"),"Feb")</f>
        <v>Feb</v>
      </c>
      <c r="BY42" s="5">
        <f ca="1">IFERROR(__xludf.DUMMYFUNCTION("""COMPUTED_VALUE"""),13)</f>
        <v>13</v>
      </c>
      <c r="BZ42" s="6" t="str">
        <f ca="1">IFERROR(__xludf.DUMMYFUNCTION("SPLIT(BZ1,"" "")"),"Feb")</f>
        <v>Feb</v>
      </c>
      <c r="CA42" s="7">
        <f ca="1">IFERROR(__xludf.DUMMYFUNCTION("""COMPUTED_VALUE"""),14)</f>
        <v>14</v>
      </c>
      <c r="CB42" s="6" t="str">
        <f ca="1">IFERROR(__xludf.DUMMYFUNCTION("SPLIT(CB1,"" "")"),"Feb")</f>
        <v>Feb</v>
      </c>
      <c r="CC42" s="7">
        <f ca="1">IFERROR(__xludf.DUMMYFUNCTION("""COMPUTED_VALUE"""),15)</f>
        <v>15</v>
      </c>
      <c r="CD42" s="5" t="str">
        <f ca="1">IFERROR(__xludf.DUMMYFUNCTION("SPLIT(CD1,"" "")"),"Feb")</f>
        <v>Feb</v>
      </c>
      <c r="CE42" s="5">
        <f ca="1">IFERROR(__xludf.DUMMYFUNCTION("""COMPUTED_VALUE"""),16)</f>
        <v>16</v>
      </c>
      <c r="CF42" s="6" t="str">
        <f ca="1">IFERROR(__xludf.DUMMYFUNCTION("SPLIT(CF1,"" "")"),"Feb")</f>
        <v>Feb</v>
      </c>
      <c r="CG42" s="7">
        <f ca="1">IFERROR(__xludf.DUMMYFUNCTION("""COMPUTED_VALUE"""),17)</f>
        <v>17</v>
      </c>
      <c r="CH42" s="5" t="str">
        <f ca="1">IFERROR(__xludf.DUMMYFUNCTION("SPLIT(CH1,"" "")"),"Feb")</f>
        <v>Feb</v>
      </c>
      <c r="CI42" s="5">
        <f ca="1">IFERROR(__xludf.DUMMYFUNCTION("""COMPUTED_VALUE"""),18)</f>
        <v>18</v>
      </c>
      <c r="CJ42" s="6" t="str">
        <f ca="1">IFERROR(__xludf.DUMMYFUNCTION("SPLIT(CJ1,"" "")"),"Feb")</f>
        <v>Feb</v>
      </c>
      <c r="CK42" s="7">
        <f ca="1">IFERROR(__xludf.DUMMYFUNCTION("""COMPUTED_VALUE"""),19)</f>
        <v>19</v>
      </c>
      <c r="CL42" s="5" t="str">
        <f ca="1">IFERROR(__xludf.DUMMYFUNCTION("SPLIT(CL1,"" "")"),"Feb")</f>
        <v>Feb</v>
      </c>
      <c r="CM42" s="5">
        <f ca="1">IFERROR(__xludf.DUMMYFUNCTION("""COMPUTED_VALUE"""),20)</f>
        <v>20</v>
      </c>
      <c r="CN42" s="6" t="str">
        <f ca="1">IFERROR(__xludf.DUMMYFUNCTION("SPLIT(CN1,"" "")"),"Feb")</f>
        <v>Feb</v>
      </c>
      <c r="CO42" s="7">
        <f ca="1">IFERROR(__xludf.DUMMYFUNCTION("""COMPUTED_VALUE"""),21)</f>
        <v>21</v>
      </c>
      <c r="CP42" s="5" t="str">
        <f ca="1">IFERROR(__xludf.DUMMYFUNCTION("SPLIT(CP1,"" "")"),"Feb")</f>
        <v>Feb</v>
      </c>
      <c r="CQ42" s="5">
        <f ca="1">IFERROR(__xludf.DUMMYFUNCTION("""COMPUTED_VALUE"""),22)</f>
        <v>22</v>
      </c>
      <c r="CR42" s="6" t="str">
        <f ca="1">IFERROR(__xludf.DUMMYFUNCTION("SPLIT(CR1,"" "")"),"Feb")</f>
        <v>Feb</v>
      </c>
      <c r="CS42" s="7">
        <f ca="1">IFERROR(__xludf.DUMMYFUNCTION("""COMPUTED_VALUE"""),23)</f>
        <v>23</v>
      </c>
      <c r="CT42" s="5" t="str">
        <f ca="1">IFERROR(__xludf.DUMMYFUNCTION("SPLIT(CT1,"" "")"),"Feb")</f>
        <v>Feb</v>
      </c>
      <c r="CU42" s="5">
        <f ca="1">IFERROR(__xludf.DUMMYFUNCTION("""COMPUTED_VALUE"""),24)</f>
        <v>24</v>
      </c>
      <c r="CV42" s="6" t="str">
        <f ca="1">IFERROR(__xludf.DUMMYFUNCTION("SPLIT(CV1,"" "")"),"Feb")</f>
        <v>Feb</v>
      </c>
      <c r="CW42" s="7">
        <f ca="1">IFERROR(__xludf.DUMMYFUNCTION("""COMPUTED_VALUE"""),25)</f>
        <v>25</v>
      </c>
      <c r="CX42" s="6" t="str">
        <f ca="1">IFERROR(__xludf.DUMMYFUNCTION("SPLIT(CX1,"" "")"),"Feb")</f>
        <v>Feb</v>
      </c>
      <c r="CY42" s="5">
        <f ca="1">IFERROR(__xludf.DUMMYFUNCTION("""COMPUTED_VALUE"""),26)</f>
        <v>26</v>
      </c>
      <c r="CZ42" s="6" t="str">
        <f ca="1">IFERROR(__xludf.DUMMYFUNCTION("SPLIT(CZ1,"" "")"),"Feb")</f>
        <v>Feb</v>
      </c>
      <c r="DA42" s="5">
        <f ca="1">IFERROR(__xludf.DUMMYFUNCTION("""COMPUTED_VALUE"""),29)</f>
        <v>29</v>
      </c>
      <c r="DB42" s="6" t="str">
        <f ca="1">IFERROR(__xludf.DUMMYFUNCTION("SPLIT(DB1,"" "")"),"Mar")</f>
        <v>Mar</v>
      </c>
      <c r="DC42" s="7">
        <f ca="1">IFERROR(__xludf.DUMMYFUNCTION("""COMPUTED_VALUE"""),1)</f>
        <v>1</v>
      </c>
      <c r="DD42" s="5" t="str">
        <f ca="1">IFERROR(__xludf.DUMMYFUNCTION("SPLIT(DD1,"" "")"),"Mar")</f>
        <v>Mar</v>
      </c>
      <c r="DE42" s="5">
        <f ca="1">IFERROR(__xludf.DUMMYFUNCTION("""COMPUTED_VALUE"""),2)</f>
        <v>2</v>
      </c>
      <c r="DF42" s="6" t="str">
        <f ca="1">IFERROR(__xludf.DUMMYFUNCTION("SPLIT(DF1,"" "")"),"Mar")</f>
        <v>Mar</v>
      </c>
      <c r="DG42" s="7">
        <f ca="1">IFERROR(__xludf.DUMMYFUNCTION("""COMPUTED_VALUE"""),3)</f>
        <v>3</v>
      </c>
      <c r="DH42" s="5" t="str">
        <f ca="1">IFERROR(__xludf.DUMMYFUNCTION("SPLIT(DH1,"" "")"),"Mar")</f>
        <v>Mar</v>
      </c>
      <c r="DI42" s="5">
        <f ca="1">IFERROR(__xludf.DUMMYFUNCTION("""COMPUTED_VALUE"""),4)</f>
        <v>4</v>
      </c>
      <c r="DJ42" s="6" t="str">
        <f ca="1">IFERROR(__xludf.DUMMYFUNCTION("SPLIT(DJ1,"" "")"),"Mar")</f>
        <v>Mar</v>
      </c>
      <c r="DK42" s="7">
        <f ca="1">IFERROR(__xludf.DUMMYFUNCTION("""COMPUTED_VALUE"""),5)</f>
        <v>5</v>
      </c>
      <c r="DL42" s="5" t="str">
        <f ca="1">IFERROR(__xludf.DUMMYFUNCTION("SPLIT(DL1,"" "")"),"Mar")</f>
        <v>Mar</v>
      </c>
      <c r="DM42" s="5">
        <f ca="1">IFERROR(__xludf.DUMMYFUNCTION("""COMPUTED_VALUE"""),6)</f>
        <v>6</v>
      </c>
      <c r="DN42" s="6" t="str">
        <f ca="1">IFERROR(__xludf.DUMMYFUNCTION("SPLIT(DN1,"" "")"),"Mar")</f>
        <v>Mar</v>
      </c>
      <c r="DO42" s="7">
        <f ca="1">IFERROR(__xludf.DUMMYFUNCTION("""COMPUTED_VALUE"""),7)</f>
        <v>7</v>
      </c>
      <c r="DP42" s="5" t="str">
        <f ca="1">IFERROR(__xludf.DUMMYFUNCTION("SPLIT(DP1,"" "")"),"Mar")</f>
        <v>Mar</v>
      </c>
      <c r="DQ42" s="5">
        <f ca="1">IFERROR(__xludf.DUMMYFUNCTION("""COMPUTED_VALUE"""),8)</f>
        <v>8</v>
      </c>
      <c r="DR42" s="6" t="str">
        <f ca="1">IFERROR(__xludf.DUMMYFUNCTION("SPLIT(DR1,"" "")"),"Mar")</f>
        <v>Mar</v>
      </c>
      <c r="DS42" s="7">
        <f ca="1">IFERROR(__xludf.DUMMYFUNCTION("""COMPUTED_VALUE"""),9)</f>
        <v>9</v>
      </c>
      <c r="DT42" s="5" t="str">
        <f ca="1">IFERROR(__xludf.DUMMYFUNCTION("SPLIT(DT1,"" "")"),"Mar")</f>
        <v>Mar</v>
      </c>
      <c r="DU42" s="5">
        <f ca="1">IFERROR(__xludf.DUMMYFUNCTION("""COMPUTED_VALUE"""),10)</f>
        <v>10</v>
      </c>
      <c r="DV42" s="6" t="str">
        <f ca="1">IFERROR(__xludf.DUMMYFUNCTION("SPLIT(DV1,"" "")"),"Mar")</f>
        <v>Mar</v>
      </c>
      <c r="DW42" s="7">
        <f ca="1">IFERROR(__xludf.DUMMYFUNCTION("""COMPUTED_VALUE"""),11)</f>
        <v>11</v>
      </c>
      <c r="DX42" s="5" t="str">
        <f ca="1">IFERROR(__xludf.DUMMYFUNCTION("SPLIT(DX1,"" "")"),"Mar")</f>
        <v>Mar</v>
      </c>
      <c r="DY42" s="5">
        <f ca="1">IFERROR(__xludf.DUMMYFUNCTION("""COMPUTED_VALUE"""),13)</f>
        <v>13</v>
      </c>
      <c r="DZ42" s="6" t="str">
        <f ca="1">IFERROR(__xludf.DUMMYFUNCTION("SPLIT(DZ1,"" "")"),"Mar")</f>
        <v>Mar</v>
      </c>
      <c r="EA42" s="7">
        <f ca="1">IFERROR(__xludf.DUMMYFUNCTION("""COMPUTED_VALUE"""),14)</f>
        <v>14</v>
      </c>
      <c r="EB42" s="6" t="str">
        <f ca="1">IFERROR(__xludf.DUMMYFUNCTION("SPLIT(EB1,"" "")"),"Mar")</f>
        <v>Mar</v>
      </c>
      <c r="EC42" s="7">
        <f ca="1">IFERROR(__xludf.DUMMYFUNCTION("""COMPUTED_VALUE"""),15)</f>
        <v>15</v>
      </c>
      <c r="ED42" s="5" t="str">
        <f ca="1">IFERROR(__xludf.DUMMYFUNCTION("SPLIT(ED1,"" "")"),"Mar")</f>
        <v>Mar</v>
      </c>
      <c r="EE42" s="5">
        <f ca="1">IFERROR(__xludf.DUMMYFUNCTION("""COMPUTED_VALUE"""),16)</f>
        <v>16</v>
      </c>
      <c r="EF42" s="6" t="str">
        <f ca="1">IFERROR(__xludf.DUMMYFUNCTION("SPLIT(EF1,"" "")"),"Mar")</f>
        <v>Mar</v>
      </c>
      <c r="EG42" s="7">
        <f ca="1">IFERROR(__xludf.DUMMYFUNCTION("""COMPUTED_VALUE"""),17)</f>
        <v>17</v>
      </c>
      <c r="EH42" s="5" t="str">
        <f ca="1">IFERROR(__xludf.DUMMYFUNCTION("SPLIT(EH1,"" "")"),"Mar")</f>
        <v>Mar</v>
      </c>
      <c r="EI42" s="5">
        <f ca="1">IFERROR(__xludf.DUMMYFUNCTION("""COMPUTED_VALUE"""),18)</f>
        <v>18</v>
      </c>
      <c r="EJ42" s="6" t="str">
        <f ca="1">IFERROR(__xludf.DUMMYFUNCTION("SPLIT(EJ1,"" "")"),"Mar")</f>
        <v>Mar</v>
      </c>
      <c r="EK42" s="7">
        <f ca="1">IFERROR(__xludf.DUMMYFUNCTION("""COMPUTED_VALUE"""),19)</f>
        <v>19</v>
      </c>
      <c r="EL42" s="5" t="str">
        <f ca="1">IFERROR(__xludf.DUMMYFUNCTION("SPLIT(EL1,"" "")"),"Mar")</f>
        <v>Mar</v>
      </c>
      <c r="EM42" s="5">
        <f ca="1">IFERROR(__xludf.DUMMYFUNCTION("""COMPUTED_VALUE"""),20)</f>
        <v>20</v>
      </c>
      <c r="EN42" s="6" t="str">
        <f ca="1">IFERROR(__xludf.DUMMYFUNCTION("SPLIT(EN1,"" "")"),"Mar")</f>
        <v>Mar</v>
      </c>
      <c r="EO42" s="7">
        <f ca="1">IFERROR(__xludf.DUMMYFUNCTION("""COMPUTED_VALUE"""),21)</f>
        <v>21</v>
      </c>
      <c r="EP42" s="5" t="str">
        <f ca="1">IFERROR(__xludf.DUMMYFUNCTION("SPLIT(EP1,"" "")"),"Mar")</f>
        <v>Mar</v>
      </c>
      <c r="EQ42" s="5">
        <f ca="1">IFERROR(__xludf.DUMMYFUNCTION("""COMPUTED_VALUE"""),22)</f>
        <v>22</v>
      </c>
      <c r="ER42" s="6" t="str">
        <f ca="1">IFERROR(__xludf.DUMMYFUNCTION("SPLIT(ER1,"" "")"),"Mar")</f>
        <v>Mar</v>
      </c>
      <c r="ES42" s="7">
        <f ca="1">IFERROR(__xludf.DUMMYFUNCTION("""COMPUTED_VALUE"""),23)</f>
        <v>23</v>
      </c>
      <c r="ET42" s="5" t="str">
        <f ca="1">IFERROR(__xludf.DUMMYFUNCTION("SPLIT(ET1,"" "")"),"Mar")</f>
        <v>Mar</v>
      </c>
      <c r="EU42" s="5">
        <f ca="1">IFERROR(__xludf.DUMMYFUNCTION("""COMPUTED_VALUE"""),24)</f>
        <v>24</v>
      </c>
      <c r="EV42" s="6" t="str">
        <f ca="1">IFERROR(__xludf.DUMMYFUNCTION("SPLIT(EV1,"" "")"),"Mar")</f>
        <v>Mar</v>
      </c>
      <c r="EW42" s="7">
        <f ca="1">IFERROR(__xludf.DUMMYFUNCTION("""COMPUTED_VALUE"""),25)</f>
        <v>25</v>
      </c>
      <c r="EX42" s="5" t="str">
        <f ca="1">IFERROR(__xludf.DUMMYFUNCTION("SPLIT(EX1,"" "")"),"Mar")</f>
        <v>Mar</v>
      </c>
      <c r="EY42" s="5">
        <f ca="1">IFERROR(__xludf.DUMMYFUNCTION("""COMPUTED_VALUE"""),26)</f>
        <v>26</v>
      </c>
      <c r="EZ42" s="6" t="str">
        <f ca="1">IFERROR(__xludf.DUMMYFUNCTION("SPLIT(EZ1,"" "")"),"Mar")</f>
        <v>Mar</v>
      </c>
      <c r="FA42" s="7">
        <f ca="1">IFERROR(__xludf.DUMMYFUNCTION("""COMPUTED_VALUE"""),27)</f>
        <v>27</v>
      </c>
      <c r="FB42" s="6" t="str">
        <f ca="1">IFERROR(__xludf.DUMMYFUNCTION("SPLIT(FB1,"" "")"),"Mar")</f>
        <v>Mar</v>
      </c>
      <c r="FC42" s="7">
        <f ca="1">IFERROR(__xludf.DUMMYFUNCTION("""COMPUTED_VALUE"""),28)</f>
        <v>28</v>
      </c>
      <c r="FD42" s="6" t="str">
        <f ca="1">IFERROR(__xludf.DUMMYFUNCTION("SPLIT(FD1,"" "")"),"Mar")</f>
        <v>Mar</v>
      </c>
      <c r="FE42" s="7">
        <f ca="1">IFERROR(__xludf.DUMMYFUNCTION("""COMPUTED_VALUE"""),29)</f>
        <v>29</v>
      </c>
      <c r="FF42" s="5" t="str">
        <f ca="1">IFERROR(__xludf.DUMMYFUNCTION("SPLIT(FF1,"" "")"),"Mar")</f>
        <v>Mar</v>
      </c>
      <c r="FG42" s="5">
        <f ca="1">IFERROR(__xludf.DUMMYFUNCTION("""COMPUTED_VALUE"""),30)</f>
        <v>30</v>
      </c>
      <c r="FH42" s="6" t="str">
        <f ca="1">IFERROR(__xludf.DUMMYFUNCTION("SPLIT(FH1,"" "")"),"Mar")</f>
        <v>Mar</v>
      </c>
      <c r="FI42" s="7">
        <f ca="1">IFERROR(__xludf.DUMMYFUNCTION("""COMPUTED_VALUE"""),31)</f>
        <v>31</v>
      </c>
      <c r="FJ42" s="6" t="str">
        <f ca="1">IFERROR(__xludf.DUMMYFUNCTION("SPLIT(FJ1,"" "")"),"Apr")</f>
        <v>Apr</v>
      </c>
      <c r="FK42" s="7">
        <f ca="1">IFERROR(__xludf.DUMMYFUNCTION("""COMPUTED_VALUE"""),1)</f>
        <v>1</v>
      </c>
      <c r="FL42" s="6" t="str">
        <f ca="1">IFERROR(__xludf.DUMMYFUNCTION("SPLIT(FL1,"" "")"),"Apr")</f>
        <v>Apr</v>
      </c>
      <c r="FM42" s="7">
        <f ca="1">IFERROR(__xludf.DUMMYFUNCTION("""COMPUTED_VALUE"""),3)</f>
        <v>3</v>
      </c>
      <c r="FN42" s="5" t="str">
        <f ca="1">IFERROR(__xludf.DUMMYFUNCTION("SPLIT(FN1,"" "")"),"Apr")</f>
        <v>Apr</v>
      </c>
      <c r="FO42" s="5">
        <f ca="1">IFERROR(__xludf.DUMMYFUNCTION("""COMPUTED_VALUE"""),4)</f>
        <v>4</v>
      </c>
      <c r="FP42" s="6" t="str">
        <f ca="1">IFERROR(__xludf.DUMMYFUNCTION("SPLIT(FP1,"" "")"),"Apr")</f>
        <v>Apr</v>
      </c>
      <c r="FQ42" s="7">
        <f ca="1">IFERROR(__xludf.DUMMYFUNCTION("""COMPUTED_VALUE"""),5)</f>
        <v>5</v>
      </c>
      <c r="FR42" s="6" t="str">
        <f ca="1">IFERROR(__xludf.DUMMYFUNCTION("SPLIT(FR1,"" "")"),"Apr")</f>
        <v>Apr</v>
      </c>
      <c r="FS42" s="7">
        <f ca="1">IFERROR(__xludf.DUMMYFUNCTION("""COMPUTED_VALUE"""),6)</f>
        <v>6</v>
      </c>
      <c r="FT42" s="5" t="str">
        <f ca="1">IFERROR(__xludf.DUMMYFUNCTION("SPLIT(FT1,"" "")"),"Apr")</f>
        <v>Apr</v>
      </c>
      <c r="FU42" s="5">
        <f ca="1">IFERROR(__xludf.DUMMYFUNCTION("""COMPUTED_VALUE"""),7)</f>
        <v>7</v>
      </c>
      <c r="FV42" s="6" t="str">
        <f ca="1">IFERROR(__xludf.DUMMYFUNCTION("SPLIT(FV1,"" "")"),"Apr")</f>
        <v>Apr</v>
      </c>
      <c r="FW42" s="7">
        <f ca="1">IFERROR(__xludf.DUMMYFUNCTION("""COMPUTED_VALUE"""),8)</f>
        <v>8</v>
      </c>
      <c r="FX42" s="5" t="str">
        <f ca="1">IFERROR(__xludf.DUMMYFUNCTION("SPLIT(FX1,"" "")"),"Apr")</f>
        <v>Apr</v>
      </c>
      <c r="FY42" s="5">
        <f ca="1">IFERROR(__xludf.DUMMYFUNCTION("""COMPUTED_VALUE"""),9)</f>
        <v>9</v>
      </c>
      <c r="FZ42" s="6" t="str">
        <f ca="1">IFERROR(__xludf.DUMMYFUNCTION("SPLIT(FZ1,"" "")"),"Apr")</f>
        <v>Apr</v>
      </c>
      <c r="GA42" s="7">
        <f ca="1">IFERROR(__xludf.DUMMYFUNCTION("""COMPUTED_VALUE"""),11)</f>
        <v>11</v>
      </c>
      <c r="GB42" s="5" t="str">
        <f ca="1">IFERROR(__xludf.DUMMYFUNCTION("SPLIT(GB1,"" "")"),"Apr")</f>
        <v>Apr</v>
      </c>
      <c r="GC42" s="5">
        <f ca="1">IFERROR(__xludf.DUMMYFUNCTION("""COMPUTED_VALUE"""),12)</f>
        <v>12</v>
      </c>
      <c r="GD42" s="6" t="str">
        <f ca="1">IFERROR(__xludf.DUMMYFUNCTION("SPLIT(GD1,"" "")"),"Apr")</f>
        <v>Apr</v>
      </c>
      <c r="GE42" s="7">
        <f ca="1">IFERROR(__xludf.DUMMYFUNCTION("""COMPUTED_VALUE"""),13)</f>
        <v>13</v>
      </c>
      <c r="GF42" s="6" t="str">
        <f ca="1">IFERROR(__xludf.DUMMYFUNCTION("SPLIT(GF1,"" "")"),"Apr")</f>
        <v>Apr</v>
      </c>
      <c r="GG42" s="7">
        <f ca="1">IFERROR(__xludf.DUMMYFUNCTION("""COMPUTED_VALUE"""),15)</f>
        <v>15</v>
      </c>
      <c r="GH42" s="6" t="str">
        <f ca="1">IFERROR(__xludf.DUMMYFUNCTION("SPLIT(GH1,"" "")"),"Apr")</f>
        <v>Apr</v>
      </c>
      <c r="GI42" s="7">
        <f ca="1">IFERROR(__xludf.DUMMYFUNCTION("""COMPUTED_VALUE"""),17)</f>
        <v>17</v>
      </c>
      <c r="GJ42" s="5" t="str">
        <f ca="1">IFERROR(__xludf.DUMMYFUNCTION("SPLIT(GJ1,"" "")"),"Apr")</f>
        <v>Apr</v>
      </c>
      <c r="GK42" s="5">
        <f ca="1">IFERROR(__xludf.DUMMYFUNCTION("""COMPUTED_VALUE"""),18)</f>
        <v>18</v>
      </c>
      <c r="GL42" s="6" t="str">
        <f ca="1">IFERROR(__xludf.DUMMYFUNCTION("SPLIT(GL1,"" "")"),"Apr")</f>
        <v>Apr</v>
      </c>
      <c r="GM42" s="7">
        <f ca="1">IFERROR(__xludf.DUMMYFUNCTION("""COMPUTED_VALUE"""),20)</f>
        <v>20</v>
      </c>
      <c r="GN42" s="6" t="str">
        <f ca="1">IFERROR(__xludf.DUMMYFUNCTION("SPLIT(GN1,"" "")"),"Apr")</f>
        <v>Apr</v>
      </c>
      <c r="GO42" s="7">
        <f ca="1">IFERROR(__xludf.DUMMYFUNCTION("""COMPUTED_VALUE"""),22)</f>
        <v>22</v>
      </c>
      <c r="GP42" s="5" t="str">
        <f ca="1">IFERROR(__xludf.DUMMYFUNCTION("SPLIT(GP1,"" "")"),"Apr")</f>
        <v>Apr</v>
      </c>
      <c r="GQ42" s="5">
        <f ca="1">IFERROR(__xludf.DUMMYFUNCTION("""COMPUTED_VALUE"""),23)</f>
        <v>23</v>
      </c>
      <c r="GR42" s="6" t="str">
        <f ca="1">IFERROR(__xludf.DUMMYFUNCTION("SPLIT(GR1,"" "")"),"Apr")</f>
        <v>Apr</v>
      </c>
      <c r="GS42" s="7">
        <f ca="1">IFERROR(__xludf.DUMMYFUNCTION("""COMPUTED_VALUE"""),24)</f>
        <v>24</v>
      </c>
      <c r="GT42" s="6" t="str">
        <f ca="1">IFERROR(__xludf.DUMMYFUNCTION("SPLIT(GT1,"" "")"),"Apr")</f>
        <v>Apr</v>
      </c>
      <c r="GU42" s="7">
        <f ca="1">IFERROR(__xludf.DUMMYFUNCTION("""COMPUTED_VALUE"""),25)</f>
        <v>25</v>
      </c>
      <c r="GV42" s="6" t="str">
        <f ca="1">IFERROR(__xludf.DUMMYFUNCTION("SPLIT(GV1,"" "")"),"Apr")</f>
        <v>Apr</v>
      </c>
      <c r="GW42" s="7">
        <f ca="1">IFERROR(__xludf.DUMMYFUNCTION("""COMPUTED_VALUE"""),26)</f>
        <v>26</v>
      </c>
      <c r="GX42" s="6" t="str">
        <f ca="1">IFERROR(__xludf.DUMMYFUNCTION("SPLIT(GX1,"" "")"),"Apr")</f>
        <v>Apr</v>
      </c>
      <c r="GY42" s="7">
        <f ca="1">IFERROR(__xludf.DUMMYFUNCTION("""COMPUTED_VALUE"""),27)</f>
        <v>27</v>
      </c>
      <c r="GZ42" s="6" t="str">
        <f ca="1">IFERROR(__xludf.DUMMYFUNCTION("SPLIT(GZ1,"" "")"),"Apr")</f>
        <v>Apr</v>
      </c>
      <c r="HA42" s="7">
        <f ca="1">IFERROR(__xludf.DUMMYFUNCTION("""COMPUTED_VALUE"""),28)</f>
        <v>28</v>
      </c>
      <c r="HB42" s="6" t="str">
        <f ca="1">IFERROR(__xludf.DUMMYFUNCTION("SPLIT(HB1,"" "")"),"Apr")</f>
        <v>Apr</v>
      </c>
      <c r="HC42" s="7">
        <f ca="1">IFERROR(__xludf.DUMMYFUNCTION("""COMPUTED_VALUE"""),29)</f>
        <v>29</v>
      </c>
      <c r="HD42" s="5" t="str">
        <f ca="1">IFERROR(__xludf.DUMMYFUNCTION("SPLIT(HD1,"" "")"),"Apr")</f>
        <v>Apr</v>
      </c>
      <c r="HE42" s="5">
        <f ca="1">IFERROR(__xludf.DUMMYFUNCTION("""COMPUTED_VALUE"""),30)</f>
        <v>30</v>
      </c>
      <c r="HF42" s="6" t="str">
        <f ca="1">IFERROR(__xludf.DUMMYFUNCTION("SPLIT(HF1,"" "")"),"May")</f>
        <v>May</v>
      </c>
      <c r="HG42" s="7">
        <f ca="1">IFERROR(__xludf.DUMMYFUNCTION("""COMPUTED_VALUE"""),1)</f>
        <v>1</v>
      </c>
      <c r="HH42" s="6" t="str">
        <f ca="1">IFERROR(__xludf.DUMMYFUNCTION("SPLIT(HH1,"" "")"),"May")</f>
        <v>May</v>
      </c>
      <c r="HI42" s="7">
        <f ca="1">IFERROR(__xludf.DUMMYFUNCTION("""COMPUTED_VALUE"""),2)</f>
        <v>2</v>
      </c>
      <c r="HJ42" s="5" t="str">
        <f ca="1">IFERROR(__xludf.DUMMYFUNCTION("SPLIT(HJ1,"" "")"),"May")</f>
        <v>May</v>
      </c>
      <c r="HK42" s="5">
        <f ca="1">IFERROR(__xludf.DUMMYFUNCTION("""COMPUTED_VALUE"""),3)</f>
        <v>3</v>
      </c>
      <c r="HL42" s="5" t="str">
        <f ca="1">IFERROR(__xludf.DUMMYFUNCTION("SPLIT(HL1,"" "")"),"May")</f>
        <v>May</v>
      </c>
      <c r="HM42" s="5">
        <f ca="1">IFERROR(__xludf.DUMMYFUNCTION("""COMPUTED_VALUE"""),4)</f>
        <v>4</v>
      </c>
      <c r="HN42" s="6" t="str">
        <f ca="1">IFERROR(__xludf.DUMMYFUNCTION("SPLIT(HN1,"" "")"),"May")</f>
        <v>May</v>
      </c>
      <c r="HO42" s="7">
        <f ca="1">IFERROR(__xludf.DUMMYFUNCTION("""COMPUTED_VALUE"""),5)</f>
        <v>5</v>
      </c>
      <c r="HP42" s="5" t="str">
        <f ca="1">IFERROR(__xludf.DUMMYFUNCTION("SPLIT(HP1,"" "")"),"May")</f>
        <v>May</v>
      </c>
      <c r="HQ42" s="5">
        <f ca="1">IFERROR(__xludf.DUMMYFUNCTION("""COMPUTED_VALUE"""),6)</f>
        <v>6</v>
      </c>
      <c r="HR42" s="6" t="str">
        <f ca="1">IFERROR(__xludf.DUMMYFUNCTION("SPLIT(HR1,"" "")"),"May")</f>
        <v>May</v>
      </c>
      <c r="HS42" s="7">
        <f ca="1">IFERROR(__xludf.DUMMYFUNCTION("""COMPUTED_VALUE"""),7)</f>
        <v>7</v>
      </c>
      <c r="HT42" s="5" t="str">
        <f ca="1">IFERROR(__xludf.DUMMYFUNCTION("SPLIT(HT1,"" "")"),"May")</f>
        <v>May</v>
      </c>
      <c r="HU42" s="5">
        <f ca="1">IFERROR(__xludf.DUMMYFUNCTION("""COMPUTED_VALUE"""),8)</f>
        <v>8</v>
      </c>
      <c r="HV42" s="6" t="str">
        <f ca="1">IFERROR(__xludf.DUMMYFUNCTION("SPLIT(HV1,"" "")"),"May")</f>
        <v>May</v>
      </c>
      <c r="HW42" s="7">
        <f ca="1">IFERROR(__xludf.DUMMYFUNCTION("""COMPUTED_VALUE"""),9)</f>
        <v>9</v>
      </c>
      <c r="HX42" s="6" t="str">
        <f ca="1">IFERROR(__xludf.DUMMYFUNCTION("SPLIT(HX1,"" "")"),"May")</f>
        <v>May</v>
      </c>
      <c r="HY42" s="7">
        <f ca="1">IFERROR(__xludf.DUMMYFUNCTION("""COMPUTED_VALUE"""),10)</f>
        <v>10</v>
      </c>
      <c r="HZ42" s="5" t="str">
        <f ca="1">IFERROR(__xludf.DUMMYFUNCTION("SPLIT(HZ1,"" "")"),"May")</f>
        <v>May</v>
      </c>
      <c r="IA42" s="5">
        <f ca="1">IFERROR(__xludf.DUMMYFUNCTION("""COMPUTED_VALUE"""),12)</f>
        <v>12</v>
      </c>
      <c r="IB42" s="6" t="str">
        <f ca="1">IFERROR(__xludf.DUMMYFUNCTION("SPLIT(IB1,"" "")"),"May")</f>
        <v>May</v>
      </c>
      <c r="IC42" s="7">
        <f ca="1">IFERROR(__xludf.DUMMYFUNCTION("""COMPUTED_VALUE"""),13)</f>
        <v>13</v>
      </c>
      <c r="ID42" s="5" t="str">
        <f ca="1">IFERROR(__xludf.DUMMYFUNCTION("SPLIT(ID1,"" "")"),"May")</f>
        <v>May</v>
      </c>
      <c r="IE42" s="5">
        <f ca="1">IFERROR(__xludf.DUMMYFUNCTION("""COMPUTED_VALUE"""),14)</f>
        <v>14</v>
      </c>
      <c r="IF42" s="6" t="str">
        <f ca="1">IFERROR(__xludf.DUMMYFUNCTION("SPLIT(IF1,"" "")"),"May")</f>
        <v>May</v>
      </c>
      <c r="IG42" s="7">
        <f ca="1">IFERROR(__xludf.DUMMYFUNCTION("""COMPUTED_VALUE"""),15)</f>
        <v>15</v>
      </c>
      <c r="IH42" s="5" t="str">
        <f ca="1">IFERROR(__xludf.DUMMYFUNCTION("SPLIT(IH1,"" "")"),"May")</f>
        <v>May</v>
      </c>
      <c r="II42" s="5">
        <f ca="1">IFERROR(__xludf.DUMMYFUNCTION("""COMPUTED_VALUE"""),16)</f>
        <v>16</v>
      </c>
      <c r="IJ42" s="6" t="str">
        <f ca="1">IFERROR(__xludf.DUMMYFUNCTION("SPLIT(IJ1,"" "")"),"May")</f>
        <v>May</v>
      </c>
      <c r="IK42" s="7">
        <f ca="1">IFERROR(__xludf.DUMMYFUNCTION("""COMPUTED_VALUE"""),17)</f>
        <v>17</v>
      </c>
      <c r="IL42" s="6" t="str">
        <f ca="1">IFERROR(__xludf.DUMMYFUNCTION("SPLIT(IL1,"" "")"),"May")</f>
        <v>May</v>
      </c>
      <c r="IM42" s="7">
        <f ca="1">IFERROR(__xludf.DUMMYFUNCTION("""COMPUTED_VALUE"""),18)</f>
        <v>18</v>
      </c>
      <c r="IN42" s="6" t="str">
        <f ca="1">IFERROR(__xludf.DUMMYFUNCTION("SPLIT(IN1,"" "")"),"May")</f>
        <v>May</v>
      </c>
      <c r="IO42" s="7">
        <f ca="1">IFERROR(__xludf.DUMMYFUNCTION("""COMPUTED_VALUE"""),19)</f>
        <v>19</v>
      </c>
      <c r="IP42" s="6" t="str">
        <f ca="1">IFERROR(__xludf.DUMMYFUNCTION("SPLIT(IP1,"" "")"),"May")</f>
        <v>May</v>
      </c>
      <c r="IQ42" s="7">
        <f ca="1">IFERROR(__xludf.DUMMYFUNCTION("""COMPUTED_VALUE"""),20)</f>
        <v>20</v>
      </c>
      <c r="IR42" s="5" t="str">
        <f ca="1">IFERROR(__xludf.DUMMYFUNCTION("SPLIT(IR1,"" "")"),"May")</f>
        <v>May</v>
      </c>
      <c r="IS42" s="5">
        <f ca="1">IFERROR(__xludf.DUMMYFUNCTION("""COMPUTED_VALUE"""),22)</f>
        <v>22</v>
      </c>
      <c r="IT42" s="6" t="str">
        <f ca="1">IFERROR(__xludf.DUMMYFUNCTION("SPLIT(IT1,"" "")"),"May")</f>
        <v>May</v>
      </c>
      <c r="IU42" s="7">
        <f ca="1">IFERROR(__xludf.DUMMYFUNCTION("""COMPUTED_VALUE"""),23)</f>
        <v>23</v>
      </c>
      <c r="IV42" s="6" t="str">
        <f ca="1">IFERROR(__xludf.DUMMYFUNCTION("SPLIT(IV1,"" "")"),"May")</f>
        <v>May</v>
      </c>
      <c r="IW42" s="7">
        <f ca="1">IFERROR(__xludf.DUMMYFUNCTION("""COMPUTED_VALUE"""),24)</f>
        <v>24</v>
      </c>
      <c r="IX42" s="6" t="str">
        <f ca="1">IFERROR(__xludf.DUMMYFUNCTION("SPLIT(IX1,"" "")"),"May")</f>
        <v>May</v>
      </c>
      <c r="IY42" s="7">
        <f ca="1">IFERROR(__xludf.DUMMYFUNCTION("""COMPUTED_VALUE"""),25)</f>
        <v>25</v>
      </c>
      <c r="IZ42" s="5" t="str">
        <f ca="1">IFERROR(__xludf.DUMMYFUNCTION("SPLIT(IZ1,"" "")"),"May")</f>
        <v>May</v>
      </c>
      <c r="JA42" s="5">
        <f ca="1">IFERROR(__xludf.DUMMYFUNCTION("""COMPUTED_VALUE"""),26)</f>
        <v>26</v>
      </c>
      <c r="JB42" s="6" t="str">
        <f ca="1">IFERROR(__xludf.DUMMYFUNCTION("SPLIT(JB1,"" "")"),"May")</f>
        <v>May</v>
      </c>
      <c r="JC42" s="7">
        <f ca="1">IFERROR(__xludf.DUMMYFUNCTION("""COMPUTED_VALUE"""),27)</f>
        <v>27</v>
      </c>
      <c r="JD42" s="5" t="str">
        <f ca="1">IFERROR(__xludf.DUMMYFUNCTION("SPLIT(JD1,"" "")"),"May")</f>
        <v>May</v>
      </c>
      <c r="JE42" s="5">
        <f ca="1">IFERROR(__xludf.DUMMYFUNCTION("""COMPUTED_VALUE"""),28)</f>
        <v>28</v>
      </c>
      <c r="JF42" s="6" t="str">
        <f ca="1">IFERROR(__xludf.DUMMYFUNCTION("SPLIT(JF1,"" "")"),"May")</f>
        <v>May</v>
      </c>
      <c r="JG42" s="7">
        <f ca="1">IFERROR(__xludf.DUMMYFUNCTION("""COMPUTED_VALUE"""),29)</f>
        <v>29</v>
      </c>
      <c r="JH42" s="6" t="str">
        <f ca="1">IFERROR(__xludf.DUMMYFUNCTION("SPLIT(JH1,"" "")"),"May")</f>
        <v>May</v>
      </c>
      <c r="JI42" s="7">
        <f ca="1">IFERROR(__xludf.DUMMYFUNCTION("""COMPUTED_VALUE"""),31)</f>
        <v>31</v>
      </c>
      <c r="JJ42" s="6" t="str">
        <f ca="1">IFERROR(__xludf.DUMMYFUNCTION("SPLIT(JJ1,"" "")"),"Jun")</f>
        <v>Jun</v>
      </c>
      <c r="JK42" s="7">
        <f ca="1">IFERROR(__xludf.DUMMYFUNCTION("""COMPUTED_VALUE"""),1)</f>
        <v>1</v>
      </c>
      <c r="JL42" s="5" t="str">
        <f ca="1">IFERROR(__xludf.DUMMYFUNCTION("SPLIT(JL1,"" "")"),"Jun")</f>
        <v>Jun</v>
      </c>
      <c r="JM42" s="5">
        <f ca="1">IFERROR(__xludf.DUMMYFUNCTION("""COMPUTED_VALUE"""),2)</f>
        <v>2</v>
      </c>
      <c r="JN42" s="6" t="str">
        <f ca="1">IFERROR(__xludf.DUMMYFUNCTION("SPLIT(JN1,"" "")"),"Jun")</f>
        <v>Jun</v>
      </c>
      <c r="JO42" s="7">
        <f ca="1">IFERROR(__xludf.DUMMYFUNCTION("""COMPUTED_VALUE"""),3)</f>
        <v>3</v>
      </c>
      <c r="JP42" s="5" t="str">
        <f ca="1">IFERROR(__xludf.DUMMYFUNCTION("SPLIT(JP1,"" "")"),"Jun")</f>
        <v>Jun</v>
      </c>
      <c r="JQ42" s="5">
        <f ca="1">IFERROR(__xludf.DUMMYFUNCTION("""COMPUTED_VALUE"""),4)</f>
        <v>4</v>
      </c>
      <c r="JR42" s="6" t="str">
        <f ca="1">IFERROR(__xludf.DUMMYFUNCTION("SPLIT(JR1,"" "")"),"Jun")</f>
        <v>Jun</v>
      </c>
      <c r="JS42" s="7">
        <f ca="1">IFERROR(__xludf.DUMMYFUNCTION("""COMPUTED_VALUE"""),5)</f>
        <v>5</v>
      </c>
      <c r="JT42" s="5" t="str">
        <f ca="1">IFERROR(__xludf.DUMMYFUNCTION("SPLIT(JT1,"" "")"),"Jun")</f>
        <v>Jun</v>
      </c>
      <c r="JU42" s="5">
        <f ca="1">IFERROR(__xludf.DUMMYFUNCTION("""COMPUTED_VALUE"""),6)</f>
        <v>6</v>
      </c>
      <c r="JV42" s="6" t="str">
        <f ca="1">IFERROR(__xludf.DUMMYFUNCTION("SPLIT(JV1,"" "")"),"Jun")</f>
        <v>Jun</v>
      </c>
      <c r="JW42" s="7">
        <f ca="1">IFERROR(__xludf.DUMMYFUNCTION("""COMPUTED_VALUE"""),8)</f>
        <v>8</v>
      </c>
      <c r="JX42" s="5" t="str">
        <f ca="1">IFERROR(__xludf.DUMMYFUNCTION("SPLIT(JX1,"" "")"),"Jun")</f>
        <v>Jun</v>
      </c>
      <c r="JY42" s="5">
        <f ca="1">IFERROR(__xludf.DUMMYFUNCTION("""COMPUTED_VALUE"""),9)</f>
        <v>9</v>
      </c>
      <c r="JZ42" s="6" t="str">
        <f ca="1">IFERROR(__xludf.DUMMYFUNCTION("SPLIT(JZ1,"" "")"),"Jun")</f>
        <v>Jun</v>
      </c>
      <c r="KA42" s="7">
        <f ca="1">IFERROR(__xludf.DUMMYFUNCTION("""COMPUTED_VALUE"""),10)</f>
        <v>10</v>
      </c>
      <c r="KB42" s="6" t="str">
        <f ca="1">IFERROR(__xludf.DUMMYFUNCTION("SPLIT(KB1,"" "")"),"Jun")</f>
        <v>Jun</v>
      </c>
      <c r="KC42" s="7">
        <f ca="1">IFERROR(__xludf.DUMMYFUNCTION("""COMPUTED_VALUE"""),11)</f>
        <v>11</v>
      </c>
      <c r="KD42" s="6" t="str">
        <f ca="1">IFERROR(__xludf.DUMMYFUNCTION("SPLIT(KD1,"" "")"),"Jun")</f>
        <v>Jun</v>
      </c>
      <c r="KE42" s="7">
        <f ca="1">IFERROR(__xludf.DUMMYFUNCTION("""COMPUTED_VALUE"""),12)</f>
        <v>12</v>
      </c>
      <c r="KF42" s="5" t="str">
        <f ca="1">IFERROR(__xludf.DUMMYFUNCTION("SPLIT(KF1,"" "")"),"Jun")</f>
        <v>Jun</v>
      </c>
      <c r="KG42" s="5">
        <f ca="1">IFERROR(__xludf.DUMMYFUNCTION("""COMPUTED_VALUE"""),13)</f>
        <v>13</v>
      </c>
      <c r="KH42" s="6" t="str">
        <f ca="1">IFERROR(__xludf.DUMMYFUNCTION("SPLIT(KH1,"" "")"),"Jun")</f>
        <v>Jun</v>
      </c>
      <c r="KI42" s="7">
        <f ca="1">IFERROR(__xludf.DUMMYFUNCTION("""COMPUTED_VALUE"""),14)</f>
        <v>14</v>
      </c>
      <c r="KJ42" s="6" t="str">
        <f ca="1">IFERROR(__xludf.DUMMYFUNCTION("SPLIT(KJ1,"" "")"),"Jun")</f>
        <v>Jun</v>
      </c>
      <c r="KK42" s="7">
        <f ca="1">IFERROR(__xludf.DUMMYFUNCTION("""COMPUTED_VALUE"""),15)</f>
        <v>15</v>
      </c>
      <c r="KL42" s="6" t="str">
        <f ca="1">IFERROR(__xludf.DUMMYFUNCTION("SPLIT(KL1,"" "")"),"Jun")</f>
        <v>Jun</v>
      </c>
      <c r="KM42" s="7">
        <f ca="1">IFERROR(__xludf.DUMMYFUNCTION("""COMPUTED_VALUE"""),16)</f>
        <v>16</v>
      </c>
      <c r="KN42" s="5" t="str">
        <f ca="1">IFERROR(__xludf.DUMMYFUNCTION("SPLIT(KN1,"" "")"),"Jun")</f>
        <v>Jun</v>
      </c>
      <c r="KO42" s="5">
        <f ca="1">IFERROR(__xludf.DUMMYFUNCTION("""COMPUTED_VALUE"""),18)</f>
        <v>18</v>
      </c>
      <c r="KP42" s="6" t="str">
        <f ca="1">IFERROR(__xludf.DUMMYFUNCTION("SPLIT(KP1,"" "")"),"Jun")</f>
        <v>Jun</v>
      </c>
      <c r="KQ42" s="7">
        <f ca="1">IFERROR(__xludf.DUMMYFUNCTION("""COMPUTED_VALUE"""),19)</f>
        <v>19</v>
      </c>
      <c r="KR42" s="5" t="str">
        <f ca="1">IFERROR(__xludf.DUMMYFUNCTION("SPLIT(KR1,"" "")"),"Jun")</f>
        <v>Jun</v>
      </c>
      <c r="KS42" s="5">
        <f ca="1">IFERROR(__xludf.DUMMYFUNCTION("""COMPUTED_VALUE"""),21)</f>
        <v>21</v>
      </c>
      <c r="KT42" s="6" t="str">
        <f ca="1">IFERROR(__xludf.DUMMYFUNCTION("SPLIT(KT1,"" "")"),"Jun")</f>
        <v>Jun</v>
      </c>
      <c r="KU42" s="7">
        <f ca="1">IFERROR(__xludf.DUMMYFUNCTION("""COMPUTED_VALUE"""),22)</f>
        <v>22</v>
      </c>
      <c r="KV42" s="5" t="str">
        <f ca="1">IFERROR(__xludf.DUMMYFUNCTION("SPLIT(KV1,"" "")"),"Jun")</f>
        <v>Jun</v>
      </c>
      <c r="KW42" s="5">
        <f ca="1">IFERROR(__xludf.DUMMYFUNCTION("""COMPUTED_VALUE"""),23)</f>
        <v>23</v>
      </c>
      <c r="KX42" s="6" t="str">
        <f ca="1">IFERROR(__xludf.DUMMYFUNCTION("SPLIT(KX1,"" "")"),"Jun")</f>
        <v>Jun</v>
      </c>
      <c r="KY42" s="7">
        <f ca="1">IFERROR(__xludf.DUMMYFUNCTION("""COMPUTED_VALUE"""),24)</f>
        <v>24</v>
      </c>
      <c r="KZ42" s="5" t="str">
        <f ca="1">IFERROR(__xludf.DUMMYFUNCTION("SPLIT(KZ1,"" "")"),"Jun")</f>
        <v>Jun</v>
      </c>
      <c r="LA42" s="5">
        <f ca="1">IFERROR(__xludf.DUMMYFUNCTION("""COMPUTED_VALUE"""),25)</f>
        <v>25</v>
      </c>
      <c r="LB42" s="6" t="str">
        <f ca="1">IFERROR(__xludf.DUMMYFUNCTION("SPLIT(LB1,"" "")"),"Jun")</f>
        <v>Jun</v>
      </c>
      <c r="LC42" s="7">
        <f ca="1">IFERROR(__xludf.DUMMYFUNCTION("""COMPUTED_VALUE"""),26)</f>
        <v>26</v>
      </c>
      <c r="LD42" s="5" t="str">
        <f ca="1">IFERROR(__xludf.DUMMYFUNCTION("SPLIT(LD1,"" "")"),"Jun")</f>
        <v>Jun</v>
      </c>
      <c r="LE42" s="5">
        <f ca="1">IFERROR(__xludf.DUMMYFUNCTION("""COMPUTED_VALUE"""),27)</f>
        <v>27</v>
      </c>
      <c r="LF42" s="6" t="str">
        <f ca="1">IFERROR(__xludf.DUMMYFUNCTION("SPLIT(LF1,"" "")"),"Jun")</f>
        <v>Jun</v>
      </c>
      <c r="LG42" s="7">
        <f ca="1">IFERROR(__xludf.DUMMYFUNCTION("""COMPUTED_VALUE"""),28)</f>
        <v>28</v>
      </c>
      <c r="LH42" s="5" t="str">
        <f ca="1">IFERROR(__xludf.DUMMYFUNCTION("SPLIT(LH1,"" "")"),"Jun")</f>
        <v>Jun</v>
      </c>
      <c r="LI42" s="5">
        <f ca="1">IFERROR(__xludf.DUMMYFUNCTION("""COMPUTED_VALUE"""),30)</f>
        <v>30</v>
      </c>
      <c r="LJ42" s="6" t="str">
        <f ca="1">IFERROR(__xludf.DUMMYFUNCTION("SPLIT(LJ1,"" "")"),"Jul")</f>
        <v>Jul</v>
      </c>
      <c r="LK42" s="7">
        <f ca="1">IFERROR(__xludf.DUMMYFUNCTION("""COMPUTED_VALUE"""),1)</f>
        <v>1</v>
      </c>
      <c r="LL42" s="5" t="str">
        <f ca="1">IFERROR(__xludf.DUMMYFUNCTION("SPLIT(LL1,"" "")"),"Jul")</f>
        <v>Jul</v>
      </c>
      <c r="LM42" s="5">
        <f ca="1">IFERROR(__xludf.DUMMYFUNCTION("""COMPUTED_VALUE"""),2)</f>
        <v>2</v>
      </c>
      <c r="LN42" s="6" t="str">
        <f ca="1">IFERROR(__xludf.DUMMYFUNCTION("SPLIT(LN1,"" "")"),"Jul")</f>
        <v>Jul</v>
      </c>
      <c r="LO42" s="7">
        <f ca="1">IFERROR(__xludf.DUMMYFUNCTION("""COMPUTED_VALUE"""),3)</f>
        <v>3</v>
      </c>
      <c r="LP42" s="5" t="str">
        <f ca="1">IFERROR(__xludf.DUMMYFUNCTION("SPLIT(LP1,"" "")"),"Jul")</f>
        <v>Jul</v>
      </c>
      <c r="LQ42" s="5">
        <f ca="1">IFERROR(__xludf.DUMMYFUNCTION("""COMPUTED_VALUE"""),4)</f>
        <v>4</v>
      </c>
      <c r="LR42" s="6" t="str">
        <f ca="1">IFERROR(__xludf.DUMMYFUNCTION("SPLIT(LR1,"" "")"),"Jul")</f>
        <v>Jul</v>
      </c>
      <c r="LS42" s="7">
        <f ca="1">IFERROR(__xludf.DUMMYFUNCTION("""COMPUTED_VALUE"""),5)</f>
        <v>5</v>
      </c>
      <c r="LT42" s="5" t="str">
        <f ca="1">IFERROR(__xludf.DUMMYFUNCTION("SPLIT(LT1,"" "")"),"Jul")</f>
        <v>Jul</v>
      </c>
      <c r="LU42" s="5">
        <f ca="1">IFERROR(__xludf.DUMMYFUNCTION("""COMPUTED_VALUE"""),7)</f>
        <v>7</v>
      </c>
      <c r="LV42" s="6" t="str">
        <f ca="1">IFERROR(__xludf.DUMMYFUNCTION("SPLIT(LV1,"" "")"),"Jul")</f>
        <v>Jul</v>
      </c>
      <c r="LW42" s="7">
        <f ca="1">IFERROR(__xludf.DUMMYFUNCTION("""COMPUTED_VALUE"""),8)</f>
        <v>8</v>
      </c>
      <c r="LX42" s="5" t="str">
        <f ca="1">IFERROR(__xludf.DUMMYFUNCTION("SPLIT(LX1,"" "")"),"Jul")</f>
        <v>Jul</v>
      </c>
      <c r="LY42" s="5">
        <f ca="1">IFERROR(__xludf.DUMMYFUNCTION("""COMPUTED_VALUE"""),9)</f>
        <v>9</v>
      </c>
      <c r="LZ42" s="6" t="str">
        <f ca="1">IFERROR(__xludf.DUMMYFUNCTION("SPLIT(LZ1,"" "")"),"Jul")</f>
        <v>Jul</v>
      </c>
      <c r="MA42" s="7">
        <f ca="1">IFERROR(__xludf.DUMMYFUNCTION("""COMPUTED_VALUE"""),10)</f>
        <v>10</v>
      </c>
      <c r="MB42" s="5" t="str">
        <f ca="1">IFERROR(__xludf.DUMMYFUNCTION("SPLIT(MB1,"" "")"),"Jul")</f>
        <v>Jul</v>
      </c>
      <c r="MC42" s="5">
        <f ca="1">IFERROR(__xludf.DUMMYFUNCTION("""COMPUTED_VALUE"""),11)</f>
        <v>11</v>
      </c>
      <c r="MD42" s="6" t="str">
        <f ca="1">IFERROR(__xludf.DUMMYFUNCTION("SPLIT(MD1,"" "")"),"Jul")</f>
        <v>Jul</v>
      </c>
      <c r="ME42" s="7">
        <f ca="1">IFERROR(__xludf.DUMMYFUNCTION("""COMPUTED_VALUE"""),12)</f>
        <v>12</v>
      </c>
      <c r="MF42" s="5" t="str">
        <f ca="1">IFERROR(__xludf.DUMMYFUNCTION("SPLIT(MF1,"" "")"),"Jul")</f>
        <v>Jul</v>
      </c>
      <c r="MG42" s="5">
        <f ca="1">IFERROR(__xludf.DUMMYFUNCTION("""COMPUTED_VALUE"""),13)</f>
        <v>13</v>
      </c>
      <c r="MH42" s="6" t="str">
        <f ca="1">IFERROR(__xludf.DUMMYFUNCTION("SPLIT(MH1,"" "")"),"Jul")</f>
        <v>Jul</v>
      </c>
      <c r="MI42" s="7">
        <f ca="1">IFERROR(__xludf.DUMMYFUNCTION("""COMPUTED_VALUE"""),14)</f>
        <v>14</v>
      </c>
      <c r="MJ42" s="6" t="str">
        <f ca="1">IFERROR(__xludf.DUMMYFUNCTION("SPLIT(MJ1,"" "")"),"Jul")</f>
        <v>Jul</v>
      </c>
      <c r="MK42" s="7">
        <f ca="1">IFERROR(__xludf.DUMMYFUNCTION("""COMPUTED_VALUE"""),15)</f>
        <v>15</v>
      </c>
      <c r="ML42" s="6" t="str">
        <f ca="1">IFERROR(__xludf.DUMMYFUNCTION("SPLIT(ML1,"" "")"),"Jul")</f>
        <v>Jul</v>
      </c>
      <c r="MM42" s="7">
        <f ca="1">IFERROR(__xludf.DUMMYFUNCTION("""COMPUTED_VALUE"""),16)</f>
        <v>16</v>
      </c>
      <c r="MN42" s="5" t="str">
        <f ca="1">IFERROR(__xludf.DUMMYFUNCTION("SPLIT(MN1,"" "")"),"Jul")</f>
        <v>Jul</v>
      </c>
      <c r="MO42" s="5">
        <f ca="1">IFERROR(__xludf.DUMMYFUNCTION("""COMPUTED_VALUE"""),17)</f>
        <v>17</v>
      </c>
      <c r="MP42" s="6" t="str">
        <f ca="1">IFERROR(__xludf.DUMMYFUNCTION("SPLIT(MP1,"" "")"),"Jul")</f>
        <v>Jul</v>
      </c>
      <c r="MQ42" s="7">
        <f ca="1">IFERROR(__xludf.DUMMYFUNCTION("""COMPUTED_VALUE"""),18)</f>
        <v>18</v>
      </c>
      <c r="MR42" s="5" t="str">
        <f ca="1">IFERROR(__xludf.DUMMYFUNCTION("SPLIT(MR1,"" "")"),"Jul")</f>
        <v>Jul</v>
      </c>
      <c r="MS42" s="5">
        <f ca="1">IFERROR(__xludf.DUMMYFUNCTION("""COMPUTED_VALUE"""),19)</f>
        <v>19</v>
      </c>
      <c r="MT42" s="6" t="str">
        <f ca="1">IFERROR(__xludf.DUMMYFUNCTION("SPLIT(MT1,"" "")"),"Jul")</f>
        <v>Jul</v>
      </c>
      <c r="MU42" s="7">
        <f ca="1">IFERROR(__xludf.DUMMYFUNCTION("""COMPUTED_VALUE"""),20)</f>
        <v>20</v>
      </c>
      <c r="MV42" s="5" t="str">
        <f ca="1">IFERROR(__xludf.DUMMYFUNCTION("SPLIT(MV1,"" "")"),"Jul")</f>
        <v>Jul</v>
      </c>
      <c r="MW42" s="5">
        <f ca="1">IFERROR(__xludf.DUMMYFUNCTION("""COMPUTED_VALUE"""),21)</f>
        <v>21</v>
      </c>
      <c r="MX42" s="6" t="str">
        <f ca="1">IFERROR(__xludf.DUMMYFUNCTION("SPLIT(MX1,"" "")"),"Jul")</f>
        <v>Jul</v>
      </c>
      <c r="MY42" s="7">
        <f ca="1">IFERROR(__xludf.DUMMYFUNCTION("""COMPUTED_VALUE"""),22)</f>
        <v>22</v>
      </c>
      <c r="MZ42" s="6" t="str">
        <f ca="1">IFERROR(__xludf.DUMMYFUNCTION("SPLIT(MZ1,"" "")"),"Jul")</f>
        <v>Jul</v>
      </c>
      <c r="NA42" s="7">
        <f ca="1">IFERROR(__xludf.DUMMYFUNCTION("""COMPUTED_VALUE"""),23)</f>
        <v>23</v>
      </c>
      <c r="NB42" s="5" t="str">
        <f ca="1">IFERROR(__xludf.DUMMYFUNCTION("SPLIT(NB1,"" "")"),"Jul")</f>
        <v>Jul</v>
      </c>
      <c r="NC42" s="5">
        <f ca="1">IFERROR(__xludf.DUMMYFUNCTION("""COMPUTED_VALUE"""),24)</f>
        <v>24</v>
      </c>
      <c r="ND42" s="6" t="str">
        <f ca="1">IFERROR(__xludf.DUMMYFUNCTION("SPLIT(ND1,"" "")"),"Jul")</f>
        <v>Jul</v>
      </c>
      <c r="NE42" s="7">
        <f ca="1">IFERROR(__xludf.DUMMYFUNCTION("""COMPUTED_VALUE"""),25)</f>
        <v>25</v>
      </c>
      <c r="NF42" s="5" t="str">
        <f ca="1">IFERROR(__xludf.DUMMYFUNCTION("SPLIT(NF1,"" "")"),"Jul")</f>
        <v>Jul</v>
      </c>
      <c r="NG42" s="5">
        <f ca="1">IFERROR(__xludf.DUMMYFUNCTION("""COMPUTED_VALUE"""),26)</f>
        <v>26</v>
      </c>
      <c r="NH42" s="6" t="str">
        <f ca="1">IFERROR(__xludf.DUMMYFUNCTION("SPLIT(NH1,"" "")"),"Jul")</f>
        <v>Jul</v>
      </c>
      <c r="NI42" s="7">
        <f ca="1">IFERROR(__xludf.DUMMYFUNCTION("""COMPUTED_VALUE"""),27)</f>
        <v>27</v>
      </c>
      <c r="NJ42" s="5" t="str">
        <f ca="1">IFERROR(__xludf.DUMMYFUNCTION("SPLIT(NJ1,"" "")"),"Jul")</f>
        <v>Jul</v>
      </c>
      <c r="NK42" s="5">
        <f ca="1">IFERROR(__xludf.DUMMYFUNCTION("""COMPUTED_VALUE"""),28)</f>
        <v>28</v>
      </c>
      <c r="NL42" s="6" t="str">
        <f ca="1">IFERROR(__xludf.DUMMYFUNCTION("SPLIT(NL1,"" "")"),"Jul")</f>
        <v>Jul</v>
      </c>
      <c r="NM42" s="7">
        <f ca="1">IFERROR(__xludf.DUMMYFUNCTION("""COMPUTED_VALUE"""),29)</f>
        <v>29</v>
      </c>
      <c r="NN42" s="6" t="str">
        <f ca="1">IFERROR(__xludf.DUMMYFUNCTION("SPLIT(NN1,"" "")"),"Jul")</f>
        <v>Jul</v>
      </c>
      <c r="NO42" s="7">
        <f ca="1">IFERROR(__xludf.DUMMYFUNCTION("""COMPUTED_VALUE"""),30)</f>
        <v>30</v>
      </c>
      <c r="NP42" s="5" t="str">
        <f ca="1">IFERROR(__xludf.DUMMYFUNCTION("SPLIT(NP1,"" "")"),"Jul")</f>
        <v>Jul</v>
      </c>
      <c r="NQ42" s="5">
        <f ca="1">IFERROR(__xludf.DUMMYFUNCTION("""COMPUTED_VALUE"""),31)</f>
        <v>31</v>
      </c>
      <c r="NR42" s="6" t="str">
        <f ca="1">IFERROR(__xludf.DUMMYFUNCTION("SPLIT(NR1,"" "")"),"Aug")</f>
        <v>Aug</v>
      </c>
      <c r="NS42" s="7">
        <f ca="1">IFERROR(__xludf.DUMMYFUNCTION("""COMPUTED_VALUE"""),1)</f>
        <v>1</v>
      </c>
      <c r="NT42" s="5" t="str">
        <f ca="1">IFERROR(__xludf.DUMMYFUNCTION("SPLIT(NT1,"" "")"),"Aug")</f>
        <v>Aug</v>
      </c>
      <c r="NU42" s="5">
        <f ca="1">IFERROR(__xludf.DUMMYFUNCTION("""COMPUTED_VALUE"""),2)</f>
        <v>2</v>
      </c>
      <c r="NV42" s="6" t="str">
        <f ca="1">IFERROR(__xludf.DUMMYFUNCTION("SPLIT(NV1,"" "")"),"Aug")</f>
        <v>Aug</v>
      </c>
      <c r="NW42" s="7">
        <f ca="1">IFERROR(__xludf.DUMMYFUNCTION("""COMPUTED_VALUE"""),3)</f>
        <v>3</v>
      </c>
      <c r="NX42" s="5" t="str">
        <f ca="1">IFERROR(__xludf.DUMMYFUNCTION("SPLIT(NX1,"" "")"),"Aug")</f>
        <v>Aug</v>
      </c>
      <c r="NY42" s="5">
        <f ca="1">IFERROR(__xludf.DUMMYFUNCTION("""COMPUTED_VALUE"""),4)</f>
        <v>4</v>
      </c>
      <c r="NZ42" s="6" t="str">
        <f ca="1">IFERROR(__xludf.DUMMYFUNCTION("SPLIT(NZ1,"" "")"),"Aug")</f>
        <v>Aug</v>
      </c>
      <c r="OA42" s="7">
        <f ca="1">IFERROR(__xludf.DUMMYFUNCTION("""COMPUTED_VALUE"""),5)</f>
        <v>5</v>
      </c>
      <c r="OB42" s="5" t="str">
        <f ca="1">IFERROR(__xludf.DUMMYFUNCTION("SPLIT(OB1,"" "")"),"Aug")</f>
        <v>Aug</v>
      </c>
      <c r="OC42" s="5">
        <f ca="1">IFERROR(__xludf.DUMMYFUNCTION("""COMPUTED_VALUE"""),6)</f>
        <v>6</v>
      </c>
      <c r="OD42" s="6" t="str">
        <f ca="1">IFERROR(__xludf.DUMMYFUNCTION("SPLIT(OD1,"" "")"),"Aug")</f>
        <v>Aug</v>
      </c>
      <c r="OE42" s="7">
        <f ca="1">IFERROR(__xludf.DUMMYFUNCTION("""COMPUTED_VALUE"""),9)</f>
        <v>9</v>
      </c>
      <c r="OF42" s="5" t="str">
        <f ca="1">IFERROR(__xludf.DUMMYFUNCTION("SPLIT(OF1,"" "")"),"Aug")</f>
        <v>Aug</v>
      </c>
      <c r="OG42" s="5">
        <f ca="1">IFERROR(__xludf.DUMMYFUNCTION("""COMPUTED_VALUE"""),10)</f>
        <v>10</v>
      </c>
      <c r="OH42" s="6" t="str">
        <f ca="1">IFERROR(__xludf.DUMMYFUNCTION("SPLIT(OH1,"" "")"),"Aug")</f>
        <v>Aug</v>
      </c>
      <c r="OI42" s="7">
        <f ca="1">IFERROR(__xludf.DUMMYFUNCTION("""COMPUTED_VALUE"""),11)</f>
        <v>11</v>
      </c>
      <c r="OJ42" s="5" t="str">
        <f ca="1">IFERROR(__xludf.DUMMYFUNCTION("SPLIT(OJ1,"" "")"),"Aug")</f>
        <v>Aug</v>
      </c>
      <c r="OK42" s="5">
        <f ca="1">IFERROR(__xludf.DUMMYFUNCTION("""COMPUTED_VALUE"""),12)</f>
        <v>12</v>
      </c>
      <c r="OL42" s="6" t="str">
        <f ca="1">IFERROR(__xludf.DUMMYFUNCTION("SPLIT(OL1,"" "")"),"Aug")</f>
        <v>Aug</v>
      </c>
      <c r="OM42" s="7">
        <f ca="1">IFERROR(__xludf.DUMMYFUNCTION("""COMPUTED_VALUE"""),13)</f>
        <v>13</v>
      </c>
      <c r="ON42" s="6" t="str">
        <f ca="1">IFERROR(__xludf.DUMMYFUNCTION("SPLIT(ON1,"" "")"),"Aug")</f>
        <v>Aug</v>
      </c>
      <c r="OO42" s="7">
        <f ca="1">IFERROR(__xludf.DUMMYFUNCTION("""COMPUTED_VALUE"""),14)</f>
        <v>14</v>
      </c>
      <c r="OP42" s="5" t="str">
        <f ca="1">IFERROR(__xludf.DUMMYFUNCTION("SPLIT(OP1,"" "")"),"Aug")</f>
        <v>Aug</v>
      </c>
      <c r="OQ42" s="5">
        <f ca="1">IFERROR(__xludf.DUMMYFUNCTION("""COMPUTED_VALUE"""),15)</f>
        <v>15</v>
      </c>
      <c r="OR42" s="6" t="str">
        <f ca="1">IFERROR(__xludf.DUMMYFUNCTION("SPLIT(OR1,"" "")"),"Aug")</f>
        <v>Aug</v>
      </c>
      <c r="OS42" s="7">
        <f ca="1">IFERROR(__xludf.DUMMYFUNCTION("""COMPUTED_VALUE"""),16)</f>
        <v>16</v>
      </c>
      <c r="OT42" s="6" t="str">
        <f ca="1">IFERROR(__xludf.DUMMYFUNCTION("SPLIT(OT1,"" "")"),"Aug")</f>
        <v>Aug</v>
      </c>
      <c r="OU42" s="7">
        <f ca="1">IFERROR(__xludf.DUMMYFUNCTION("""COMPUTED_VALUE"""),17)</f>
        <v>17</v>
      </c>
      <c r="OV42" s="5" t="str">
        <f ca="1">IFERROR(__xludf.DUMMYFUNCTION("SPLIT(OV1,"" "")"),"Aug")</f>
        <v>Aug</v>
      </c>
      <c r="OW42" s="5">
        <f ca="1">IFERROR(__xludf.DUMMYFUNCTION("""COMPUTED_VALUE"""),18)</f>
        <v>18</v>
      </c>
      <c r="OX42" s="6" t="str">
        <f ca="1">IFERROR(__xludf.DUMMYFUNCTION("SPLIT(OX1,"" "")"),"Aug")</f>
        <v>Aug</v>
      </c>
      <c r="OY42" s="7">
        <f ca="1">IFERROR(__xludf.DUMMYFUNCTION("""COMPUTED_VALUE"""),20)</f>
        <v>20</v>
      </c>
      <c r="OZ42" s="5" t="str">
        <f ca="1">IFERROR(__xludf.DUMMYFUNCTION("SPLIT(OZ1,"" "")"),"Aug")</f>
        <v>Aug</v>
      </c>
      <c r="PA42" s="5">
        <f ca="1">IFERROR(__xludf.DUMMYFUNCTION("""COMPUTED_VALUE"""),21)</f>
        <v>21</v>
      </c>
      <c r="PB42" s="6" t="str">
        <f ca="1">IFERROR(__xludf.DUMMYFUNCTION("SPLIT(PB1,"" "")"),"Aug")</f>
        <v>Aug</v>
      </c>
      <c r="PC42" s="7">
        <f ca="1">IFERROR(__xludf.DUMMYFUNCTION("""COMPUTED_VALUE"""),22)</f>
        <v>22</v>
      </c>
      <c r="PD42" s="5" t="str">
        <f ca="1">IFERROR(__xludf.DUMMYFUNCTION("SPLIT(PD1,"" "")"),"Aug")</f>
        <v>Aug</v>
      </c>
      <c r="PE42" s="5">
        <f ca="1">IFERROR(__xludf.DUMMYFUNCTION("""COMPUTED_VALUE"""),23)</f>
        <v>23</v>
      </c>
      <c r="PF42" s="5" t="str">
        <f ca="1">IFERROR(__xludf.DUMMYFUNCTION("SPLIT(PF1,"" "")"),"Aug")</f>
        <v>Aug</v>
      </c>
      <c r="PG42" s="5">
        <f ca="1">IFERROR(__xludf.DUMMYFUNCTION("""COMPUTED_VALUE"""),24)</f>
        <v>24</v>
      </c>
      <c r="PH42" s="6" t="str">
        <f ca="1">IFERROR(__xludf.DUMMYFUNCTION("SPLIT(PH1,"" "")"),"Aug")</f>
        <v>Aug</v>
      </c>
      <c r="PI42" s="7">
        <f ca="1">IFERROR(__xludf.DUMMYFUNCTION("""COMPUTED_VALUE"""),28)</f>
        <v>28</v>
      </c>
      <c r="PJ42" s="6" t="str">
        <f ca="1">IFERROR(__xludf.DUMMYFUNCTION("SPLIT(PJ1,"" "")"),"Aug")</f>
        <v>Aug</v>
      </c>
      <c r="PK42" s="7">
        <f ca="1">IFERROR(__xludf.DUMMYFUNCTION("""COMPUTED_VALUE"""),29)</f>
        <v>29</v>
      </c>
      <c r="PL42" s="5" t="str">
        <f ca="1">IFERROR(__xludf.DUMMYFUNCTION("SPLIT(PL1,"" "")"),"Sep")</f>
        <v>Sep</v>
      </c>
      <c r="PM42" s="5">
        <f ca="1">IFERROR(__xludf.DUMMYFUNCTION("""COMPUTED_VALUE"""),1)</f>
        <v>1</v>
      </c>
      <c r="PN42" s="6" t="str">
        <f ca="1">IFERROR(__xludf.DUMMYFUNCTION("SPLIT(PN1,"" "")"),"Sep")</f>
        <v>Sep</v>
      </c>
      <c r="PO42" s="7">
        <f ca="1">IFERROR(__xludf.DUMMYFUNCTION("""COMPUTED_VALUE"""),2)</f>
        <v>2</v>
      </c>
      <c r="PP42" s="5" t="str">
        <f ca="1">IFERROR(__xludf.DUMMYFUNCTION("SPLIT(PP1,"" "")"),"Sep")</f>
        <v>Sep</v>
      </c>
      <c r="PQ42" s="5">
        <f ca="1">IFERROR(__xludf.DUMMYFUNCTION("""COMPUTED_VALUE"""),3)</f>
        <v>3</v>
      </c>
      <c r="PR42" s="6" t="str">
        <f ca="1">IFERROR(__xludf.DUMMYFUNCTION("SPLIT(PR1,"" "")"),"Sep")</f>
        <v>Sep</v>
      </c>
      <c r="PS42" s="7">
        <f ca="1">IFERROR(__xludf.DUMMYFUNCTION("""COMPUTED_VALUE"""),4)</f>
        <v>4</v>
      </c>
      <c r="PT42" s="5" t="str">
        <f ca="1">IFERROR(__xludf.DUMMYFUNCTION("SPLIT(PT1,"" "")"),"Sep")</f>
        <v>Sep</v>
      </c>
      <c r="PU42" s="5">
        <f ca="1">IFERROR(__xludf.DUMMYFUNCTION("""COMPUTED_VALUE"""),5)</f>
        <v>5</v>
      </c>
      <c r="PV42" s="6" t="str">
        <f ca="1">IFERROR(__xludf.DUMMYFUNCTION("SPLIT(PV1,"" "")"),"Sep")</f>
        <v>Sep</v>
      </c>
      <c r="PW42" s="7">
        <f ca="1">IFERROR(__xludf.DUMMYFUNCTION("""COMPUTED_VALUE"""),6)</f>
        <v>6</v>
      </c>
      <c r="PX42" s="5" t="str">
        <f ca="1">IFERROR(__xludf.DUMMYFUNCTION("SPLIT(PX1,"" "")"),"Sep")</f>
        <v>Sep</v>
      </c>
      <c r="PY42" s="5">
        <f ca="1">IFERROR(__xludf.DUMMYFUNCTION("""COMPUTED_VALUE"""),7)</f>
        <v>7</v>
      </c>
      <c r="PZ42" s="6" t="str">
        <f ca="1">IFERROR(__xludf.DUMMYFUNCTION("SPLIT(PZ1,"" "")"),"Sep")</f>
        <v>Sep</v>
      </c>
      <c r="QA42" s="7">
        <f ca="1">IFERROR(__xludf.DUMMYFUNCTION("""COMPUTED_VALUE"""),8)</f>
        <v>8</v>
      </c>
      <c r="QB42" s="5" t="str">
        <f ca="1">IFERROR(__xludf.DUMMYFUNCTION("SPLIT(QB1,"" "")"),"Sep")</f>
        <v>Sep</v>
      </c>
      <c r="QC42" s="5">
        <f ca="1">IFERROR(__xludf.DUMMYFUNCTION("""COMPUTED_VALUE"""),9)</f>
        <v>9</v>
      </c>
      <c r="QD42" s="6" t="str">
        <f ca="1">IFERROR(__xludf.DUMMYFUNCTION("SPLIT(QD1,"" "")"),"Sep")</f>
        <v>Sep</v>
      </c>
      <c r="QE42" s="7">
        <f ca="1">IFERROR(__xludf.DUMMYFUNCTION("""COMPUTED_VALUE"""),10)</f>
        <v>10</v>
      </c>
      <c r="QF42" s="5" t="str">
        <f ca="1">IFERROR(__xludf.DUMMYFUNCTION("SPLIT(QF1,"" "")"),"Sep")</f>
        <v>Sep</v>
      </c>
      <c r="QG42" s="5">
        <f ca="1">IFERROR(__xludf.DUMMYFUNCTION("""COMPUTED_VALUE"""),11)</f>
        <v>11</v>
      </c>
      <c r="QH42" s="6" t="str">
        <f ca="1">IFERROR(__xludf.DUMMYFUNCTION("SPLIT(QH1,"" "")"),"Sep")</f>
        <v>Sep</v>
      </c>
      <c r="QI42" s="7">
        <f ca="1">IFERROR(__xludf.DUMMYFUNCTION("""COMPUTED_VALUE"""),12)</f>
        <v>12</v>
      </c>
      <c r="QJ42" s="5" t="str">
        <f ca="1">IFERROR(__xludf.DUMMYFUNCTION("SPLIT(QJ1,"" "")"),"Sep")</f>
        <v>Sep</v>
      </c>
      <c r="QK42" s="5">
        <f ca="1">IFERROR(__xludf.DUMMYFUNCTION("""COMPUTED_VALUE"""),13)</f>
        <v>13</v>
      </c>
      <c r="QL42" s="6" t="str">
        <f ca="1">IFERROR(__xludf.DUMMYFUNCTION("SPLIT(QL1,"" "")"),"Sep")</f>
        <v>Sep</v>
      </c>
      <c r="QM42" s="7">
        <f ca="1">IFERROR(__xludf.DUMMYFUNCTION("""COMPUTED_VALUE"""),14)</f>
        <v>14</v>
      </c>
      <c r="QN42" s="5" t="str">
        <f ca="1">IFERROR(__xludf.DUMMYFUNCTION("SPLIT(QN1,"" "")"),"Sep")</f>
        <v>Sep</v>
      </c>
      <c r="QO42" s="5">
        <f ca="1">IFERROR(__xludf.DUMMYFUNCTION("""COMPUTED_VALUE"""),15)</f>
        <v>15</v>
      </c>
      <c r="QP42" s="6" t="str">
        <f ca="1">IFERROR(__xludf.DUMMYFUNCTION("SPLIT(QP1,"" "")"),"Sep")</f>
        <v>Sep</v>
      </c>
      <c r="QQ42" s="7">
        <f ca="1">IFERROR(__xludf.DUMMYFUNCTION("""COMPUTED_VALUE"""),16)</f>
        <v>16</v>
      </c>
      <c r="QR42" s="5" t="str">
        <f ca="1">IFERROR(__xludf.DUMMYFUNCTION("SPLIT(QR1,"" "")"),"Sep")</f>
        <v>Sep</v>
      </c>
      <c r="QS42" s="5">
        <f ca="1">IFERROR(__xludf.DUMMYFUNCTION("""COMPUTED_VALUE"""),17)</f>
        <v>17</v>
      </c>
      <c r="QT42" s="348" t="str">
        <f ca="1">IFERROR(__xludf.DUMMYFUNCTION("SPLIT(QT1,"" "")"),"Sep")</f>
        <v>Sep</v>
      </c>
      <c r="QU42" s="5">
        <f ca="1">IFERROR(__xludf.DUMMYFUNCTION("""COMPUTED_VALUE"""),18)</f>
        <v>18</v>
      </c>
      <c r="QV42" s="5" t="str">
        <f ca="1">IFERROR(__xludf.DUMMYFUNCTION("SPLIT(QV1,"" "")"),"Sep")</f>
        <v>Sep</v>
      </c>
      <c r="QW42" s="5">
        <f ca="1">IFERROR(__xludf.DUMMYFUNCTION("""COMPUTED_VALUE"""),19)</f>
        <v>19</v>
      </c>
      <c r="QX42" s="6" t="str">
        <f ca="1">IFERROR(__xludf.DUMMYFUNCTION("SPLIT(QX1,"" "")"),"Sep")</f>
        <v>Sep</v>
      </c>
      <c r="QY42" s="7">
        <f ca="1">IFERROR(__xludf.DUMMYFUNCTION("""COMPUTED_VALUE"""),20)</f>
        <v>20</v>
      </c>
      <c r="QZ42" s="5" t="str">
        <f ca="1">IFERROR(__xludf.DUMMYFUNCTION("SPLIT(QZ1,"" "")"),"Sep")</f>
        <v>Sep</v>
      </c>
      <c r="RA42" s="7">
        <f ca="1">IFERROR(__xludf.DUMMYFUNCTION("""COMPUTED_VALUE"""),21)</f>
        <v>21</v>
      </c>
      <c r="RB42" s="5" t="str">
        <f ca="1">IFERROR(__xludf.DUMMYFUNCTION("SPLIT(RB1,"" "")"),"Sep")</f>
        <v>Sep</v>
      </c>
      <c r="RC42" s="7">
        <f ca="1">IFERROR(__xludf.DUMMYFUNCTION("""COMPUTED_VALUE"""),22)</f>
        <v>22</v>
      </c>
      <c r="RD42" s="5" t="str">
        <f ca="1">IFERROR(__xludf.DUMMYFUNCTION("SPLIT(RD1,"" "")"),"Sep")</f>
        <v>Sep</v>
      </c>
      <c r="RE42" s="5">
        <f ca="1">IFERROR(__xludf.DUMMYFUNCTION("""COMPUTED_VALUE"""),23)</f>
        <v>23</v>
      </c>
      <c r="RF42" s="6" t="str">
        <f ca="1">IFERROR(__xludf.DUMMYFUNCTION("SPLIT(RF1,"" "")"),"Sep")</f>
        <v>Sep</v>
      </c>
      <c r="RG42" s="7">
        <f ca="1">IFERROR(__xludf.DUMMYFUNCTION("""COMPUTED_VALUE"""),24)</f>
        <v>24</v>
      </c>
      <c r="RH42" s="5" t="str">
        <f ca="1">IFERROR(__xludf.DUMMYFUNCTION("SPLIT(RH1,"" "")"),"Sep")</f>
        <v>Sep</v>
      </c>
      <c r="RI42" s="5">
        <f ca="1">IFERROR(__xludf.DUMMYFUNCTION("""COMPUTED_VALUE"""),25)</f>
        <v>25</v>
      </c>
      <c r="RJ42" s="6" t="str">
        <f ca="1">IFERROR(__xludf.DUMMYFUNCTION("SPLIT(RJ1,"" "")"),"Sep")</f>
        <v>Sep</v>
      </c>
      <c r="RK42" s="7">
        <f ca="1">IFERROR(__xludf.DUMMYFUNCTION("""COMPUTED_VALUE"""),26)</f>
        <v>26</v>
      </c>
      <c r="RL42" s="5" t="str">
        <f ca="1">IFERROR(__xludf.DUMMYFUNCTION("SPLIT(RL1,"" "")"),"Sep")</f>
        <v>Sep</v>
      </c>
      <c r="RM42" s="7">
        <f ca="1">IFERROR(__xludf.DUMMYFUNCTION("""COMPUTED_VALUE"""),27)</f>
        <v>27</v>
      </c>
      <c r="RN42" s="5" t="str">
        <f ca="1">IFERROR(__xludf.DUMMYFUNCTION("SPLIT(RN1,"" "")"),"Sep")</f>
        <v>Sep</v>
      </c>
      <c r="RO42" s="5">
        <f ca="1">IFERROR(__xludf.DUMMYFUNCTION("""COMPUTED_VALUE"""),29)</f>
        <v>29</v>
      </c>
      <c r="RP42" s="6" t="str">
        <f ca="1">IFERROR(__xludf.DUMMYFUNCTION("SPLIT(RP1,"" "")"),"Sep")</f>
        <v>Sep</v>
      </c>
      <c r="RQ42" s="7">
        <f ca="1">IFERROR(__xludf.DUMMYFUNCTION("""COMPUTED_VALUE"""),30)</f>
        <v>30</v>
      </c>
      <c r="RR42" s="5" t="str">
        <f ca="1">IFERROR(__xludf.DUMMYFUNCTION("SPLIT(RR1,"" "")"),"Oct")</f>
        <v>Oct</v>
      </c>
      <c r="RS42" s="5">
        <f ca="1">IFERROR(__xludf.DUMMYFUNCTION("""COMPUTED_VALUE"""),1)</f>
        <v>1</v>
      </c>
      <c r="RT42" s="6" t="str">
        <f ca="1">IFERROR(__xludf.DUMMYFUNCTION("SPLIT(RT1,"" "")"),"Oct")</f>
        <v>Oct</v>
      </c>
      <c r="RU42" s="7">
        <f ca="1">IFERROR(__xludf.DUMMYFUNCTION("""COMPUTED_VALUE"""),2)</f>
        <v>2</v>
      </c>
      <c r="RV42" s="5" t="str">
        <f ca="1">IFERROR(__xludf.DUMMYFUNCTION("SPLIT(RV1,"" "")"),"Oct")</f>
        <v>Oct</v>
      </c>
      <c r="RW42" s="5">
        <f ca="1">IFERROR(__xludf.DUMMYFUNCTION("""COMPUTED_VALUE"""),3)</f>
        <v>3</v>
      </c>
      <c r="RX42" s="6" t="str">
        <f ca="1">IFERROR(__xludf.DUMMYFUNCTION("SPLIT(RX1,"" "")"),"Oct")</f>
        <v>Oct</v>
      </c>
      <c r="RY42" s="7">
        <f ca="1">IFERROR(__xludf.DUMMYFUNCTION("""COMPUTED_VALUE"""),4)</f>
        <v>4</v>
      </c>
      <c r="RZ42" s="6" t="str">
        <f ca="1">IFERROR(__xludf.DUMMYFUNCTION("SPLIT(RZ1,"" "")"),"Oct")</f>
        <v>Oct</v>
      </c>
      <c r="SA42" s="7">
        <f ca="1">IFERROR(__xludf.DUMMYFUNCTION("""COMPUTED_VALUE"""),5)</f>
        <v>5</v>
      </c>
      <c r="SB42" s="5" t="str">
        <f ca="1">IFERROR(__xludf.DUMMYFUNCTION("SPLIT(SB1,"" "")"),"Oct")</f>
        <v>Oct</v>
      </c>
      <c r="SC42" s="7">
        <f ca="1">IFERROR(__xludf.DUMMYFUNCTION("""COMPUTED_VALUE"""),6)</f>
        <v>6</v>
      </c>
      <c r="SD42" s="5" t="str">
        <f ca="1">IFERROR(__xludf.DUMMYFUNCTION("SPLIT(SD1,"" "")"),"Oct")</f>
        <v>Oct</v>
      </c>
      <c r="SE42" s="5">
        <f ca="1">IFERROR(__xludf.DUMMYFUNCTION("""COMPUTED_VALUE"""),7)</f>
        <v>7</v>
      </c>
      <c r="SF42" s="6" t="str">
        <f ca="1">IFERROR(__xludf.DUMMYFUNCTION("SPLIT(SF1,"" "")"),"Oct")</f>
        <v>Oct</v>
      </c>
      <c r="SG42" s="7">
        <f ca="1">IFERROR(__xludf.DUMMYFUNCTION("""COMPUTED_VALUE"""),9)</f>
        <v>9</v>
      </c>
      <c r="SH42" s="5" t="str">
        <f ca="1">IFERROR(__xludf.DUMMYFUNCTION("SPLIT(SH1,"" "")"),"Oct")</f>
        <v>Oct</v>
      </c>
      <c r="SI42" s="5">
        <f ca="1">IFERROR(__xludf.DUMMYFUNCTION("""COMPUTED_VALUE"""),10)</f>
        <v>10</v>
      </c>
      <c r="SJ42" s="6" t="str">
        <f ca="1">IFERROR(__xludf.DUMMYFUNCTION("SPLIT(SJ1,"" "")"),"Oct")</f>
        <v>Oct</v>
      </c>
      <c r="SK42" s="7">
        <f ca="1">IFERROR(__xludf.DUMMYFUNCTION("""COMPUTED_VALUE"""),11)</f>
        <v>11</v>
      </c>
      <c r="SL42" s="6" t="str">
        <f ca="1">IFERROR(__xludf.DUMMYFUNCTION("SPLIT(SL1,"" "")"),"Oct")</f>
        <v>Oct</v>
      </c>
      <c r="SM42" s="7">
        <f ca="1">IFERROR(__xludf.DUMMYFUNCTION("""COMPUTED_VALUE"""),13)</f>
        <v>13</v>
      </c>
      <c r="SN42" s="5" t="str">
        <f ca="1">IFERROR(__xludf.DUMMYFUNCTION("SPLIT(SN1,"" "")"),"Oct")</f>
        <v>Oct</v>
      </c>
      <c r="SO42" s="5">
        <f ca="1">IFERROR(__xludf.DUMMYFUNCTION("""COMPUTED_VALUE"""),14)</f>
        <v>14</v>
      </c>
      <c r="SP42" s="6" t="str">
        <f ca="1">IFERROR(__xludf.DUMMYFUNCTION("SPLIT(SP1,"" "")"),"Oct")</f>
        <v>Oct</v>
      </c>
      <c r="SQ42" s="7">
        <f ca="1">IFERROR(__xludf.DUMMYFUNCTION("""COMPUTED_VALUE"""),15)</f>
        <v>15</v>
      </c>
      <c r="SR42" s="5" t="str">
        <f ca="1">IFERROR(__xludf.DUMMYFUNCTION("SPLIT(SR1,"" "")"),"Oct")</f>
        <v>Oct</v>
      </c>
      <c r="SS42" s="5">
        <f ca="1">IFERROR(__xludf.DUMMYFUNCTION("""COMPUTED_VALUE"""),16)</f>
        <v>16</v>
      </c>
      <c r="ST42" s="6" t="str">
        <f ca="1">IFERROR(__xludf.DUMMYFUNCTION("SPLIT(ST1,"" "")"),"Oct")</f>
        <v>Oct</v>
      </c>
      <c r="SU42" s="7">
        <f ca="1">IFERROR(__xludf.DUMMYFUNCTION("""COMPUTED_VALUE"""),17)</f>
        <v>17</v>
      </c>
      <c r="SV42" s="5" t="str">
        <f ca="1">IFERROR(__xludf.DUMMYFUNCTION("SPLIT(SV1,"" "")"),"Oct")</f>
        <v>Oct</v>
      </c>
      <c r="SW42" s="5">
        <f ca="1">IFERROR(__xludf.DUMMYFUNCTION("""COMPUTED_VALUE"""),18)</f>
        <v>18</v>
      </c>
      <c r="SX42" s="6" t="str">
        <f ca="1">IFERROR(__xludf.DUMMYFUNCTION("SPLIT(SX1,"" "")"),"Oct")</f>
        <v>Oct</v>
      </c>
      <c r="SY42" s="7">
        <f ca="1">IFERROR(__xludf.DUMMYFUNCTION("""COMPUTED_VALUE"""),20)</f>
        <v>20</v>
      </c>
      <c r="SZ42" s="5" t="str">
        <f ca="1">IFERROR(__xludf.DUMMYFUNCTION("SPLIT(SZ1,"" "")"),"Oct")</f>
        <v>Oct</v>
      </c>
      <c r="TA42" s="5">
        <f ca="1">IFERROR(__xludf.DUMMYFUNCTION("""COMPUTED_VALUE"""),21)</f>
        <v>21</v>
      </c>
      <c r="TB42" s="6" t="str">
        <f ca="1">IFERROR(__xludf.DUMMYFUNCTION("SPLIT(TB1,"" "")"),"Oct")</f>
        <v>Oct</v>
      </c>
      <c r="TC42" s="7">
        <f ca="1">IFERROR(__xludf.DUMMYFUNCTION("""COMPUTED_VALUE"""),22)</f>
        <v>22</v>
      </c>
      <c r="TD42" s="5" t="str">
        <f ca="1">IFERROR(__xludf.DUMMYFUNCTION("SPLIT(TD1,"" "")"),"Oct")</f>
        <v>Oct</v>
      </c>
      <c r="TE42" s="5">
        <f ca="1">IFERROR(__xludf.DUMMYFUNCTION("""COMPUTED_VALUE"""),23)</f>
        <v>23</v>
      </c>
      <c r="TF42" s="6" t="str">
        <f ca="1">IFERROR(__xludf.DUMMYFUNCTION("SPLIT(TF1,"" "")"),"Oct")</f>
        <v>Oct</v>
      </c>
      <c r="TG42" s="7">
        <f ca="1">IFERROR(__xludf.DUMMYFUNCTION("""COMPUTED_VALUE"""),24)</f>
        <v>24</v>
      </c>
      <c r="TH42" s="5" t="str">
        <f ca="1">IFERROR(__xludf.DUMMYFUNCTION("SPLIT(TH1,"" "")"),"Oct")</f>
        <v>Oct</v>
      </c>
      <c r="TI42" s="7">
        <f ca="1">IFERROR(__xludf.DUMMYFUNCTION("""COMPUTED_VALUE"""),25)</f>
        <v>25</v>
      </c>
      <c r="TJ42" s="6" t="str">
        <f ca="1">IFERROR(__xludf.DUMMYFUNCTION("SPLIT(TJ1,"" "")"),"Oct")</f>
        <v>Oct</v>
      </c>
      <c r="TK42" s="5">
        <f ca="1">IFERROR(__xludf.DUMMYFUNCTION("""COMPUTED_VALUE"""),26)</f>
        <v>26</v>
      </c>
      <c r="TL42" s="6" t="str">
        <f ca="1">IFERROR(__xludf.DUMMYFUNCTION("SPLIT(TL1,"" "")"),"Oct")</f>
        <v>Oct</v>
      </c>
      <c r="TM42" s="7">
        <f ca="1">IFERROR(__xludf.DUMMYFUNCTION("""COMPUTED_VALUE"""),27)</f>
        <v>27</v>
      </c>
      <c r="TN42" s="5" t="str">
        <f ca="1">IFERROR(__xludf.DUMMYFUNCTION("SPLIT(TN1,"" "")"),"Oct")</f>
        <v>Oct</v>
      </c>
      <c r="TO42" s="5">
        <f ca="1">IFERROR(__xludf.DUMMYFUNCTION("""COMPUTED_VALUE"""),28)</f>
        <v>28</v>
      </c>
      <c r="TP42" s="6" t="str">
        <f ca="1">IFERROR(__xludf.DUMMYFUNCTION("SPLIT(TP1,"" "")"),"Oct")</f>
        <v>Oct</v>
      </c>
      <c r="TQ42" s="7">
        <f ca="1">IFERROR(__xludf.DUMMYFUNCTION("""COMPUTED_VALUE"""),29)</f>
        <v>29</v>
      </c>
      <c r="TR42" s="5" t="str">
        <f ca="1">IFERROR(__xludf.DUMMYFUNCTION("SPLIT(TR1,"" "")"),"Oct")</f>
        <v>Oct</v>
      </c>
      <c r="TS42" s="5">
        <f ca="1">IFERROR(__xludf.DUMMYFUNCTION("""COMPUTED_VALUE"""),30)</f>
        <v>30</v>
      </c>
      <c r="TT42" s="6" t="str">
        <f ca="1">IFERROR(__xludf.DUMMYFUNCTION("SPLIT(TT1,"" "")"),"Oct")</f>
        <v>Oct</v>
      </c>
      <c r="TU42" s="7">
        <f ca="1">IFERROR(__xludf.DUMMYFUNCTION("""COMPUTED_VALUE"""),31)</f>
        <v>31</v>
      </c>
      <c r="TV42" s="5" t="str">
        <f ca="1">IFERROR(__xludf.DUMMYFUNCTION("SPLIT(TV1,"" "")"),"Nov")</f>
        <v>Nov</v>
      </c>
      <c r="TW42" s="5">
        <f ca="1">IFERROR(__xludf.DUMMYFUNCTION("""COMPUTED_VALUE"""),1)</f>
        <v>1</v>
      </c>
      <c r="TX42" s="6" t="str">
        <f ca="1">IFERROR(__xludf.DUMMYFUNCTION("SPLIT(TX1,"" "")"),"Nov")</f>
        <v>Nov</v>
      </c>
      <c r="TY42" s="7">
        <f ca="1">IFERROR(__xludf.DUMMYFUNCTION("""COMPUTED_VALUE"""),2)</f>
        <v>2</v>
      </c>
      <c r="TZ42" s="6" t="str">
        <f ca="1">IFERROR(__xludf.DUMMYFUNCTION("SPLIT(TZ1,"" "")"),"Nov")</f>
        <v>Nov</v>
      </c>
      <c r="UA42" s="7">
        <f ca="1">IFERROR(__xludf.DUMMYFUNCTION("""COMPUTED_VALUE"""),3)</f>
        <v>3</v>
      </c>
      <c r="UB42" s="5" t="str">
        <f ca="1">IFERROR(__xludf.DUMMYFUNCTION("SPLIT(UB1,"" "")"),"Nov")</f>
        <v>Nov</v>
      </c>
      <c r="UC42" s="5">
        <f ca="1">IFERROR(__xludf.DUMMYFUNCTION("""COMPUTED_VALUE"""),4)</f>
        <v>4</v>
      </c>
      <c r="UD42" s="6" t="str">
        <f ca="1">IFERROR(__xludf.DUMMYFUNCTION("SPLIT(UD1,"" "")"),"Nov")</f>
        <v>Nov</v>
      </c>
      <c r="UE42" s="7">
        <f ca="1">IFERROR(__xludf.DUMMYFUNCTION("""COMPUTED_VALUE"""),5)</f>
        <v>5</v>
      </c>
      <c r="UF42" s="5" t="str">
        <f ca="1">IFERROR(__xludf.DUMMYFUNCTION("SPLIT(UF1,"" "")"),"Nov")</f>
        <v>Nov</v>
      </c>
      <c r="UG42" s="5">
        <f ca="1">IFERROR(__xludf.DUMMYFUNCTION("""COMPUTED_VALUE"""),6)</f>
        <v>6</v>
      </c>
      <c r="UH42" s="6" t="str">
        <f ca="1">IFERROR(__xludf.DUMMYFUNCTION("SPLIT(UH1,"" "")"),"Nov")</f>
        <v>Nov</v>
      </c>
      <c r="UI42" s="7">
        <f ca="1">IFERROR(__xludf.DUMMYFUNCTION("""COMPUTED_VALUE"""),7)</f>
        <v>7</v>
      </c>
      <c r="UJ42" s="6" t="str">
        <f ca="1">IFERROR(__xludf.DUMMYFUNCTION("SPLIT(UJ1,"" "")"),"Nov")</f>
        <v>Nov</v>
      </c>
      <c r="UK42" s="7">
        <f ca="1">IFERROR(__xludf.DUMMYFUNCTION("""COMPUTED_VALUE"""),8)</f>
        <v>8</v>
      </c>
      <c r="UL42" s="5" t="str">
        <f ca="1">IFERROR(__xludf.DUMMYFUNCTION("SPLIT(UL1,"" "")"),"Nov")</f>
        <v>Nov</v>
      </c>
      <c r="UM42" s="5">
        <f ca="1">IFERROR(__xludf.DUMMYFUNCTION("""COMPUTED_VALUE"""),9)</f>
        <v>9</v>
      </c>
      <c r="UN42" s="6" t="str">
        <f ca="1">IFERROR(__xludf.DUMMYFUNCTION("SPLIT(UN1,"" "")"),"Nov")</f>
        <v>Nov</v>
      </c>
      <c r="UO42" s="7">
        <f ca="1">IFERROR(__xludf.DUMMYFUNCTION("""COMPUTED_VALUE"""),10)</f>
        <v>10</v>
      </c>
      <c r="UP42" s="5" t="str">
        <f ca="1">IFERROR(__xludf.DUMMYFUNCTION("SPLIT(UP1,"" "")"),"Nov")</f>
        <v>Nov</v>
      </c>
      <c r="UQ42" s="5">
        <f ca="1">IFERROR(__xludf.DUMMYFUNCTION("""COMPUTED_VALUE"""),11)</f>
        <v>11</v>
      </c>
      <c r="UR42" s="5" t="str">
        <f ca="1">IFERROR(__xludf.DUMMYFUNCTION("SPLIT(UR1,"" "")"),"Nov")</f>
        <v>Nov</v>
      </c>
      <c r="US42" s="7">
        <f ca="1">IFERROR(__xludf.DUMMYFUNCTION("""COMPUTED_VALUE"""),12)</f>
        <v>12</v>
      </c>
      <c r="UT42" s="6" t="str">
        <f ca="1">IFERROR(__xludf.DUMMYFUNCTION("SPLIT(UT1,"" "")"),"Nov")</f>
        <v>Nov</v>
      </c>
      <c r="UU42" s="7">
        <f ca="1">IFERROR(__xludf.DUMMYFUNCTION("""COMPUTED_VALUE"""),13)</f>
        <v>13</v>
      </c>
      <c r="UV42" s="5" t="str">
        <f ca="1">IFERROR(__xludf.DUMMYFUNCTION("SPLIT(UV1,"" "")"),"Nov")</f>
        <v>Nov</v>
      </c>
      <c r="UW42" s="5">
        <f ca="1">IFERROR(__xludf.DUMMYFUNCTION("""COMPUTED_VALUE"""),14)</f>
        <v>14</v>
      </c>
      <c r="UX42" s="6" t="str">
        <f ca="1">IFERROR(__xludf.DUMMYFUNCTION("SPLIT(UX1,"" "")"),"Nov")</f>
        <v>Nov</v>
      </c>
      <c r="UY42" s="7">
        <f ca="1">IFERROR(__xludf.DUMMYFUNCTION("""COMPUTED_VALUE"""),15)</f>
        <v>15</v>
      </c>
      <c r="UZ42" s="5" t="str">
        <f ca="1">IFERROR(__xludf.DUMMYFUNCTION("SPLIT(UZ1,"" "")"),"Nov")</f>
        <v>Nov</v>
      </c>
      <c r="VA42" s="5">
        <f ca="1">IFERROR(__xludf.DUMMYFUNCTION("""COMPUTED_VALUE"""),16)</f>
        <v>16</v>
      </c>
      <c r="VB42" s="6" t="str">
        <f ca="1">IFERROR(__xludf.DUMMYFUNCTION("SPLIT(VB1,"" "")"),"Nov")</f>
        <v>Nov</v>
      </c>
      <c r="VC42" s="7">
        <f ca="1">IFERROR(__xludf.DUMMYFUNCTION("""COMPUTED_VALUE"""),19)</f>
        <v>19</v>
      </c>
      <c r="VD42" s="5" t="str">
        <f ca="1">IFERROR(__xludf.DUMMYFUNCTION("SPLIT(VD1,"" "")"),"Nov")</f>
        <v>Nov</v>
      </c>
      <c r="VE42" s="5">
        <f ca="1">IFERROR(__xludf.DUMMYFUNCTION("""COMPUTED_VALUE"""),21)</f>
        <v>21</v>
      </c>
      <c r="VF42" s="5" t="str">
        <f ca="1">IFERROR(__xludf.DUMMYFUNCTION("SPLIT(VF1,"" "")"),"Nov")</f>
        <v>Nov</v>
      </c>
      <c r="VG42" s="7">
        <f ca="1">IFERROR(__xludf.DUMMYFUNCTION("""COMPUTED_VALUE"""),22)</f>
        <v>22</v>
      </c>
      <c r="VH42" s="6" t="str">
        <f ca="1">IFERROR(__xludf.DUMMYFUNCTION("SPLIT(VH1,"" "")"),"Nov")</f>
        <v>Nov</v>
      </c>
      <c r="VI42" s="7">
        <f ca="1">IFERROR(__xludf.DUMMYFUNCTION("""COMPUTED_VALUE"""),23)</f>
        <v>23</v>
      </c>
      <c r="VJ42" s="5" t="str">
        <f ca="1">IFERROR(__xludf.DUMMYFUNCTION("SPLIT(VJ1,"" "")"),"Nov")</f>
        <v>Nov</v>
      </c>
      <c r="VK42" s="5">
        <f ca="1">IFERROR(__xludf.DUMMYFUNCTION("""COMPUTED_VALUE"""),24)</f>
        <v>24</v>
      </c>
      <c r="VL42" s="6" t="str">
        <f ca="1">IFERROR(__xludf.DUMMYFUNCTION("SPLIT(VL1,"" "")"),"Nov")</f>
        <v>Nov</v>
      </c>
      <c r="VM42" s="7">
        <f ca="1">IFERROR(__xludf.DUMMYFUNCTION("""COMPUTED_VALUE"""),25)</f>
        <v>25</v>
      </c>
      <c r="VN42" s="5" t="str">
        <f ca="1">IFERROR(__xludf.DUMMYFUNCTION("SPLIT(VN1,"" "")"),"Nov")</f>
        <v>Nov</v>
      </c>
      <c r="VO42" s="5">
        <f ca="1">IFERROR(__xludf.DUMMYFUNCTION("""COMPUTED_VALUE"""),26)</f>
        <v>26</v>
      </c>
      <c r="VP42" s="6" t="str">
        <f ca="1">IFERROR(__xludf.DUMMYFUNCTION("SPLIT(VP1,"" "")"),"Nov")</f>
        <v>Nov</v>
      </c>
      <c r="VQ42" s="7">
        <f ca="1">IFERROR(__xludf.DUMMYFUNCTION("""COMPUTED_VALUE"""),27)</f>
        <v>27</v>
      </c>
      <c r="VR42" s="5" t="str">
        <f ca="1">IFERROR(__xludf.DUMMYFUNCTION("SPLIT(VR1,"" "")"),"Nov")</f>
        <v>Nov</v>
      </c>
      <c r="VS42" s="5">
        <f ca="1">IFERROR(__xludf.DUMMYFUNCTION("""COMPUTED_VALUE"""),28)</f>
        <v>28</v>
      </c>
      <c r="VT42" s="6" t="str">
        <f ca="1">IFERROR(__xludf.DUMMYFUNCTION("SPLIT(VT1,"" "")"),"Nov")</f>
        <v>Nov</v>
      </c>
      <c r="VU42" s="7">
        <f ca="1">IFERROR(__xludf.DUMMYFUNCTION("""COMPUTED_VALUE"""),29)</f>
        <v>29</v>
      </c>
      <c r="VV42" s="6" t="str">
        <f ca="1">IFERROR(__xludf.DUMMYFUNCTION("SPLIT(VV1,"" "")"),"Nov")</f>
        <v>Nov</v>
      </c>
      <c r="VW42" s="7">
        <f ca="1">IFERROR(__xludf.DUMMYFUNCTION("""COMPUTED_VALUE"""),30)</f>
        <v>30</v>
      </c>
      <c r="VX42" s="5" t="str">
        <f ca="1">IFERROR(__xludf.DUMMYFUNCTION("SPLIT(VX1,"" "")"),"Dec")</f>
        <v>Dec</v>
      </c>
      <c r="VY42" s="7">
        <f ca="1">IFERROR(__xludf.DUMMYFUNCTION("""COMPUTED_VALUE"""),1)</f>
        <v>1</v>
      </c>
      <c r="VZ42" s="6" t="str">
        <f ca="1">IFERROR(__xludf.DUMMYFUNCTION("SPLIT(VZ1,"" "")"),"Dec")</f>
        <v>Dec</v>
      </c>
      <c r="WA42" s="7">
        <f ca="1">IFERROR(__xludf.DUMMYFUNCTION("""COMPUTED_VALUE"""),2)</f>
        <v>2</v>
      </c>
      <c r="WB42" s="6" t="str">
        <f ca="1">IFERROR(__xludf.DUMMYFUNCTION("SPLIT(WB1,"" "")"),"Dec")</f>
        <v>Dec</v>
      </c>
      <c r="WC42" s="7">
        <f ca="1">IFERROR(__xludf.DUMMYFUNCTION("""COMPUTED_VALUE"""),3)</f>
        <v>3</v>
      </c>
      <c r="WD42" s="5" t="str">
        <f ca="1">IFERROR(__xludf.DUMMYFUNCTION("SPLIT(WD1,"" "")"),"Dec")</f>
        <v>Dec</v>
      </c>
      <c r="WE42" s="5">
        <f ca="1">IFERROR(__xludf.DUMMYFUNCTION("""COMPUTED_VALUE"""),5)</f>
        <v>5</v>
      </c>
      <c r="WF42" s="6" t="str">
        <f ca="1">IFERROR(__xludf.DUMMYFUNCTION("SPLIT(WF1,"" "")"),"Dec")</f>
        <v>Dec</v>
      </c>
      <c r="WG42" s="7">
        <f ca="1">IFERROR(__xludf.DUMMYFUNCTION("""COMPUTED_VALUE"""),6)</f>
        <v>6</v>
      </c>
      <c r="WH42" s="5" t="str">
        <f ca="1">IFERROR(__xludf.DUMMYFUNCTION("SPLIT(WH1,"" "")"),"Dec")</f>
        <v>Dec</v>
      </c>
      <c r="WI42" s="5">
        <f ca="1">IFERROR(__xludf.DUMMYFUNCTION("""COMPUTED_VALUE"""),7)</f>
        <v>7</v>
      </c>
      <c r="WJ42" s="6" t="str">
        <f ca="1">IFERROR(__xludf.DUMMYFUNCTION("SPLIT(WJ1,"" "")"),"Dec")</f>
        <v>Dec</v>
      </c>
      <c r="WK42" s="7">
        <f ca="1">IFERROR(__xludf.DUMMYFUNCTION("""COMPUTED_VALUE"""),8)</f>
        <v>8</v>
      </c>
      <c r="WL42" s="5" t="str">
        <f ca="1">IFERROR(__xludf.DUMMYFUNCTION("SPLIT(WL1,"" "")"),"Dec")</f>
        <v>Dec</v>
      </c>
      <c r="WM42" s="5">
        <f ca="1">IFERROR(__xludf.DUMMYFUNCTION("""COMPUTED_VALUE"""),9)</f>
        <v>9</v>
      </c>
      <c r="WN42" s="6" t="str">
        <f ca="1">IFERROR(__xludf.DUMMYFUNCTION("SPLIT(WN1,"" "")"),"Dec")</f>
        <v>Dec</v>
      </c>
      <c r="WO42" s="7">
        <f ca="1">IFERROR(__xludf.DUMMYFUNCTION("""COMPUTED_VALUE"""),10)</f>
        <v>10</v>
      </c>
      <c r="WP42" s="5" t="str">
        <f ca="1">IFERROR(__xludf.DUMMYFUNCTION("SPLIT(WP1,"" "")"),"Dec")</f>
        <v>Dec</v>
      </c>
      <c r="WQ42" s="5">
        <f ca="1">IFERROR(__xludf.DUMMYFUNCTION("""COMPUTED_VALUE"""),11)</f>
        <v>11</v>
      </c>
      <c r="WR42" s="5" t="str">
        <f ca="1">IFERROR(__xludf.DUMMYFUNCTION("SPLIT(WR1,"" "")"),"Dec")</f>
        <v>Dec</v>
      </c>
      <c r="WS42" s="7">
        <f ca="1">IFERROR(__xludf.DUMMYFUNCTION("""COMPUTED_VALUE"""),12)</f>
        <v>12</v>
      </c>
      <c r="WT42" s="6" t="str">
        <f ca="1">IFERROR(__xludf.DUMMYFUNCTION("SPLIT(WT1,"" "")"),"Dec")</f>
        <v>Dec</v>
      </c>
      <c r="WU42" s="7">
        <f ca="1">IFERROR(__xludf.DUMMYFUNCTION("""COMPUTED_VALUE"""),13)</f>
        <v>13</v>
      </c>
      <c r="WV42" s="6" t="str">
        <f ca="1">IFERROR(__xludf.DUMMYFUNCTION("SPLIT(WV1,"" "")"),"Dec")</f>
        <v>Dec</v>
      </c>
      <c r="WW42" s="7">
        <f ca="1">IFERROR(__xludf.DUMMYFUNCTION("""COMPUTED_VALUE"""),14)</f>
        <v>14</v>
      </c>
      <c r="WX42" s="5" t="str">
        <f ca="1">IFERROR(__xludf.DUMMYFUNCTION("SPLIT(WX1,"" "")"),"Dec")</f>
        <v>Dec</v>
      </c>
      <c r="WY42" s="7">
        <f ca="1">IFERROR(__xludf.DUMMYFUNCTION("""COMPUTED_VALUE"""),15)</f>
        <v>15</v>
      </c>
      <c r="WZ42" s="5" t="str">
        <f ca="1">IFERROR(__xludf.DUMMYFUNCTION("SPLIT(WZ1,"" "")"),"Dec")</f>
        <v>Dec</v>
      </c>
      <c r="XA42" s="5">
        <f ca="1">IFERROR(__xludf.DUMMYFUNCTION("""COMPUTED_VALUE"""),16)</f>
        <v>16</v>
      </c>
      <c r="XB42" s="6" t="str">
        <f ca="1">IFERROR(__xludf.DUMMYFUNCTION("SPLIT(XB1,"" "")"),"Dec")</f>
        <v>Dec</v>
      </c>
      <c r="XC42" s="7">
        <f ca="1">IFERROR(__xludf.DUMMYFUNCTION("""COMPUTED_VALUE"""),17)</f>
        <v>17</v>
      </c>
      <c r="XD42" s="5" t="str">
        <f ca="1">IFERROR(__xludf.DUMMYFUNCTION("SPLIT(XD1,"" "")"),"Dec")</f>
        <v>Dec</v>
      </c>
      <c r="XE42" s="5">
        <f ca="1">IFERROR(__xludf.DUMMYFUNCTION("""COMPUTED_VALUE"""),18)</f>
        <v>18</v>
      </c>
      <c r="XF42" s="5" t="str">
        <f ca="1">IFERROR(__xludf.DUMMYFUNCTION("SPLIT(XF1,"" "")"),"Dec")</f>
        <v>Dec</v>
      </c>
      <c r="XG42" s="7">
        <f ca="1">IFERROR(__xludf.DUMMYFUNCTION("""COMPUTED_VALUE"""),19)</f>
        <v>19</v>
      </c>
      <c r="XH42" s="6" t="str">
        <f ca="1">IFERROR(__xludf.DUMMYFUNCTION("SPLIT(XH1,"" "")"),"Dec")</f>
        <v>Dec</v>
      </c>
      <c r="XI42" s="7">
        <f ca="1">IFERROR(__xludf.DUMMYFUNCTION("""COMPUTED_VALUE"""),20)</f>
        <v>20</v>
      </c>
      <c r="XJ42" s="5" t="str">
        <f ca="1">IFERROR(__xludf.DUMMYFUNCTION("SPLIT(XJ1,"" "")"),"Dec")</f>
        <v>Dec</v>
      </c>
      <c r="XK42" s="5">
        <f ca="1">IFERROR(__xludf.DUMMYFUNCTION("""COMPUTED_VALUE"""),21)</f>
        <v>21</v>
      </c>
      <c r="XL42" s="6" t="str">
        <f ca="1">IFERROR(__xludf.DUMMYFUNCTION("SPLIT(XL1,"" "")"),"Dec")</f>
        <v>Dec</v>
      </c>
      <c r="XM42" s="7">
        <f ca="1">IFERROR(__xludf.DUMMYFUNCTION("""COMPUTED_VALUE"""),22)</f>
        <v>22</v>
      </c>
      <c r="XN42" s="5" t="str">
        <f ca="1">IFERROR(__xludf.DUMMYFUNCTION("SPLIT(XN1,"" "")"),"Dec")</f>
        <v>Dec</v>
      </c>
      <c r="XO42" s="5">
        <f ca="1">IFERROR(__xludf.DUMMYFUNCTION("""COMPUTED_VALUE"""),23)</f>
        <v>23</v>
      </c>
      <c r="XP42" s="6" t="str">
        <f ca="1">IFERROR(__xludf.DUMMYFUNCTION("SPLIT(XP1,"" "")"),"Dec")</f>
        <v>Dec</v>
      </c>
      <c r="XQ42" s="7">
        <f ca="1">IFERROR(__xludf.DUMMYFUNCTION("""COMPUTED_VALUE"""),24)</f>
        <v>24</v>
      </c>
      <c r="XR42" s="5" t="str">
        <f ca="1">IFERROR(__xludf.DUMMYFUNCTION("SPLIT(XR1,"" "")"),"Dec")</f>
        <v>Dec</v>
      </c>
      <c r="XS42" s="5">
        <f ca="1">IFERROR(__xludf.DUMMYFUNCTION("""COMPUTED_VALUE"""),25)</f>
        <v>25</v>
      </c>
      <c r="XT42" s="6" t="str">
        <f ca="1">IFERROR(__xludf.DUMMYFUNCTION("SPLIT(XT1,"" "")"),"Dec")</f>
        <v>Dec</v>
      </c>
      <c r="XU42" s="7">
        <f ca="1">IFERROR(__xludf.DUMMYFUNCTION("""COMPUTED_VALUE"""),26)</f>
        <v>26</v>
      </c>
      <c r="XV42" s="6" t="str">
        <f ca="1">IFERROR(__xludf.DUMMYFUNCTION("SPLIT(XV1,"" "")"),"Dec")</f>
        <v>Dec</v>
      </c>
      <c r="XW42" s="7">
        <f ca="1">IFERROR(__xludf.DUMMYFUNCTION("""COMPUTED_VALUE"""),27)</f>
        <v>27</v>
      </c>
      <c r="XX42" s="5" t="str">
        <f ca="1">IFERROR(__xludf.DUMMYFUNCTION("SPLIT(XX1,"" "")"),"Dec")</f>
        <v>Dec</v>
      </c>
      <c r="XY42" s="5">
        <f ca="1">IFERROR(__xludf.DUMMYFUNCTION("""COMPUTED_VALUE"""),28)</f>
        <v>28</v>
      </c>
      <c r="XZ42" s="6" t="str">
        <f ca="1">IFERROR(__xludf.DUMMYFUNCTION("SPLIT(XZ1,"" "")"),"Dec")</f>
        <v>Dec</v>
      </c>
      <c r="YA42" s="7">
        <f ca="1">IFERROR(__xludf.DUMMYFUNCTION("""COMPUTED_VALUE"""),29)</f>
        <v>29</v>
      </c>
      <c r="YB42" s="5" t="str">
        <f ca="1">IFERROR(__xludf.DUMMYFUNCTION("SPLIT(YB1,"" "")"),"Dec")</f>
        <v>Dec</v>
      </c>
      <c r="YC42" s="5">
        <f ca="1">IFERROR(__xludf.DUMMYFUNCTION("""COMPUTED_VALUE"""),30)</f>
        <v>30</v>
      </c>
      <c r="YD42" s="6" t="str">
        <f ca="1">IFERROR(__xludf.DUMMYFUNCTION("SPLIT(YD1,"" "")"),"Dec")</f>
        <v>Dec</v>
      </c>
      <c r="YE42" s="7">
        <f ca="1">IFERROR(__xludf.DUMMYFUNCTION("""COMPUTED_VALUE"""),31)</f>
        <v>31</v>
      </c>
    </row>
    <row r="43" spans="1:655" ht="18.75" hidden="1" x14ac:dyDescent="0.2">
      <c r="A43" s="95"/>
      <c r="B43" s="6">
        <f ca="1">MONTH(B42&amp;1)</f>
        <v>1</v>
      </c>
      <c r="C43" s="7"/>
      <c r="D43" s="6">
        <f ca="1">MONTH(D42&amp;1)</f>
        <v>1</v>
      </c>
      <c r="E43" s="7"/>
      <c r="F43" s="5">
        <f ca="1">MONTH(F42&amp;1)</f>
        <v>1</v>
      </c>
      <c r="G43" s="7"/>
      <c r="H43" s="6">
        <f ca="1">MONTH(H42&amp;1)</f>
        <v>1</v>
      </c>
      <c r="I43" s="5"/>
      <c r="J43" s="6">
        <f ca="1">MONTH(J42&amp;1)</f>
        <v>1</v>
      </c>
      <c r="K43" s="7"/>
      <c r="L43" s="5">
        <f ca="1">MONTH(L42&amp;1)</f>
        <v>1</v>
      </c>
      <c r="M43" s="5"/>
      <c r="N43" s="6">
        <f ca="1">MONTH(N42&amp;1)</f>
        <v>1</v>
      </c>
      <c r="O43" s="7"/>
      <c r="P43" s="5">
        <f ca="1">MONTH(P42&amp;1)</f>
        <v>1</v>
      </c>
      <c r="Q43" s="5"/>
      <c r="R43" s="6">
        <f ca="1">MONTH(R42&amp;1)</f>
        <v>1</v>
      </c>
      <c r="S43" s="7"/>
      <c r="T43" s="6">
        <f ca="1">MONTH(T42&amp;1)</f>
        <v>1</v>
      </c>
      <c r="U43" s="7"/>
      <c r="V43" s="5">
        <f ca="1">MONTH(V42&amp;1)</f>
        <v>1</v>
      </c>
      <c r="W43" s="5"/>
      <c r="X43" s="6">
        <f ca="1">MONTH(X42&amp;1)</f>
        <v>1</v>
      </c>
      <c r="Y43" s="7"/>
      <c r="Z43" s="6">
        <f ca="1">MONTH(Z42&amp;1)</f>
        <v>1</v>
      </c>
      <c r="AA43" s="7"/>
      <c r="AB43" s="5">
        <f ca="1">MONTH(AB42&amp;1)</f>
        <v>1</v>
      </c>
      <c r="AC43" s="5"/>
      <c r="AD43" s="6">
        <f ca="1">MONTH(AD42&amp;1)</f>
        <v>1</v>
      </c>
      <c r="AE43" s="7"/>
      <c r="AF43" s="6">
        <f ca="1">MONTH(AF42&amp;1)</f>
        <v>1</v>
      </c>
      <c r="AG43" s="7"/>
      <c r="AH43" s="5">
        <f ca="1">MONTH(AH42&amp;1)</f>
        <v>1</v>
      </c>
      <c r="AI43" s="5"/>
      <c r="AJ43" s="6">
        <f ca="1">MONTH(AJ42&amp;1)</f>
        <v>1</v>
      </c>
      <c r="AK43" s="7"/>
      <c r="AL43" s="5">
        <f ca="1">MONTH(AL42&amp;1)</f>
        <v>1</v>
      </c>
      <c r="AM43" s="5"/>
      <c r="AN43" s="6">
        <f ca="1">MONTH(AN42&amp;1)</f>
        <v>1</v>
      </c>
      <c r="AO43" s="7"/>
      <c r="AP43" s="5">
        <f ca="1">MONTH(AP42&amp;1)</f>
        <v>1</v>
      </c>
      <c r="AQ43" s="5"/>
      <c r="AR43" s="6">
        <f ca="1">MONTH(AR42&amp;1)</f>
        <v>1</v>
      </c>
      <c r="AS43" s="7"/>
      <c r="AT43" s="5">
        <f ca="1">MONTH(AT42&amp;1)</f>
        <v>1</v>
      </c>
      <c r="AU43" s="5"/>
      <c r="AV43" s="6">
        <f ca="1">MONTH(AV42&amp;1)</f>
        <v>1</v>
      </c>
      <c r="AW43" s="7"/>
      <c r="AX43" s="5">
        <f ca="1">MONTH(AX42&amp;1)</f>
        <v>1</v>
      </c>
      <c r="AY43" s="5"/>
      <c r="AZ43" s="6">
        <f ca="1">MONTH(AZ42&amp;1)</f>
        <v>2</v>
      </c>
      <c r="BA43" s="7"/>
      <c r="BB43" s="5">
        <f ca="1">MONTH(BB42&amp;1)</f>
        <v>2</v>
      </c>
      <c r="BC43" s="5"/>
      <c r="BD43" s="6">
        <f ca="1">MONTH(BD42&amp;1)</f>
        <v>2</v>
      </c>
      <c r="BE43" s="7"/>
      <c r="BF43" s="6">
        <f ca="1">MONTH(BF42&amp;1)</f>
        <v>2</v>
      </c>
      <c r="BG43" s="7"/>
      <c r="BH43" s="5">
        <f ca="1">MONTH(BH42&amp;1)</f>
        <v>2</v>
      </c>
      <c r="BI43" s="5"/>
      <c r="BJ43" s="6">
        <f ca="1">MONTH(BJ42&amp;1)</f>
        <v>2</v>
      </c>
      <c r="BK43" s="7"/>
      <c r="BL43" s="5">
        <f ca="1">MONTH(BL42&amp;1)</f>
        <v>2</v>
      </c>
      <c r="BM43" s="5"/>
      <c r="BN43" s="6">
        <f ca="1">MONTH(BN42&amp;1)</f>
        <v>2</v>
      </c>
      <c r="BO43" s="7"/>
      <c r="BP43" s="6">
        <f ca="1">MONTH(BP42&amp;1)</f>
        <v>2</v>
      </c>
      <c r="BQ43" s="7"/>
      <c r="BR43" s="5">
        <f ca="1">MONTH(BR42&amp;1)</f>
        <v>2</v>
      </c>
      <c r="BS43" s="5"/>
      <c r="BT43" s="6">
        <f ca="1">MONTH(BT42&amp;1)</f>
        <v>2</v>
      </c>
      <c r="BU43" s="7"/>
      <c r="BV43" s="6">
        <f ca="1">MONTH(BV42&amp;1)</f>
        <v>2</v>
      </c>
      <c r="BW43" s="7"/>
      <c r="BX43" s="5">
        <f ca="1">MONTH(BX42&amp;1)</f>
        <v>2</v>
      </c>
      <c r="BY43" s="5"/>
      <c r="BZ43" s="6">
        <f ca="1">MONTH(BZ42&amp;1)</f>
        <v>2</v>
      </c>
      <c r="CA43" s="7"/>
      <c r="CB43" s="6">
        <f ca="1">MONTH(CB42&amp;1)</f>
        <v>2</v>
      </c>
      <c r="CC43" s="7"/>
      <c r="CD43" s="5">
        <f ca="1">MONTH(CD42&amp;1)</f>
        <v>2</v>
      </c>
      <c r="CE43" s="5"/>
      <c r="CF43" s="6">
        <f ca="1">MONTH(CF42&amp;1)</f>
        <v>2</v>
      </c>
      <c r="CG43" s="7"/>
      <c r="CH43" s="5">
        <f ca="1">MONTH(CH42&amp;1)</f>
        <v>2</v>
      </c>
      <c r="CI43" s="5"/>
      <c r="CJ43" s="6">
        <f ca="1">MONTH(CJ42&amp;1)</f>
        <v>2</v>
      </c>
      <c r="CK43" s="7"/>
      <c r="CL43" s="5">
        <f ca="1">MONTH(CL42&amp;1)</f>
        <v>2</v>
      </c>
      <c r="CM43" s="5"/>
      <c r="CN43" s="6">
        <f ca="1">MONTH(CN42&amp;1)</f>
        <v>2</v>
      </c>
      <c r="CO43" s="7"/>
      <c r="CP43" s="5">
        <f ca="1">MONTH(CP42&amp;1)</f>
        <v>2</v>
      </c>
      <c r="CQ43" s="5"/>
      <c r="CR43" s="6">
        <f ca="1">MONTH(CR42&amp;1)</f>
        <v>2</v>
      </c>
      <c r="CS43" s="7"/>
      <c r="CT43" s="5">
        <f ca="1">MONTH(CT42&amp;1)</f>
        <v>2</v>
      </c>
      <c r="CU43" s="5"/>
      <c r="CV43" s="6">
        <f ca="1">MONTH(CV42&amp;1)</f>
        <v>2</v>
      </c>
      <c r="CW43" s="7"/>
      <c r="CX43" s="6">
        <f ca="1">MONTH(CX42&amp;1)</f>
        <v>2</v>
      </c>
      <c r="CY43" s="5"/>
      <c r="CZ43" s="6">
        <f ca="1">MONTH(CZ42&amp;1)</f>
        <v>2</v>
      </c>
      <c r="DA43" s="5"/>
      <c r="DB43" s="6">
        <f ca="1">MONTH(DB42&amp;1)</f>
        <v>3</v>
      </c>
      <c r="DC43" s="7"/>
      <c r="DD43" s="5">
        <f ca="1">MONTH(DD42&amp;1)</f>
        <v>3</v>
      </c>
      <c r="DE43" s="5"/>
      <c r="DF43" s="6">
        <f ca="1">MONTH(DF42&amp;1)</f>
        <v>3</v>
      </c>
      <c r="DG43" s="7"/>
      <c r="DH43" s="5">
        <f ca="1">MONTH(DH42&amp;1)</f>
        <v>3</v>
      </c>
      <c r="DI43" s="5"/>
      <c r="DJ43" s="6">
        <f ca="1">MONTH(DJ42&amp;1)</f>
        <v>3</v>
      </c>
      <c r="DK43" s="7"/>
      <c r="DL43" s="5">
        <f ca="1">MONTH(DL42&amp;1)</f>
        <v>3</v>
      </c>
      <c r="DM43" s="5"/>
      <c r="DN43" s="6">
        <f ca="1">MONTH(DN42&amp;1)</f>
        <v>3</v>
      </c>
      <c r="DO43" s="7"/>
      <c r="DP43" s="5">
        <f ca="1">MONTH(DP42&amp;1)</f>
        <v>3</v>
      </c>
      <c r="DQ43" s="5"/>
      <c r="DR43" s="6">
        <f ca="1">MONTH(DR42&amp;1)</f>
        <v>3</v>
      </c>
      <c r="DS43" s="7"/>
      <c r="DT43" s="5">
        <f ca="1">MONTH(DT42&amp;1)</f>
        <v>3</v>
      </c>
      <c r="DU43" s="5"/>
      <c r="DV43" s="6">
        <f ca="1">MONTH(DV42&amp;1)</f>
        <v>3</v>
      </c>
      <c r="DW43" s="7"/>
      <c r="DX43" s="5">
        <f ca="1">MONTH(DX42&amp;1)</f>
        <v>3</v>
      </c>
      <c r="DY43" s="5"/>
      <c r="DZ43" s="6">
        <f ca="1">MONTH(DZ42&amp;1)</f>
        <v>3</v>
      </c>
      <c r="EA43" s="7"/>
      <c r="EB43" s="6">
        <f ca="1">MONTH(EB42&amp;1)</f>
        <v>3</v>
      </c>
      <c r="EC43" s="7"/>
      <c r="ED43" s="5">
        <f ca="1">MONTH(ED42&amp;1)</f>
        <v>3</v>
      </c>
      <c r="EE43" s="5"/>
      <c r="EF43" s="6">
        <f ca="1">MONTH(EF42&amp;1)</f>
        <v>3</v>
      </c>
      <c r="EG43" s="7"/>
      <c r="EH43" s="5">
        <f ca="1">MONTH(EH42&amp;1)</f>
        <v>3</v>
      </c>
      <c r="EI43" s="5"/>
      <c r="EJ43" s="6">
        <f ca="1">MONTH(EJ42&amp;1)</f>
        <v>3</v>
      </c>
      <c r="EK43" s="7"/>
      <c r="EL43" s="5">
        <f ca="1">MONTH(EL42&amp;1)</f>
        <v>3</v>
      </c>
      <c r="EM43" s="5"/>
      <c r="EN43" s="6">
        <f ca="1">MONTH(EN42&amp;1)</f>
        <v>3</v>
      </c>
      <c r="EO43" s="7"/>
      <c r="EP43" s="5">
        <f ca="1">MONTH(EP42&amp;1)</f>
        <v>3</v>
      </c>
      <c r="EQ43" s="5"/>
      <c r="ER43" s="6">
        <f ca="1">MONTH(ER42&amp;1)</f>
        <v>3</v>
      </c>
      <c r="ES43" s="7"/>
      <c r="ET43" s="5">
        <f ca="1">MONTH(ET42&amp;1)</f>
        <v>3</v>
      </c>
      <c r="EU43" s="5"/>
      <c r="EV43" s="6">
        <f ca="1">MONTH(EV42&amp;1)</f>
        <v>3</v>
      </c>
      <c r="EW43" s="7"/>
      <c r="EX43" s="5">
        <f ca="1">MONTH(EX42&amp;1)</f>
        <v>3</v>
      </c>
      <c r="EY43" s="5"/>
      <c r="EZ43" s="6">
        <f ca="1">MONTH(EZ42&amp;1)</f>
        <v>3</v>
      </c>
      <c r="FA43" s="7"/>
      <c r="FB43" s="6">
        <f ca="1">MONTH(FB42&amp;1)</f>
        <v>3</v>
      </c>
      <c r="FC43" s="7"/>
      <c r="FD43" s="6">
        <f ca="1">MONTH(FD42&amp;1)</f>
        <v>3</v>
      </c>
      <c r="FE43" s="7"/>
      <c r="FF43" s="5">
        <f ca="1">MONTH(FF42&amp;1)</f>
        <v>3</v>
      </c>
      <c r="FG43" s="5"/>
      <c r="FH43" s="6">
        <f ca="1">MONTH(FH42&amp;1)</f>
        <v>3</v>
      </c>
      <c r="FI43" s="7"/>
      <c r="FJ43" s="6">
        <f ca="1">MONTH(FJ42&amp;1)</f>
        <v>4</v>
      </c>
      <c r="FK43" s="7"/>
      <c r="FL43" s="6">
        <f ca="1">MONTH(FL42&amp;1)</f>
        <v>4</v>
      </c>
      <c r="FM43" s="7"/>
      <c r="FN43" s="5">
        <f ca="1">MONTH(FN42&amp;1)</f>
        <v>4</v>
      </c>
      <c r="FO43" s="5"/>
      <c r="FP43" s="6">
        <f ca="1">MONTH(FP42&amp;1)</f>
        <v>4</v>
      </c>
      <c r="FQ43" s="7"/>
      <c r="FR43" s="6">
        <f ca="1">MONTH(FR42&amp;1)</f>
        <v>4</v>
      </c>
      <c r="FS43" s="7"/>
      <c r="FT43" s="5">
        <f ca="1">MONTH(FT42&amp;1)</f>
        <v>4</v>
      </c>
      <c r="FU43" s="5"/>
      <c r="FV43" s="6">
        <f ca="1">MONTH(FV42&amp;1)</f>
        <v>4</v>
      </c>
      <c r="FW43" s="7"/>
      <c r="FX43" s="5">
        <f ca="1">MONTH(FX42&amp;1)</f>
        <v>4</v>
      </c>
      <c r="FY43" s="5"/>
      <c r="FZ43" s="6">
        <f ca="1">MONTH(FZ42&amp;1)</f>
        <v>4</v>
      </c>
      <c r="GA43" s="7"/>
      <c r="GB43" s="5">
        <f ca="1">MONTH(GB42&amp;1)</f>
        <v>4</v>
      </c>
      <c r="GC43" s="5"/>
      <c r="GD43" s="6">
        <f ca="1">MONTH(GD42&amp;1)</f>
        <v>4</v>
      </c>
      <c r="GE43" s="7"/>
      <c r="GF43" s="6">
        <f ca="1">MONTH(GF42&amp;1)</f>
        <v>4</v>
      </c>
      <c r="GG43" s="7"/>
      <c r="GH43" s="6">
        <f ca="1">MONTH(GH42&amp;1)</f>
        <v>4</v>
      </c>
      <c r="GI43" s="7"/>
      <c r="GJ43" s="5">
        <f ca="1">MONTH(GJ42&amp;1)</f>
        <v>4</v>
      </c>
      <c r="GK43" s="5"/>
      <c r="GL43" s="6">
        <f ca="1">MONTH(GL42&amp;1)</f>
        <v>4</v>
      </c>
      <c r="GM43" s="7"/>
      <c r="GN43" s="6">
        <f ca="1">MONTH(GN42&amp;1)</f>
        <v>4</v>
      </c>
      <c r="GO43" s="7"/>
      <c r="GP43" s="5">
        <f ca="1">MONTH(GP42&amp;1)</f>
        <v>4</v>
      </c>
      <c r="GQ43" s="5"/>
      <c r="GR43" s="6">
        <f ca="1">MONTH(GR42&amp;1)</f>
        <v>4</v>
      </c>
      <c r="GS43" s="7"/>
      <c r="GT43" s="6">
        <f ca="1">MONTH(GT42&amp;1)</f>
        <v>4</v>
      </c>
      <c r="GU43" s="7"/>
      <c r="GV43" s="6">
        <f ca="1">MONTH(GV42&amp;1)</f>
        <v>4</v>
      </c>
      <c r="GW43" s="7"/>
      <c r="GX43" s="6">
        <f ca="1">MONTH(GX42&amp;1)</f>
        <v>4</v>
      </c>
      <c r="GY43" s="7"/>
      <c r="GZ43" s="6">
        <f ca="1">MONTH(GZ42&amp;1)</f>
        <v>4</v>
      </c>
      <c r="HA43" s="7"/>
      <c r="HB43" s="6">
        <f ca="1">MONTH(HB42&amp;1)</f>
        <v>4</v>
      </c>
      <c r="HC43" s="7"/>
      <c r="HD43" s="5">
        <f ca="1">MONTH(HD42&amp;1)</f>
        <v>4</v>
      </c>
      <c r="HE43" s="5"/>
      <c r="HF43" s="6">
        <f ca="1">MONTH(HF42&amp;1)</f>
        <v>5</v>
      </c>
      <c r="HG43" s="7"/>
      <c r="HH43" s="6">
        <f ca="1">MONTH(HH42&amp;1)</f>
        <v>5</v>
      </c>
      <c r="HI43" s="7"/>
      <c r="HJ43" s="5">
        <f ca="1">MONTH(HJ42&amp;1)</f>
        <v>5</v>
      </c>
      <c r="HK43" s="5"/>
      <c r="HL43" s="5">
        <f ca="1">MONTH(HL42&amp;1)</f>
        <v>5</v>
      </c>
      <c r="HM43" s="5"/>
      <c r="HN43" s="6">
        <f ca="1">MONTH(HN42&amp;1)</f>
        <v>5</v>
      </c>
      <c r="HO43" s="7"/>
      <c r="HP43" s="5">
        <f ca="1">MONTH(HP42&amp;1)</f>
        <v>5</v>
      </c>
      <c r="HQ43" s="5"/>
      <c r="HR43" s="6">
        <f ca="1">MONTH(HR42&amp;1)</f>
        <v>5</v>
      </c>
      <c r="HS43" s="7"/>
      <c r="HT43" s="5">
        <f ca="1">MONTH(HT42&amp;1)</f>
        <v>5</v>
      </c>
      <c r="HU43" s="5"/>
      <c r="HV43" s="6">
        <f ca="1">MONTH(HV42&amp;1)</f>
        <v>5</v>
      </c>
      <c r="HW43" s="7"/>
      <c r="HX43" s="6">
        <f ca="1">MONTH(HX42&amp;1)</f>
        <v>5</v>
      </c>
      <c r="HY43" s="7"/>
      <c r="HZ43" s="5">
        <f ca="1">MONTH(HZ42&amp;1)</f>
        <v>5</v>
      </c>
      <c r="IA43" s="5"/>
      <c r="IB43" s="6">
        <f ca="1">MONTH(IB42&amp;1)</f>
        <v>5</v>
      </c>
      <c r="IC43" s="7"/>
      <c r="ID43" s="5">
        <f ca="1">MONTH(ID42&amp;1)</f>
        <v>5</v>
      </c>
      <c r="IE43" s="5"/>
      <c r="IF43" s="6">
        <f ca="1">MONTH(IF42&amp;1)</f>
        <v>5</v>
      </c>
      <c r="IG43" s="7"/>
      <c r="IH43" s="5">
        <f ca="1">MONTH(IH42&amp;1)</f>
        <v>5</v>
      </c>
      <c r="II43" s="5"/>
      <c r="IJ43" s="6">
        <f ca="1">MONTH(IJ42&amp;1)</f>
        <v>5</v>
      </c>
      <c r="IK43" s="7"/>
      <c r="IL43" s="6">
        <f ca="1">MONTH(IL42&amp;1)</f>
        <v>5</v>
      </c>
      <c r="IM43" s="7"/>
      <c r="IN43" s="6">
        <f ca="1">MONTH(IN42&amp;1)</f>
        <v>5</v>
      </c>
      <c r="IO43" s="7"/>
      <c r="IP43" s="6">
        <f ca="1">MONTH(IP42&amp;1)</f>
        <v>5</v>
      </c>
      <c r="IQ43" s="7"/>
      <c r="IR43" s="5">
        <f ca="1">MONTH(IR42&amp;1)</f>
        <v>5</v>
      </c>
      <c r="IS43" s="5"/>
      <c r="IT43" s="6">
        <f ca="1">MONTH(IT42&amp;1)</f>
        <v>5</v>
      </c>
      <c r="IU43" s="7"/>
      <c r="IV43" s="6">
        <f ca="1">MONTH(IV42&amp;1)</f>
        <v>5</v>
      </c>
      <c r="IW43" s="7"/>
      <c r="IX43" s="6">
        <f ca="1">MONTH(IX42&amp;1)</f>
        <v>5</v>
      </c>
      <c r="IY43" s="7"/>
      <c r="IZ43" s="5">
        <f ca="1">MONTH(IZ42&amp;1)</f>
        <v>5</v>
      </c>
      <c r="JA43" s="5"/>
      <c r="JB43" s="6">
        <f ca="1">MONTH(JB42&amp;1)</f>
        <v>5</v>
      </c>
      <c r="JC43" s="7"/>
      <c r="JD43" s="5">
        <f ca="1">MONTH(JD42&amp;1)</f>
        <v>5</v>
      </c>
      <c r="JE43" s="5"/>
      <c r="JF43" s="6">
        <f ca="1">MONTH(JF42&amp;1)</f>
        <v>5</v>
      </c>
      <c r="JG43" s="7"/>
      <c r="JH43" s="6">
        <f ca="1">MONTH(JH42&amp;1)</f>
        <v>5</v>
      </c>
      <c r="JI43" s="7"/>
      <c r="JJ43" s="6">
        <f ca="1">MONTH(JJ42&amp;1)</f>
        <v>6</v>
      </c>
      <c r="JK43" s="7"/>
      <c r="JL43" s="5">
        <f ca="1">MONTH(JL42&amp;1)</f>
        <v>6</v>
      </c>
      <c r="JM43" s="5"/>
      <c r="JN43" s="6">
        <f ca="1">MONTH(JN42&amp;1)</f>
        <v>6</v>
      </c>
      <c r="JO43" s="7"/>
      <c r="JP43" s="5">
        <f ca="1">MONTH(JP42&amp;1)</f>
        <v>6</v>
      </c>
      <c r="JQ43" s="5"/>
      <c r="JR43" s="6">
        <f ca="1">MONTH(JR42&amp;1)</f>
        <v>6</v>
      </c>
      <c r="JS43" s="7"/>
      <c r="JT43" s="5">
        <f ca="1">MONTH(JT42&amp;1)</f>
        <v>6</v>
      </c>
      <c r="JU43" s="5"/>
      <c r="JV43" s="6">
        <f ca="1">MONTH(JV42&amp;1)</f>
        <v>6</v>
      </c>
      <c r="JW43" s="7"/>
      <c r="JX43" s="5">
        <f ca="1">MONTH(JX42&amp;1)</f>
        <v>6</v>
      </c>
      <c r="JY43" s="5"/>
      <c r="JZ43" s="6">
        <f ca="1">MONTH(JZ42&amp;1)</f>
        <v>6</v>
      </c>
      <c r="KA43" s="7"/>
      <c r="KB43" s="6">
        <f ca="1">MONTH(KB42&amp;1)</f>
        <v>6</v>
      </c>
      <c r="KC43" s="7"/>
      <c r="KD43" s="6">
        <f ca="1">MONTH(KD42&amp;1)</f>
        <v>6</v>
      </c>
      <c r="KE43" s="7"/>
      <c r="KF43" s="5">
        <f ca="1">MONTH(KF42&amp;1)</f>
        <v>6</v>
      </c>
      <c r="KG43" s="5"/>
      <c r="KH43" s="6">
        <f ca="1">MONTH(KH42&amp;1)</f>
        <v>6</v>
      </c>
      <c r="KI43" s="7"/>
      <c r="KJ43" s="6">
        <f ca="1">MONTH(KJ42&amp;1)</f>
        <v>6</v>
      </c>
      <c r="KK43" s="7"/>
      <c r="KL43" s="6">
        <f ca="1">MONTH(KL42&amp;1)</f>
        <v>6</v>
      </c>
      <c r="KM43" s="7"/>
      <c r="KN43" s="5">
        <f ca="1">MONTH(KN42&amp;1)</f>
        <v>6</v>
      </c>
      <c r="KO43" s="5"/>
      <c r="KP43" s="6">
        <f ca="1">MONTH(KP42&amp;1)</f>
        <v>6</v>
      </c>
      <c r="KQ43" s="7"/>
      <c r="KR43" s="5">
        <f ca="1">MONTH(KR42&amp;1)</f>
        <v>6</v>
      </c>
      <c r="KS43" s="5"/>
      <c r="KT43" s="6">
        <f ca="1">MONTH(KT42&amp;1)</f>
        <v>6</v>
      </c>
      <c r="KU43" s="7"/>
      <c r="KV43" s="5">
        <f ca="1">MONTH(KV42&amp;1)</f>
        <v>6</v>
      </c>
      <c r="KW43" s="5"/>
      <c r="KX43" s="6">
        <f ca="1">MONTH(KX42&amp;1)</f>
        <v>6</v>
      </c>
      <c r="KY43" s="7"/>
      <c r="KZ43" s="5">
        <f ca="1">MONTH(KZ42&amp;1)</f>
        <v>6</v>
      </c>
      <c r="LA43" s="5"/>
      <c r="LB43" s="6">
        <f ca="1">MONTH(LB42&amp;1)</f>
        <v>6</v>
      </c>
      <c r="LC43" s="7"/>
      <c r="LD43" s="5">
        <f ca="1">MONTH(LD42&amp;1)</f>
        <v>6</v>
      </c>
      <c r="LE43" s="5"/>
      <c r="LF43" s="6">
        <f ca="1">MONTH(LF42&amp;1)</f>
        <v>6</v>
      </c>
      <c r="LG43" s="7"/>
      <c r="LH43" s="5">
        <f ca="1">MONTH(LH42&amp;1)</f>
        <v>6</v>
      </c>
      <c r="LI43" s="5"/>
      <c r="LJ43" s="6">
        <f ca="1">MONTH(LJ42&amp;1)</f>
        <v>7</v>
      </c>
      <c r="LK43" s="7"/>
      <c r="LL43" s="5">
        <f ca="1">MONTH(LL42&amp;1)</f>
        <v>7</v>
      </c>
      <c r="LM43" s="5"/>
      <c r="LN43" s="6">
        <f ca="1">MONTH(LN42&amp;1)</f>
        <v>7</v>
      </c>
      <c r="LO43" s="7"/>
      <c r="LP43" s="5">
        <f ca="1">MONTH(LP42&amp;1)</f>
        <v>7</v>
      </c>
      <c r="LQ43" s="5"/>
      <c r="LR43" s="6">
        <f ca="1">MONTH(LR42&amp;1)</f>
        <v>7</v>
      </c>
      <c r="LS43" s="7"/>
      <c r="LT43" s="5">
        <f ca="1">MONTH(LT42&amp;1)</f>
        <v>7</v>
      </c>
      <c r="LU43" s="5"/>
      <c r="LV43" s="6">
        <f ca="1">MONTH(LV42&amp;1)</f>
        <v>7</v>
      </c>
      <c r="LW43" s="7"/>
      <c r="LX43" s="5">
        <f ca="1">MONTH(LX42&amp;1)</f>
        <v>7</v>
      </c>
      <c r="LY43" s="5"/>
      <c r="LZ43" s="6">
        <f ca="1">MONTH(LZ42&amp;1)</f>
        <v>7</v>
      </c>
      <c r="MA43" s="7"/>
      <c r="MB43" s="5">
        <f ca="1">MONTH(MB42&amp;1)</f>
        <v>7</v>
      </c>
      <c r="MC43" s="5"/>
      <c r="MD43" s="6">
        <f ca="1">MONTH(MD42&amp;1)</f>
        <v>7</v>
      </c>
      <c r="ME43" s="7"/>
      <c r="MF43" s="5">
        <f ca="1">MONTH(MF42&amp;1)</f>
        <v>7</v>
      </c>
      <c r="MG43" s="5"/>
      <c r="MH43" s="6">
        <f ca="1">MONTH(MH42&amp;1)</f>
        <v>7</v>
      </c>
      <c r="MI43" s="7"/>
      <c r="MJ43" s="6">
        <f ca="1">MONTH(MJ42&amp;1)</f>
        <v>7</v>
      </c>
      <c r="MK43" s="7"/>
      <c r="ML43" s="6">
        <f ca="1">MONTH(ML42&amp;1)</f>
        <v>7</v>
      </c>
      <c r="MM43" s="7"/>
      <c r="MN43" s="5">
        <f ca="1">MONTH(MN42&amp;1)</f>
        <v>7</v>
      </c>
      <c r="MO43" s="5"/>
      <c r="MP43" s="6">
        <f ca="1">MONTH(MP42&amp;1)</f>
        <v>7</v>
      </c>
      <c r="MQ43" s="7"/>
      <c r="MR43" s="5">
        <f ca="1">MONTH(MR42&amp;1)</f>
        <v>7</v>
      </c>
      <c r="MS43" s="5"/>
      <c r="MT43" s="6">
        <f ca="1">MONTH(MT42&amp;1)</f>
        <v>7</v>
      </c>
      <c r="MU43" s="7"/>
      <c r="MV43" s="5">
        <f ca="1">MONTH(MV42&amp;1)</f>
        <v>7</v>
      </c>
      <c r="MW43" s="5"/>
      <c r="MX43" s="6">
        <f ca="1">MONTH(MX42&amp;1)</f>
        <v>7</v>
      </c>
      <c r="MY43" s="7"/>
      <c r="MZ43" s="6">
        <f ca="1">MONTH(MZ42&amp;1)</f>
        <v>7</v>
      </c>
      <c r="NA43" s="7"/>
      <c r="NB43" s="5">
        <f ca="1">MONTH(NB42&amp;1)</f>
        <v>7</v>
      </c>
      <c r="NC43" s="5"/>
      <c r="ND43" s="6">
        <f ca="1">MONTH(ND42&amp;1)</f>
        <v>7</v>
      </c>
      <c r="NE43" s="7"/>
      <c r="NF43" s="5">
        <f ca="1">MONTH(NF42&amp;1)</f>
        <v>7</v>
      </c>
      <c r="NG43" s="5"/>
      <c r="NH43" s="6">
        <f ca="1">MONTH(NH42&amp;1)</f>
        <v>7</v>
      </c>
      <c r="NI43" s="7"/>
      <c r="NJ43" s="5">
        <f ca="1">MONTH(NJ42&amp;1)</f>
        <v>7</v>
      </c>
      <c r="NK43" s="5"/>
      <c r="NL43" s="6">
        <f ca="1">MONTH(NL42&amp;1)</f>
        <v>7</v>
      </c>
      <c r="NM43" s="7"/>
      <c r="NN43" s="6">
        <f ca="1">MONTH(NN42&amp;1)</f>
        <v>7</v>
      </c>
      <c r="NO43" s="7"/>
      <c r="NP43" s="5">
        <f ca="1">MONTH(NP42&amp;1)</f>
        <v>7</v>
      </c>
      <c r="NQ43" s="5"/>
      <c r="NR43" s="6">
        <f ca="1">MONTH(NR42&amp;1)</f>
        <v>8</v>
      </c>
      <c r="NS43" s="7"/>
      <c r="NT43" s="5">
        <f ca="1">MONTH(NT42&amp;1)</f>
        <v>8</v>
      </c>
      <c r="NU43" s="5"/>
      <c r="NV43" s="6">
        <f ca="1">MONTH(NV42&amp;1)</f>
        <v>8</v>
      </c>
      <c r="NW43" s="7"/>
      <c r="NX43" s="5">
        <f ca="1">MONTH(NX42&amp;1)</f>
        <v>8</v>
      </c>
      <c r="NY43" s="5"/>
      <c r="NZ43" s="6">
        <f ca="1">MONTH(NZ42&amp;1)</f>
        <v>8</v>
      </c>
      <c r="OA43" s="7"/>
      <c r="OB43" s="5">
        <f ca="1">MONTH(OB42&amp;1)</f>
        <v>8</v>
      </c>
      <c r="OC43" s="5"/>
      <c r="OD43" s="6">
        <f ca="1">MONTH(OD42&amp;1)</f>
        <v>8</v>
      </c>
      <c r="OE43" s="7"/>
      <c r="OF43" s="5">
        <f ca="1">MONTH(OF42&amp;1)</f>
        <v>8</v>
      </c>
      <c r="OG43" s="5"/>
      <c r="OH43" s="6">
        <f ca="1">MONTH(OH42&amp;1)</f>
        <v>8</v>
      </c>
      <c r="OI43" s="7"/>
      <c r="OJ43" s="5">
        <f ca="1">MONTH(OJ42&amp;1)</f>
        <v>8</v>
      </c>
      <c r="OK43" s="5"/>
      <c r="OL43" s="6">
        <f ca="1">MONTH(OL42&amp;1)</f>
        <v>8</v>
      </c>
      <c r="OM43" s="7"/>
      <c r="ON43" s="6">
        <f ca="1">MONTH(ON42&amp;1)</f>
        <v>8</v>
      </c>
      <c r="OO43" s="7"/>
      <c r="OP43" s="5">
        <f ca="1">MONTH(OP42&amp;1)</f>
        <v>8</v>
      </c>
      <c r="OQ43" s="5"/>
      <c r="OR43" s="6">
        <f ca="1">MONTH(OR42&amp;1)</f>
        <v>8</v>
      </c>
      <c r="OS43" s="7"/>
      <c r="OT43" s="6">
        <f ca="1">MONTH(OT42&amp;1)</f>
        <v>8</v>
      </c>
      <c r="OU43" s="7"/>
      <c r="OV43" s="5">
        <f ca="1">MONTH(OV42&amp;1)</f>
        <v>8</v>
      </c>
      <c r="OW43" s="5"/>
      <c r="OX43" s="6">
        <f ca="1">MONTH(OX42&amp;1)</f>
        <v>8</v>
      </c>
      <c r="OY43" s="7"/>
      <c r="OZ43" s="5">
        <f ca="1">MONTH(OZ42&amp;1)</f>
        <v>8</v>
      </c>
      <c r="PA43" s="5"/>
      <c r="PB43" s="6">
        <f ca="1">MONTH(PB42&amp;1)</f>
        <v>8</v>
      </c>
      <c r="PC43" s="7"/>
      <c r="PD43" s="5">
        <f ca="1">MONTH(PD42&amp;1)</f>
        <v>8</v>
      </c>
      <c r="PE43" s="5"/>
      <c r="PF43" s="5">
        <f ca="1">MONTH(PF42&amp;1)</f>
        <v>8</v>
      </c>
      <c r="PG43" s="5"/>
      <c r="PH43" s="6">
        <f ca="1">MONTH(PH42&amp;1)</f>
        <v>8</v>
      </c>
      <c r="PI43" s="7"/>
      <c r="PJ43" s="6">
        <f ca="1">MONTH(PJ42&amp;1)</f>
        <v>8</v>
      </c>
      <c r="PK43" s="7"/>
      <c r="PL43" s="5">
        <f ca="1">MONTH(PL42&amp;1)</f>
        <v>9</v>
      </c>
      <c r="PM43" s="5"/>
      <c r="PN43" s="6">
        <f ca="1">MONTH(PN42&amp;1)</f>
        <v>9</v>
      </c>
      <c r="PO43" s="7"/>
      <c r="PP43" s="5">
        <f ca="1">MONTH(PP42&amp;1)</f>
        <v>9</v>
      </c>
      <c r="PQ43" s="5"/>
      <c r="PR43" s="6">
        <f ca="1">MONTH(PR42&amp;1)</f>
        <v>9</v>
      </c>
      <c r="PS43" s="7"/>
      <c r="PT43" s="5">
        <f ca="1">MONTH(PT42&amp;1)</f>
        <v>9</v>
      </c>
      <c r="PU43" s="5"/>
      <c r="PV43" s="6">
        <f ca="1">MONTH(PV42&amp;1)</f>
        <v>9</v>
      </c>
      <c r="PW43" s="7"/>
      <c r="PX43" s="5">
        <f ca="1">MONTH(PX42&amp;1)</f>
        <v>9</v>
      </c>
      <c r="PY43" s="5"/>
      <c r="PZ43" s="6">
        <f ca="1">MONTH(PZ42&amp;1)</f>
        <v>9</v>
      </c>
      <c r="QA43" s="7"/>
      <c r="QB43" s="5">
        <f ca="1">MONTH(QB42&amp;1)</f>
        <v>9</v>
      </c>
      <c r="QC43" s="5"/>
      <c r="QD43" s="6">
        <f ca="1">MONTH(QD42&amp;1)</f>
        <v>9</v>
      </c>
      <c r="QE43" s="7"/>
      <c r="QF43" s="5">
        <f ca="1">MONTH(QF42&amp;1)</f>
        <v>9</v>
      </c>
      <c r="QG43" s="5"/>
      <c r="QH43" s="6">
        <f ca="1">MONTH(QH42&amp;1)</f>
        <v>9</v>
      </c>
      <c r="QI43" s="7"/>
      <c r="QJ43" s="5">
        <f ca="1">MONTH(QJ42&amp;1)</f>
        <v>9</v>
      </c>
      <c r="QK43" s="5"/>
      <c r="QL43" s="6">
        <f ca="1">MONTH(QL42&amp;1)</f>
        <v>9</v>
      </c>
      <c r="QM43" s="7"/>
      <c r="QN43" s="5">
        <f ca="1">MONTH(QN42&amp;1)</f>
        <v>9</v>
      </c>
      <c r="QO43" s="5"/>
      <c r="QP43" s="6">
        <f ca="1">MONTH(QP42&amp;1)</f>
        <v>9</v>
      </c>
      <c r="QQ43" s="7"/>
      <c r="QR43" s="5">
        <f ca="1">MONTH(QR42&amp;1)</f>
        <v>9</v>
      </c>
      <c r="QS43" s="5"/>
      <c r="QT43" s="348">
        <f ca="1">MONTH(QT42&amp;1)</f>
        <v>9</v>
      </c>
      <c r="QU43" s="5"/>
      <c r="QV43" s="5">
        <f ca="1">MONTH(QV42&amp;1)</f>
        <v>9</v>
      </c>
      <c r="QW43" s="5"/>
      <c r="QX43" s="6">
        <f ca="1">MONTH(QX42&amp;1)</f>
        <v>9</v>
      </c>
      <c r="QY43" s="7"/>
      <c r="QZ43" s="5">
        <f ca="1">MONTH(QZ42&amp;1)</f>
        <v>9</v>
      </c>
      <c r="RA43" s="7"/>
      <c r="RB43" s="5">
        <f ca="1">MONTH(RB42&amp;1)</f>
        <v>9</v>
      </c>
      <c r="RC43" s="7"/>
      <c r="RD43" s="5">
        <f ca="1">MONTH(RD42&amp;1)</f>
        <v>9</v>
      </c>
      <c r="RE43" s="5"/>
      <c r="RF43" s="6">
        <f ca="1">MONTH(RF42&amp;1)</f>
        <v>9</v>
      </c>
      <c r="RG43" s="7"/>
      <c r="RH43" s="5">
        <f ca="1">MONTH(RH42&amp;1)</f>
        <v>9</v>
      </c>
      <c r="RI43" s="5"/>
      <c r="RJ43" s="6">
        <f ca="1">MONTH(RJ42&amp;1)</f>
        <v>9</v>
      </c>
      <c r="RK43" s="7"/>
      <c r="RL43" s="5">
        <f ca="1">MONTH(RL42&amp;1)</f>
        <v>9</v>
      </c>
      <c r="RM43" s="7"/>
      <c r="RN43" s="5">
        <f ca="1">MONTH(RN42&amp;1)</f>
        <v>9</v>
      </c>
      <c r="RO43" s="5"/>
      <c r="RP43" s="6">
        <f ca="1">MONTH(RP42&amp;1)</f>
        <v>9</v>
      </c>
      <c r="RQ43" s="7"/>
      <c r="RR43" s="5">
        <f ca="1">MONTH(RR42&amp;1)</f>
        <v>10</v>
      </c>
      <c r="RS43" s="5"/>
      <c r="RT43" s="6">
        <f ca="1">MONTH(RT42&amp;1)</f>
        <v>10</v>
      </c>
      <c r="RU43" s="7"/>
      <c r="RV43" s="5">
        <f ca="1">MONTH(RV42&amp;1)</f>
        <v>10</v>
      </c>
      <c r="RW43" s="5"/>
      <c r="RX43" s="6">
        <f ca="1">MONTH(RX42&amp;1)</f>
        <v>10</v>
      </c>
      <c r="RY43" s="7"/>
      <c r="RZ43" s="6">
        <f ca="1">MONTH(RZ42&amp;1)</f>
        <v>10</v>
      </c>
      <c r="SA43" s="7"/>
      <c r="SB43" s="5">
        <f ca="1">MONTH(SB42&amp;1)</f>
        <v>10</v>
      </c>
      <c r="SC43" s="7"/>
      <c r="SD43" s="5">
        <f ca="1">MONTH(SD42&amp;1)</f>
        <v>10</v>
      </c>
      <c r="SE43" s="5"/>
      <c r="SF43" s="6">
        <f ca="1">MONTH(SF42&amp;1)</f>
        <v>10</v>
      </c>
      <c r="SG43" s="7"/>
      <c r="SH43" s="5">
        <f ca="1">MONTH(SH42&amp;1)</f>
        <v>10</v>
      </c>
      <c r="SI43" s="5"/>
      <c r="SJ43" s="6">
        <f ca="1">MONTH(SJ42&amp;1)</f>
        <v>10</v>
      </c>
      <c r="SK43" s="7"/>
      <c r="SL43" s="6">
        <f ca="1">MONTH(SL42&amp;1)</f>
        <v>10</v>
      </c>
      <c r="SM43" s="7"/>
      <c r="SN43" s="5">
        <f ca="1">MONTH(SN42&amp;1)</f>
        <v>10</v>
      </c>
      <c r="SO43" s="5"/>
      <c r="SP43" s="6">
        <f ca="1">MONTH(SP42&amp;1)</f>
        <v>10</v>
      </c>
      <c r="SQ43" s="7"/>
      <c r="SR43" s="5">
        <f ca="1">MONTH(SR42&amp;1)</f>
        <v>10</v>
      </c>
      <c r="SS43" s="5"/>
      <c r="ST43" s="6">
        <f ca="1">MONTH(ST42&amp;1)</f>
        <v>10</v>
      </c>
      <c r="SU43" s="7"/>
      <c r="SV43" s="5">
        <f ca="1">MONTH(SV42&amp;1)</f>
        <v>10</v>
      </c>
      <c r="SW43" s="5"/>
      <c r="SX43" s="6">
        <f ca="1">MONTH(SX42&amp;1)</f>
        <v>10</v>
      </c>
      <c r="SY43" s="7"/>
      <c r="SZ43" s="5">
        <f ca="1">MONTH(SZ42&amp;1)</f>
        <v>10</v>
      </c>
      <c r="TA43" s="5"/>
      <c r="TB43" s="6">
        <f ca="1">MONTH(TB42&amp;1)</f>
        <v>10</v>
      </c>
      <c r="TC43" s="7"/>
      <c r="TD43" s="5">
        <f ca="1">MONTH(TD42&amp;1)</f>
        <v>10</v>
      </c>
      <c r="TE43" s="5"/>
      <c r="TF43" s="6">
        <f ca="1">MONTH(TF42&amp;1)</f>
        <v>10</v>
      </c>
      <c r="TG43" s="7"/>
      <c r="TH43" s="5">
        <f ca="1">MONTH(TH42&amp;1)</f>
        <v>10</v>
      </c>
      <c r="TI43" s="7"/>
      <c r="TJ43" s="6">
        <f ca="1">MONTH(TJ42&amp;1)</f>
        <v>10</v>
      </c>
      <c r="TK43" s="5"/>
      <c r="TL43" s="6">
        <f ca="1">MONTH(TL42&amp;1)</f>
        <v>10</v>
      </c>
      <c r="TM43" s="7"/>
      <c r="TN43" s="5">
        <f ca="1">MONTH(TN42&amp;1)</f>
        <v>10</v>
      </c>
      <c r="TO43" s="5"/>
      <c r="TP43" s="6">
        <f ca="1">MONTH(TP42&amp;1)</f>
        <v>10</v>
      </c>
      <c r="TQ43" s="7"/>
      <c r="TR43" s="5">
        <f ca="1">MONTH(TR42&amp;1)</f>
        <v>10</v>
      </c>
      <c r="TS43" s="5"/>
      <c r="TT43" s="6">
        <f ca="1">MONTH(TT42&amp;1)</f>
        <v>10</v>
      </c>
      <c r="TU43" s="7"/>
      <c r="TV43" s="5">
        <f ca="1">MONTH(TV42&amp;1)</f>
        <v>11</v>
      </c>
      <c r="TW43" s="5"/>
      <c r="TX43" s="6">
        <f ca="1">MONTH(TX42&amp;1)</f>
        <v>11</v>
      </c>
      <c r="TY43" s="7"/>
      <c r="TZ43" s="6">
        <f ca="1">MONTH(TZ42&amp;1)</f>
        <v>11</v>
      </c>
      <c r="UA43" s="7"/>
      <c r="UB43" s="5">
        <f ca="1">MONTH(UB42&amp;1)</f>
        <v>11</v>
      </c>
      <c r="UC43" s="5"/>
      <c r="UD43" s="6">
        <f ca="1">MONTH(UD42&amp;1)</f>
        <v>11</v>
      </c>
      <c r="UE43" s="7"/>
      <c r="UF43" s="5">
        <f ca="1">MONTH(UF42&amp;1)</f>
        <v>11</v>
      </c>
      <c r="UG43" s="5"/>
      <c r="UH43" s="6">
        <f ca="1">MONTH(UH42&amp;1)</f>
        <v>11</v>
      </c>
      <c r="UI43" s="7"/>
      <c r="UJ43" s="6">
        <f ca="1">MONTH(UJ42&amp;1)</f>
        <v>11</v>
      </c>
      <c r="UK43" s="7"/>
      <c r="UL43" s="5">
        <f ca="1">MONTH(UL42&amp;1)</f>
        <v>11</v>
      </c>
      <c r="UM43" s="5"/>
      <c r="UN43" s="6">
        <f ca="1">MONTH(UN42&amp;1)</f>
        <v>11</v>
      </c>
      <c r="UO43" s="7"/>
      <c r="UP43" s="5">
        <f ca="1">MONTH(UP42&amp;1)</f>
        <v>11</v>
      </c>
      <c r="UQ43" s="5"/>
      <c r="UR43" s="5">
        <f ca="1">MONTH(UR42&amp;1)</f>
        <v>11</v>
      </c>
      <c r="US43" s="7"/>
      <c r="UT43" s="6">
        <f ca="1">MONTH(UT42&amp;1)</f>
        <v>11</v>
      </c>
      <c r="UU43" s="7"/>
      <c r="UV43" s="5">
        <f ca="1">MONTH(UV42&amp;1)</f>
        <v>11</v>
      </c>
      <c r="UW43" s="5"/>
      <c r="UX43" s="6">
        <f ca="1">MONTH(UX42&amp;1)</f>
        <v>11</v>
      </c>
      <c r="UY43" s="7"/>
      <c r="UZ43" s="5">
        <f ca="1">MONTH(UZ42&amp;1)</f>
        <v>11</v>
      </c>
      <c r="VA43" s="5"/>
      <c r="VB43" s="6">
        <f ca="1">MONTH(VB42&amp;1)</f>
        <v>11</v>
      </c>
      <c r="VC43" s="7"/>
      <c r="VD43" s="5">
        <f ca="1">MONTH(VD42&amp;1)</f>
        <v>11</v>
      </c>
      <c r="VE43" s="5"/>
      <c r="VF43" s="5">
        <f ca="1">MONTH(VF42&amp;1)</f>
        <v>11</v>
      </c>
      <c r="VG43" s="7"/>
      <c r="VH43" s="6">
        <f ca="1">MONTH(VH42&amp;1)</f>
        <v>11</v>
      </c>
      <c r="VI43" s="7"/>
      <c r="VJ43" s="5">
        <f ca="1">MONTH(VJ42&amp;1)</f>
        <v>11</v>
      </c>
      <c r="VK43" s="5"/>
      <c r="VL43" s="6">
        <f ca="1">MONTH(VL42&amp;1)</f>
        <v>11</v>
      </c>
      <c r="VM43" s="7"/>
      <c r="VN43" s="5">
        <f ca="1">MONTH(VN42&amp;1)</f>
        <v>11</v>
      </c>
      <c r="VO43" s="5"/>
      <c r="VP43" s="6">
        <f ca="1">MONTH(VP42&amp;1)</f>
        <v>11</v>
      </c>
      <c r="VQ43" s="7"/>
      <c r="VR43" s="5">
        <f ca="1">MONTH(VR42&amp;1)</f>
        <v>11</v>
      </c>
      <c r="VS43" s="5"/>
      <c r="VT43" s="6">
        <f ca="1">MONTH(VT42&amp;1)</f>
        <v>11</v>
      </c>
      <c r="VU43" s="7"/>
      <c r="VV43" s="6">
        <f ca="1">MONTH(VV42&amp;1)</f>
        <v>11</v>
      </c>
      <c r="VW43" s="7"/>
      <c r="VX43" s="5">
        <f ca="1">MONTH(VX42&amp;1)</f>
        <v>12</v>
      </c>
      <c r="VY43" s="7"/>
      <c r="VZ43" s="6">
        <f ca="1">MONTH(VZ42&amp;1)</f>
        <v>12</v>
      </c>
      <c r="WA43" s="7"/>
      <c r="WB43" s="6">
        <f ca="1">MONTH(WB42&amp;1)</f>
        <v>12</v>
      </c>
      <c r="WC43" s="7"/>
      <c r="WD43" s="5">
        <f ca="1">MONTH(WD42&amp;1)</f>
        <v>12</v>
      </c>
      <c r="WE43" s="5"/>
      <c r="WF43" s="6">
        <f ca="1">MONTH(WF42&amp;1)</f>
        <v>12</v>
      </c>
      <c r="WG43" s="7"/>
      <c r="WH43" s="5">
        <f ca="1">MONTH(WH42&amp;1)</f>
        <v>12</v>
      </c>
      <c r="WI43" s="5"/>
      <c r="WJ43" s="6">
        <f ca="1">MONTH(WJ42&amp;1)</f>
        <v>12</v>
      </c>
      <c r="WK43" s="7"/>
      <c r="WL43" s="5">
        <f ca="1">MONTH(WL42&amp;1)</f>
        <v>12</v>
      </c>
      <c r="WM43" s="5"/>
      <c r="WN43" s="6">
        <f ca="1">MONTH(WN42&amp;1)</f>
        <v>12</v>
      </c>
      <c r="WO43" s="7"/>
      <c r="WP43" s="5">
        <f ca="1">MONTH(WP42&amp;1)</f>
        <v>12</v>
      </c>
      <c r="WQ43" s="5"/>
      <c r="WR43" s="5">
        <f ca="1">MONTH(WR42&amp;1)</f>
        <v>12</v>
      </c>
      <c r="WS43" s="7"/>
      <c r="WT43" s="6">
        <f ca="1">MONTH(WT42&amp;1)</f>
        <v>12</v>
      </c>
      <c r="WU43" s="7"/>
      <c r="WV43" s="6">
        <f ca="1">MONTH(WV42&amp;1)</f>
        <v>12</v>
      </c>
      <c r="WW43" s="7"/>
      <c r="WX43" s="5">
        <f ca="1">MONTH(WX42&amp;1)</f>
        <v>12</v>
      </c>
      <c r="WY43" s="7"/>
      <c r="WZ43" s="5">
        <f ca="1">MONTH(WZ42&amp;1)</f>
        <v>12</v>
      </c>
      <c r="XA43" s="5"/>
      <c r="XB43" s="6">
        <f ca="1">MONTH(XB42&amp;1)</f>
        <v>12</v>
      </c>
      <c r="XC43" s="7"/>
      <c r="XD43" s="5">
        <f ca="1">MONTH(XD42&amp;1)</f>
        <v>12</v>
      </c>
      <c r="XE43" s="5"/>
      <c r="XF43" s="5">
        <f ca="1">MONTH(XF42&amp;1)</f>
        <v>12</v>
      </c>
      <c r="XG43" s="7"/>
      <c r="XH43" s="6">
        <f ca="1">MONTH(XH42&amp;1)</f>
        <v>12</v>
      </c>
      <c r="XI43" s="7"/>
      <c r="XJ43" s="5">
        <f ca="1">MONTH(XJ42&amp;1)</f>
        <v>12</v>
      </c>
      <c r="XK43" s="5"/>
      <c r="XL43" s="6">
        <f ca="1">MONTH(XL42&amp;1)</f>
        <v>12</v>
      </c>
      <c r="XM43" s="7"/>
      <c r="XN43" s="5">
        <f ca="1">MONTH(XN42&amp;1)</f>
        <v>12</v>
      </c>
      <c r="XO43" s="5"/>
      <c r="XP43" s="6">
        <f ca="1">MONTH(XP42&amp;1)</f>
        <v>12</v>
      </c>
      <c r="XQ43" s="7"/>
      <c r="XR43" s="5">
        <f ca="1">MONTH(XR42&amp;1)</f>
        <v>12</v>
      </c>
      <c r="XS43" s="5"/>
      <c r="XT43" s="6">
        <f ca="1">MONTH(XT42&amp;1)</f>
        <v>12</v>
      </c>
      <c r="XU43" s="7"/>
      <c r="XV43" s="6">
        <f ca="1">MONTH(XV42&amp;1)</f>
        <v>12</v>
      </c>
      <c r="XW43" s="7"/>
      <c r="XX43" s="5">
        <f ca="1">MONTH(XX42&amp;1)</f>
        <v>12</v>
      </c>
      <c r="XY43" s="5"/>
      <c r="XZ43" s="6">
        <f ca="1">MONTH(XZ42&amp;1)</f>
        <v>12</v>
      </c>
      <c r="YA43" s="7"/>
      <c r="YB43" s="5">
        <f ca="1">MONTH(YB42&amp;1)</f>
        <v>12</v>
      </c>
      <c r="YC43" s="5"/>
      <c r="YD43" s="6">
        <f ca="1">MONTH(YD42&amp;1)</f>
        <v>12</v>
      </c>
      <c r="YE43" s="7"/>
    </row>
  </sheetData>
  <mergeCells count="8202">
    <mergeCell ref="XE34:XE37"/>
    <mergeCell ref="XF34:XF35"/>
    <mergeCell ref="XG34:XG37"/>
    <mergeCell ref="XH34:XH37"/>
    <mergeCell ref="XI34:XI37"/>
    <mergeCell ref="XJ34:XJ37"/>
    <mergeCell ref="XF36:XF37"/>
    <mergeCell ref="XK34:XK37"/>
    <mergeCell ref="XL34:XL37"/>
    <mergeCell ref="XM34:XM37"/>
    <mergeCell ref="XN34:XN37"/>
    <mergeCell ref="XO34:XO37"/>
    <mergeCell ref="XP34:XP37"/>
    <mergeCell ref="XQ34:XQ37"/>
    <mergeCell ref="YB34:YB37"/>
    <mergeCell ref="YC34:YC37"/>
    <mergeCell ref="YD34:YD37"/>
    <mergeCell ref="YE34:YE37"/>
    <mergeCell ref="XR34:XR37"/>
    <mergeCell ref="XS34:XS37"/>
    <mergeCell ref="XT34:XT37"/>
    <mergeCell ref="XU34:XU37"/>
    <mergeCell ref="XV34:XV37"/>
    <mergeCell ref="XW34:XW37"/>
    <mergeCell ref="XX34:XX37"/>
    <mergeCell ref="VU34:VU37"/>
    <mergeCell ref="VV34:VV37"/>
    <mergeCell ref="VW34:VW37"/>
    <mergeCell ref="VX34:VX37"/>
    <mergeCell ref="VY34:VY37"/>
    <mergeCell ref="VZ34:VZ37"/>
    <mergeCell ref="WA34:WA37"/>
    <mergeCell ref="WB34:WB37"/>
    <mergeCell ref="WC34:WC37"/>
    <mergeCell ref="WD34:WD37"/>
    <mergeCell ref="WE34:WE37"/>
    <mergeCell ref="WF34:WF37"/>
    <mergeCell ref="WG34:WG37"/>
    <mergeCell ref="WH34:WH37"/>
    <mergeCell ref="WI34:WI37"/>
    <mergeCell ref="WJ34:WJ37"/>
    <mergeCell ref="WK34:WK37"/>
    <mergeCell ref="WL34:WL37"/>
    <mergeCell ref="WM34:WM37"/>
    <mergeCell ref="WN34:WN37"/>
    <mergeCell ref="WO34:WO37"/>
    <mergeCell ref="VH34:VH37"/>
    <mergeCell ref="VI34:VI37"/>
    <mergeCell ref="VJ34:VJ37"/>
    <mergeCell ref="VK34:VK37"/>
    <mergeCell ref="VL34:VL37"/>
    <mergeCell ref="VM34:VM37"/>
    <mergeCell ref="VN34:VN37"/>
    <mergeCell ref="VO34:VO37"/>
    <mergeCell ref="VP34:VP35"/>
    <mergeCell ref="VQ34:VQ37"/>
    <mergeCell ref="VR34:VR37"/>
    <mergeCell ref="VS34:VS37"/>
    <mergeCell ref="VT34:VT37"/>
    <mergeCell ref="VP36:VP37"/>
    <mergeCell ref="XY34:XY37"/>
    <mergeCell ref="XZ34:XZ37"/>
    <mergeCell ref="YA34:YA37"/>
    <mergeCell ref="WP34:WP37"/>
    <mergeCell ref="WQ34:WQ37"/>
    <mergeCell ref="WR34:WR37"/>
    <mergeCell ref="WS34:WS37"/>
    <mergeCell ref="WT34:WT37"/>
    <mergeCell ref="WU34:WU37"/>
    <mergeCell ref="WV34:WV37"/>
    <mergeCell ref="WW34:WW37"/>
    <mergeCell ref="WX34:WX37"/>
    <mergeCell ref="WY34:WY37"/>
    <mergeCell ref="WZ34:WZ37"/>
    <mergeCell ref="XA34:XA37"/>
    <mergeCell ref="XB34:XB37"/>
    <mergeCell ref="XC34:XC37"/>
    <mergeCell ref="XD34:XD37"/>
    <mergeCell ref="UR34:UR37"/>
    <mergeCell ref="UP36:UP37"/>
    <mergeCell ref="US34:US37"/>
    <mergeCell ref="UT34:UT37"/>
    <mergeCell ref="UU34:UU37"/>
    <mergeCell ref="UV34:UV37"/>
    <mergeCell ref="UW34:UW37"/>
    <mergeCell ref="UX34:UX37"/>
    <mergeCell ref="UY34:UY37"/>
    <mergeCell ref="UZ34:UZ37"/>
    <mergeCell ref="VA34:VA37"/>
    <mergeCell ref="VB34:VB37"/>
    <mergeCell ref="VC34:VC37"/>
    <mergeCell ref="VD34:VD37"/>
    <mergeCell ref="VE34:VE37"/>
    <mergeCell ref="VF34:VF37"/>
    <mergeCell ref="VG34:VG37"/>
    <mergeCell ref="TZ34:TZ37"/>
    <mergeCell ref="UA34:UA37"/>
    <mergeCell ref="UB34:UB37"/>
    <mergeCell ref="UC34:UC37"/>
    <mergeCell ref="UD34:UD37"/>
    <mergeCell ref="UE34:UE37"/>
    <mergeCell ref="UF34:UF37"/>
    <mergeCell ref="UG34:UG37"/>
    <mergeCell ref="UH34:UH37"/>
    <mergeCell ref="UI34:UI37"/>
    <mergeCell ref="UJ34:UJ37"/>
    <mergeCell ref="UK34:UK37"/>
    <mergeCell ref="UL34:UL37"/>
    <mergeCell ref="UM34:UM37"/>
    <mergeCell ref="UN34:UN37"/>
    <mergeCell ref="UO34:UO37"/>
    <mergeCell ref="UQ34:UQ37"/>
    <mergeCell ref="TS34:TS37"/>
    <mergeCell ref="TT34:TT37"/>
    <mergeCell ref="TU34:TU37"/>
    <mergeCell ref="TV34:TV35"/>
    <mergeCell ref="TV36:TV37"/>
    <mergeCell ref="TH34:TH35"/>
    <mergeCell ref="TH36:TH37"/>
    <mergeCell ref="TB34:TB37"/>
    <mergeCell ref="TC34:TC37"/>
    <mergeCell ref="TD34:TD35"/>
    <mergeCell ref="TE34:TE37"/>
    <mergeCell ref="TF34:TF37"/>
    <mergeCell ref="TG34:TG37"/>
    <mergeCell ref="TD36:TD37"/>
    <mergeCell ref="TW34:TW37"/>
    <mergeCell ref="TX34:TX37"/>
    <mergeCell ref="TY34:TY37"/>
    <mergeCell ref="SV34:SV37"/>
    <mergeCell ref="SW34:SW37"/>
    <mergeCell ref="SX34:SX37"/>
    <mergeCell ref="SY34:SY37"/>
    <mergeCell ref="SZ34:SZ35"/>
    <mergeCell ref="TA34:TA37"/>
    <mergeCell ref="SZ36:SZ37"/>
    <mergeCell ref="TI34:TI37"/>
    <mergeCell ref="TJ34:TJ37"/>
    <mergeCell ref="TK34:TK37"/>
    <mergeCell ref="TL34:TL37"/>
    <mergeCell ref="TM34:TM37"/>
    <mergeCell ref="TN34:TN37"/>
    <mergeCell ref="TO34:TO37"/>
    <mergeCell ref="TP34:TP37"/>
    <mergeCell ref="TQ34:TQ37"/>
    <mergeCell ref="TR34:TR37"/>
    <mergeCell ref="SE34:SE37"/>
    <mergeCell ref="SF34:SF37"/>
    <mergeCell ref="SG34:SG37"/>
    <mergeCell ref="SH34:SH37"/>
    <mergeCell ref="SI34:SI37"/>
    <mergeCell ref="SJ34:SJ37"/>
    <mergeCell ref="SK34:SK37"/>
    <mergeCell ref="SL34:SL37"/>
    <mergeCell ref="SM34:SM37"/>
    <mergeCell ref="SN34:SN37"/>
    <mergeCell ref="SO34:SO37"/>
    <mergeCell ref="SP34:SP37"/>
    <mergeCell ref="SQ34:SQ37"/>
    <mergeCell ref="SR34:SR37"/>
    <mergeCell ref="SS34:SS37"/>
    <mergeCell ref="ST34:ST37"/>
    <mergeCell ref="SU34:SU37"/>
    <mergeCell ref="RO34:RO37"/>
    <mergeCell ref="RP34:RP37"/>
    <mergeCell ref="RQ34:RQ37"/>
    <mergeCell ref="RR34:RR35"/>
    <mergeCell ref="RR36:RR37"/>
    <mergeCell ref="RS34:RS37"/>
    <mergeCell ref="RT34:RT37"/>
    <mergeCell ref="RU34:RU37"/>
    <mergeCell ref="RV34:RV37"/>
    <mergeCell ref="RW34:RW37"/>
    <mergeCell ref="RX34:RX37"/>
    <mergeCell ref="RY34:RY37"/>
    <mergeCell ref="RZ34:RZ37"/>
    <mergeCell ref="SA34:SA37"/>
    <mergeCell ref="SB34:SB37"/>
    <mergeCell ref="SC34:SC37"/>
    <mergeCell ref="SD34:SD37"/>
    <mergeCell ref="QX34:QX37"/>
    <mergeCell ref="QY34:QY37"/>
    <mergeCell ref="QZ34:QZ37"/>
    <mergeCell ref="RA34:RA37"/>
    <mergeCell ref="RB34:RB37"/>
    <mergeCell ref="RC34:RC37"/>
    <mergeCell ref="RD34:RD37"/>
    <mergeCell ref="RE34:RE37"/>
    <mergeCell ref="RF34:RF37"/>
    <mergeCell ref="RG34:RG37"/>
    <mergeCell ref="RH34:RH37"/>
    <mergeCell ref="RI34:RI37"/>
    <mergeCell ref="RJ34:RJ37"/>
    <mergeCell ref="RK34:RK37"/>
    <mergeCell ref="RL34:RL37"/>
    <mergeCell ref="RM34:RM37"/>
    <mergeCell ref="RN34:RN37"/>
    <mergeCell ref="QI34:QI37"/>
    <mergeCell ref="QJ34:QJ35"/>
    <mergeCell ref="QK34:QK37"/>
    <mergeCell ref="QL34:QL37"/>
    <mergeCell ref="QM34:QM37"/>
    <mergeCell ref="QN34:QN37"/>
    <mergeCell ref="QO34:QO37"/>
    <mergeCell ref="QP34:QP37"/>
    <mergeCell ref="QJ36:QJ37"/>
    <mergeCell ref="QQ34:QQ37"/>
    <mergeCell ref="QR34:QR37"/>
    <mergeCell ref="QS34:QS37"/>
    <mergeCell ref="QT34:QT37"/>
    <mergeCell ref="QU34:QU37"/>
    <mergeCell ref="QV34:QV35"/>
    <mergeCell ref="QW34:QW37"/>
    <mergeCell ref="QV36:QV37"/>
    <mergeCell ref="PR34:PR37"/>
    <mergeCell ref="PS34:PS37"/>
    <mergeCell ref="PT34:PT37"/>
    <mergeCell ref="PU34:PU37"/>
    <mergeCell ref="PV34:PV37"/>
    <mergeCell ref="PW34:PW37"/>
    <mergeCell ref="PX34:PX37"/>
    <mergeCell ref="PY34:PY37"/>
    <mergeCell ref="PZ34:PZ37"/>
    <mergeCell ref="QA34:QA37"/>
    <mergeCell ref="QB34:QB37"/>
    <mergeCell ref="QC34:QC37"/>
    <mergeCell ref="QD34:QD37"/>
    <mergeCell ref="QE34:QE37"/>
    <mergeCell ref="QF34:QF37"/>
    <mergeCell ref="QG34:QG37"/>
    <mergeCell ref="QH34:QH37"/>
    <mergeCell ref="PA34:PA37"/>
    <mergeCell ref="PB34:PB37"/>
    <mergeCell ref="PC34:PC37"/>
    <mergeCell ref="PD34:PD37"/>
    <mergeCell ref="PE34:PE37"/>
    <mergeCell ref="PF34:PF37"/>
    <mergeCell ref="PG34:PG37"/>
    <mergeCell ref="PH34:PH37"/>
    <mergeCell ref="PI34:PI37"/>
    <mergeCell ref="PJ34:PJ37"/>
    <mergeCell ref="PK34:PK37"/>
    <mergeCell ref="PL34:PL37"/>
    <mergeCell ref="PM34:PM37"/>
    <mergeCell ref="PN34:PN37"/>
    <mergeCell ref="PO34:PO37"/>
    <mergeCell ref="PP34:PP37"/>
    <mergeCell ref="PQ34:PQ37"/>
    <mergeCell ref="OL34:OL37"/>
    <mergeCell ref="OJ36:OJ37"/>
    <mergeCell ref="OM34:OM37"/>
    <mergeCell ref="ON34:ON37"/>
    <mergeCell ref="OO34:OO37"/>
    <mergeCell ref="OP34:OP37"/>
    <mergeCell ref="OQ34:OQ37"/>
    <mergeCell ref="OR34:OR35"/>
    <mergeCell ref="OS34:OS37"/>
    <mergeCell ref="OR36:OR37"/>
    <mergeCell ref="OT34:OT37"/>
    <mergeCell ref="OU34:OU37"/>
    <mergeCell ref="OV34:OV37"/>
    <mergeCell ref="OW34:OW37"/>
    <mergeCell ref="OX34:OX37"/>
    <mergeCell ref="OY34:OY37"/>
    <mergeCell ref="OZ34:OZ37"/>
    <mergeCell ref="OD34:OD37"/>
    <mergeCell ref="OE34:OE37"/>
    <mergeCell ref="NT34:NT35"/>
    <mergeCell ref="NT36:NT37"/>
    <mergeCell ref="NR34:NR35"/>
    <mergeCell ref="NS34:NS37"/>
    <mergeCell ref="NU34:NU37"/>
    <mergeCell ref="NV34:NV37"/>
    <mergeCell ref="NW34:NW37"/>
    <mergeCell ref="NX34:NX37"/>
    <mergeCell ref="NR36:NR37"/>
    <mergeCell ref="OF34:OF37"/>
    <mergeCell ref="OG34:OG37"/>
    <mergeCell ref="OH34:OH37"/>
    <mergeCell ref="OI34:OI37"/>
    <mergeCell ref="OJ34:OJ35"/>
    <mergeCell ref="OK34:OK37"/>
    <mergeCell ref="NG34:NG37"/>
    <mergeCell ref="NH34:NH37"/>
    <mergeCell ref="NI34:NI37"/>
    <mergeCell ref="NJ34:NJ37"/>
    <mergeCell ref="NF36:NF37"/>
    <mergeCell ref="NK34:NK37"/>
    <mergeCell ref="NL34:NL37"/>
    <mergeCell ref="NM34:NM37"/>
    <mergeCell ref="NN34:NN37"/>
    <mergeCell ref="NO34:NO37"/>
    <mergeCell ref="NP34:NP37"/>
    <mergeCell ref="NQ34:NQ37"/>
    <mergeCell ref="NY34:NY37"/>
    <mergeCell ref="NZ34:NZ37"/>
    <mergeCell ref="OA34:OA37"/>
    <mergeCell ref="OB34:OB37"/>
    <mergeCell ref="OC34:OC37"/>
    <mergeCell ref="MQ34:MQ37"/>
    <mergeCell ref="MR34:MR35"/>
    <mergeCell ref="MS34:MS37"/>
    <mergeCell ref="MT34:MT37"/>
    <mergeCell ref="MU34:MU37"/>
    <mergeCell ref="MV34:MV37"/>
    <mergeCell ref="MR36:MR37"/>
    <mergeCell ref="MW34:MW37"/>
    <mergeCell ref="MX34:MX37"/>
    <mergeCell ref="MY34:MY37"/>
    <mergeCell ref="MZ34:MZ37"/>
    <mergeCell ref="NA34:NA37"/>
    <mergeCell ref="NB34:NB37"/>
    <mergeCell ref="NC34:NC37"/>
    <mergeCell ref="ND34:ND37"/>
    <mergeCell ref="NE34:NE37"/>
    <mergeCell ref="NF34:NF35"/>
    <mergeCell ref="AV21:AV23"/>
    <mergeCell ref="AW21:AW23"/>
    <mergeCell ref="A21:A23"/>
    <mergeCell ref="B21:B23"/>
    <mergeCell ref="C21:C23"/>
    <mergeCell ref="D21:D23"/>
    <mergeCell ref="E21:E23"/>
    <mergeCell ref="F21:F23"/>
    <mergeCell ref="G21:G23"/>
    <mergeCell ref="MI34:MI37"/>
    <mergeCell ref="MJ34:MJ37"/>
    <mergeCell ref="MK34:MK37"/>
    <mergeCell ref="ML34:ML37"/>
    <mergeCell ref="MM34:MM37"/>
    <mergeCell ref="MN34:MN37"/>
    <mergeCell ref="MO34:MO37"/>
    <mergeCell ref="MP34:MP37"/>
    <mergeCell ref="AE21:AE23"/>
    <mergeCell ref="AF21:AF23"/>
    <mergeCell ref="AG21:AG23"/>
    <mergeCell ref="AH21:AH23"/>
    <mergeCell ref="AI21:AI23"/>
    <mergeCell ref="AJ21:AJ23"/>
    <mergeCell ref="AK21:AK23"/>
    <mergeCell ref="AL21:AL23"/>
    <mergeCell ref="AM21:AM23"/>
    <mergeCell ref="AN21:AN23"/>
    <mergeCell ref="AO21:AO23"/>
    <mergeCell ref="AP21:AP23"/>
    <mergeCell ref="AQ21:AQ23"/>
    <mergeCell ref="AR21:AR23"/>
    <mergeCell ref="AS21:AS23"/>
    <mergeCell ref="AT21:AT23"/>
    <mergeCell ref="AU21:AU23"/>
    <mergeCell ref="LY21:LY23"/>
    <mergeCell ref="LZ21:LZ23"/>
    <mergeCell ref="MA21:MA23"/>
    <mergeCell ref="MB21:MB23"/>
    <mergeCell ref="MC21:MC23"/>
    <mergeCell ref="ME21:ME23"/>
    <mergeCell ref="MF21:MF23"/>
    <mergeCell ref="MG21:MG23"/>
    <mergeCell ref="MD22:MD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Q21:Q23"/>
    <mergeCell ref="R21:R23"/>
    <mergeCell ref="S21:S23"/>
    <mergeCell ref="T21:T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LH21:LH23"/>
    <mergeCell ref="LI21:LI23"/>
    <mergeCell ref="LJ21:LJ23"/>
    <mergeCell ref="LK21:LK23"/>
    <mergeCell ref="LL21:LL23"/>
    <mergeCell ref="LM21:LM23"/>
    <mergeCell ref="LN21:LN23"/>
    <mergeCell ref="LO21:LO23"/>
    <mergeCell ref="LP21:LP23"/>
    <mergeCell ref="LQ21:LQ23"/>
    <mergeCell ref="LR21:LR23"/>
    <mergeCell ref="LS21:LS23"/>
    <mergeCell ref="LT21:LT23"/>
    <mergeCell ref="LU21:LU23"/>
    <mergeCell ref="LV21:LV23"/>
    <mergeCell ref="LW21:LW23"/>
    <mergeCell ref="LX21:LX23"/>
    <mergeCell ref="KQ21:KQ23"/>
    <mergeCell ref="KR21:KR23"/>
    <mergeCell ref="KS21:KS23"/>
    <mergeCell ref="KT21:KT23"/>
    <mergeCell ref="KU21:KU23"/>
    <mergeCell ref="KV21:KV23"/>
    <mergeCell ref="KW21:KW23"/>
    <mergeCell ref="KX21:KX23"/>
    <mergeCell ref="KY21:KY23"/>
    <mergeCell ref="KZ21:KZ23"/>
    <mergeCell ref="LA21:LA23"/>
    <mergeCell ref="LB21:LB23"/>
    <mergeCell ref="LC21:LC23"/>
    <mergeCell ref="LD21:LD23"/>
    <mergeCell ref="LE21:LE23"/>
    <mergeCell ref="LF21:LF23"/>
    <mergeCell ref="LG21:LG23"/>
    <mergeCell ref="JZ21:JZ23"/>
    <mergeCell ref="KA21:KA23"/>
    <mergeCell ref="KB21:KB23"/>
    <mergeCell ref="KC21:KC23"/>
    <mergeCell ref="KD21:KD23"/>
    <mergeCell ref="KE21:KE23"/>
    <mergeCell ref="KF21:KF23"/>
    <mergeCell ref="KG21:KG23"/>
    <mergeCell ref="KH21:KH23"/>
    <mergeCell ref="KI21:KI23"/>
    <mergeCell ref="KJ21:KJ23"/>
    <mergeCell ref="KK21:KK23"/>
    <mergeCell ref="KL21:KL23"/>
    <mergeCell ref="KM21:KM23"/>
    <mergeCell ref="KN21:KN23"/>
    <mergeCell ref="KO21:KO23"/>
    <mergeCell ref="KP21:KP23"/>
    <mergeCell ref="JI21:JI23"/>
    <mergeCell ref="JJ21:JJ23"/>
    <mergeCell ref="JK21:JK23"/>
    <mergeCell ref="JL21:JL23"/>
    <mergeCell ref="JM21:JM23"/>
    <mergeCell ref="JN21:JN23"/>
    <mergeCell ref="JO21:JO23"/>
    <mergeCell ref="JP21:JP23"/>
    <mergeCell ref="JQ21:JQ23"/>
    <mergeCell ref="JR21:JR23"/>
    <mergeCell ref="JS21:JS23"/>
    <mergeCell ref="JT21:JT23"/>
    <mergeCell ref="JU21:JU23"/>
    <mergeCell ref="JV21:JV23"/>
    <mergeCell ref="JW21:JW23"/>
    <mergeCell ref="JX21:JX23"/>
    <mergeCell ref="JY21:JY23"/>
    <mergeCell ref="IR21:IR23"/>
    <mergeCell ref="IS21:IS23"/>
    <mergeCell ref="IT21:IT23"/>
    <mergeCell ref="IU21:IU23"/>
    <mergeCell ref="IV21:IV23"/>
    <mergeCell ref="IW21:IW23"/>
    <mergeCell ref="IX21:IX23"/>
    <mergeCell ref="IY21:IY23"/>
    <mergeCell ref="IZ21:IZ23"/>
    <mergeCell ref="JA21:JA23"/>
    <mergeCell ref="JB21:JB23"/>
    <mergeCell ref="JC21:JC23"/>
    <mergeCell ref="JD21:JD23"/>
    <mergeCell ref="JE21:JE23"/>
    <mergeCell ref="JF21:JF23"/>
    <mergeCell ref="JG21:JG23"/>
    <mergeCell ref="JH21:JH23"/>
    <mergeCell ref="IA21:IA23"/>
    <mergeCell ref="IB21:IB23"/>
    <mergeCell ref="IC21:IC23"/>
    <mergeCell ref="ID21:ID23"/>
    <mergeCell ref="IE21:IE23"/>
    <mergeCell ref="IF21:IF23"/>
    <mergeCell ref="IG21:IG23"/>
    <mergeCell ref="IH21:IH23"/>
    <mergeCell ref="II21:II23"/>
    <mergeCell ref="IJ21:IJ23"/>
    <mergeCell ref="IK21:IK23"/>
    <mergeCell ref="IL21:IL23"/>
    <mergeCell ref="IM21:IM23"/>
    <mergeCell ref="IN21:IN23"/>
    <mergeCell ref="IO21:IO23"/>
    <mergeCell ref="IP21:IP23"/>
    <mergeCell ref="IQ21:IQ23"/>
    <mergeCell ref="HJ21:HJ23"/>
    <mergeCell ref="HK21:HK23"/>
    <mergeCell ref="HL21:HL23"/>
    <mergeCell ref="HM21:HM23"/>
    <mergeCell ref="HN21:HN23"/>
    <mergeCell ref="HO21:HO23"/>
    <mergeCell ref="HP21:HP23"/>
    <mergeCell ref="HQ21:HQ23"/>
    <mergeCell ref="HR21:HR23"/>
    <mergeCell ref="HS21:HS23"/>
    <mergeCell ref="HT21:HT23"/>
    <mergeCell ref="HU21:HU23"/>
    <mergeCell ref="HV21:HV23"/>
    <mergeCell ref="HW21:HW23"/>
    <mergeCell ref="HX21:HX23"/>
    <mergeCell ref="HY21:HY23"/>
    <mergeCell ref="HZ21:HZ23"/>
    <mergeCell ref="GS21:GS23"/>
    <mergeCell ref="GT21:GT23"/>
    <mergeCell ref="GU21:GU23"/>
    <mergeCell ref="GV21:GV23"/>
    <mergeCell ref="GW21:GW23"/>
    <mergeCell ref="GX21:GX23"/>
    <mergeCell ref="GY21:GY23"/>
    <mergeCell ref="GZ21:GZ23"/>
    <mergeCell ref="HA21:HA23"/>
    <mergeCell ref="HB21:HB23"/>
    <mergeCell ref="HC21:HC23"/>
    <mergeCell ref="HD21:HD23"/>
    <mergeCell ref="HE21:HE23"/>
    <mergeCell ref="HF21:HF23"/>
    <mergeCell ref="HG21:HG23"/>
    <mergeCell ref="HH21:HH23"/>
    <mergeCell ref="HI21:HI23"/>
    <mergeCell ref="GB21:GB23"/>
    <mergeCell ref="GC21:GC23"/>
    <mergeCell ref="GD21:GD23"/>
    <mergeCell ref="GE21:GE23"/>
    <mergeCell ref="GF21:GF23"/>
    <mergeCell ref="GG21:GG23"/>
    <mergeCell ref="GH21:GH23"/>
    <mergeCell ref="GI21:GI23"/>
    <mergeCell ref="GJ21:GJ23"/>
    <mergeCell ref="GK21:GK23"/>
    <mergeCell ref="GL21:GL23"/>
    <mergeCell ref="GM21:GM23"/>
    <mergeCell ref="GN21:GN23"/>
    <mergeCell ref="GO21:GO23"/>
    <mergeCell ref="GP21:GP23"/>
    <mergeCell ref="GQ21:GQ23"/>
    <mergeCell ref="GR21:GR23"/>
    <mergeCell ref="FL21:FL23"/>
    <mergeCell ref="FM21:FM23"/>
    <mergeCell ref="FJ22:FJ23"/>
    <mergeCell ref="FN21:FN23"/>
    <mergeCell ref="FO21:FO23"/>
    <mergeCell ref="FP21:FP23"/>
    <mergeCell ref="FQ21:FQ23"/>
    <mergeCell ref="FR21:FR23"/>
    <mergeCell ref="FS21:FS23"/>
    <mergeCell ref="FT21:FT23"/>
    <mergeCell ref="FU21:FU23"/>
    <mergeCell ref="FV21:FV23"/>
    <mergeCell ref="FW21:FW23"/>
    <mergeCell ref="FX21:FX23"/>
    <mergeCell ref="FY21:FY23"/>
    <mergeCell ref="FZ21:FZ23"/>
    <mergeCell ref="GA21:GA23"/>
    <mergeCell ref="ET21:ET23"/>
    <mergeCell ref="EU21:EU23"/>
    <mergeCell ref="EV21:EV23"/>
    <mergeCell ref="EW21:EW23"/>
    <mergeCell ref="EX21:EX23"/>
    <mergeCell ref="EY21:EY23"/>
    <mergeCell ref="EZ21:EZ23"/>
    <mergeCell ref="FA21:FA23"/>
    <mergeCell ref="FB21:FB23"/>
    <mergeCell ref="FC21:FC23"/>
    <mergeCell ref="FD21:FD23"/>
    <mergeCell ref="FE21:FE23"/>
    <mergeCell ref="FF21:FF23"/>
    <mergeCell ref="FG21:FG23"/>
    <mergeCell ref="FH21:FH23"/>
    <mergeCell ref="FI21:FI23"/>
    <mergeCell ref="FK21:FK23"/>
    <mergeCell ref="EC21:EC23"/>
    <mergeCell ref="ED21:ED23"/>
    <mergeCell ref="EE21:EE23"/>
    <mergeCell ref="EF21:EF23"/>
    <mergeCell ref="EG21:EG23"/>
    <mergeCell ref="EH21:EH23"/>
    <mergeCell ref="EI21:EI23"/>
    <mergeCell ref="EJ21:EJ23"/>
    <mergeCell ref="EK21:EK23"/>
    <mergeCell ref="EL21:EL23"/>
    <mergeCell ref="EM21:EM23"/>
    <mergeCell ref="EN21:EN23"/>
    <mergeCell ref="EO21:EO23"/>
    <mergeCell ref="EP21:EP23"/>
    <mergeCell ref="EQ21:EQ23"/>
    <mergeCell ref="ER21:ER23"/>
    <mergeCell ref="ES21:ES23"/>
    <mergeCell ref="DL21:DL23"/>
    <mergeCell ref="DM21:DM23"/>
    <mergeCell ref="DN21:DN23"/>
    <mergeCell ref="DO21:DO23"/>
    <mergeCell ref="DP21:DP23"/>
    <mergeCell ref="DQ21:DQ23"/>
    <mergeCell ref="DR21:DR23"/>
    <mergeCell ref="DS21:DS23"/>
    <mergeCell ref="DT21:DT23"/>
    <mergeCell ref="DU21:DU23"/>
    <mergeCell ref="DV21:DV23"/>
    <mergeCell ref="DW21:DW23"/>
    <mergeCell ref="DX21:DX23"/>
    <mergeCell ref="DY21:DY23"/>
    <mergeCell ref="DZ21:DZ23"/>
    <mergeCell ref="EA21:EA23"/>
    <mergeCell ref="EB21:EB23"/>
    <mergeCell ref="CU21:CU23"/>
    <mergeCell ref="CV21:CV23"/>
    <mergeCell ref="CW21:CW23"/>
    <mergeCell ref="CX21:CX23"/>
    <mergeCell ref="CY21:CY23"/>
    <mergeCell ref="CZ21:CZ23"/>
    <mergeCell ref="DA21:DA23"/>
    <mergeCell ref="DB21:DB23"/>
    <mergeCell ref="DC21:DC23"/>
    <mergeCell ref="DD21:DD23"/>
    <mergeCell ref="DE21:DE23"/>
    <mergeCell ref="DF21:DF23"/>
    <mergeCell ref="DG21:DG23"/>
    <mergeCell ref="DH21:DH23"/>
    <mergeCell ref="DI21:DI23"/>
    <mergeCell ref="DJ21:DJ23"/>
    <mergeCell ref="DK21:DK23"/>
    <mergeCell ref="CD21:CD23"/>
    <mergeCell ref="CE21:CE23"/>
    <mergeCell ref="CF21:CF23"/>
    <mergeCell ref="CG21:CG23"/>
    <mergeCell ref="CH21:CH23"/>
    <mergeCell ref="CI21:CI23"/>
    <mergeCell ref="CJ21:CJ23"/>
    <mergeCell ref="CK21:CK23"/>
    <mergeCell ref="CL21:CL23"/>
    <mergeCell ref="CM21:CM23"/>
    <mergeCell ref="CN21:CN23"/>
    <mergeCell ref="CO21:CO23"/>
    <mergeCell ref="CP21:CP23"/>
    <mergeCell ref="CQ21:CQ23"/>
    <mergeCell ref="CR21:CR23"/>
    <mergeCell ref="CS21:CS23"/>
    <mergeCell ref="CT21:CT23"/>
    <mergeCell ref="BM21:BM23"/>
    <mergeCell ref="BN21:BN23"/>
    <mergeCell ref="BO21:BO23"/>
    <mergeCell ref="BP21:BP23"/>
    <mergeCell ref="BQ21:BQ23"/>
    <mergeCell ref="BR21:BR23"/>
    <mergeCell ref="BS21:BS23"/>
    <mergeCell ref="BT21:BT23"/>
    <mergeCell ref="BU21:BU23"/>
    <mergeCell ref="BV21:BV23"/>
    <mergeCell ref="BW21:BW23"/>
    <mergeCell ref="BX21:BX23"/>
    <mergeCell ref="BY21:BY23"/>
    <mergeCell ref="BZ21:BZ23"/>
    <mergeCell ref="CA21:CA23"/>
    <mergeCell ref="CB21:CB23"/>
    <mergeCell ref="CC21:CC23"/>
    <mergeCell ref="XA21:XA23"/>
    <mergeCell ref="XB21:XB23"/>
    <mergeCell ref="XC21:XC23"/>
    <mergeCell ref="XD21:XD23"/>
    <mergeCell ref="XE21:XE23"/>
    <mergeCell ref="XF21:XF23"/>
    <mergeCell ref="XG21:XG23"/>
    <mergeCell ref="XI21:XI23"/>
    <mergeCell ref="XJ21:XJ23"/>
    <mergeCell ref="XH22:XH23"/>
    <mergeCell ref="XK21:XK23"/>
    <mergeCell ref="XL21:XL23"/>
    <mergeCell ref="XM21:XM23"/>
    <mergeCell ref="XN21:XN23"/>
    <mergeCell ref="XO21:XO23"/>
    <mergeCell ref="XQ21:XQ23"/>
    <mergeCell ref="XR21:XR23"/>
    <mergeCell ref="XP22:XP23"/>
    <mergeCell ref="WJ21:WJ23"/>
    <mergeCell ref="WK21:WK23"/>
    <mergeCell ref="WL21:WL23"/>
    <mergeCell ref="WM21:WM23"/>
    <mergeCell ref="WN21:WN23"/>
    <mergeCell ref="WO21:WO23"/>
    <mergeCell ref="WP21:WP23"/>
    <mergeCell ref="WQ21:WQ23"/>
    <mergeCell ref="WR21:WR23"/>
    <mergeCell ref="WS21:WS23"/>
    <mergeCell ref="WT21:WT23"/>
    <mergeCell ref="WU21:WU23"/>
    <mergeCell ref="WV21:WV23"/>
    <mergeCell ref="WW21:WW23"/>
    <mergeCell ref="WX21:WX23"/>
    <mergeCell ref="WY21:WY23"/>
    <mergeCell ref="WZ21:WZ23"/>
    <mergeCell ref="VQ21:VQ23"/>
    <mergeCell ref="VR21:VR23"/>
    <mergeCell ref="VS21:VS23"/>
    <mergeCell ref="XZ21:XZ23"/>
    <mergeCell ref="YA21:YA23"/>
    <mergeCell ref="YB21:YB23"/>
    <mergeCell ref="YC21:YC23"/>
    <mergeCell ref="YD21:YD23"/>
    <mergeCell ref="YE21:YE23"/>
    <mergeCell ref="XS21:XS23"/>
    <mergeCell ref="XT21:XT23"/>
    <mergeCell ref="XU21:XU23"/>
    <mergeCell ref="XV21:XV23"/>
    <mergeCell ref="XW21:XW23"/>
    <mergeCell ref="XX21:XX23"/>
    <mergeCell ref="XY21:XY23"/>
    <mergeCell ref="VT21:VT23"/>
    <mergeCell ref="VU21:VU23"/>
    <mergeCell ref="VV21:VV23"/>
    <mergeCell ref="VW21:VW23"/>
    <mergeCell ref="VX21:VX23"/>
    <mergeCell ref="VY21:VY23"/>
    <mergeCell ref="VZ21:VZ23"/>
    <mergeCell ref="WA21:WA23"/>
    <mergeCell ref="WB21:WB23"/>
    <mergeCell ref="WC21:WC23"/>
    <mergeCell ref="WD21:WD23"/>
    <mergeCell ref="WE21:WE23"/>
    <mergeCell ref="WF21:WF23"/>
    <mergeCell ref="WG21:WG23"/>
    <mergeCell ref="WH21:WH23"/>
    <mergeCell ref="WI21:WI23"/>
    <mergeCell ref="UZ21:UZ23"/>
    <mergeCell ref="VA21:VA23"/>
    <mergeCell ref="VB21:VB23"/>
    <mergeCell ref="VC21:VC23"/>
    <mergeCell ref="VD21:VD23"/>
    <mergeCell ref="VE21:VE23"/>
    <mergeCell ref="VF21:VF23"/>
    <mergeCell ref="VG21:VG23"/>
    <mergeCell ref="VH21:VH23"/>
    <mergeCell ref="VI21:VI23"/>
    <mergeCell ref="VJ21:VJ23"/>
    <mergeCell ref="VK21:VK23"/>
    <mergeCell ref="VL21:VL23"/>
    <mergeCell ref="VM21:VM23"/>
    <mergeCell ref="VN21:VN23"/>
    <mergeCell ref="VO21:VO23"/>
    <mergeCell ref="VP21:VP23"/>
    <mergeCell ref="UI21:UI23"/>
    <mergeCell ref="UJ21:UJ23"/>
    <mergeCell ref="UK21:UK23"/>
    <mergeCell ref="UL21:UL23"/>
    <mergeCell ref="UM21:UM23"/>
    <mergeCell ref="UN21:UN23"/>
    <mergeCell ref="UO21:UO23"/>
    <mergeCell ref="UP21:UP23"/>
    <mergeCell ref="UQ21:UQ23"/>
    <mergeCell ref="UR21:UR23"/>
    <mergeCell ref="US21:US23"/>
    <mergeCell ref="UT21:UT23"/>
    <mergeCell ref="UU21:UU23"/>
    <mergeCell ref="UV21:UV23"/>
    <mergeCell ref="UW21:UW23"/>
    <mergeCell ref="UX21:UX23"/>
    <mergeCell ref="UY21:UY23"/>
    <mergeCell ref="TR21:TR23"/>
    <mergeCell ref="TS21:TS23"/>
    <mergeCell ref="TT21:TT23"/>
    <mergeCell ref="TU21:TU23"/>
    <mergeCell ref="TV21:TV23"/>
    <mergeCell ref="TW21:TW23"/>
    <mergeCell ref="TX21:TX23"/>
    <mergeCell ref="TY21:TY23"/>
    <mergeCell ref="TZ21:TZ23"/>
    <mergeCell ref="UA21:UA23"/>
    <mergeCell ref="UB21:UB23"/>
    <mergeCell ref="UC21:UC23"/>
    <mergeCell ref="UD21:UD23"/>
    <mergeCell ref="UE21:UE23"/>
    <mergeCell ref="UF21:UF23"/>
    <mergeCell ref="UG21:UG23"/>
    <mergeCell ref="UH21:UH23"/>
    <mergeCell ref="TA21:TA23"/>
    <mergeCell ref="TB21:TB23"/>
    <mergeCell ref="TC21:TC23"/>
    <mergeCell ref="TD21:TD23"/>
    <mergeCell ref="TE21:TE23"/>
    <mergeCell ref="TF21:TF23"/>
    <mergeCell ref="TG21:TG23"/>
    <mergeCell ref="TH21:TH23"/>
    <mergeCell ref="TI21:TI23"/>
    <mergeCell ref="TJ21:TJ23"/>
    <mergeCell ref="TK21:TK23"/>
    <mergeCell ref="TL21:TL23"/>
    <mergeCell ref="TM21:TM23"/>
    <mergeCell ref="TN21:TN23"/>
    <mergeCell ref="TO21:TO23"/>
    <mergeCell ref="TP21:TP23"/>
    <mergeCell ref="TQ21:TQ23"/>
    <mergeCell ref="SJ21:SJ23"/>
    <mergeCell ref="SK21:SK23"/>
    <mergeCell ref="SL21:SL23"/>
    <mergeCell ref="SM21:SM23"/>
    <mergeCell ref="SN21:SN23"/>
    <mergeCell ref="SO21:SO23"/>
    <mergeCell ref="SP21:SP23"/>
    <mergeCell ref="SQ21:SQ23"/>
    <mergeCell ref="SR21:SR23"/>
    <mergeCell ref="SS21:SS23"/>
    <mergeCell ref="ST21:ST23"/>
    <mergeCell ref="SU21:SU23"/>
    <mergeCell ref="SV21:SV23"/>
    <mergeCell ref="SW21:SW23"/>
    <mergeCell ref="SX21:SX23"/>
    <mergeCell ref="SY21:SY23"/>
    <mergeCell ref="SZ21:SZ23"/>
    <mergeCell ref="RS21:RS23"/>
    <mergeCell ref="RT21:RT23"/>
    <mergeCell ref="RU21:RU23"/>
    <mergeCell ref="RV21:RV23"/>
    <mergeCell ref="RW21:RW23"/>
    <mergeCell ref="RX21:RX23"/>
    <mergeCell ref="RY21:RY23"/>
    <mergeCell ref="RZ21:RZ23"/>
    <mergeCell ref="SA21:SA23"/>
    <mergeCell ref="SB21:SB23"/>
    <mergeCell ref="SC21:SC23"/>
    <mergeCell ref="SD21:SD23"/>
    <mergeCell ref="SE21:SE23"/>
    <mergeCell ref="SF21:SF23"/>
    <mergeCell ref="SG21:SG23"/>
    <mergeCell ref="SH21:SH23"/>
    <mergeCell ref="SI21:SI23"/>
    <mergeCell ref="RB21:RB23"/>
    <mergeCell ref="RC21:RC23"/>
    <mergeCell ref="RD21:RD23"/>
    <mergeCell ref="RE21:RE23"/>
    <mergeCell ref="RF21:RF23"/>
    <mergeCell ref="RG21:RG23"/>
    <mergeCell ref="RH21:RH23"/>
    <mergeCell ref="RI21:RI23"/>
    <mergeCell ref="RJ21:RJ23"/>
    <mergeCell ref="RK21:RK23"/>
    <mergeCell ref="RL21:RL23"/>
    <mergeCell ref="RM21:RM23"/>
    <mergeCell ref="RN21:RN23"/>
    <mergeCell ref="RO21:RO23"/>
    <mergeCell ref="RP21:RP23"/>
    <mergeCell ref="RQ21:RQ23"/>
    <mergeCell ref="RR21:RR23"/>
    <mergeCell ref="QL21:QL23"/>
    <mergeCell ref="QM21:QM23"/>
    <mergeCell ref="QN21:QN23"/>
    <mergeCell ref="QO21:QO23"/>
    <mergeCell ref="QP21:QP23"/>
    <mergeCell ref="QJ22:QJ23"/>
    <mergeCell ref="QQ21:QQ23"/>
    <mergeCell ref="QR21:QR23"/>
    <mergeCell ref="QS21:QS23"/>
    <mergeCell ref="QT21:QT23"/>
    <mergeCell ref="QU21:QU23"/>
    <mergeCell ref="QV21:QV23"/>
    <mergeCell ref="QW21:QW23"/>
    <mergeCell ref="QX21:QX23"/>
    <mergeCell ref="QY21:QY23"/>
    <mergeCell ref="QZ21:QZ23"/>
    <mergeCell ref="RA21:RA23"/>
    <mergeCell ref="PT21:PT23"/>
    <mergeCell ref="PU21:PU23"/>
    <mergeCell ref="PV21:PV23"/>
    <mergeCell ref="PW21:PW23"/>
    <mergeCell ref="PX21:PX23"/>
    <mergeCell ref="PY21:PY23"/>
    <mergeCell ref="PZ21:PZ23"/>
    <mergeCell ref="QA21:QA23"/>
    <mergeCell ref="QB21:QB23"/>
    <mergeCell ref="QC21:QC23"/>
    <mergeCell ref="QD21:QD23"/>
    <mergeCell ref="QE21:QE23"/>
    <mergeCell ref="QF21:QF23"/>
    <mergeCell ref="QG21:QG23"/>
    <mergeCell ref="QH21:QH23"/>
    <mergeCell ref="QI21:QI23"/>
    <mergeCell ref="QK21:QK23"/>
    <mergeCell ref="PC21:PC23"/>
    <mergeCell ref="PD21:PD23"/>
    <mergeCell ref="PE21:PE23"/>
    <mergeCell ref="PF21:PF23"/>
    <mergeCell ref="PG21:PG23"/>
    <mergeCell ref="PH21:PH23"/>
    <mergeCell ref="PI21:PI23"/>
    <mergeCell ref="PJ21:PJ23"/>
    <mergeCell ref="PK21:PK23"/>
    <mergeCell ref="PL21:PL23"/>
    <mergeCell ref="PM21:PM23"/>
    <mergeCell ref="PN21:PN23"/>
    <mergeCell ref="PO21:PO23"/>
    <mergeCell ref="PP21:PP23"/>
    <mergeCell ref="PQ21:PQ23"/>
    <mergeCell ref="PR21:PR23"/>
    <mergeCell ref="PS21:PS23"/>
    <mergeCell ref="OL21:OL23"/>
    <mergeCell ref="OM21:OM23"/>
    <mergeCell ref="ON21:ON23"/>
    <mergeCell ref="OO21:OO23"/>
    <mergeCell ref="OP21:OP23"/>
    <mergeCell ref="OQ21:OQ23"/>
    <mergeCell ref="OR21:OR23"/>
    <mergeCell ref="OS21:OS23"/>
    <mergeCell ref="OT21:OT23"/>
    <mergeCell ref="OU21:OU23"/>
    <mergeCell ref="OV21:OV23"/>
    <mergeCell ref="OW21:OW23"/>
    <mergeCell ref="OX21:OX23"/>
    <mergeCell ref="OY21:OY23"/>
    <mergeCell ref="OZ21:OZ23"/>
    <mergeCell ref="PA21:PA23"/>
    <mergeCell ref="PB21:PB23"/>
    <mergeCell ref="NU21:NU23"/>
    <mergeCell ref="NV21:NV23"/>
    <mergeCell ref="NW21:NW23"/>
    <mergeCell ref="NX21:NX23"/>
    <mergeCell ref="NY21:NY23"/>
    <mergeCell ref="NZ21:NZ23"/>
    <mergeCell ref="OA21:OA23"/>
    <mergeCell ref="OB21:OB23"/>
    <mergeCell ref="OC21:OC23"/>
    <mergeCell ref="OD21:OD23"/>
    <mergeCell ref="OE21:OE23"/>
    <mergeCell ref="OF21:OF23"/>
    <mergeCell ref="OG21:OG23"/>
    <mergeCell ref="OH21:OH23"/>
    <mergeCell ref="OI21:OI23"/>
    <mergeCell ref="OJ21:OJ23"/>
    <mergeCell ref="OK21:OK23"/>
    <mergeCell ref="ND21:ND23"/>
    <mergeCell ref="NE21:NE23"/>
    <mergeCell ref="NF21:NF23"/>
    <mergeCell ref="NG21:NG23"/>
    <mergeCell ref="NH21:NH23"/>
    <mergeCell ref="NI21:NI23"/>
    <mergeCell ref="NJ21:NJ23"/>
    <mergeCell ref="NK21:NK23"/>
    <mergeCell ref="NL21:NL23"/>
    <mergeCell ref="NM21:NM23"/>
    <mergeCell ref="NN21:NN23"/>
    <mergeCell ref="NO21:NO23"/>
    <mergeCell ref="NP21:NP23"/>
    <mergeCell ref="NQ21:NQ23"/>
    <mergeCell ref="NR21:NR23"/>
    <mergeCell ref="NS21:NS23"/>
    <mergeCell ref="NT21:NT23"/>
    <mergeCell ref="MM21:MM23"/>
    <mergeCell ref="MN21:MN23"/>
    <mergeCell ref="MO21:MO23"/>
    <mergeCell ref="MP21:MP23"/>
    <mergeCell ref="MQ21:MQ23"/>
    <mergeCell ref="MR21:MR23"/>
    <mergeCell ref="MS21:MS23"/>
    <mergeCell ref="MT21:MT23"/>
    <mergeCell ref="MU21:MU23"/>
    <mergeCell ref="MV21:MV23"/>
    <mergeCell ref="MW21:MW23"/>
    <mergeCell ref="MX21:MX23"/>
    <mergeCell ref="MY21:MY23"/>
    <mergeCell ref="MZ21:MZ23"/>
    <mergeCell ref="NA21:NA23"/>
    <mergeCell ref="NB21:NB23"/>
    <mergeCell ref="NC21:NC23"/>
    <mergeCell ref="AS18:AS20"/>
    <mergeCell ref="AT18:AT20"/>
    <mergeCell ref="AU18:AU20"/>
    <mergeCell ref="AV18:AV20"/>
    <mergeCell ref="AW18:AW20"/>
    <mergeCell ref="A18:A20"/>
    <mergeCell ref="B18:B20"/>
    <mergeCell ref="C18:C20"/>
    <mergeCell ref="D18:D20"/>
    <mergeCell ref="E18:E20"/>
    <mergeCell ref="F18:F20"/>
    <mergeCell ref="G18:G20"/>
    <mergeCell ref="MH21:MH23"/>
    <mergeCell ref="MI21:MI23"/>
    <mergeCell ref="MJ21:MJ23"/>
    <mergeCell ref="MK21:MK23"/>
    <mergeCell ref="ML21:ML23"/>
    <mergeCell ref="AX21:AX23"/>
    <mergeCell ref="AY21:AY23"/>
    <mergeCell ref="AZ21:AZ23"/>
    <mergeCell ref="BA21:BA23"/>
    <mergeCell ref="BB21:BB23"/>
    <mergeCell ref="BC21:BC23"/>
    <mergeCell ref="BD21:BD23"/>
    <mergeCell ref="BE21:BE23"/>
    <mergeCell ref="BF21:BF23"/>
    <mergeCell ref="BG21:BG23"/>
    <mergeCell ref="BH21:BH23"/>
    <mergeCell ref="BI21:BI23"/>
    <mergeCell ref="BJ21:BJ23"/>
    <mergeCell ref="BK21:BK23"/>
    <mergeCell ref="BL21:BL23"/>
    <mergeCell ref="AB18:AB20"/>
    <mergeCell ref="AC18:AC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LX18:LX20"/>
    <mergeCell ref="LY18:LY20"/>
    <mergeCell ref="LZ18:LZ20"/>
    <mergeCell ref="MA18:MA20"/>
    <mergeCell ref="MB18:MB20"/>
    <mergeCell ref="MC18:MC20"/>
    <mergeCell ref="MD18:MD20"/>
    <mergeCell ref="ME18:ME20"/>
    <mergeCell ref="MF18:MF20"/>
    <mergeCell ref="MG18:MG20"/>
    <mergeCell ref="MH18:MH20"/>
    <mergeCell ref="MI18:MI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X18:X20"/>
    <mergeCell ref="Y18:Y20"/>
    <mergeCell ref="Z18:Z20"/>
    <mergeCell ref="AA18:AA20"/>
    <mergeCell ref="LG18:LG20"/>
    <mergeCell ref="LH18:LH20"/>
    <mergeCell ref="LI18:LI20"/>
    <mergeCell ref="LJ18:LJ20"/>
    <mergeCell ref="LK18:LK20"/>
    <mergeCell ref="LL18:LL20"/>
    <mergeCell ref="LM18:LM20"/>
    <mergeCell ref="LN18:LN20"/>
    <mergeCell ref="LO18:LO20"/>
    <mergeCell ref="LP18:LP20"/>
    <mergeCell ref="LQ18:LQ20"/>
    <mergeCell ref="LR18:LR20"/>
    <mergeCell ref="LS18:LS20"/>
    <mergeCell ref="LT18:LT20"/>
    <mergeCell ref="LU18:LU20"/>
    <mergeCell ref="LV18:LV20"/>
    <mergeCell ref="LW18:LW20"/>
    <mergeCell ref="KP18:KP20"/>
    <mergeCell ref="KQ18:KQ20"/>
    <mergeCell ref="KR18:KR20"/>
    <mergeCell ref="KS18:KS20"/>
    <mergeCell ref="KT18:KT20"/>
    <mergeCell ref="KU18:KU20"/>
    <mergeCell ref="KV18:KV20"/>
    <mergeCell ref="KW18:KW20"/>
    <mergeCell ref="KX18:KX20"/>
    <mergeCell ref="KY18:KY20"/>
    <mergeCell ref="KZ18:KZ20"/>
    <mergeCell ref="LA18:LA20"/>
    <mergeCell ref="LB18:LB20"/>
    <mergeCell ref="LC18:LC20"/>
    <mergeCell ref="LD18:LD20"/>
    <mergeCell ref="LE18:LE20"/>
    <mergeCell ref="LF18:LF20"/>
    <mergeCell ref="JY18:JY20"/>
    <mergeCell ref="JZ18:JZ20"/>
    <mergeCell ref="KA18:KA20"/>
    <mergeCell ref="KB18:KB20"/>
    <mergeCell ref="KC18:KC20"/>
    <mergeCell ref="KD18:KD20"/>
    <mergeCell ref="KE18:KE20"/>
    <mergeCell ref="KF18:KF20"/>
    <mergeCell ref="KG18:KG20"/>
    <mergeCell ref="KH18:KH20"/>
    <mergeCell ref="KI18:KI20"/>
    <mergeCell ref="KJ18:KJ20"/>
    <mergeCell ref="KK18:KK20"/>
    <mergeCell ref="KL18:KL20"/>
    <mergeCell ref="KM18:KM20"/>
    <mergeCell ref="KN18:KN20"/>
    <mergeCell ref="KO18:KO20"/>
    <mergeCell ref="JH18:JH20"/>
    <mergeCell ref="JI18:JI20"/>
    <mergeCell ref="JJ18:JJ20"/>
    <mergeCell ref="JK18:JK20"/>
    <mergeCell ref="JL18:JL20"/>
    <mergeCell ref="JM18:JM20"/>
    <mergeCell ref="JN18:JN20"/>
    <mergeCell ref="JO18:JO20"/>
    <mergeCell ref="JP18:JP20"/>
    <mergeCell ref="JQ18:JQ20"/>
    <mergeCell ref="JR18:JR20"/>
    <mergeCell ref="JS18:JS20"/>
    <mergeCell ref="JT18:JT20"/>
    <mergeCell ref="JU18:JU20"/>
    <mergeCell ref="JV18:JV20"/>
    <mergeCell ref="JW18:JW20"/>
    <mergeCell ref="JX18:JX20"/>
    <mergeCell ref="IQ18:IQ20"/>
    <mergeCell ref="IR18:IR20"/>
    <mergeCell ref="IS18:IS20"/>
    <mergeCell ref="IT18:IT20"/>
    <mergeCell ref="IU18:IU20"/>
    <mergeCell ref="IV18:IV20"/>
    <mergeCell ref="IW18:IW20"/>
    <mergeCell ref="IX18:IX20"/>
    <mergeCell ref="IY18:IY20"/>
    <mergeCell ref="IZ18:IZ20"/>
    <mergeCell ref="JA18:JA20"/>
    <mergeCell ref="JB18:JB20"/>
    <mergeCell ref="JC18:JC20"/>
    <mergeCell ref="JD18:JD20"/>
    <mergeCell ref="JE18:JE20"/>
    <mergeCell ref="JF18:JF20"/>
    <mergeCell ref="JG18:JG20"/>
    <mergeCell ref="HZ18:HZ20"/>
    <mergeCell ref="IA18:IA20"/>
    <mergeCell ref="IB18:IB20"/>
    <mergeCell ref="IC18:IC20"/>
    <mergeCell ref="ID18:ID20"/>
    <mergeCell ref="IE18:IE20"/>
    <mergeCell ref="IF18:IF20"/>
    <mergeCell ref="IG18:IG20"/>
    <mergeCell ref="IH18:IH20"/>
    <mergeCell ref="II18:II20"/>
    <mergeCell ref="IJ18:IJ20"/>
    <mergeCell ref="IK18:IK20"/>
    <mergeCell ref="IL18:IL20"/>
    <mergeCell ref="IM18:IM20"/>
    <mergeCell ref="IN18:IN20"/>
    <mergeCell ref="IO18:IO20"/>
    <mergeCell ref="IP18:IP20"/>
    <mergeCell ref="HI18:HI20"/>
    <mergeCell ref="HJ18:HJ20"/>
    <mergeCell ref="HK18:HK20"/>
    <mergeCell ref="HL18:HL20"/>
    <mergeCell ref="HM18:HM20"/>
    <mergeCell ref="HN18:HN20"/>
    <mergeCell ref="HO18:HO20"/>
    <mergeCell ref="HP18:HP20"/>
    <mergeCell ref="HQ18:HQ20"/>
    <mergeCell ref="HR18:HR20"/>
    <mergeCell ref="HS18:HS20"/>
    <mergeCell ref="HT18:HT20"/>
    <mergeCell ref="HU18:HU20"/>
    <mergeCell ref="HV18:HV20"/>
    <mergeCell ref="HW18:HW20"/>
    <mergeCell ref="HX18:HX20"/>
    <mergeCell ref="HY18:HY20"/>
    <mergeCell ref="GR18:GR20"/>
    <mergeCell ref="GS18:GS20"/>
    <mergeCell ref="GT18:GT20"/>
    <mergeCell ref="GU18:GU20"/>
    <mergeCell ref="GV18:GV20"/>
    <mergeCell ref="GW18:GW20"/>
    <mergeCell ref="GX18:GX20"/>
    <mergeCell ref="GY18:GY20"/>
    <mergeCell ref="GZ18:GZ20"/>
    <mergeCell ref="HA18:HA20"/>
    <mergeCell ref="HB18:HB20"/>
    <mergeCell ref="HC18:HC20"/>
    <mergeCell ref="HD18:HD20"/>
    <mergeCell ref="HE18:HE20"/>
    <mergeCell ref="HF18:HF20"/>
    <mergeCell ref="HG18:HG20"/>
    <mergeCell ref="HH18:HH20"/>
    <mergeCell ref="GA18:GA20"/>
    <mergeCell ref="GB18:GB20"/>
    <mergeCell ref="GC18:GC20"/>
    <mergeCell ref="GE18:GE20"/>
    <mergeCell ref="GF18:GF20"/>
    <mergeCell ref="GG18:GG20"/>
    <mergeCell ref="GH18:GH20"/>
    <mergeCell ref="GI18:GI20"/>
    <mergeCell ref="GJ18:GJ20"/>
    <mergeCell ref="GK18:GK20"/>
    <mergeCell ref="GD19:GD20"/>
    <mergeCell ref="GL18:GL20"/>
    <mergeCell ref="GM18:GM20"/>
    <mergeCell ref="GN18:GN20"/>
    <mergeCell ref="GO18:GO20"/>
    <mergeCell ref="GP18:GP20"/>
    <mergeCell ref="GQ18:GQ20"/>
    <mergeCell ref="FK18:FK20"/>
    <mergeCell ref="FL18:FL20"/>
    <mergeCell ref="FM18:FM20"/>
    <mergeCell ref="FN18:FN20"/>
    <mergeCell ref="FH19:FH20"/>
    <mergeCell ref="FO18:FO20"/>
    <mergeCell ref="FP18:FP20"/>
    <mergeCell ref="FQ18:FQ20"/>
    <mergeCell ref="FS18:FS20"/>
    <mergeCell ref="FT18:FT20"/>
    <mergeCell ref="FU18:FU20"/>
    <mergeCell ref="FV18:FV20"/>
    <mergeCell ref="FR19:FR20"/>
    <mergeCell ref="FW18:FW20"/>
    <mergeCell ref="FX18:FX20"/>
    <mergeCell ref="FY18:FY20"/>
    <mergeCell ref="FZ18:FZ20"/>
    <mergeCell ref="ES18:ES20"/>
    <mergeCell ref="ET18:ET20"/>
    <mergeCell ref="EU18:EU20"/>
    <mergeCell ref="EV18:EV20"/>
    <mergeCell ref="EW18:EW20"/>
    <mergeCell ref="EX18:EX20"/>
    <mergeCell ref="EY18:EY20"/>
    <mergeCell ref="EZ18:EZ20"/>
    <mergeCell ref="FA18:FA20"/>
    <mergeCell ref="FB18:FB20"/>
    <mergeCell ref="FC18:FC20"/>
    <mergeCell ref="FD18:FD20"/>
    <mergeCell ref="FE18:FE20"/>
    <mergeCell ref="FF18:FF20"/>
    <mergeCell ref="FG18:FG20"/>
    <mergeCell ref="FI18:FI20"/>
    <mergeCell ref="FJ18:FJ20"/>
    <mergeCell ref="EB18:EB20"/>
    <mergeCell ref="EC18:EC20"/>
    <mergeCell ref="ED18:ED20"/>
    <mergeCell ref="EE18:EE20"/>
    <mergeCell ref="EF18:EF20"/>
    <mergeCell ref="EG18:EG20"/>
    <mergeCell ref="EH18:EH20"/>
    <mergeCell ref="EI18:EI20"/>
    <mergeCell ref="EJ18:EJ20"/>
    <mergeCell ref="EK18:EK20"/>
    <mergeCell ref="EL18:EL20"/>
    <mergeCell ref="EM18:EM20"/>
    <mergeCell ref="EN18:EN20"/>
    <mergeCell ref="EO18:EO20"/>
    <mergeCell ref="EP18:EP20"/>
    <mergeCell ref="EQ18:EQ20"/>
    <mergeCell ref="ER18:ER20"/>
    <mergeCell ref="DK18:DK20"/>
    <mergeCell ref="DL18:DL20"/>
    <mergeCell ref="DM18:DM20"/>
    <mergeCell ref="DN18:DN20"/>
    <mergeCell ref="DO18:DO20"/>
    <mergeCell ref="DP18:DP20"/>
    <mergeCell ref="DQ18:DQ20"/>
    <mergeCell ref="DR18:DR20"/>
    <mergeCell ref="DS18:DS20"/>
    <mergeCell ref="DT18:DT20"/>
    <mergeCell ref="DU18:DU20"/>
    <mergeCell ref="DV18:DV20"/>
    <mergeCell ref="DW18:DW20"/>
    <mergeCell ref="DX18:DX20"/>
    <mergeCell ref="DY18:DY20"/>
    <mergeCell ref="DZ18:DZ20"/>
    <mergeCell ref="EA18:EA20"/>
    <mergeCell ref="CT18:CT20"/>
    <mergeCell ref="CU18:CU20"/>
    <mergeCell ref="CV18:CV20"/>
    <mergeCell ref="CW18:CW20"/>
    <mergeCell ref="CX18:CX20"/>
    <mergeCell ref="CY18:CY20"/>
    <mergeCell ref="CZ18:CZ20"/>
    <mergeCell ref="DA18:DA20"/>
    <mergeCell ref="DB18:DB20"/>
    <mergeCell ref="DC18:DC20"/>
    <mergeCell ref="DD18:DD20"/>
    <mergeCell ref="DE18:DE20"/>
    <mergeCell ref="DF18:DF20"/>
    <mergeCell ref="DG18:DG20"/>
    <mergeCell ref="DH18:DH20"/>
    <mergeCell ref="DI18:DI20"/>
    <mergeCell ref="DJ18:DJ20"/>
    <mergeCell ref="CC18:CC20"/>
    <mergeCell ref="CE18:CE20"/>
    <mergeCell ref="CF18:CF20"/>
    <mergeCell ref="CG18:CG20"/>
    <mergeCell ref="CD19:CD20"/>
    <mergeCell ref="CH18:CH20"/>
    <mergeCell ref="CI18:CI20"/>
    <mergeCell ref="CJ18:CJ20"/>
    <mergeCell ref="CK18:CK20"/>
    <mergeCell ref="CL18:CL20"/>
    <mergeCell ref="CM18:CM20"/>
    <mergeCell ref="CN18:CN20"/>
    <mergeCell ref="CO18:CO20"/>
    <mergeCell ref="CP18:CP20"/>
    <mergeCell ref="CQ18:CQ20"/>
    <mergeCell ref="CR18:CR20"/>
    <mergeCell ref="CS18:CS20"/>
    <mergeCell ref="XC18:XC20"/>
    <mergeCell ref="XD18:XD20"/>
    <mergeCell ref="XE18:XE20"/>
    <mergeCell ref="XF18:XF20"/>
    <mergeCell ref="XG18:XG20"/>
    <mergeCell ref="XH18:XH20"/>
    <mergeCell ref="XI18:XI20"/>
    <mergeCell ref="XK18:XK20"/>
    <mergeCell ref="XJ19:XJ20"/>
    <mergeCell ref="XL18:XL20"/>
    <mergeCell ref="XM18:XM20"/>
    <mergeCell ref="XN18:XN20"/>
    <mergeCell ref="XO18:XO20"/>
    <mergeCell ref="XP18:XP20"/>
    <mergeCell ref="XQ18:XQ20"/>
    <mergeCell ref="XR18:XR20"/>
    <mergeCell ref="AX18:AX20"/>
    <mergeCell ref="AY18:AY20"/>
    <mergeCell ref="AZ18:AZ20"/>
    <mergeCell ref="BA18:BA20"/>
    <mergeCell ref="BB18:BB20"/>
    <mergeCell ref="BC18:BC20"/>
    <mergeCell ref="BD18:BD20"/>
    <mergeCell ref="BE18:BE20"/>
    <mergeCell ref="BF18:BF20"/>
    <mergeCell ref="BG18:BG20"/>
    <mergeCell ref="BH18:BH20"/>
    <mergeCell ref="BI18:BI20"/>
    <mergeCell ref="BJ18:BJ20"/>
    <mergeCell ref="BK18:BK20"/>
    <mergeCell ref="BL18:BL20"/>
    <mergeCell ref="BM18:BM20"/>
    <mergeCell ref="WL18:WL20"/>
    <mergeCell ref="WM18:WM20"/>
    <mergeCell ref="WN18:WN20"/>
    <mergeCell ref="WO18:WO20"/>
    <mergeCell ref="WP18:WP20"/>
    <mergeCell ref="WQ18:WQ20"/>
    <mergeCell ref="WR18:WR20"/>
    <mergeCell ref="WS18:WS20"/>
    <mergeCell ref="WT18:WT20"/>
    <mergeCell ref="WU18:WU20"/>
    <mergeCell ref="WV18:WV20"/>
    <mergeCell ref="WW18:WW20"/>
    <mergeCell ref="WX18:WX20"/>
    <mergeCell ref="WY18:WY20"/>
    <mergeCell ref="WZ18:WZ20"/>
    <mergeCell ref="XA18:XA20"/>
    <mergeCell ref="XB18:XB20"/>
    <mergeCell ref="VS18:VS20"/>
    <mergeCell ref="VT18:VT20"/>
    <mergeCell ref="XZ18:XZ20"/>
    <mergeCell ref="YA18:YA20"/>
    <mergeCell ref="YB18:YB20"/>
    <mergeCell ref="YC18:YC20"/>
    <mergeCell ref="YD18:YD20"/>
    <mergeCell ref="YE18:YE20"/>
    <mergeCell ref="XS18:XS20"/>
    <mergeCell ref="XT18:XT20"/>
    <mergeCell ref="XU18:XU20"/>
    <mergeCell ref="XV18:XV20"/>
    <mergeCell ref="XW18:XW20"/>
    <mergeCell ref="XX18:XX20"/>
    <mergeCell ref="XY18:XY20"/>
    <mergeCell ref="VU18:VU20"/>
    <mergeCell ref="VV18:VV20"/>
    <mergeCell ref="VW18:VW20"/>
    <mergeCell ref="VX18:VX20"/>
    <mergeCell ref="VY18:VY20"/>
    <mergeCell ref="VZ18:VZ20"/>
    <mergeCell ref="WA18:WA20"/>
    <mergeCell ref="WB18:WB20"/>
    <mergeCell ref="WC18:WC20"/>
    <mergeCell ref="WD18:WD20"/>
    <mergeCell ref="WE18:WE20"/>
    <mergeCell ref="WF18:WF20"/>
    <mergeCell ref="WG18:WG20"/>
    <mergeCell ref="WH18:WH20"/>
    <mergeCell ref="WI18:WI20"/>
    <mergeCell ref="WJ18:WJ20"/>
    <mergeCell ref="WK18:WK20"/>
    <mergeCell ref="VB18:VB20"/>
    <mergeCell ref="VC18:VC20"/>
    <mergeCell ref="VD18:VD20"/>
    <mergeCell ref="VE18:VE20"/>
    <mergeCell ref="VF18:VF20"/>
    <mergeCell ref="VG18:VG20"/>
    <mergeCell ref="VH18:VH20"/>
    <mergeCell ref="VI18:VI20"/>
    <mergeCell ref="VJ18:VJ20"/>
    <mergeCell ref="VK18:VK20"/>
    <mergeCell ref="VL18:VL20"/>
    <mergeCell ref="VM18:VM20"/>
    <mergeCell ref="VN18:VN20"/>
    <mergeCell ref="VO18:VO20"/>
    <mergeCell ref="VP18:VP20"/>
    <mergeCell ref="VQ18:VQ20"/>
    <mergeCell ref="VR18:VR20"/>
    <mergeCell ref="UK18:UK20"/>
    <mergeCell ref="UL18:UL20"/>
    <mergeCell ref="UM18:UM20"/>
    <mergeCell ref="UN18:UN20"/>
    <mergeCell ref="UO18:UO20"/>
    <mergeCell ref="UP18:UP20"/>
    <mergeCell ref="UQ18:UQ20"/>
    <mergeCell ref="UR18:UR20"/>
    <mergeCell ref="US18:US20"/>
    <mergeCell ref="UT18:UT20"/>
    <mergeCell ref="UU18:UU20"/>
    <mergeCell ref="UV18:UV20"/>
    <mergeCell ref="UW18:UW20"/>
    <mergeCell ref="UX18:UX20"/>
    <mergeCell ref="UY18:UY20"/>
    <mergeCell ref="UZ18:UZ20"/>
    <mergeCell ref="VA18:VA20"/>
    <mergeCell ref="TT18:TT20"/>
    <mergeCell ref="TU18:TU20"/>
    <mergeCell ref="TV18:TV20"/>
    <mergeCell ref="TW18:TW20"/>
    <mergeCell ref="TX18:TX20"/>
    <mergeCell ref="TY18:TY20"/>
    <mergeCell ref="TZ18:TZ20"/>
    <mergeCell ref="UA18:UA20"/>
    <mergeCell ref="UB18:UB20"/>
    <mergeCell ref="UC18:UC20"/>
    <mergeCell ref="UD18:UD20"/>
    <mergeCell ref="UE18:UE20"/>
    <mergeCell ref="UF18:UF20"/>
    <mergeCell ref="UG18:UG20"/>
    <mergeCell ref="UH18:UH20"/>
    <mergeCell ref="UI18:UI20"/>
    <mergeCell ref="UJ18:UJ20"/>
    <mergeCell ref="TC18:TC20"/>
    <mergeCell ref="TD18:TD20"/>
    <mergeCell ref="TE18:TE20"/>
    <mergeCell ref="TF18:TF20"/>
    <mergeCell ref="TG18:TG20"/>
    <mergeCell ref="TH18:TH20"/>
    <mergeCell ref="TI18:TI20"/>
    <mergeCell ref="TJ18:TJ20"/>
    <mergeCell ref="TK18:TK20"/>
    <mergeCell ref="TL18:TL20"/>
    <mergeCell ref="TM18:TM20"/>
    <mergeCell ref="TN18:TN20"/>
    <mergeCell ref="TO18:TO20"/>
    <mergeCell ref="TP18:TP20"/>
    <mergeCell ref="TQ18:TQ20"/>
    <mergeCell ref="TR18:TR20"/>
    <mergeCell ref="TS18:TS20"/>
    <mergeCell ref="SL18:SL20"/>
    <mergeCell ref="SM18:SM20"/>
    <mergeCell ref="SN18:SN20"/>
    <mergeCell ref="SO18:SO20"/>
    <mergeCell ref="SP18:SP20"/>
    <mergeCell ref="SQ18:SQ20"/>
    <mergeCell ref="SR18:SR20"/>
    <mergeCell ref="SS18:SS20"/>
    <mergeCell ref="ST18:ST20"/>
    <mergeCell ref="SU18:SU20"/>
    <mergeCell ref="SV18:SV20"/>
    <mergeCell ref="SW18:SW20"/>
    <mergeCell ref="SX18:SX20"/>
    <mergeCell ref="SY18:SY20"/>
    <mergeCell ref="SZ18:SZ20"/>
    <mergeCell ref="TA18:TA20"/>
    <mergeCell ref="TB18:TB20"/>
    <mergeCell ref="RU18:RU20"/>
    <mergeCell ref="RV18:RV20"/>
    <mergeCell ref="RW18:RW20"/>
    <mergeCell ref="RX18:RX20"/>
    <mergeCell ref="RY18:RY20"/>
    <mergeCell ref="RZ18:RZ20"/>
    <mergeCell ref="SA18:SA20"/>
    <mergeCell ref="SB18:SB20"/>
    <mergeCell ref="SC18:SC20"/>
    <mergeCell ref="SD18:SD20"/>
    <mergeCell ref="SE18:SE20"/>
    <mergeCell ref="SF18:SF20"/>
    <mergeCell ref="SG18:SG20"/>
    <mergeCell ref="SH18:SH20"/>
    <mergeCell ref="SI18:SI20"/>
    <mergeCell ref="SJ18:SJ20"/>
    <mergeCell ref="SK18:SK20"/>
    <mergeCell ref="RD18:RD20"/>
    <mergeCell ref="RE18:RE20"/>
    <mergeCell ref="RF18:RF20"/>
    <mergeCell ref="RG18:RG20"/>
    <mergeCell ref="RH18:RH20"/>
    <mergeCell ref="RI18:RI20"/>
    <mergeCell ref="RJ18:RJ20"/>
    <mergeCell ref="RK18:RK20"/>
    <mergeCell ref="RL18:RL20"/>
    <mergeCell ref="RM18:RM20"/>
    <mergeCell ref="RN18:RN20"/>
    <mergeCell ref="RO18:RO20"/>
    <mergeCell ref="RP18:RP20"/>
    <mergeCell ref="RQ18:RQ20"/>
    <mergeCell ref="RR18:RR20"/>
    <mergeCell ref="RS18:RS20"/>
    <mergeCell ref="RT18:RT20"/>
    <mergeCell ref="QM18:QM20"/>
    <mergeCell ref="QN18:QN20"/>
    <mergeCell ref="QO18:QO20"/>
    <mergeCell ref="QP18:QP20"/>
    <mergeCell ref="QQ18:QQ20"/>
    <mergeCell ref="QR18:QR20"/>
    <mergeCell ref="QS18:QS20"/>
    <mergeCell ref="QT18:QT20"/>
    <mergeCell ref="QU18:QU20"/>
    <mergeCell ref="QV18:QV20"/>
    <mergeCell ref="QW18:QW20"/>
    <mergeCell ref="QX18:QX20"/>
    <mergeCell ref="QY18:QY20"/>
    <mergeCell ref="QZ18:QZ20"/>
    <mergeCell ref="RA18:RA20"/>
    <mergeCell ref="RB18:RB20"/>
    <mergeCell ref="RC18:RC20"/>
    <mergeCell ref="PV18:PV20"/>
    <mergeCell ref="PW18:PW20"/>
    <mergeCell ref="PX18:PX20"/>
    <mergeCell ref="PY18:PY20"/>
    <mergeCell ref="PZ18:PZ20"/>
    <mergeCell ref="QA18:QA20"/>
    <mergeCell ref="QB18:QB20"/>
    <mergeCell ref="QC18:QC20"/>
    <mergeCell ref="QD18:QD20"/>
    <mergeCell ref="QE18:QE20"/>
    <mergeCell ref="QF18:QF20"/>
    <mergeCell ref="QG18:QG20"/>
    <mergeCell ref="QH18:QH20"/>
    <mergeCell ref="QI18:QI20"/>
    <mergeCell ref="QJ18:QJ20"/>
    <mergeCell ref="QK18:QK20"/>
    <mergeCell ref="QL18:QL20"/>
    <mergeCell ref="PE18:PE20"/>
    <mergeCell ref="PF18:PF20"/>
    <mergeCell ref="PG18:PG20"/>
    <mergeCell ref="PH18:PH20"/>
    <mergeCell ref="PI18:PI20"/>
    <mergeCell ref="PJ18:PJ20"/>
    <mergeCell ref="PK18:PK20"/>
    <mergeCell ref="PL18:PL20"/>
    <mergeCell ref="PM18:PM20"/>
    <mergeCell ref="PN18:PN20"/>
    <mergeCell ref="PO18:PO20"/>
    <mergeCell ref="PP18:PP20"/>
    <mergeCell ref="PQ18:PQ20"/>
    <mergeCell ref="PR18:PR20"/>
    <mergeCell ref="PS18:PS20"/>
    <mergeCell ref="PT18:PT20"/>
    <mergeCell ref="PU18:PU20"/>
    <mergeCell ref="ON18:ON20"/>
    <mergeCell ref="OO18:OO20"/>
    <mergeCell ref="OP18:OP20"/>
    <mergeCell ref="OQ18:OQ20"/>
    <mergeCell ref="OR18:OR20"/>
    <mergeCell ref="OS18:OS20"/>
    <mergeCell ref="OT18:OT20"/>
    <mergeCell ref="OU18:OU20"/>
    <mergeCell ref="OV18:OV20"/>
    <mergeCell ref="OW18:OW20"/>
    <mergeCell ref="OX18:OX20"/>
    <mergeCell ref="OY18:OY20"/>
    <mergeCell ref="OZ18:OZ20"/>
    <mergeCell ref="PA18:PA20"/>
    <mergeCell ref="PB18:PB20"/>
    <mergeCell ref="PC18:PC20"/>
    <mergeCell ref="PD18:PD20"/>
    <mergeCell ref="NW18:NW20"/>
    <mergeCell ref="NX18:NX20"/>
    <mergeCell ref="NY18:NY20"/>
    <mergeCell ref="NZ18:NZ20"/>
    <mergeCell ref="OA18:OA20"/>
    <mergeCell ref="OB18:OB20"/>
    <mergeCell ref="OC18:OC20"/>
    <mergeCell ref="OD18:OD20"/>
    <mergeCell ref="OE18:OE20"/>
    <mergeCell ref="OF18:OF20"/>
    <mergeCell ref="OG18:OG20"/>
    <mergeCell ref="OH18:OH20"/>
    <mergeCell ref="OI18:OI20"/>
    <mergeCell ref="OJ18:OJ20"/>
    <mergeCell ref="OK18:OK20"/>
    <mergeCell ref="OL18:OL20"/>
    <mergeCell ref="OM18:OM20"/>
    <mergeCell ref="NF18:NF20"/>
    <mergeCell ref="NG18:NG20"/>
    <mergeCell ref="NH18:NH20"/>
    <mergeCell ref="NI18:NI20"/>
    <mergeCell ref="NJ18:NJ20"/>
    <mergeCell ref="NK18:NK20"/>
    <mergeCell ref="NL18:NL20"/>
    <mergeCell ref="NM18:NM20"/>
    <mergeCell ref="NN18:NN20"/>
    <mergeCell ref="NO18:NO20"/>
    <mergeCell ref="NP18:NP20"/>
    <mergeCell ref="NQ18:NQ20"/>
    <mergeCell ref="NR18:NR20"/>
    <mergeCell ref="NS18:NS20"/>
    <mergeCell ref="NT18:NT20"/>
    <mergeCell ref="NU18:NU20"/>
    <mergeCell ref="NV18:NV20"/>
    <mergeCell ref="MO18:MO20"/>
    <mergeCell ref="MP18:MP20"/>
    <mergeCell ref="MQ18:MQ20"/>
    <mergeCell ref="MR18:MR20"/>
    <mergeCell ref="MS18:MS20"/>
    <mergeCell ref="MT18:MT20"/>
    <mergeCell ref="MU18:MU20"/>
    <mergeCell ref="MV18:MV20"/>
    <mergeCell ref="MW18:MW20"/>
    <mergeCell ref="MX18:MX20"/>
    <mergeCell ref="MY18:MY20"/>
    <mergeCell ref="MZ18:MZ20"/>
    <mergeCell ref="NA18:NA20"/>
    <mergeCell ref="NB18:NB20"/>
    <mergeCell ref="NC18:NC20"/>
    <mergeCell ref="ND18:ND20"/>
    <mergeCell ref="NE18:NE20"/>
    <mergeCell ref="AO14:AO17"/>
    <mergeCell ref="AP14:AP17"/>
    <mergeCell ref="AQ14:AQ17"/>
    <mergeCell ref="AR14:AR17"/>
    <mergeCell ref="AS14:AS17"/>
    <mergeCell ref="AT14:AT17"/>
    <mergeCell ref="AU14:AU17"/>
    <mergeCell ref="AV14:AV17"/>
    <mergeCell ref="AW14:AW17"/>
    <mergeCell ref="A14:A17"/>
    <mergeCell ref="B14:B17"/>
    <mergeCell ref="C14:C17"/>
    <mergeCell ref="D14:D17"/>
    <mergeCell ref="E14:E17"/>
    <mergeCell ref="F14:F17"/>
    <mergeCell ref="G14:G17"/>
    <mergeCell ref="MJ18:MJ20"/>
    <mergeCell ref="BN18:BN20"/>
    <mergeCell ref="BO18:BO20"/>
    <mergeCell ref="BP18:BP20"/>
    <mergeCell ref="BQ18:BQ20"/>
    <mergeCell ref="BR18:BR20"/>
    <mergeCell ref="BS18:BS20"/>
    <mergeCell ref="BT18:BT20"/>
    <mergeCell ref="BU18:BU20"/>
    <mergeCell ref="BV18:BV20"/>
    <mergeCell ref="BW18:BW20"/>
    <mergeCell ref="BX18:BX20"/>
    <mergeCell ref="BY18:BY20"/>
    <mergeCell ref="BZ18:BZ20"/>
    <mergeCell ref="CA18:CA20"/>
    <mergeCell ref="CB18:CB20"/>
    <mergeCell ref="Y14:Y17"/>
    <mergeCell ref="Z14:Z17"/>
    <mergeCell ref="AA14:AA17"/>
    <mergeCell ref="AB14:AB17"/>
    <mergeCell ref="AC14:AC17"/>
    <mergeCell ref="AD14:AD15"/>
    <mergeCell ref="AE14:AE17"/>
    <mergeCell ref="AF14:AF17"/>
    <mergeCell ref="AG14:AG17"/>
    <mergeCell ref="AH14:AH17"/>
    <mergeCell ref="AI14:AI17"/>
    <mergeCell ref="AD16:AD17"/>
    <mergeCell ref="AJ14:AJ17"/>
    <mergeCell ref="AK14:AK17"/>
    <mergeCell ref="AL14:AL17"/>
    <mergeCell ref="AM14:AM17"/>
    <mergeCell ref="AN14:AN17"/>
    <mergeCell ref="H14:H17"/>
    <mergeCell ref="I14:I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S14:S17"/>
    <mergeCell ref="T14:T17"/>
    <mergeCell ref="U14:U17"/>
    <mergeCell ref="V14:V17"/>
    <mergeCell ref="W14:W17"/>
    <mergeCell ref="X14:X17"/>
    <mergeCell ref="LD14:LD17"/>
    <mergeCell ref="LE14:LE17"/>
    <mergeCell ref="LF14:LF17"/>
    <mergeCell ref="LG14:LG17"/>
    <mergeCell ref="LH14:LH17"/>
    <mergeCell ref="LI14:LI17"/>
    <mergeCell ref="LJ14:LJ17"/>
    <mergeCell ref="LK14:LK17"/>
    <mergeCell ref="LL14:LL17"/>
    <mergeCell ref="LM14:LM17"/>
    <mergeCell ref="LN14:LN17"/>
    <mergeCell ref="LO14:LO17"/>
    <mergeCell ref="LP14:LP17"/>
    <mergeCell ref="LQ14:LQ17"/>
    <mergeCell ref="LR14:LR17"/>
    <mergeCell ref="LS14:LS17"/>
    <mergeCell ref="LT14:LT17"/>
    <mergeCell ref="KM14:KM17"/>
    <mergeCell ref="KN14:KN17"/>
    <mergeCell ref="KO14:KO17"/>
    <mergeCell ref="KP14:KP17"/>
    <mergeCell ref="KQ14:KQ17"/>
    <mergeCell ref="KR14:KR17"/>
    <mergeCell ref="KS14:KS17"/>
    <mergeCell ref="KT14:KT17"/>
    <mergeCell ref="KU14:KU17"/>
    <mergeCell ref="KV14:KV17"/>
    <mergeCell ref="KW14:KW17"/>
    <mergeCell ref="KX14:KX17"/>
    <mergeCell ref="KY14:KY17"/>
    <mergeCell ref="KZ14:KZ17"/>
    <mergeCell ref="LA14:LA17"/>
    <mergeCell ref="LB14:LB17"/>
    <mergeCell ref="LC14:LC17"/>
    <mergeCell ref="JV14:JV17"/>
    <mergeCell ref="JW14:JW17"/>
    <mergeCell ref="JX14:JX17"/>
    <mergeCell ref="JY14:JY17"/>
    <mergeCell ref="JZ14:JZ17"/>
    <mergeCell ref="KA14:KA17"/>
    <mergeCell ref="KB14:KB17"/>
    <mergeCell ref="KC14:KC17"/>
    <mergeCell ref="KD14:KD17"/>
    <mergeCell ref="KE14:KE17"/>
    <mergeCell ref="KF14:KF17"/>
    <mergeCell ref="KG14:KG17"/>
    <mergeCell ref="KH14:KH17"/>
    <mergeCell ref="KI14:KI17"/>
    <mergeCell ref="KJ14:KJ17"/>
    <mergeCell ref="KK14:KK17"/>
    <mergeCell ref="KL14:KL17"/>
    <mergeCell ref="JE14:JE17"/>
    <mergeCell ref="JF14:JF17"/>
    <mergeCell ref="JG14:JG17"/>
    <mergeCell ref="JH14:JH17"/>
    <mergeCell ref="JI14:JI17"/>
    <mergeCell ref="JJ14:JJ17"/>
    <mergeCell ref="JK14:JK17"/>
    <mergeCell ref="JL14:JL17"/>
    <mergeCell ref="JM14:JM17"/>
    <mergeCell ref="JN14:JN17"/>
    <mergeCell ref="JO14:JO17"/>
    <mergeCell ref="JP14:JP17"/>
    <mergeCell ref="JQ14:JQ17"/>
    <mergeCell ref="JR14:JR17"/>
    <mergeCell ref="JS14:JS17"/>
    <mergeCell ref="JT14:JT17"/>
    <mergeCell ref="JU14:JU17"/>
    <mergeCell ref="IN14:IN17"/>
    <mergeCell ref="IO14:IO17"/>
    <mergeCell ref="IP14:IP17"/>
    <mergeCell ref="IQ14:IQ17"/>
    <mergeCell ref="IR14:IR17"/>
    <mergeCell ref="IS14:IS17"/>
    <mergeCell ref="IT14:IT17"/>
    <mergeCell ref="IU14:IU17"/>
    <mergeCell ref="IV14:IV17"/>
    <mergeCell ref="IW14:IW17"/>
    <mergeCell ref="IX14:IX17"/>
    <mergeCell ref="IY14:IY17"/>
    <mergeCell ref="IZ14:IZ17"/>
    <mergeCell ref="JA14:JA17"/>
    <mergeCell ref="JB14:JB17"/>
    <mergeCell ref="JC14:JC17"/>
    <mergeCell ref="JD14:JD17"/>
    <mergeCell ref="HW14:HW17"/>
    <mergeCell ref="HX14:HX17"/>
    <mergeCell ref="HY14:HY17"/>
    <mergeCell ref="HZ14:HZ17"/>
    <mergeCell ref="IA14:IA17"/>
    <mergeCell ref="IB14:IB17"/>
    <mergeCell ref="IC14:IC17"/>
    <mergeCell ref="ID14:ID17"/>
    <mergeCell ref="IE14:IE17"/>
    <mergeCell ref="IF14:IF17"/>
    <mergeCell ref="IG14:IG17"/>
    <mergeCell ref="IH14:IH17"/>
    <mergeCell ref="II14:II17"/>
    <mergeCell ref="IJ14:IJ17"/>
    <mergeCell ref="IK14:IK17"/>
    <mergeCell ref="IL14:IL17"/>
    <mergeCell ref="IM14:IM17"/>
    <mergeCell ref="HF14:HF17"/>
    <mergeCell ref="HG14:HG17"/>
    <mergeCell ref="HH14:HH17"/>
    <mergeCell ref="HI14:HI17"/>
    <mergeCell ref="HJ14:HJ17"/>
    <mergeCell ref="HK14:HK17"/>
    <mergeCell ref="HL14:HL17"/>
    <mergeCell ref="HM14:HM17"/>
    <mergeCell ref="HN14:HN17"/>
    <mergeCell ref="HO14:HO17"/>
    <mergeCell ref="HP14:HP17"/>
    <mergeCell ref="HQ14:HQ17"/>
    <mergeCell ref="HR14:HR17"/>
    <mergeCell ref="HS14:HS17"/>
    <mergeCell ref="HT14:HT17"/>
    <mergeCell ref="HU14:HU17"/>
    <mergeCell ref="HV14:HV17"/>
    <mergeCell ref="GO14:GO17"/>
    <mergeCell ref="GP14:GP17"/>
    <mergeCell ref="GQ14:GQ17"/>
    <mergeCell ref="GR14:GR17"/>
    <mergeCell ref="GS14:GS17"/>
    <mergeCell ref="GT14:GT17"/>
    <mergeCell ref="GU14:GU17"/>
    <mergeCell ref="GV14:GV17"/>
    <mergeCell ref="GW14:GW17"/>
    <mergeCell ref="GX14:GX17"/>
    <mergeCell ref="GY14:GY17"/>
    <mergeCell ref="GZ14:GZ17"/>
    <mergeCell ref="HA14:HA17"/>
    <mergeCell ref="HB14:HB17"/>
    <mergeCell ref="HC14:HC17"/>
    <mergeCell ref="HD14:HD17"/>
    <mergeCell ref="HE14:HE17"/>
    <mergeCell ref="FY14:FY17"/>
    <mergeCell ref="FZ14:FZ17"/>
    <mergeCell ref="FT16:FT17"/>
    <mergeCell ref="GA14:GA17"/>
    <mergeCell ref="GB14:GB17"/>
    <mergeCell ref="GC14:GC17"/>
    <mergeCell ref="GD14:GD17"/>
    <mergeCell ref="GE14:GE17"/>
    <mergeCell ref="GF14:GF17"/>
    <mergeCell ref="GG14:GG17"/>
    <mergeCell ref="GH14:GH17"/>
    <mergeCell ref="GI14:GI17"/>
    <mergeCell ref="GJ14:GJ17"/>
    <mergeCell ref="GK14:GK17"/>
    <mergeCell ref="GL14:GL17"/>
    <mergeCell ref="GM14:GM17"/>
    <mergeCell ref="GN14:GN17"/>
    <mergeCell ref="FH14:FH17"/>
    <mergeCell ref="FI14:FI17"/>
    <mergeCell ref="FJ14:FJ17"/>
    <mergeCell ref="FK14:FK17"/>
    <mergeCell ref="FL14:FL17"/>
    <mergeCell ref="FM14:FM17"/>
    <mergeCell ref="FN14:FN17"/>
    <mergeCell ref="FO14:FO17"/>
    <mergeCell ref="FP14:FP17"/>
    <mergeCell ref="FQ14:FQ17"/>
    <mergeCell ref="FR14:FR17"/>
    <mergeCell ref="FS14:FS17"/>
    <mergeCell ref="FT14:FT15"/>
    <mergeCell ref="FU14:FU17"/>
    <mergeCell ref="FV14:FV17"/>
    <mergeCell ref="FW14:FW17"/>
    <mergeCell ref="FX14:FX17"/>
    <mergeCell ref="EQ14:EQ17"/>
    <mergeCell ref="ER14:ER17"/>
    <mergeCell ref="ES14:ES17"/>
    <mergeCell ref="ET14:ET17"/>
    <mergeCell ref="EU14:EU17"/>
    <mergeCell ref="EV14:EV17"/>
    <mergeCell ref="EW14:EW17"/>
    <mergeCell ref="EX14:EX17"/>
    <mergeCell ref="EY14:EY17"/>
    <mergeCell ref="EZ14:EZ17"/>
    <mergeCell ref="FA14:FA17"/>
    <mergeCell ref="FB14:FB17"/>
    <mergeCell ref="FC14:FC17"/>
    <mergeCell ref="FD14:FD17"/>
    <mergeCell ref="FE14:FE17"/>
    <mergeCell ref="FF14:FF17"/>
    <mergeCell ref="FG14:FG17"/>
    <mergeCell ref="DZ14:DZ17"/>
    <mergeCell ref="EA14:EA17"/>
    <mergeCell ref="EB14:EB17"/>
    <mergeCell ref="EC14:EC17"/>
    <mergeCell ref="ED14:ED17"/>
    <mergeCell ref="EE14:EE17"/>
    <mergeCell ref="EF14:EF17"/>
    <mergeCell ref="EG14:EG17"/>
    <mergeCell ref="EH14:EH17"/>
    <mergeCell ref="EI14:EI17"/>
    <mergeCell ref="EJ14:EJ17"/>
    <mergeCell ref="EK14:EK17"/>
    <mergeCell ref="EL14:EL17"/>
    <mergeCell ref="EM14:EM17"/>
    <mergeCell ref="EN14:EN17"/>
    <mergeCell ref="EO14:EO17"/>
    <mergeCell ref="EP14:EP17"/>
    <mergeCell ref="DI14:DI17"/>
    <mergeCell ref="DJ14:DJ17"/>
    <mergeCell ref="DK14:DK17"/>
    <mergeCell ref="DL14:DL17"/>
    <mergeCell ref="DM14:DM17"/>
    <mergeCell ref="DN14:DN17"/>
    <mergeCell ref="DO14:DO17"/>
    <mergeCell ref="DP14:DP17"/>
    <mergeCell ref="DQ14:DQ17"/>
    <mergeCell ref="DR14:DR17"/>
    <mergeCell ref="DS14:DS17"/>
    <mergeCell ref="DT14:DT17"/>
    <mergeCell ref="DU14:DU17"/>
    <mergeCell ref="DV14:DV17"/>
    <mergeCell ref="DW14:DW17"/>
    <mergeCell ref="DX14:DX17"/>
    <mergeCell ref="DY14:DY17"/>
    <mergeCell ref="CS14:CS17"/>
    <mergeCell ref="CT14:CT17"/>
    <mergeCell ref="CP16:CP17"/>
    <mergeCell ref="CU14:CU17"/>
    <mergeCell ref="CV14:CV17"/>
    <mergeCell ref="CW14:CW17"/>
    <mergeCell ref="CX14:CX17"/>
    <mergeCell ref="CY14:CY17"/>
    <mergeCell ref="CZ14:CZ17"/>
    <mergeCell ref="DA14:DA17"/>
    <mergeCell ref="DB14:DB17"/>
    <mergeCell ref="DC14:DC17"/>
    <mergeCell ref="DD14:DD17"/>
    <mergeCell ref="DE14:DE17"/>
    <mergeCell ref="DF14:DF17"/>
    <mergeCell ref="DG14:DG17"/>
    <mergeCell ref="DH14:DH17"/>
    <mergeCell ref="CB14:CB17"/>
    <mergeCell ref="CC14:CC17"/>
    <mergeCell ref="CD14:CD17"/>
    <mergeCell ref="CE14:CE17"/>
    <mergeCell ref="CF14:CF17"/>
    <mergeCell ref="CG14:CG17"/>
    <mergeCell ref="CH14:CH17"/>
    <mergeCell ref="CI14:CI17"/>
    <mergeCell ref="CJ14:CJ17"/>
    <mergeCell ref="CK14:CK17"/>
    <mergeCell ref="CL14:CL17"/>
    <mergeCell ref="CM14:CM17"/>
    <mergeCell ref="CN14:CN17"/>
    <mergeCell ref="CO14:CO17"/>
    <mergeCell ref="CP14:CP15"/>
    <mergeCell ref="CQ14:CQ17"/>
    <mergeCell ref="CR14:CR17"/>
    <mergeCell ref="XN14:XN17"/>
    <mergeCell ref="XL16:XL17"/>
    <mergeCell ref="AX14:AX17"/>
    <mergeCell ref="AY14:AY17"/>
    <mergeCell ref="AZ14:AZ17"/>
    <mergeCell ref="BA14:BA17"/>
    <mergeCell ref="BB14:BB17"/>
    <mergeCell ref="BC14:BC17"/>
    <mergeCell ref="BD14:BD17"/>
    <mergeCell ref="BE14:BE17"/>
    <mergeCell ref="BF14:BF17"/>
    <mergeCell ref="BG14:BG17"/>
    <mergeCell ref="BH14:BH17"/>
    <mergeCell ref="BI14:BI17"/>
    <mergeCell ref="BJ14:BJ17"/>
    <mergeCell ref="BK14:BK17"/>
    <mergeCell ref="BL14:BL17"/>
    <mergeCell ref="BM14:BM17"/>
    <mergeCell ref="BN14:BN17"/>
    <mergeCell ref="BO14:BO17"/>
    <mergeCell ref="BP14:BP17"/>
    <mergeCell ref="BQ14:BQ17"/>
    <mergeCell ref="BR14:BR17"/>
    <mergeCell ref="BS14:BS17"/>
    <mergeCell ref="BT14:BT17"/>
    <mergeCell ref="BU14:BU17"/>
    <mergeCell ref="BV14:BV17"/>
    <mergeCell ref="BW14:BW17"/>
    <mergeCell ref="BX14:BX17"/>
    <mergeCell ref="BY14:BY17"/>
    <mergeCell ref="BZ14:BZ17"/>
    <mergeCell ref="CA14:CA17"/>
    <mergeCell ref="WV14:WV17"/>
    <mergeCell ref="WW14:WW17"/>
    <mergeCell ref="WX14:WX17"/>
    <mergeCell ref="WY14:WY17"/>
    <mergeCell ref="WZ14:WZ17"/>
    <mergeCell ref="XA14:XA17"/>
    <mergeCell ref="XB14:XB17"/>
    <mergeCell ref="XC14:XC17"/>
    <mergeCell ref="XD14:XD17"/>
    <mergeCell ref="XE14:XE17"/>
    <mergeCell ref="XF14:XF17"/>
    <mergeCell ref="XG14:XG17"/>
    <mergeCell ref="XH14:XH17"/>
    <mergeCell ref="XI14:XI17"/>
    <mergeCell ref="XJ14:XJ17"/>
    <mergeCell ref="XK14:XK17"/>
    <mergeCell ref="XM14:XM17"/>
    <mergeCell ref="XP14:XP17"/>
    <mergeCell ref="XQ14:XQ17"/>
    <mergeCell ref="XR14:XR17"/>
    <mergeCell ref="XS14:XS17"/>
    <mergeCell ref="XT14:XT17"/>
    <mergeCell ref="XU14:XU17"/>
    <mergeCell ref="YC14:YC17"/>
    <mergeCell ref="YD14:YD17"/>
    <mergeCell ref="YE14:YE17"/>
    <mergeCell ref="XV14:XV17"/>
    <mergeCell ref="XW14:XW17"/>
    <mergeCell ref="XX14:XX17"/>
    <mergeCell ref="XY14:XY17"/>
    <mergeCell ref="XZ14:XZ17"/>
    <mergeCell ref="YA14:YA17"/>
    <mergeCell ref="YB14:YB17"/>
    <mergeCell ref="VQ14:VQ17"/>
    <mergeCell ref="VR14:VR17"/>
    <mergeCell ref="VS14:VS17"/>
    <mergeCell ref="VT14:VT17"/>
    <mergeCell ref="VU14:VU17"/>
    <mergeCell ref="VV14:VV17"/>
    <mergeCell ref="VW14:VW17"/>
    <mergeCell ref="VX14:VX17"/>
    <mergeCell ref="VY14:VY17"/>
    <mergeCell ref="VZ14:VZ17"/>
    <mergeCell ref="WA14:WA17"/>
    <mergeCell ref="WB14:WB17"/>
    <mergeCell ref="WC14:WC17"/>
    <mergeCell ref="WD14:WD17"/>
    <mergeCell ref="WE14:WE17"/>
    <mergeCell ref="WF14:WF17"/>
    <mergeCell ref="VB14:VB17"/>
    <mergeCell ref="VC14:VC17"/>
    <mergeCell ref="VD14:VD17"/>
    <mergeCell ref="VE14:VE17"/>
    <mergeCell ref="VF14:VF17"/>
    <mergeCell ref="VG14:VG17"/>
    <mergeCell ref="VH14:VH17"/>
    <mergeCell ref="VI14:VI17"/>
    <mergeCell ref="VJ14:VJ15"/>
    <mergeCell ref="VK14:VK17"/>
    <mergeCell ref="VL14:VL17"/>
    <mergeCell ref="VM14:VM17"/>
    <mergeCell ref="VN14:VN17"/>
    <mergeCell ref="VO14:VO17"/>
    <mergeCell ref="VP14:VP17"/>
    <mergeCell ref="VJ16:VJ17"/>
    <mergeCell ref="XO14:XO17"/>
    <mergeCell ref="WG14:WG17"/>
    <mergeCell ref="WH14:WH17"/>
    <mergeCell ref="WI14:WI17"/>
    <mergeCell ref="WJ14:WJ17"/>
    <mergeCell ref="WK14:WK17"/>
    <mergeCell ref="WL14:WL17"/>
    <mergeCell ref="WM14:WM17"/>
    <mergeCell ref="WN14:WN17"/>
    <mergeCell ref="WO14:WO17"/>
    <mergeCell ref="WP14:WP17"/>
    <mergeCell ref="WQ14:WQ17"/>
    <mergeCell ref="WR14:WR17"/>
    <mergeCell ref="WS14:WS17"/>
    <mergeCell ref="WT14:WT17"/>
    <mergeCell ref="WU14:WU17"/>
    <mergeCell ref="UK14:UK17"/>
    <mergeCell ref="UL14:UL17"/>
    <mergeCell ref="UM14:UM17"/>
    <mergeCell ref="UN14:UN17"/>
    <mergeCell ref="UO14:UO17"/>
    <mergeCell ref="UP14:UP17"/>
    <mergeCell ref="UQ14:UQ17"/>
    <mergeCell ref="UR14:UR17"/>
    <mergeCell ref="US14:US17"/>
    <mergeCell ref="UT14:UT17"/>
    <mergeCell ref="UU14:UU17"/>
    <mergeCell ref="UV14:UV17"/>
    <mergeCell ref="UW14:UW17"/>
    <mergeCell ref="UX14:UX17"/>
    <mergeCell ref="UY14:UY17"/>
    <mergeCell ref="UZ14:UZ17"/>
    <mergeCell ref="VA14:VA17"/>
    <mergeCell ref="TT14:TT17"/>
    <mergeCell ref="TU14:TU17"/>
    <mergeCell ref="TV14:TV17"/>
    <mergeCell ref="TW14:TW17"/>
    <mergeCell ref="TX14:TX17"/>
    <mergeCell ref="TY14:TY17"/>
    <mergeCell ref="TZ14:TZ17"/>
    <mergeCell ref="UA14:UA17"/>
    <mergeCell ref="UB14:UB17"/>
    <mergeCell ref="UC14:UC17"/>
    <mergeCell ref="UD14:UD17"/>
    <mergeCell ref="UE14:UE17"/>
    <mergeCell ref="UF14:UF17"/>
    <mergeCell ref="UG14:UG17"/>
    <mergeCell ref="UH14:UH17"/>
    <mergeCell ref="UI14:UI17"/>
    <mergeCell ref="UJ14:UJ17"/>
    <mergeCell ref="TD14:TD17"/>
    <mergeCell ref="TE14:TE17"/>
    <mergeCell ref="TF14:TF17"/>
    <mergeCell ref="TG14:TG17"/>
    <mergeCell ref="TH14:TH17"/>
    <mergeCell ref="TI14:TI17"/>
    <mergeCell ref="TJ14:TJ17"/>
    <mergeCell ref="TK14:TK17"/>
    <mergeCell ref="TL14:TL15"/>
    <mergeCell ref="TL16:TL17"/>
    <mergeCell ref="TM14:TM17"/>
    <mergeCell ref="TN14:TN17"/>
    <mergeCell ref="TO14:TO17"/>
    <mergeCell ref="TP14:TP17"/>
    <mergeCell ref="TQ14:TQ17"/>
    <mergeCell ref="TR14:TR17"/>
    <mergeCell ref="TS14:TS17"/>
    <mergeCell ref="SM14:SM17"/>
    <mergeCell ref="SN14:SN17"/>
    <mergeCell ref="SO14:SO17"/>
    <mergeCell ref="SP14:SP17"/>
    <mergeCell ref="SQ14:SQ17"/>
    <mergeCell ref="SR14:SR17"/>
    <mergeCell ref="SS14:SS17"/>
    <mergeCell ref="ST14:ST17"/>
    <mergeCell ref="SU14:SU17"/>
    <mergeCell ref="SV14:SV17"/>
    <mergeCell ref="SW14:SW17"/>
    <mergeCell ref="SX14:SX17"/>
    <mergeCell ref="SY14:SY17"/>
    <mergeCell ref="SZ14:SZ17"/>
    <mergeCell ref="TA14:TA17"/>
    <mergeCell ref="TB14:TB17"/>
    <mergeCell ref="TC14:TC17"/>
    <mergeCell ref="RV14:RV17"/>
    <mergeCell ref="RW14:RW17"/>
    <mergeCell ref="RX14:RX17"/>
    <mergeCell ref="RY14:RY17"/>
    <mergeCell ref="RZ14:RZ17"/>
    <mergeCell ref="SA14:SA17"/>
    <mergeCell ref="SB14:SB17"/>
    <mergeCell ref="SC14:SC17"/>
    <mergeCell ref="SD14:SD17"/>
    <mergeCell ref="SE14:SE17"/>
    <mergeCell ref="SF14:SF17"/>
    <mergeCell ref="SG14:SG17"/>
    <mergeCell ref="SH14:SH17"/>
    <mergeCell ref="SI14:SI17"/>
    <mergeCell ref="SJ14:SJ17"/>
    <mergeCell ref="SK14:SK17"/>
    <mergeCell ref="SL14:SL17"/>
    <mergeCell ref="RE14:RE17"/>
    <mergeCell ref="RF14:RF17"/>
    <mergeCell ref="RG14:RG17"/>
    <mergeCell ref="RH14:RH17"/>
    <mergeCell ref="RI14:RI17"/>
    <mergeCell ref="RJ14:RJ17"/>
    <mergeCell ref="RK14:RK17"/>
    <mergeCell ref="RL14:RL17"/>
    <mergeCell ref="RM14:RM17"/>
    <mergeCell ref="RN14:RN17"/>
    <mergeCell ref="RO14:RO17"/>
    <mergeCell ref="RP14:RP17"/>
    <mergeCell ref="RQ14:RQ17"/>
    <mergeCell ref="RR14:RR17"/>
    <mergeCell ref="RS14:RS17"/>
    <mergeCell ref="RT14:RT17"/>
    <mergeCell ref="RU14:RU17"/>
    <mergeCell ref="QN14:QN17"/>
    <mergeCell ref="QO14:QO17"/>
    <mergeCell ref="QP14:QP17"/>
    <mergeCell ref="QQ14:QQ17"/>
    <mergeCell ref="QR14:QR17"/>
    <mergeCell ref="QS14:QS17"/>
    <mergeCell ref="QT14:QT17"/>
    <mergeCell ref="QU14:QU17"/>
    <mergeCell ref="QV14:QV17"/>
    <mergeCell ref="QW14:QW17"/>
    <mergeCell ref="QX14:QX17"/>
    <mergeCell ref="QY14:QY17"/>
    <mergeCell ref="QZ14:QZ17"/>
    <mergeCell ref="RA14:RA17"/>
    <mergeCell ref="RB14:RB17"/>
    <mergeCell ref="RC14:RC17"/>
    <mergeCell ref="RD14:RD17"/>
    <mergeCell ref="PW14:PW17"/>
    <mergeCell ref="PX14:PX17"/>
    <mergeCell ref="PY14:PY17"/>
    <mergeCell ref="PZ14:PZ17"/>
    <mergeCell ref="QA14:QA17"/>
    <mergeCell ref="QB14:QB17"/>
    <mergeCell ref="QC14:QC17"/>
    <mergeCell ref="QD14:QD17"/>
    <mergeCell ref="QE14:QE17"/>
    <mergeCell ref="QF14:QF17"/>
    <mergeCell ref="QG14:QG17"/>
    <mergeCell ref="QH14:QH17"/>
    <mergeCell ref="QI14:QI17"/>
    <mergeCell ref="QJ14:QJ17"/>
    <mergeCell ref="QK14:QK17"/>
    <mergeCell ref="QL14:QL17"/>
    <mergeCell ref="QM14:QM17"/>
    <mergeCell ref="PF14:PF17"/>
    <mergeCell ref="PG14:PG17"/>
    <mergeCell ref="PH14:PH17"/>
    <mergeCell ref="PI14:PI17"/>
    <mergeCell ref="PJ14:PJ17"/>
    <mergeCell ref="PK14:PK17"/>
    <mergeCell ref="PL14:PL17"/>
    <mergeCell ref="PM14:PM17"/>
    <mergeCell ref="PN14:PN17"/>
    <mergeCell ref="PO14:PO17"/>
    <mergeCell ref="PP14:PP17"/>
    <mergeCell ref="PQ14:PQ17"/>
    <mergeCell ref="PR14:PR17"/>
    <mergeCell ref="PS14:PS17"/>
    <mergeCell ref="PT14:PT17"/>
    <mergeCell ref="PU14:PU17"/>
    <mergeCell ref="PV14:PV17"/>
    <mergeCell ref="OO14:OO17"/>
    <mergeCell ref="OP14:OP17"/>
    <mergeCell ref="OQ14:OQ17"/>
    <mergeCell ref="OR14:OR17"/>
    <mergeCell ref="OS14:OS17"/>
    <mergeCell ref="OT14:OT17"/>
    <mergeCell ref="OU14:OU17"/>
    <mergeCell ref="OV14:OV17"/>
    <mergeCell ref="OW14:OW17"/>
    <mergeCell ref="OX14:OX17"/>
    <mergeCell ref="OY14:OY17"/>
    <mergeCell ref="OZ14:OZ17"/>
    <mergeCell ref="PA14:PA17"/>
    <mergeCell ref="PB14:PB17"/>
    <mergeCell ref="PC14:PC17"/>
    <mergeCell ref="PD14:PD17"/>
    <mergeCell ref="PE14:PE17"/>
    <mergeCell ref="NY14:NY17"/>
    <mergeCell ref="NZ14:NZ17"/>
    <mergeCell ref="OA14:OA17"/>
    <mergeCell ref="OB14:OB17"/>
    <mergeCell ref="OC14:OC17"/>
    <mergeCell ref="OD14:OD17"/>
    <mergeCell ref="OE14:OE17"/>
    <mergeCell ref="OF14:OF17"/>
    <mergeCell ref="OG14:OG17"/>
    <mergeCell ref="OH14:OH15"/>
    <mergeCell ref="OI14:OI17"/>
    <mergeCell ref="OH16:OH17"/>
    <mergeCell ref="OJ14:OJ17"/>
    <mergeCell ref="OK14:OK17"/>
    <mergeCell ref="OL14:OL17"/>
    <mergeCell ref="OM14:OM17"/>
    <mergeCell ref="ON14:ON17"/>
    <mergeCell ref="NH14:NH17"/>
    <mergeCell ref="NI14:NI17"/>
    <mergeCell ref="NJ14:NJ17"/>
    <mergeCell ref="NK14:NK17"/>
    <mergeCell ref="NL14:NL17"/>
    <mergeCell ref="NM14:NM17"/>
    <mergeCell ref="NN14:NN17"/>
    <mergeCell ref="NO14:NO17"/>
    <mergeCell ref="NP14:NP17"/>
    <mergeCell ref="NQ14:NQ17"/>
    <mergeCell ref="NR14:NR17"/>
    <mergeCell ref="NS14:NS17"/>
    <mergeCell ref="NT14:NT17"/>
    <mergeCell ref="NU14:NU17"/>
    <mergeCell ref="NV14:NV17"/>
    <mergeCell ref="NW14:NW17"/>
    <mergeCell ref="NX14:NX17"/>
    <mergeCell ref="MQ14:MQ17"/>
    <mergeCell ref="MR14:MR17"/>
    <mergeCell ref="MS14:MS17"/>
    <mergeCell ref="MT14:MT17"/>
    <mergeCell ref="MU14:MU17"/>
    <mergeCell ref="MV14:MV17"/>
    <mergeCell ref="MW14:MW17"/>
    <mergeCell ref="MX14:MX17"/>
    <mergeCell ref="MY14:MY17"/>
    <mergeCell ref="MZ14:MZ17"/>
    <mergeCell ref="NA14:NA17"/>
    <mergeCell ref="NB14:NB17"/>
    <mergeCell ref="NC14:NC17"/>
    <mergeCell ref="ND14:ND17"/>
    <mergeCell ref="NE14:NE17"/>
    <mergeCell ref="NF14:NF17"/>
    <mergeCell ref="NG14:NG17"/>
    <mergeCell ref="LR38:LR40"/>
    <mergeCell ref="LS38:LS40"/>
    <mergeCell ref="LT38:LT40"/>
    <mergeCell ref="LU38:LU40"/>
    <mergeCell ref="LV38:LV40"/>
    <mergeCell ref="LW38:LW40"/>
    <mergeCell ref="MF14:MF17"/>
    <mergeCell ref="MG14:MG17"/>
    <mergeCell ref="MH14:MH17"/>
    <mergeCell ref="MI14:MI17"/>
    <mergeCell ref="MJ14:MJ17"/>
    <mergeCell ref="MK14:MK17"/>
    <mergeCell ref="ML14:ML17"/>
    <mergeCell ref="MM14:MM17"/>
    <mergeCell ref="MN14:MN17"/>
    <mergeCell ref="MO14:MO17"/>
    <mergeCell ref="MP14:MP17"/>
    <mergeCell ref="LU14:LU17"/>
    <mergeCell ref="LV14:LV17"/>
    <mergeCell ref="LW14:LW17"/>
    <mergeCell ref="LX14:LX17"/>
    <mergeCell ref="LY14:LY17"/>
    <mergeCell ref="LZ14:LZ17"/>
    <mergeCell ref="MA14:MA17"/>
    <mergeCell ref="MB14:MB17"/>
    <mergeCell ref="MC14:MC17"/>
    <mergeCell ref="MD14:MD17"/>
    <mergeCell ref="ME14:ME17"/>
    <mergeCell ref="MK18:MK20"/>
    <mergeCell ref="ML18:ML20"/>
    <mergeCell ref="MM18:MM20"/>
    <mergeCell ref="MN18:MN20"/>
    <mergeCell ref="LA38:LA40"/>
    <mergeCell ref="LB38:LB40"/>
    <mergeCell ref="LC38:LC40"/>
    <mergeCell ref="LD38:LD40"/>
    <mergeCell ref="LE38:LE40"/>
    <mergeCell ref="LF38:LF40"/>
    <mergeCell ref="LG38:LG40"/>
    <mergeCell ref="LH38:LH40"/>
    <mergeCell ref="LI38:LI40"/>
    <mergeCell ref="LJ38:LJ40"/>
    <mergeCell ref="LK38:LK40"/>
    <mergeCell ref="LL38:LL40"/>
    <mergeCell ref="LM38:LM40"/>
    <mergeCell ref="LN38:LN40"/>
    <mergeCell ref="LO38:LO40"/>
    <mergeCell ref="LP38:LP40"/>
    <mergeCell ref="LQ38:LQ40"/>
    <mergeCell ref="KJ38:KJ40"/>
    <mergeCell ref="KK38:KK40"/>
    <mergeCell ref="KL38:KL40"/>
    <mergeCell ref="KM38:KM40"/>
    <mergeCell ref="KN38:KN40"/>
    <mergeCell ref="KO38:KO40"/>
    <mergeCell ref="KP38:KP40"/>
    <mergeCell ref="KQ38:KQ40"/>
    <mergeCell ref="KR38:KR40"/>
    <mergeCell ref="KS38:KS40"/>
    <mergeCell ref="KT38:KT40"/>
    <mergeCell ref="KU38:KU40"/>
    <mergeCell ref="KV38:KV40"/>
    <mergeCell ref="KW38:KW40"/>
    <mergeCell ref="KX38:KX40"/>
    <mergeCell ref="KY38:KY40"/>
    <mergeCell ref="KZ38:KZ40"/>
    <mergeCell ref="HV34:HV37"/>
    <mergeCell ref="HW34:HW37"/>
    <mergeCell ref="HX34:HX37"/>
    <mergeCell ref="HY34:HY37"/>
    <mergeCell ref="HZ34:HZ37"/>
    <mergeCell ref="IA34:IA37"/>
    <mergeCell ref="IB34:IB37"/>
    <mergeCell ref="IC34:IC37"/>
    <mergeCell ref="ID34:ID37"/>
    <mergeCell ref="IE34:IE37"/>
    <mergeCell ref="IF34:IF37"/>
    <mergeCell ref="IG34:IG37"/>
    <mergeCell ref="IH34:IH37"/>
    <mergeCell ref="II34:II37"/>
    <mergeCell ref="IJ34:IJ37"/>
    <mergeCell ref="IK34:IK37"/>
    <mergeCell ref="IL34:IL37"/>
    <mergeCell ref="HF34:HF35"/>
    <mergeCell ref="HG34:HG37"/>
    <mergeCell ref="HH34:HH37"/>
    <mergeCell ref="HI34:HI37"/>
    <mergeCell ref="HJ34:HJ37"/>
    <mergeCell ref="HF36:HF37"/>
    <mergeCell ref="HK34:HK37"/>
    <mergeCell ref="HL34:HL37"/>
    <mergeCell ref="HM34:HM37"/>
    <mergeCell ref="HN34:HN37"/>
    <mergeCell ref="HO34:HO37"/>
    <mergeCell ref="HP34:HP37"/>
    <mergeCell ref="HQ34:HQ37"/>
    <mergeCell ref="HR34:HR37"/>
    <mergeCell ref="HS34:HS37"/>
    <mergeCell ref="HT34:HT37"/>
    <mergeCell ref="HU34:HU37"/>
    <mergeCell ref="GO34:GO37"/>
    <mergeCell ref="ES34:ES37"/>
    <mergeCell ref="ET34:ET37"/>
    <mergeCell ref="EU34:EU37"/>
    <mergeCell ref="EV34:EV37"/>
    <mergeCell ref="EW34:EW37"/>
    <mergeCell ref="EX34:EX37"/>
    <mergeCell ref="EY34:EY37"/>
    <mergeCell ref="GP34:GP37"/>
    <mergeCell ref="GQ34:GQ37"/>
    <mergeCell ref="GR34:GR37"/>
    <mergeCell ref="GS34:GS37"/>
    <mergeCell ref="GT34:GT37"/>
    <mergeCell ref="GU34:GU37"/>
    <mergeCell ref="GV34:GV37"/>
    <mergeCell ref="HD34:HD37"/>
    <mergeCell ref="HE34:HE37"/>
    <mergeCell ref="GW34:GW37"/>
    <mergeCell ref="GX34:GX37"/>
    <mergeCell ref="GY34:GY37"/>
    <mergeCell ref="GZ34:GZ37"/>
    <mergeCell ref="HA34:HA37"/>
    <mergeCell ref="HB34:HB37"/>
    <mergeCell ref="HC34:HC37"/>
    <mergeCell ref="FX34:FX37"/>
    <mergeCell ref="FY34:FY37"/>
    <mergeCell ref="FZ34:FZ37"/>
    <mergeCell ref="GA34:GA37"/>
    <mergeCell ref="GB34:GB37"/>
    <mergeCell ref="GC34:GC37"/>
    <mergeCell ref="GD34:GD37"/>
    <mergeCell ref="GE34:GE37"/>
    <mergeCell ref="GF34:GF37"/>
    <mergeCell ref="GG34:GG37"/>
    <mergeCell ref="GH34:GH37"/>
    <mergeCell ref="GI34:GI37"/>
    <mergeCell ref="GJ34:GJ37"/>
    <mergeCell ref="GK34:GK37"/>
    <mergeCell ref="GL34:GL37"/>
    <mergeCell ref="GM34:GM37"/>
    <mergeCell ref="GN34:GN37"/>
    <mergeCell ref="CG38:CG40"/>
    <mergeCell ref="CH38:CH40"/>
    <mergeCell ref="CI38:CI40"/>
    <mergeCell ref="CJ38:CJ40"/>
    <mergeCell ref="CK38:CK40"/>
    <mergeCell ref="CL38:CL40"/>
    <mergeCell ref="CM38:CM40"/>
    <mergeCell ref="EZ34:EZ37"/>
    <mergeCell ref="FA34:FA37"/>
    <mergeCell ref="FB34:FB37"/>
    <mergeCell ref="FC34:FC37"/>
    <mergeCell ref="FD34:FD37"/>
    <mergeCell ref="FE34:FE37"/>
    <mergeCell ref="FF34:FF37"/>
    <mergeCell ref="FG34:FG37"/>
    <mergeCell ref="FH34:FH37"/>
    <mergeCell ref="FI34:FI37"/>
    <mergeCell ref="BO38:BO40"/>
    <mergeCell ref="BP38:BP40"/>
    <mergeCell ref="BQ38:BQ40"/>
    <mergeCell ref="BR38:BR40"/>
    <mergeCell ref="BS38:BS40"/>
    <mergeCell ref="BU38:BU40"/>
    <mergeCell ref="BV38:BV40"/>
    <mergeCell ref="BW38:BW40"/>
    <mergeCell ref="BX38:BX40"/>
    <mergeCell ref="BT39:BT40"/>
    <mergeCell ref="BY38:BY40"/>
    <mergeCell ref="CA38:CA40"/>
    <mergeCell ref="CB38:CB40"/>
    <mergeCell ref="CC38:CC40"/>
    <mergeCell ref="CD38:CD40"/>
    <mergeCell ref="CE38:CE40"/>
    <mergeCell ref="CF38:CF40"/>
    <mergeCell ref="BZ39:BZ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LR34:LR37"/>
    <mergeCell ref="LS34:LS37"/>
    <mergeCell ref="LT34:LT37"/>
    <mergeCell ref="LU34:LU37"/>
    <mergeCell ref="LV34:LV37"/>
    <mergeCell ref="LW34:LW37"/>
    <mergeCell ref="LX34:LX35"/>
    <mergeCell ref="LY34:LY37"/>
    <mergeCell ref="LZ34:LZ37"/>
    <mergeCell ref="LX36:LX37"/>
    <mergeCell ref="MA34:MA37"/>
    <mergeCell ref="MB34:MB37"/>
    <mergeCell ref="MC34:MC37"/>
    <mergeCell ref="ME34:ME37"/>
    <mergeCell ref="MF34:MF37"/>
    <mergeCell ref="MG34:MG37"/>
    <mergeCell ref="MH34:MH37"/>
    <mergeCell ref="MD36:MD37"/>
    <mergeCell ref="KZ34:KZ37"/>
    <mergeCell ref="LA34:LA37"/>
    <mergeCell ref="LB34:LB37"/>
    <mergeCell ref="LC34:LC37"/>
    <mergeCell ref="LD34:LD37"/>
    <mergeCell ref="LE34:LE37"/>
    <mergeCell ref="LF34:LF37"/>
    <mergeCell ref="LG34:LG37"/>
    <mergeCell ref="LH34:LH37"/>
    <mergeCell ref="LI34:LI37"/>
    <mergeCell ref="LK34:LK37"/>
    <mergeCell ref="LL34:LL37"/>
    <mergeCell ref="LM34:LM37"/>
    <mergeCell ref="LN34:LN37"/>
    <mergeCell ref="LO34:LO37"/>
    <mergeCell ref="LP34:LP37"/>
    <mergeCell ref="LQ34:LQ37"/>
    <mergeCell ref="EC34:EC37"/>
    <mergeCell ref="ED34:ED37"/>
    <mergeCell ref="EE34:EE37"/>
    <mergeCell ref="EF34:EF37"/>
    <mergeCell ref="EG34:EG37"/>
    <mergeCell ref="EH34:EH37"/>
    <mergeCell ref="EI34:EI37"/>
    <mergeCell ref="EJ34:EJ37"/>
    <mergeCell ref="EK34:EK37"/>
    <mergeCell ref="EL34:EL37"/>
    <mergeCell ref="EM34:EM37"/>
    <mergeCell ref="EN34:EN37"/>
    <mergeCell ref="EO34:EO37"/>
    <mergeCell ref="EP34:EP37"/>
    <mergeCell ref="EQ34:EQ37"/>
    <mergeCell ref="ER34:ER37"/>
    <mergeCell ref="KJ34:KJ37"/>
    <mergeCell ref="FJ34:FJ35"/>
    <mergeCell ref="FK34:FK37"/>
    <mergeCell ref="FL34:FL37"/>
    <mergeCell ref="FM34:FM37"/>
    <mergeCell ref="FJ36:FJ37"/>
    <mergeCell ref="FN34:FN37"/>
    <mergeCell ref="FO34:FO37"/>
    <mergeCell ref="FP34:FP37"/>
    <mergeCell ref="FQ34:FQ37"/>
    <mergeCell ref="FR34:FR37"/>
    <mergeCell ref="FS34:FS37"/>
    <mergeCell ref="FT34:FT37"/>
    <mergeCell ref="FU34:FU37"/>
    <mergeCell ref="FV34:FV37"/>
    <mergeCell ref="FW34:FW37"/>
    <mergeCell ref="DM34:DM37"/>
    <mergeCell ref="DN34:DN37"/>
    <mergeCell ref="DO34:DO37"/>
    <mergeCell ref="DP34:DP37"/>
    <mergeCell ref="DL36:DL37"/>
    <mergeCell ref="DQ34:DQ37"/>
    <mergeCell ref="DR34:DR37"/>
    <mergeCell ref="DS34:DS37"/>
    <mergeCell ref="DT34:DT37"/>
    <mergeCell ref="DU34:DU37"/>
    <mergeCell ref="DV34:DV37"/>
    <mergeCell ref="DW34:DW37"/>
    <mergeCell ref="DX34:DX37"/>
    <mergeCell ref="DY34:DY37"/>
    <mergeCell ref="DZ34:DZ37"/>
    <mergeCell ref="EA34:EA37"/>
    <mergeCell ref="EB34:EB37"/>
    <mergeCell ref="CV34:CV37"/>
    <mergeCell ref="CW34:CW37"/>
    <mergeCell ref="CX34:CX37"/>
    <mergeCell ref="CY34:CY37"/>
    <mergeCell ref="CZ34:CZ37"/>
    <mergeCell ref="DA34:DA37"/>
    <mergeCell ref="DB34:DB37"/>
    <mergeCell ref="DC34:DC37"/>
    <mergeCell ref="DD34:DD37"/>
    <mergeCell ref="DE34:DE37"/>
    <mergeCell ref="DF34:DF37"/>
    <mergeCell ref="DG34:DG37"/>
    <mergeCell ref="DH34:DH37"/>
    <mergeCell ref="DI34:DI37"/>
    <mergeCell ref="DJ34:DJ37"/>
    <mergeCell ref="DK34:DK37"/>
    <mergeCell ref="DL34:DL35"/>
    <mergeCell ref="CN34:CN37"/>
    <mergeCell ref="CJ36:CJ37"/>
    <mergeCell ref="CO34:CO37"/>
    <mergeCell ref="CP34:CP35"/>
    <mergeCell ref="CQ34:CQ37"/>
    <mergeCell ref="CR34:CR37"/>
    <mergeCell ref="CS34:CS37"/>
    <mergeCell ref="CT34:CT37"/>
    <mergeCell ref="CU34:CU37"/>
    <mergeCell ref="CP36:CP37"/>
    <mergeCell ref="BN36:BN37"/>
    <mergeCell ref="BP36:BP37"/>
    <mergeCell ref="BL34:BL37"/>
    <mergeCell ref="BM34:BM37"/>
    <mergeCell ref="BN34:BN35"/>
    <mergeCell ref="BO34:BO37"/>
    <mergeCell ref="BQ34:BQ37"/>
    <mergeCell ref="BR34:BR37"/>
    <mergeCell ref="BS34:BS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5"/>
    <mergeCell ref="CK34:CK37"/>
    <mergeCell ref="CL34:CL37"/>
    <mergeCell ref="CM34:CM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T34:BT37"/>
    <mergeCell ref="BU34:BU37"/>
    <mergeCell ref="BV34:BV37"/>
    <mergeCell ref="WO38:WO40"/>
    <mergeCell ref="WP38:WP40"/>
    <mergeCell ref="WQ38:WQ40"/>
    <mergeCell ref="WR38:WR40"/>
    <mergeCell ref="WS38:WS40"/>
    <mergeCell ref="WT38:WT40"/>
    <mergeCell ref="WU38:WU40"/>
    <mergeCell ref="WV38:WV40"/>
    <mergeCell ref="WW38:WW40"/>
    <mergeCell ref="WX38:WX40"/>
    <mergeCell ref="WY38:WY40"/>
    <mergeCell ref="WZ38:WZ40"/>
    <mergeCell ref="XA38:XA40"/>
    <mergeCell ref="XB38:XB40"/>
    <mergeCell ref="XC38:XC40"/>
    <mergeCell ref="XD38:XD40"/>
    <mergeCell ref="XE38:XE40"/>
    <mergeCell ref="VX38:VX40"/>
    <mergeCell ref="VY38:VY40"/>
    <mergeCell ref="VZ38:VZ40"/>
    <mergeCell ref="WA38:WA40"/>
    <mergeCell ref="WB38:WB40"/>
    <mergeCell ref="WC38:WC40"/>
    <mergeCell ref="WD38:WD40"/>
    <mergeCell ref="WE38:WE40"/>
    <mergeCell ref="WF38:WF40"/>
    <mergeCell ref="WG38:WG40"/>
    <mergeCell ref="WH38:WH40"/>
    <mergeCell ref="WI38:WI40"/>
    <mergeCell ref="WJ38:WJ40"/>
    <mergeCell ref="WK38:WK40"/>
    <mergeCell ref="WL38:WL40"/>
    <mergeCell ref="WM38:WM40"/>
    <mergeCell ref="WN38:WN40"/>
    <mergeCell ref="XH38:XH40"/>
    <mergeCell ref="XI38:XI40"/>
    <mergeCell ref="XJ38:XJ40"/>
    <mergeCell ref="XK38:XK40"/>
    <mergeCell ref="XL38:XL40"/>
    <mergeCell ref="XM38:XM40"/>
    <mergeCell ref="XN38:XN40"/>
    <mergeCell ref="XO38:XO40"/>
    <mergeCell ref="XP38:XP40"/>
    <mergeCell ref="XQ38:XQ40"/>
    <mergeCell ref="XR38:XR40"/>
    <mergeCell ref="XS38:XS40"/>
    <mergeCell ref="YA38:YA40"/>
    <mergeCell ref="YB38:YB40"/>
    <mergeCell ref="YC38:YC40"/>
    <mergeCell ref="YD38:YD40"/>
    <mergeCell ref="YE38:YE40"/>
    <mergeCell ref="XT38:XT40"/>
    <mergeCell ref="XU38:XU40"/>
    <mergeCell ref="XV38:XV40"/>
    <mergeCell ref="XW38:XW40"/>
    <mergeCell ref="XX38:XX40"/>
    <mergeCell ref="XY38:XY40"/>
    <mergeCell ref="XZ38:XZ40"/>
    <mergeCell ref="UT38:UT40"/>
    <mergeCell ref="UU38:UU40"/>
    <mergeCell ref="UV38:UV40"/>
    <mergeCell ref="UW38:UW40"/>
    <mergeCell ref="UX38:UX40"/>
    <mergeCell ref="UY38:UY40"/>
    <mergeCell ref="UZ38:UZ40"/>
    <mergeCell ref="VA38:VA40"/>
    <mergeCell ref="VB38:VB40"/>
    <mergeCell ref="VC38:VC40"/>
    <mergeCell ref="VD38:VD40"/>
    <mergeCell ref="VE38:VE40"/>
    <mergeCell ref="VF38:VF40"/>
    <mergeCell ref="VG38:VG40"/>
    <mergeCell ref="VH38:VH40"/>
    <mergeCell ref="XF38:XF40"/>
    <mergeCell ref="XG38:XG40"/>
    <mergeCell ref="VI38:VI40"/>
    <mergeCell ref="VJ38:VJ40"/>
    <mergeCell ref="VK38:VK40"/>
    <mergeCell ref="VL38:VL40"/>
    <mergeCell ref="VM38:VM40"/>
    <mergeCell ref="VN38:VN40"/>
    <mergeCell ref="VO38:VO40"/>
    <mergeCell ref="VP38:VP40"/>
    <mergeCell ref="VQ38:VQ40"/>
    <mergeCell ref="VR38:VR40"/>
    <mergeCell ref="VS38:VS40"/>
    <mergeCell ref="VT38:VT40"/>
    <mergeCell ref="VU38:VU40"/>
    <mergeCell ref="VV38:VV40"/>
    <mergeCell ref="VW38:VW40"/>
    <mergeCell ref="UC38:UC40"/>
    <mergeCell ref="UD38:UD40"/>
    <mergeCell ref="UE38:UE40"/>
    <mergeCell ref="UF38:UF40"/>
    <mergeCell ref="UG38:UG40"/>
    <mergeCell ref="UH38:UH40"/>
    <mergeCell ref="UI38:UI40"/>
    <mergeCell ref="UJ38:UJ40"/>
    <mergeCell ref="UK38:UK40"/>
    <mergeCell ref="UL38:UL40"/>
    <mergeCell ref="UM38:UM40"/>
    <mergeCell ref="UN38:UN40"/>
    <mergeCell ref="UO38:UO40"/>
    <mergeCell ref="UP38:UP40"/>
    <mergeCell ref="UQ38:UQ40"/>
    <mergeCell ref="UR38:UR40"/>
    <mergeCell ref="US38:US40"/>
    <mergeCell ref="TL38:TL40"/>
    <mergeCell ref="TM38:TM40"/>
    <mergeCell ref="TN38:TN40"/>
    <mergeCell ref="TO38:TO40"/>
    <mergeCell ref="TP38:TP40"/>
    <mergeCell ref="TQ38:TQ40"/>
    <mergeCell ref="TR38:TR40"/>
    <mergeCell ref="TS38:TS40"/>
    <mergeCell ref="TT38:TT40"/>
    <mergeCell ref="TU38:TU40"/>
    <mergeCell ref="TV38:TV40"/>
    <mergeCell ref="TW38:TW40"/>
    <mergeCell ref="TX38:TX40"/>
    <mergeCell ref="TY38:TY40"/>
    <mergeCell ref="TZ38:TZ40"/>
    <mergeCell ref="UA38:UA40"/>
    <mergeCell ref="UB38:UB40"/>
    <mergeCell ref="SU38:SU40"/>
    <mergeCell ref="SV38:SV40"/>
    <mergeCell ref="SW38:SW40"/>
    <mergeCell ref="SX38:SX40"/>
    <mergeCell ref="SY38:SY40"/>
    <mergeCell ref="SZ38:SZ40"/>
    <mergeCell ref="TA38:TA40"/>
    <mergeCell ref="TB38:TB40"/>
    <mergeCell ref="TC38:TC40"/>
    <mergeCell ref="TD38:TD40"/>
    <mergeCell ref="TE38:TE40"/>
    <mergeCell ref="TF38:TF40"/>
    <mergeCell ref="TG38:TG40"/>
    <mergeCell ref="TH38:TH40"/>
    <mergeCell ref="TI38:TI40"/>
    <mergeCell ref="TJ38:TJ40"/>
    <mergeCell ref="TK38:TK40"/>
    <mergeCell ref="SD38:SD40"/>
    <mergeCell ref="SE38:SE40"/>
    <mergeCell ref="SF38:SF40"/>
    <mergeCell ref="SG38:SG40"/>
    <mergeCell ref="SH38:SH40"/>
    <mergeCell ref="SI38:SI40"/>
    <mergeCell ref="SJ38:SJ40"/>
    <mergeCell ref="SK38:SK40"/>
    <mergeCell ref="SL38:SL40"/>
    <mergeCell ref="SM38:SM40"/>
    <mergeCell ref="SN38:SN40"/>
    <mergeCell ref="SO38:SO40"/>
    <mergeCell ref="SP38:SP40"/>
    <mergeCell ref="SQ38:SQ40"/>
    <mergeCell ref="SR38:SR40"/>
    <mergeCell ref="SS38:SS40"/>
    <mergeCell ref="ST38:ST40"/>
    <mergeCell ref="RM38:RM40"/>
    <mergeCell ref="RN38:RN40"/>
    <mergeCell ref="RO38:RO40"/>
    <mergeCell ref="RP38:RP40"/>
    <mergeCell ref="RQ38:RQ40"/>
    <mergeCell ref="RR38:RR40"/>
    <mergeCell ref="RS38:RS40"/>
    <mergeCell ref="RT38:RT40"/>
    <mergeCell ref="RU38:RU40"/>
    <mergeCell ref="RV38:RV40"/>
    <mergeCell ref="RW38:RW40"/>
    <mergeCell ref="RX38:RX40"/>
    <mergeCell ref="RY38:RY40"/>
    <mergeCell ref="RZ38:RZ40"/>
    <mergeCell ref="SA38:SA40"/>
    <mergeCell ref="SB38:SB40"/>
    <mergeCell ref="SC38:SC40"/>
    <mergeCell ref="QV38:QV40"/>
    <mergeCell ref="QW38:QW40"/>
    <mergeCell ref="QX38:QX40"/>
    <mergeCell ref="QY38:QY40"/>
    <mergeCell ref="QZ38:QZ40"/>
    <mergeCell ref="RA38:RA40"/>
    <mergeCell ref="RB38:RB40"/>
    <mergeCell ref="RC38:RC40"/>
    <mergeCell ref="RD38:RD40"/>
    <mergeCell ref="RE38:RE40"/>
    <mergeCell ref="RF38:RF40"/>
    <mergeCell ref="RG38:RG40"/>
    <mergeCell ref="RH38:RH40"/>
    <mergeCell ref="RI38:RI40"/>
    <mergeCell ref="RJ38:RJ40"/>
    <mergeCell ref="RK38:RK40"/>
    <mergeCell ref="RL38:RL40"/>
    <mergeCell ref="QE38:QE40"/>
    <mergeCell ref="QF38:QF40"/>
    <mergeCell ref="QG38:QG40"/>
    <mergeCell ref="QH38:QH40"/>
    <mergeCell ref="QI38:QI40"/>
    <mergeCell ref="QJ38:QJ40"/>
    <mergeCell ref="QK38:QK40"/>
    <mergeCell ref="QL38:QL40"/>
    <mergeCell ref="QM38:QM40"/>
    <mergeCell ref="QN38:QN40"/>
    <mergeCell ref="QO38:QO40"/>
    <mergeCell ref="QP38:QP40"/>
    <mergeCell ref="QQ38:QQ40"/>
    <mergeCell ref="QR38:QR40"/>
    <mergeCell ref="QS38:QS40"/>
    <mergeCell ref="QT38:QT40"/>
    <mergeCell ref="QU38:QU40"/>
    <mergeCell ref="PN38:PN40"/>
    <mergeCell ref="PO38:PO40"/>
    <mergeCell ref="PP38:PP40"/>
    <mergeCell ref="PQ38:PQ40"/>
    <mergeCell ref="PR38:PR40"/>
    <mergeCell ref="PS38:PS40"/>
    <mergeCell ref="PT38:PT40"/>
    <mergeCell ref="PU38:PU40"/>
    <mergeCell ref="PV38:PV40"/>
    <mergeCell ref="PW38:PW40"/>
    <mergeCell ref="PX38:PX40"/>
    <mergeCell ref="PY38:PY40"/>
    <mergeCell ref="PZ38:PZ40"/>
    <mergeCell ref="QA38:QA40"/>
    <mergeCell ref="QB38:QB40"/>
    <mergeCell ref="QC38:QC40"/>
    <mergeCell ref="QD38:QD40"/>
    <mergeCell ref="OW38:OW40"/>
    <mergeCell ref="OX38:OX40"/>
    <mergeCell ref="OY38:OY40"/>
    <mergeCell ref="OZ38:OZ40"/>
    <mergeCell ref="PA38:PA40"/>
    <mergeCell ref="PB38:PB40"/>
    <mergeCell ref="PC38:PC40"/>
    <mergeCell ref="PD38:PD40"/>
    <mergeCell ref="PE38:PE40"/>
    <mergeCell ref="PF38:PF40"/>
    <mergeCell ref="PG38:PG40"/>
    <mergeCell ref="PH38:PH40"/>
    <mergeCell ref="PI38:PI40"/>
    <mergeCell ref="PJ38:PJ40"/>
    <mergeCell ref="PK38:PK40"/>
    <mergeCell ref="PL38:PL40"/>
    <mergeCell ref="PM38:PM40"/>
    <mergeCell ref="OF38:OF40"/>
    <mergeCell ref="OG38:OG40"/>
    <mergeCell ref="OH38:OH40"/>
    <mergeCell ref="OI38:OI40"/>
    <mergeCell ref="OJ38:OJ40"/>
    <mergeCell ref="OK38:OK40"/>
    <mergeCell ref="OL38:OL40"/>
    <mergeCell ref="OM38:OM40"/>
    <mergeCell ref="ON38:ON40"/>
    <mergeCell ref="OO38:OO40"/>
    <mergeCell ref="OP38:OP40"/>
    <mergeCell ref="OQ38:OQ40"/>
    <mergeCell ref="OR38:OR40"/>
    <mergeCell ref="OS38:OS40"/>
    <mergeCell ref="OT38:OT40"/>
    <mergeCell ref="OU38:OU40"/>
    <mergeCell ref="OV38:OV40"/>
    <mergeCell ref="NO38:NO40"/>
    <mergeCell ref="NP38:NP40"/>
    <mergeCell ref="NQ38:NQ40"/>
    <mergeCell ref="NR38:NR40"/>
    <mergeCell ref="NS38:NS40"/>
    <mergeCell ref="NT38:NT40"/>
    <mergeCell ref="NU38:NU40"/>
    <mergeCell ref="NV38:NV40"/>
    <mergeCell ref="NW38:NW40"/>
    <mergeCell ref="NX38:NX40"/>
    <mergeCell ref="NY38:NY40"/>
    <mergeCell ref="NZ38:NZ40"/>
    <mergeCell ref="OA38:OA40"/>
    <mergeCell ref="OB38:OB40"/>
    <mergeCell ref="OC38:OC40"/>
    <mergeCell ref="OD38:OD40"/>
    <mergeCell ref="OE38:OE40"/>
    <mergeCell ref="MX38:MX40"/>
    <mergeCell ref="MY38:MY40"/>
    <mergeCell ref="MZ38:MZ40"/>
    <mergeCell ref="NA38:NA40"/>
    <mergeCell ref="NB38:NB40"/>
    <mergeCell ref="NC38:NC40"/>
    <mergeCell ref="ND38:ND40"/>
    <mergeCell ref="NE38:NE40"/>
    <mergeCell ref="NF38:NF40"/>
    <mergeCell ref="NG38:NG40"/>
    <mergeCell ref="NH38:NH40"/>
    <mergeCell ref="NI38:NI40"/>
    <mergeCell ref="NJ38:NJ40"/>
    <mergeCell ref="NK38:NK40"/>
    <mergeCell ref="NL38:NL40"/>
    <mergeCell ref="NM38:NM40"/>
    <mergeCell ref="NN38:NN40"/>
    <mergeCell ref="MG38:MG40"/>
    <mergeCell ref="MH38:MH40"/>
    <mergeCell ref="MI38:MI40"/>
    <mergeCell ref="MJ38:MJ40"/>
    <mergeCell ref="MK38:MK40"/>
    <mergeCell ref="ML38:ML40"/>
    <mergeCell ref="MM38:MM40"/>
    <mergeCell ref="MN38:MN40"/>
    <mergeCell ref="MO38:MO40"/>
    <mergeCell ref="MP38:MP40"/>
    <mergeCell ref="MQ38:MQ40"/>
    <mergeCell ref="MR38:MR40"/>
    <mergeCell ref="MS38:MS40"/>
    <mergeCell ref="MT38:MT40"/>
    <mergeCell ref="MU38:MU40"/>
    <mergeCell ref="MV38:MV40"/>
    <mergeCell ref="MW38:MW40"/>
    <mergeCell ref="KI38:KI40"/>
    <mergeCell ref="KC34:KC37"/>
    <mergeCell ref="KD34:KD35"/>
    <mergeCell ref="KE34:KE37"/>
    <mergeCell ref="KF34:KF37"/>
    <mergeCell ref="KG34:KG37"/>
    <mergeCell ref="KI34:KI37"/>
    <mergeCell ref="KD36:KD37"/>
    <mergeCell ref="LX38:LX40"/>
    <mergeCell ref="LY38:LY40"/>
    <mergeCell ref="LZ38:LZ40"/>
    <mergeCell ref="MA38:MA40"/>
    <mergeCell ref="MB38:MB40"/>
    <mergeCell ref="MC38:MC40"/>
    <mergeCell ref="MD38:MD40"/>
    <mergeCell ref="ME38:ME40"/>
    <mergeCell ref="MF38:MF40"/>
    <mergeCell ref="KK34:KK37"/>
    <mergeCell ref="KL34:KL37"/>
    <mergeCell ref="KM34:KM37"/>
    <mergeCell ref="KN34:KN37"/>
    <mergeCell ref="KO34:KO37"/>
    <mergeCell ref="KP34:KP37"/>
    <mergeCell ref="KQ34:KQ37"/>
    <mergeCell ref="KR34:KR37"/>
    <mergeCell ref="KS34:KS37"/>
    <mergeCell ref="KT34:KT37"/>
    <mergeCell ref="KU34:KU37"/>
    <mergeCell ref="KV34:KV37"/>
    <mergeCell ref="KW34:KW37"/>
    <mergeCell ref="KX34:KX37"/>
    <mergeCell ref="KY34:KY37"/>
    <mergeCell ref="KH34:KH35"/>
    <mergeCell ref="KH36:KH37"/>
    <mergeCell ref="JF36:JF37"/>
    <mergeCell ref="JF38:JF40"/>
    <mergeCell ref="JG38:JG40"/>
    <mergeCell ref="JH38:JH40"/>
    <mergeCell ref="JI38:JI40"/>
    <mergeCell ref="JJ38:JJ40"/>
    <mergeCell ref="JK38:JK40"/>
    <mergeCell ref="JO34:JO37"/>
    <mergeCell ref="JP34:JP37"/>
    <mergeCell ref="JQ34:JQ37"/>
    <mergeCell ref="JR34:JR37"/>
    <mergeCell ref="JS34:JS37"/>
    <mergeCell ref="JT34:JT37"/>
    <mergeCell ref="JU34:JU37"/>
    <mergeCell ref="KD38:KD40"/>
    <mergeCell ref="KE38:KE40"/>
    <mergeCell ref="KF38:KF40"/>
    <mergeCell ref="KG38:KG40"/>
    <mergeCell ref="KH38:KH40"/>
    <mergeCell ref="JL38:JL40"/>
    <mergeCell ref="JM38:JM40"/>
    <mergeCell ref="JN38:JN40"/>
    <mergeCell ref="JO38:JO40"/>
    <mergeCell ref="JP38:JP40"/>
    <mergeCell ref="JQ38:JQ40"/>
    <mergeCell ref="JR38:JR40"/>
    <mergeCell ref="JS38:JS40"/>
    <mergeCell ref="JT38:JT40"/>
    <mergeCell ref="KB38:KB40"/>
    <mergeCell ref="KC38:KC40"/>
    <mergeCell ref="JU38:JU40"/>
    <mergeCell ref="JV38:JV40"/>
    <mergeCell ref="JW38:JW40"/>
    <mergeCell ref="JX38:JX40"/>
    <mergeCell ref="JY38:JY40"/>
    <mergeCell ref="JZ38:JZ40"/>
    <mergeCell ref="KA38:KA40"/>
    <mergeCell ref="IM34:IM37"/>
    <mergeCell ref="IN34:IN37"/>
    <mergeCell ref="IO34:IO37"/>
    <mergeCell ref="IP34:IP37"/>
    <mergeCell ref="IQ34:IQ37"/>
    <mergeCell ref="IR34:IR37"/>
    <mergeCell ref="IS34:IS37"/>
    <mergeCell ref="IT34:IT37"/>
    <mergeCell ref="IU34:IU37"/>
    <mergeCell ref="IV34:IV37"/>
    <mergeCell ref="IW34:IW37"/>
    <mergeCell ref="IX34:IX37"/>
    <mergeCell ref="IY34:IY37"/>
    <mergeCell ref="IZ34:IZ37"/>
    <mergeCell ref="JV34:JV37"/>
    <mergeCell ref="JW34:JW37"/>
    <mergeCell ref="JX34:JX37"/>
    <mergeCell ref="JY34:JY37"/>
    <mergeCell ref="JZ34:JZ37"/>
    <mergeCell ref="KA34:KA37"/>
    <mergeCell ref="KB34:KB37"/>
    <mergeCell ref="IN38:IN40"/>
    <mergeCell ref="IO38:IO40"/>
    <mergeCell ref="IP38:IP40"/>
    <mergeCell ref="IQ38:IQ40"/>
    <mergeCell ref="IR38:IR40"/>
    <mergeCell ref="IS38:IS40"/>
    <mergeCell ref="IT38:IT40"/>
    <mergeCell ref="IU38:IU40"/>
    <mergeCell ref="IV38:IV40"/>
    <mergeCell ref="JH34:JH35"/>
    <mergeCell ref="JI34:JI37"/>
    <mergeCell ref="JJ34:JJ37"/>
    <mergeCell ref="JK34:JK37"/>
    <mergeCell ref="JL34:JL37"/>
    <mergeCell ref="JM34:JM37"/>
    <mergeCell ref="JN34:JN37"/>
    <mergeCell ref="JH36:JH37"/>
    <mergeCell ref="JA34:JA37"/>
    <mergeCell ref="JB34:JB37"/>
    <mergeCell ref="JC34:JC37"/>
    <mergeCell ref="JD34:JD37"/>
    <mergeCell ref="JE34:JE37"/>
    <mergeCell ref="JF34:JF35"/>
    <mergeCell ref="JG34:JG37"/>
    <mergeCell ref="HW38:HW40"/>
    <mergeCell ref="HX38:HX40"/>
    <mergeCell ref="HY38:HY40"/>
    <mergeCell ref="HZ38:HZ40"/>
    <mergeCell ref="IA38:IA40"/>
    <mergeCell ref="IB38:IB40"/>
    <mergeCell ref="IC38:IC40"/>
    <mergeCell ref="ID38:ID40"/>
    <mergeCell ref="IE38:IE40"/>
    <mergeCell ref="IF38:IF40"/>
    <mergeCell ref="IG38:IG40"/>
    <mergeCell ref="IH38:IH40"/>
    <mergeCell ref="II38:II40"/>
    <mergeCell ref="IJ38:IJ40"/>
    <mergeCell ref="IK38:IK40"/>
    <mergeCell ref="IL38:IL40"/>
    <mergeCell ref="IM38:IM40"/>
    <mergeCell ref="JD38:JD40"/>
    <mergeCell ref="JE38:JE40"/>
    <mergeCell ref="IW38:IW40"/>
    <mergeCell ref="IX38:IX40"/>
    <mergeCell ref="IY38:IY40"/>
    <mergeCell ref="IZ38:IZ40"/>
    <mergeCell ref="JA38:JA40"/>
    <mergeCell ref="JB38:JB40"/>
    <mergeCell ref="JC38:JC40"/>
    <mergeCell ref="GZ38:GZ40"/>
    <mergeCell ref="HA38:HA40"/>
    <mergeCell ref="HB38:HB40"/>
    <mergeCell ref="HC38:HC40"/>
    <mergeCell ref="HD38:HD40"/>
    <mergeCell ref="HE38:HE40"/>
    <mergeCell ref="HF38:HF40"/>
    <mergeCell ref="HG38:HG40"/>
    <mergeCell ref="HH38:HH40"/>
    <mergeCell ref="HI38:HI40"/>
    <mergeCell ref="HJ38:HJ40"/>
    <mergeCell ref="HK38:HK40"/>
    <mergeCell ref="HL38:HL40"/>
    <mergeCell ref="HM38:HM40"/>
    <mergeCell ref="HN38:HN40"/>
    <mergeCell ref="HO38:HO40"/>
    <mergeCell ref="HP38:HP40"/>
    <mergeCell ref="HQ38:HQ40"/>
    <mergeCell ref="HR38:HR40"/>
    <mergeCell ref="HS38:HS40"/>
    <mergeCell ref="HT38:HT40"/>
    <mergeCell ref="HU38:HU40"/>
    <mergeCell ref="HV38:HV40"/>
    <mergeCell ref="FZ38:FZ40"/>
    <mergeCell ref="GA38:GA40"/>
    <mergeCell ref="GB38:GB40"/>
    <mergeCell ref="GC38:GC40"/>
    <mergeCell ref="GD38:GD40"/>
    <mergeCell ref="GE38:GE40"/>
    <mergeCell ref="GF38:GF40"/>
    <mergeCell ref="GG38:GG40"/>
    <mergeCell ref="GH38:GH40"/>
    <mergeCell ref="GI38:GI40"/>
    <mergeCell ref="GJ38:GJ40"/>
    <mergeCell ref="GK38:GK40"/>
    <mergeCell ref="GL38:GL40"/>
    <mergeCell ref="GM38:GM40"/>
    <mergeCell ref="GN38:GN40"/>
    <mergeCell ref="GO38:GO40"/>
    <mergeCell ref="GP38:GP40"/>
    <mergeCell ref="FI38:FI40"/>
    <mergeCell ref="FJ38:FJ40"/>
    <mergeCell ref="FK38:FK40"/>
    <mergeCell ref="FL38:FL40"/>
    <mergeCell ref="FM38:FM40"/>
    <mergeCell ref="FN38:FN40"/>
    <mergeCell ref="FO38:FO40"/>
    <mergeCell ref="FP38:FP40"/>
    <mergeCell ref="FQ38:FQ40"/>
    <mergeCell ref="FR38:FR40"/>
    <mergeCell ref="FS38:FS40"/>
    <mergeCell ref="FT38:FT40"/>
    <mergeCell ref="FU38:FU40"/>
    <mergeCell ref="FV38:FV40"/>
    <mergeCell ref="FW38:FW40"/>
    <mergeCell ref="FX38:FX40"/>
    <mergeCell ref="FY38:FY40"/>
    <mergeCell ref="EC38:EC40"/>
    <mergeCell ref="ED38:ED40"/>
    <mergeCell ref="EE38:EE40"/>
    <mergeCell ref="EF38:EF40"/>
    <mergeCell ref="EG38:EG40"/>
    <mergeCell ref="EH38:EH40"/>
    <mergeCell ref="EI38:EI40"/>
    <mergeCell ref="EJ38:EJ40"/>
    <mergeCell ref="GX38:GX40"/>
    <mergeCell ref="GY38:GY40"/>
    <mergeCell ref="GQ38:GQ40"/>
    <mergeCell ref="GR38:GR40"/>
    <mergeCell ref="GS38:GS40"/>
    <mergeCell ref="GT38:GT40"/>
    <mergeCell ref="GU38:GU40"/>
    <mergeCell ref="GV38:GV40"/>
    <mergeCell ref="GW38:GW40"/>
    <mergeCell ref="ET38:ET40"/>
    <mergeCell ref="EU38:EU40"/>
    <mergeCell ref="EV38:EV40"/>
    <mergeCell ref="EW38:EW40"/>
    <mergeCell ref="EX38:EX40"/>
    <mergeCell ref="EY38:EY40"/>
    <mergeCell ref="EZ38:EZ40"/>
    <mergeCell ref="FA38:FA40"/>
    <mergeCell ref="FB38:FB40"/>
    <mergeCell ref="FC38:FC40"/>
    <mergeCell ref="FD38:FD40"/>
    <mergeCell ref="FE38:FE40"/>
    <mergeCell ref="FF38:FF40"/>
    <mergeCell ref="FG38:FG40"/>
    <mergeCell ref="FH38:FH40"/>
    <mergeCell ref="DL38:DL40"/>
    <mergeCell ref="DM38:DM40"/>
    <mergeCell ref="DN38:DN40"/>
    <mergeCell ref="DO38:DO40"/>
    <mergeCell ref="DP38:DP40"/>
    <mergeCell ref="DQ38:DQ40"/>
    <mergeCell ref="DR38:DR40"/>
    <mergeCell ref="DS38:DS40"/>
    <mergeCell ref="DT38:DT40"/>
    <mergeCell ref="DU38:DU40"/>
    <mergeCell ref="DV38:DV40"/>
    <mergeCell ref="DW38:DW40"/>
    <mergeCell ref="DX38:DX40"/>
    <mergeCell ref="DY38:DY40"/>
    <mergeCell ref="DZ38:DZ40"/>
    <mergeCell ref="EA38:EA40"/>
    <mergeCell ref="EB38:EB40"/>
    <mergeCell ref="ER38:ER40"/>
    <mergeCell ref="ES38:ES40"/>
    <mergeCell ref="EK38:EK40"/>
    <mergeCell ref="EL38:EL40"/>
    <mergeCell ref="EM38:EM40"/>
    <mergeCell ref="EN38:EN40"/>
    <mergeCell ref="EO38:EO40"/>
    <mergeCell ref="EP38:EP40"/>
    <mergeCell ref="EQ38:EQ40"/>
    <mergeCell ref="CP38:CP40"/>
    <mergeCell ref="CQ38:CQ40"/>
    <mergeCell ref="CR38:CR40"/>
    <mergeCell ref="CS38:CS40"/>
    <mergeCell ref="CT38:CT40"/>
    <mergeCell ref="CO38:CO40"/>
    <mergeCell ref="CU38:CU40"/>
    <mergeCell ref="CV38:CV40"/>
    <mergeCell ref="CW38:CW40"/>
    <mergeCell ref="CX38:CX40"/>
    <mergeCell ref="CY38:CY40"/>
    <mergeCell ref="CZ38:CZ40"/>
    <mergeCell ref="DA38:DA40"/>
    <mergeCell ref="DB38:DB40"/>
    <mergeCell ref="DC38:DC40"/>
    <mergeCell ref="DD38:DD40"/>
    <mergeCell ref="DE38:DE40"/>
    <mergeCell ref="DF38:DF40"/>
    <mergeCell ref="DG38:DG40"/>
    <mergeCell ref="DH38:DH40"/>
    <mergeCell ref="DI38:DI40"/>
    <mergeCell ref="DJ38:DJ40"/>
    <mergeCell ref="DK38:DK40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S38:AS40"/>
    <mergeCell ref="AT38:AT40"/>
    <mergeCell ref="AU38:AU40"/>
    <mergeCell ref="AV38:AV40"/>
    <mergeCell ref="AW38:AW40"/>
    <mergeCell ref="AQ34:AQ37"/>
    <mergeCell ref="AR34:AR37"/>
    <mergeCell ref="AS34:AS37"/>
    <mergeCell ref="AT34:AT37"/>
    <mergeCell ref="AU34:AU37"/>
    <mergeCell ref="AV34:AV37"/>
    <mergeCell ref="AW34:AW37"/>
    <mergeCell ref="A38:A40"/>
    <mergeCell ref="B38:B40"/>
    <mergeCell ref="C38:C40"/>
    <mergeCell ref="D38:D40"/>
    <mergeCell ref="E38:E40"/>
    <mergeCell ref="F38:F40"/>
    <mergeCell ref="G38:G40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AQ38:AQ40"/>
    <mergeCell ref="AR38:AR40"/>
    <mergeCell ref="AI38:AI40"/>
    <mergeCell ref="AJ38:AJ40"/>
    <mergeCell ref="AK38:AK40"/>
    <mergeCell ref="AM38:AM40"/>
    <mergeCell ref="AN38:AN40"/>
    <mergeCell ref="AO38:AO40"/>
    <mergeCell ref="AP38:AP40"/>
    <mergeCell ref="AL39:AL40"/>
    <mergeCell ref="AP34:AP35"/>
    <mergeCell ref="AP36:AP37"/>
    <mergeCell ref="AJ34:AJ37"/>
    <mergeCell ref="AK34:AK37"/>
    <mergeCell ref="AL34:AL35"/>
    <mergeCell ref="AM34:AM37"/>
    <mergeCell ref="AN34:AN37"/>
    <mergeCell ref="AO34:AO37"/>
    <mergeCell ref="AL36:AL37"/>
    <mergeCell ref="X38:X40"/>
    <mergeCell ref="Y38:Y40"/>
    <mergeCell ref="Q38:Q40"/>
    <mergeCell ref="R38:R40"/>
    <mergeCell ref="S38:S40"/>
    <mergeCell ref="T38:T40"/>
    <mergeCell ref="U38:U40"/>
    <mergeCell ref="V38:V40"/>
    <mergeCell ref="W38:W40"/>
    <mergeCell ref="AG38:AG40"/>
    <mergeCell ref="AH38:AH40"/>
    <mergeCell ref="Z38:Z40"/>
    <mergeCell ref="AA38:AA40"/>
    <mergeCell ref="AB38:AB40"/>
    <mergeCell ref="AC38:AC40"/>
    <mergeCell ref="AD38:AD40"/>
    <mergeCell ref="AE38:AE40"/>
    <mergeCell ref="AF38:AF40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31:A33"/>
    <mergeCell ref="B31:B33"/>
    <mergeCell ref="C31:C33"/>
    <mergeCell ref="D31:D33"/>
    <mergeCell ref="E31:E33"/>
    <mergeCell ref="F31:F33"/>
    <mergeCell ref="G31:G33"/>
    <mergeCell ref="H34:H37"/>
    <mergeCell ref="I34:I37"/>
    <mergeCell ref="J34:J37"/>
    <mergeCell ref="K34:K37"/>
    <mergeCell ref="L34:L37"/>
    <mergeCell ref="M34:M37"/>
    <mergeCell ref="N34:N35"/>
    <mergeCell ref="N36:N37"/>
    <mergeCell ref="A34:A37"/>
    <mergeCell ref="B34:B37"/>
    <mergeCell ref="C34:C37"/>
    <mergeCell ref="D34:D37"/>
    <mergeCell ref="E34:E37"/>
    <mergeCell ref="F34:F37"/>
    <mergeCell ref="G34:G37"/>
    <mergeCell ref="Y34:Y37"/>
    <mergeCell ref="Z34:Z37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MI31:MI33"/>
    <mergeCell ref="MJ31:MJ33"/>
    <mergeCell ref="MD32:MD33"/>
    <mergeCell ref="MK31:MK33"/>
    <mergeCell ref="ML31:ML33"/>
    <mergeCell ref="MM31:MM33"/>
    <mergeCell ref="MN31:MN33"/>
    <mergeCell ref="MO31:MO33"/>
    <mergeCell ref="MP31:MP33"/>
    <mergeCell ref="MQ31:MQ33"/>
    <mergeCell ref="MR31:MR33"/>
    <mergeCell ref="MS31:MS33"/>
    <mergeCell ref="MU31:MU33"/>
    <mergeCell ref="MV31:MV33"/>
    <mergeCell ref="MW31:MW33"/>
    <mergeCell ref="MX31:MX33"/>
    <mergeCell ref="MY31:MY33"/>
    <mergeCell ref="LQ31:LQ33"/>
    <mergeCell ref="LR31:LR33"/>
    <mergeCell ref="LS31:LS33"/>
    <mergeCell ref="LT31:LT33"/>
    <mergeCell ref="LU31:LU33"/>
    <mergeCell ref="LV31:LV33"/>
    <mergeCell ref="LW31:LW33"/>
    <mergeCell ref="LX31:LX33"/>
    <mergeCell ref="LY31:LY33"/>
    <mergeCell ref="LZ31:LZ33"/>
    <mergeCell ref="MA31:MA33"/>
    <mergeCell ref="MB31:MB33"/>
    <mergeCell ref="MC31:MC33"/>
    <mergeCell ref="ME31:ME33"/>
    <mergeCell ref="MF31:MF33"/>
    <mergeCell ref="MG31:MG33"/>
    <mergeCell ref="MH31:MH33"/>
    <mergeCell ref="KY31:KY33"/>
    <mergeCell ref="KZ31:KZ33"/>
    <mergeCell ref="LA31:LA33"/>
    <mergeCell ref="LB31:LB33"/>
    <mergeCell ref="LC31:LC33"/>
    <mergeCell ref="LE31:LE33"/>
    <mergeCell ref="LF31:LF33"/>
    <mergeCell ref="LD32:LD33"/>
    <mergeCell ref="LG31:LG33"/>
    <mergeCell ref="LI31:LI33"/>
    <mergeCell ref="LJ31:LJ33"/>
    <mergeCell ref="LK31:LK33"/>
    <mergeCell ref="LL31:LL33"/>
    <mergeCell ref="LM31:LM33"/>
    <mergeCell ref="LN31:LN33"/>
    <mergeCell ref="LO31:LO33"/>
    <mergeCell ref="LP31:LP33"/>
    <mergeCell ref="KO31:KO33"/>
    <mergeCell ref="KP31:KP33"/>
    <mergeCell ref="KJ32:KJ33"/>
    <mergeCell ref="KQ31:KQ33"/>
    <mergeCell ref="KR31:KR33"/>
    <mergeCell ref="KS31:KS33"/>
    <mergeCell ref="KT31:KT33"/>
    <mergeCell ref="KU31:KU33"/>
    <mergeCell ref="KW31:KW33"/>
    <mergeCell ref="KX31:KX33"/>
    <mergeCell ref="KV32:KV33"/>
    <mergeCell ref="JM31:JM33"/>
    <mergeCell ref="JL32:JL33"/>
    <mergeCell ref="JK31:JK33"/>
    <mergeCell ref="JN31:JN33"/>
    <mergeCell ref="JO31:JO33"/>
    <mergeCell ref="JP31:JP33"/>
    <mergeCell ref="JQ31:JQ33"/>
    <mergeCell ref="JS31:JS33"/>
    <mergeCell ref="JR32:JR33"/>
    <mergeCell ref="JW31:JW33"/>
    <mergeCell ref="JY31:JY33"/>
    <mergeCell ref="JZ31:JZ33"/>
    <mergeCell ref="KA31:KA33"/>
    <mergeCell ref="JX32:JX33"/>
    <mergeCell ref="KB31:KB33"/>
    <mergeCell ref="KC31:KC33"/>
    <mergeCell ref="KD31:KD33"/>
    <mergeCell ref="KE31:KE33"/>
    <mergeCell ref="KF31:KF33"/>
    <mergeCell ref="KG31:KG33"/>
    <mergeCell ref="KH31:KH33"/>
    <mergeCell ref="KI31:KI33"/>
    <mergeCell ref="KK31:KK33"/>
    <mergeCell ref="KL31:KL33"/>
    <mergeCell ref="KM31:KM33"/>
    <mergeCell ref="KN31:KN33"/>
    <mergeCell ref="IU31:IU33"/>
    <mergeCell ref="IV31:IV33"/>
    <mergeCell ref="IW31:IW33"/>
    <mergeCell ref="IX31:IX33"/>
    <mergeCell ref="IY31:IY33"/>
    <mergeCell ref="JA31:JA33"/>
    <mergeCell ref="JB31:JB33"/>
    <mergeCell ref="JC31:JC33"/>
    <mergeCell ref="JD31:JD33"/>
    <mergeCell ref="JE31:JE33"/>
    <mergeCell ref="JF31:JF33"/>
    <mergeCell ref="JG31:JG33"/>
    <mergeCell ref="JH31:JH33"/>
    <mergeCell ref="JI31:JI33"/>
    <mergeCell ref="JT31:JT33"/>
    <mergeCell ref="JU31:JU33"/>
    <mergeCell ref="JV31:JV33"/>
    <mergeCell ref="JJ32:JJ33"/>
    <mergeCell ref="IL31:IL33"/>
    <mergeCell ref="IM31:IM33"/>
    <mergeCell ref="IO31:IO33"/>
    <mergeCell ref="IP31:IP33"/>
    <mergeCell ref="IQ31:IQ33"/>
    <mergeCell ref="IR31:IR33"/>
    <mergeCell ref="IS31:IS33"/>
    <mergeCell ref="IT31:IT33"/>
    <mergeCell ref="IN32:IN33"/>
    <mergeCell ref="HA31:HA33"/>
    <mergeCell ref="GZ32:GZ33"/>
    <mergeCell ref="GU31:GU33"/>
    <mergeCell ref="GV31:GV33"/>
    <mergeCell ref="GW31:GW33"/>
    <mergeCell ref="GX31:GX33"/>
    <mergeCell ref="GY31:GY33"/>
    <mergeCell ref="HB31:HB33"/>
    <mergeCell ref="HU31:HU33"/>
    <mergeCell ref="HV31:HV33"/>
    <mergeCell ref="HW31:HW33"/>
    <mergeCell ref="HX31:HX33"/>
    <mergeCell ref="HY31:HY33"/>
    <mergeCell ref="HZ31:HZ33"/>
    <mergeCell ref="IA31:IA33"/>
    <mergeCell ref="IB31:IB33"/>
    <mergeCell ref="IC31:IC33"/>
    <mergeCell ref="ID31:ID33"/>
    <mergeCell ref="IE31:IE33"/>
    <mergeCell ref="IF31:IF33"/>
    <mergeCell ref="IG31:IG33"/>
    <mergeCell ref="IH31:IH33"/>
    <mergeCell ref="II31:II33"/>
    <mergeCell ref="IJ31:IJ33"/>
    <mergeCell ref="IK31:IK33"/>
    <mergeCell ref="HD31:HD33"/>
    <mergeCell ref="HE31:HE33"/>
    <mergeCell ref="HF31:HF33"/>
    <mergeCell ref="HG31:HG33"/>
    <mergeCell ref="HH31:HH33"/>
    <mergeCell ref="HI31:HI33"/>
    <mergeCell ref="HJ31:HJ33"/>
    <mergeCell ref="HK31:HK33"/>
    <mergeCell ref="HL31:HL33"/>
    <mergeCell ref="HM31:HM33"/>
    <mergeCell ref="HO31:HO33"/>
    <mergeCell ref="HP31:HP33"/>
    <mergeCell ref="HQ31:HQ33"/>
    <mergeCell ref="HN32:HN33"/>
    <mergeCell ref="HR31:HR33"/>
    <mergeCell ref="HS31:HS33"/>
    <mergeCell ref="HT31:HT33"/>
    <mergeCell ref="GE31:GE33"/>
    <mergeCell ref="GD32:GD33"/>
    <mergeCell ref="GF31:GF33"/>
    <mergeCell ref="GG31:GG33"/>
    <mergeCell ref="GH31:GH33"/>
    <mergeCell ref="GI31:GI33"/>
    <mergeCell ref="GJ31:GJ33"/>
    <mergeCell ref="GK31:GK33"/>
    <mergeCell ref="GL31:GL33"/>
    <mergeCell ref="GM31:GM33"/>
    <mergeCell ref="GN31:GN33"/>
    <mergeCell ref="GO31:GO33"/>
    <mergeCell ref="GP31:GP33"/>
    <mergeCell ref="GQ31:GQ33"/>
    <mergeCell ref="GR31:GR33"/>
    <mergeCell ref="GS31:GS33"/>
    <mergeCell ref="HC31:HC33"/>
    <mergeCell ref="GT32:GT33"/>
    <mergeCell ref="FM31:FM33"/>
    <mergeCell ref="FN31:FN33"/>
    <mergeCell ref="FO31:FO33"/>
    <mergeCell ref="FP31:FP33"/>
    <mergeCell ref="FQ31:FQ33"/>
    <mergeCell ref="FR31:FR33"/>
    <mergeCell ref="FS31:FS33"/>
    <mergeCell ref="FT31:FT33"/>
    <mergeCell ref="FU31:FU33"/>
    <mergeCell ref="FV31:FV33"/>
    <mergeCell ref="FW31:FW33"/>
    <mergeCell ref="FX31:FX33"/>
    <mergeCell ref="FY31:FY33"/>
    <mergeCell ref="FZ31:FZ33"/>
    <mergeCell ref="GA31:GA33"/>
    <mergeCell ref="GB31:GB33"/>
    <mergeCell ref="GC31:GC33"/>
    <mergeCell ref="EU31:EU33"/>
    <mergeCell ref="EV31:EV33"/>
    <mergeCell ref="EW31:EW33"/>
    <mergeCell ref="EX31:EX33"/>
    <mergeCell ref="EY31:EY33"/>
    <mergeCell ref="EZ31:EZ33"/>
    <mergeCell ref="FA31:FA33"/>
    <mergeCell ref="FC31:FC33"/>
    <mergeCell ref="FD31:FD33"/>
    <mergeCell ref="FE31:FE33"/>
    <mergeCell ref="FF31:FF33"/>
    <mergeCell ref="FG31:FG33"/>
    <mergeCell ref="FI31:FI33"/>
    <mergeCell ref="FB32:FB33"/>
    <mergeCell ref="FJ31:FJ33"/>
    <mergeCell ref="FK31:FK33"/>
    <mergeCell ref="FL31:FL33"/>
    <mergeCell ref="ED31:ED33"/>
    <mergeCell ref="EE31:EE33"/>
    <mergeCell ref="EF31:EF33"/>
    <mergeCell ref="EG31:EG33"/>
    <mergeCell ref="EH31:EH33"/>
    <mergeCell ref="EI31:EI33"/>
    <mergeCell ref="EJ31:EJ33"/>
    <mergeCell ref="EK31:EK33"/>
    <mergeCell ref="EL31:EL33"/>
    <mergeCell ref="EM31:EM33"/>
    <mergeCell ref="EN31:EN33"/>
    <mergeCell ref="EO31:EO33"/>
    <mergeCell ref="EP31:EP33"/>
    <mergeCell ref="EQ31:EQ33"/>
    <mergeCell ref="ER31:ER33"/>
    <mergeCell ref="ES31:ES33"/>
    <mergeCell ref="ET31:ET33"/>
    <mergeCell ref="DN31:DN33"/>
    <mergeCell ref="DO31:DO33"/>
    <mergeCell ref="DP31:DP33"/>
    <mergeCell ref="DQ31:DQ33"/>
    <mergeCell ref="DL32:DL33"/>
    <mergeCell ref="DR31:DR33"/>
    <mergeCell ref="DS31:DS33"/>
    <mergeCell ref="DT31:DT33"/>
    <mergeCell ref="DU31:DU33"/>
    <mergeCell ref="DV31:DV33"/>
    <mergeCell ref="DW31:DW33"/>
    <mergeCell ref="DX31:DX33"/>
    <mergeCell ref="DY31:DY33"/>
    <mergeCell ref="DZ31:DZ33"/>
    <mergeCell ref="EA31:EA33"/>
    <mergeCell ref="EB31:EB33"/>
    <mergeCell ref="EC31:EC33"/>
    <mergeCell ref="CV31:CV33"/>
    <mergeCell ref="CW31:CW33"/>
    <mergeCell ref="CX31:CX33"/>
    <mergeCell ref="CY31:CY33"/>
    <mergeCell ref="CZ31:CZ33"/>
    <mergeCell ref="DA31:DA33"/>
    <mergeCell ref="DB31:DB33"/>
    <mergeCell ref="DC31:DC33"/>
    <mergeCell ref="DD31:DD33"/>
    <mergeCell ref="DE31:DE33"/>
    <mergeCell ref="DF31:DF33"/>
    <mergeCell ref="DG31:DG33"/>
    <mergeCell ref="DH31:DH33"/>
    <mergeCell ref="DI31:DI33"/>
    <mergeCell ref="DJ31:DJ33"/>
    <mergeCell ref="DK31:DK33"/>
    <mergeCell ref="DM31:DM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Q31:CQ33"/>
    <mergeCell ref="CR31:CR33"/>
    <mergeCell ref="CS31:CS33"/>
    <mergeCell ref="CT31:CT33"/>
    <mergeCell ref="CU31:CU33"/>
    <mergeCell ref="CP32:CP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WJ31:WJ33"/>
    <mergeCell ref="WK31:WK33"/>
    <mergeCell ref="WL31:WL33"/>
    <mergeCell ref="WM31:WM33"/>
    <mergeCell ref="WN31:WN33"/>
    <mergeCell ref="WO31:WO33"/>
    <mergeCell ref="WP31:WP33"/>
    <mergeCell ref="WQ31:WQ33"/>
    <mergeCell ref="WR31:WR33"/>
    <mergeCell ref="WS31:WS33"/>
    <mergeCell ref="WT31:WT33"/>
    <mergeCell ref="WU31:WU33"/>
    <mergeCell ref="WV31:WV33"/>
    <mergeCell ref="WW31:WW33"/>
    <mergeCell ref="WX31:WX33"/>
    <mergeCell ref="WY31:WY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XR31:XR33"/>
    <mergeCell ref="XS31:XS33"/>
    <mergeCell ref="XT31:XT33"/>
    <mergeCell ref="YB31:YB33"/>
    <mergeCell ref="YC31:YC33"/>
    <mergeCell ref="YD31:YD33"/>
    <mergeCell ref="YE31:YE33"/>
    <mergeCell ref="XU31:XU33"/>
    <mergeCell ref="XV31:XV33"/>
    <mergeCell ref="XW31:XW33"/>
    <mergeCell ref="XX31:XX33"/>
    <mergeCell ref="XY31:XY33"/>
    <mergeCell ref="XZ31:XZ33"/>
    <mergeCell ref="YA31:YA33"/>
    <mergeCell ref="VC31:VC33"/>
    <mergeCell ref="VD31:VD33"/>
    <mergeCell ref="VE31:VE33"/>
    <mergeCell ref="VF31:VF33"/>
    <mergeCell ref="VG31:VG33"/>
    <mergeCell ref="VH31:VH33"/>
    <mergeCell ref="VI31:VI33"/>
    <mergeCell ref="VJ31:VJ33"/>
    <mergeCell ref="VK31:VK33"/>
    <mergeCell ref="VL31:VL33"/>
    <mergeCell ref="VM31:VM33"/>
    <mergeCell ref="VN31:VN33"/>
    <mergeCell ref="VO31:VO33"/>
    <mergeCell ref="VP31:VP33"/>
    <mergeCell ref="VQ31:VQ33"/>
    <mergeCell ref="VR31:VR33"/>
    <mergeCell ref="VS31:VS33"/>
    <mergeCell ref="VT31:VT33"/>
    <mergeCell ref="XA31:XA33"/>
    <mergeCell ref="XB31:XB33"/>
    <mergeCell ref="XC31:XC33"/>
    <mergeCell ref="XD31:XD33"/>
    <mergeCell ref="XE31:XE33"/>
    <mergeCell ref="XF31:XF33"/>
    <mergeCell ref="XG31:XG33"/>
    <mergeCell ref="XH31:XH33"/>
    <mergeCell ref="XI31:XI33"/>
    <mergeCell ref="XJ31:XJ33"/>
    <mergeCell ref="XK31:XK33"/>
    <mergeCell ref="XL31:XL33"/>
    <mergeCell ref="XM31:XM33"/>
    <mergeCell ref="XN31:XN33"/>
    <mergeCell ref="XO31:XO33"/>
    <mergeCell ref="XP31:XP33"/>
    <mergeCell ref="XQ31:XQ33"/>
    <mergeCell ref="UL31:UL33"/>
    <mergeCell ref="UM31:UM33"/>
    <mergeCell ref="UO31:UO33"/>
    <mergeCell ref="UP31:UP33"/>
    <mergeCell ref="UQ31:UQ33"/>
    <mergeCell ref="UR31:UR33"/>
    <mergeCell ref="US31:US33"/>
    <mergeCell ref="UT31:UT33"/>
    <mergeCell ref="UU31:UU33"/>
    <mergeCell ref="UV31:UV33"/>
    <mergeCell ref="UW31:UW33"/>
    <mergeCell ref="UX31:UX33"/>
    <mergeCell ref="UY31:UY33"/>
    <mergeCell ref="UZ31:UZ33"/>
    <mergeCell ref="VA31:VA33"/>
    <mergeCell ref="VB31:VB33"/>
    <mergeCell ref="WZ31:WZ33"/>
    <mergeCell ref="VU31:VU33"/>
    <mergeCell ref="VV31:VV33"/>
    <mergeCell ref="VW31:VW33"/>
    <mergeCell ref="VX31:VX33"/>
    <mergeCell ref="VY31:VY33"/>
    <mergeCell ref="VZ31:VZ33"/>
    <mergeCell ref="WA31:WA33"/>
    <mergeCell ref="WB31:WB33"/>
    <mergeCell ref="WC31:WC33"/>
    <mergeCell ref="WD31:WD33"/>
    <mergeCell ref="WE31:WE33"/>
    <mergeCell ref="WF31:WF33"/>
    <mergeCell ref="WG31:WG33"/>
    <mergeCell ref="WH31:WH33"/>
    <mergeCell ref="WI31:WI33"/>
    <mergeCell ref="TU31:TU33"/>
    <mergeCell ref="TV31:TV33"/>
    <mergeCell ref="TW31:TW33"/>
    <mergeCell ref="TX31:TX33"/>
    <mergeCell ref="TY31:TY33"/>
    <mergeCell ref="UA31:UA33"/>
    <mergeCell ref="UB31:UB33"/>
    <mergeCell ref="UC31:UC33"/>
    <mergeCell ref="UD31:UD33"/>
    <mergeCell ref="UE31:UE33"/>
    <mergeCell ref="UF31:UF33"/>
    <mergeCell ref="TZ32:TZ33"/>
    <mergeCell ref="UG31:UG33"/>
    <mergeCell ref="UH31:UH33"/>
    <mergeCell ref="UI31:UI33"/>
    <mergeCell ref="UJ31:UJ33"/>
    <mergeCell ref="UK31:UK33"/>
    <mergeCell ref="TC31:TC33"/>
    <mergeCell ref="TD31:TD33"/>
    <mergeCell ref="TE31:TE33"/>
    <mergeCell ref="TF31:TF33"/>
    <mergeCell ref="TG31:TG33"/>
    <mergeCell ref="TH31:TH33"/>
    <mergeCell ref="TI31:TI33"/>
    <mergeCell ref="TJ31:TJ33"/>
    <mergeCell ref="TK31:TK33"/>
    <mergeCell ref="TM31:TM33"/>
    <mergeCell ref="TN31:TN33"/>
    <mergeCell ref="TO31:TO33"/>
    <mergeCell ref="TP31:TP33"/>
    <mergeCell ref="TQ31:TQ33"/>
    <mergeCell ref="TR31:TR33"/>
    <mergeCell ref="TS31:TS33"/>
    <mergeCell ref="TT31:TT33"/>
    <mergeCell ref="SG31:SG33"/>
    <mergeCell ref="SH31:SH33"/>
    <mergeCell ref="SI31:SI33"/>
    <mergeCell ref="SJ31:SJ33"/>
    <mergeCell ref="SK31:SK33"/>
    <mergeCell ref="SF32:SF33"/>
    <mergeCell ref="SU31:SU33"/>
    <mergeCell ref="SV31:SV33"/>
    <mergeCell ref="SW31:SW33"/>
    <mergeCell ref="SY31:SY33"/>
    <mergeCell ref="SZ31:SZ33"/>
    <mergeCell ref="TA31:TA33"/>
    <mergeCell ref="TB31:TB33"/>
    <mergeCell ref="SX32:SX33"/>
    <mergeCell ref="SS31:SS33"/>
    <mergeCell ref="SR32:SR33"/>
    <mergeCell ref="SM31:SM33"/>
    <mergeCell ref="SN31:SN33"/>
    <mergeCell ref="SO31:SO33"/>
    <mergeCell ref="SP31:SP33"/>
    <mergeCell ref="SQ31:SQ33"/>
    <mergeCell ref="ST31:ST33"/>
    <mergeCell ref="SL32:SL33"/>
    <mergeCell ref="RO31:RO33"/>
    <mergeCell ref="RP31:RP33"/>
    <mergeCell ref="RQ31:RQ33"/>
    <mergeCell ref="RR31:RR33"/>
    <mergeCell ref="RS31:RS33"/>
    <mergeCell ref="RT31:RT33"/>
    <mergeCell ref="RU31:RU33"/>
    <mergeCell ref="RV31:RV33"/>
    <mergeCell ref="RW31:RW33"/>
    <mergeCell ref="RX31:RX33"/>
    <mergeCell ref="RY31:RY33"/>
    <mergeCell ref="RZ31:RZ33"/>
    <mergeCell ref="SA31:SA33"/>
    <mergeCell ref="SB31:SB33"/>
    <mergeCell ref="SC31:SC33"/>
    <mergeCell ref="SD31:SD33"/>
    <mergeCell ref="SE31:SE33"/>
    <mergeCell ref="QY31:QY33"/>
    <mergeCell ref="QZ31:QZ33"/>
    <mergeCell ref="RA31:RA33"/>
    <mergeCell ref="QX32:QX33"/>
    <mergeCell ref="RB31:RB33"/>
    <mergeCell ref="RC31:RC33"/>
    <mergeCell ref="RD31:RD33"/>
    <mergeCell ref="RE31:RE33"/>
    <mergeCell ref="RF31:RF33"/>
    <mergeCell ref="RG31:RG33"/>
    <mergeCell ref="RH31:RH33"/>
    <mergeCell ref="RI31:RI33"/>
    <mergeCell ref="RJ31:RJ33"/>
    <mergeCell ref="RK31:RK33"/>
    <mergeCell ref="RL31:RL33"/>
    <mergeCell ref="RM31:RM33"/>
    <mergeCell ref="RN31:RN33"/>
    <mergeCell ref="QG31:QG33"/>
    <mergeCell ref="QH31:QH33"/>
    <mergeCell ref="QI31:QI33"/>
    <mergeCell ref="QJ31:QJ33"/>
    <mergeCell ref="QK31:QK33"/>
    <mergeCell ref="QL31:QL33"/>
    <mergeCell ref="QM31:QM33"/>
    <mergeCell ref="QO31:QO33"/>
    <mergeCell ref="QP31:QP33"/>
    <mergeCell ref="QQ31:QQ33"/>
    <mergeCell ref="QR31:QR33"/>
    <mergeCell ref="QS31:QS33"/>
    <mergeCell ref="QN32:QN33"/>
    <mergeCell ref="QT31:QT33"/>
    <mergeCell ref="QU31:QU33"/>
    <mergeCell ref="QV31:QV33"/>
    <mergeCell ref="QW31:QW33"/>
    <mergeCell ref="PP31:PP33"/>
    <mergeCell ref="PQ31:PQ33"/>
    <mergeCell ref="PR31:PR33"/>
    <mergeCell ref="PS31:PS33"/>
    <mergeCell ref="PT31:PT33"/>
    <mergeCell ref="PU31:PU33"/>
    <mergeCell ref="PV31:PV33"/>
    <mergeCell ref="PW31:PW33"/>
    <mergeCell ref="PX31:PX33"/>
    <mergeCell ref="PY31:PY33"/>
    <mergeCell ref="QA31:QA33"/>
    <mergeCell ref="QB31:QB33"/>
    <mergeCell ref="QC31:QC33"/>
    <mergeCell ref="QD31:QD33"/>
    <mergeCell ref="PZ32:PZ33"/>
    <mergeCell ref="QE31:QE33"/>
    <mergeCell ref="QF31:QF33"/>
    <mergeCell ref="OY31:OY33"/>
    <mergeCell ref="OZ31:OZ33"/>
    <mergeCell ref="PA31:PA33"/>
    <mergeCell ref="PB31:PB33"/>
    <mergeCell ref="PC31:PC33"/>
    <mergeCell ref="PE31:PE33"/>
    <mergeCell ref="PF31:PF33"/>
    <mergeCell ref="PG31:PG33"/>
    <mergeCell ref="PD32:PD33"/>
    <mergeCell ref="PH31:PH33"/>
    <mergeCell ref="PI31:PI33"/>
    <mergeCell ref="PJ31:PJ33"/>
    <mergeCell ref="PK31:PK33"/>
    <mergeCell ref="PM31:PM33"/>
    <mergeCell ref="PN31:PN33"/>
    <mergeCell ref="PO31:PO33"/>
    <mergeCell ref="PL32:PL33"/>
    <mergeCell ref="OH31:OH33"/>
    <mergeCell ref="OI31:OI33"/>
    <mergeCell ref="OJ31:OJ33"/>
    <mergeCell ref="OK31:OK33"/>
    <mergeCell ref="OL31:OL33"/>
    <mergeCell ref="OM31:OM33"/>
    <mergeCell ref="ON31:ON33"/>
    <mergeCell ref="OO31:OO33"/>
    <mergeCell ref="OP31:OP33"/>
    <mergeCell ref="OQ31:OQ33"/>
    <mergeCell ref="OR31:OR33"/>
    <mergeCell ref="OS31:OS33"/>
    <mergeCell ref="OT31:OT33"/>
    <mergeCell ref="OU31:OU33"/>
    <mergeCell ref="OV31:OV33"/>
    <mergeCell ref="OW31:OW33"/>
    <mergeCell ref="OX31:OX33"/>
    <mergeCell ref="NQ31:NQ33"/>
    <mergeCell ref="NS31:NS33"/>
    <mergeCell ref="NT31:NT33"/>
    <mergeCell ref="NU31:NU33"/>
    <mergeCell ref="NV31:NV33"/>
    <mergeCell ref="NR32:NR33"/>
    <mergeCell ref="NW31:NW33"/>
    <mergeCell ref="NY31:NY33"/>
    <mergeCell ref="NZ31:NZ33"/>
    <mergeCell ref="OA31:OA33"/>
    <mergeCell ref="OB31:OB33"/>
    <mergeCell ref="OC31:OC33"/>
    <mergeCell ref="OD31:OD33"/>
    <mergeCell ref="NX32:NX33"/>
    <mergeCell ref="OE31:OE33"/>
    <mergeCell ref="OF31:OF33"/>
    <mergeCell ref="OG31:OG33"/>
    <mergeCell ref="MZ31:MZ33"/>
    <mergeCell ref="NA31:NA33"/>
    <mergeCell ref="NB31:NB33"/>
    <mergeCell ref="NC31:NC33"/>
    <mergeCell ref="ND31:ND33"/>
    <mergeCell ref="NE31:NE33"/>
    <mergeCell ref="NF31:NF33"/>
    <mergeCell ref="NG31:NG33"/>
    <mergeCell ref="NH31:NH33"/>
    <mergeCell ref="NI31:NI33"/>
    <mergeCell ref="NK31:NK33"/>
    <mergeCell ref="NL31:NL33"/>
    <mergeCell ref="NM31:NM33"/>
    <mergeCell ref="NN31:NN33"/>
    <mergeCell ref="NJ32:NJ33"/>
    <mergeCell ref="NO31:NO33"/>
    <mergeCell ref="NP31:NP33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28:A30"/>
    <mergeCell ref="B28:B30"/>
    <mergeCell ref="C28:C30"/>
    <mergeCell ref="D28:D30"/>
    <mergeCell ref="E28:E30"/>
    <mergeCell ref="F28:F30"/>
    <mergeCell ref="G28:G30"/>
    <mergeCell ref="MO28:MO30"/>
    <mergeCell ref="MP28:MP30"/>
    <mergeCell ref="MQ28:MQ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LX28:LX30"/>
    <mergeCell ref="LY28:LY30"/>
    <mergeCell ref="LZ28:LZ30"/>
    <mergeCell ref="MA28:MA30"/>
    <mergeCell ref="MB28:MB30"/>
    <mergeCell ref="MC28:MC30"/>
    <mergeCell ref="MD28:MD30"/>
    <mergeCell ref="ME28:ME30"/>
    <mergeCell ref="MF28:MF30"/>
    <mergeCell ref="MG28:MG30"/>
    <mergeCell ref="MH28:MH30"/>
    <mergeCell ref="MI28:MI30"/>
    <mergeCell ref="MJ28:MJ30"/>
    <mergeCell ref="MK28:MK30"/>
    <mergeCell ref="ML28:ML30"/>
    <mergeCell ref="MM28:MM30"/>
    <mergeCell ref="MN28:MN30"/>
    <mergeCell ref="LF28:LF30"/>
    <mergeCell ref="LG28:LG30"/>
    <mergeCell ref="LI28:LI30"/>
    <mergeCell ref="LK28:LK30"/>
    <mergeCell ref="LL28:LL30"/>
    <mergeCell ref="LM28:LM30"/>
    <mergeCell ref="LN28:LN30"/>
    <mergeCell ref="LO28:LO30"/>
    <mergeCell ref="LH29:LH30"/>
    <mergeCell ref="LP28:LP30"/>
    <mergeCell ref="LQ28:LQ30"/>
    <mergeCell ref="LR28:LR30"/>
    <mergeCell ref="LS28:LS30"/>
    <mergeCell ref="LT28:LT30"/>
    <mergeCell ref="LU28:LU30"/>
    <mergeCell ref="LV28:LV30"/>
    <mergeCell ref="LW28:LW30"/>
    <mergeCell ref="KO28:KO30"/>
    <mergeCell ref="KP28:KP30"/>
    <mergeCell ref="KQ28:KQ30"/>
    <mergeCell ref="KR28:KR30"/>
    <mergeCell ref="KS28:KS30"/>
    <mergeCell ref="KT28:KT30"/>
    <mergeCell ref="KU28:KU30"/>
    <mergeCell ref="KV28:KV30"/>
    <mergeCell ref="KW28:KW30"/>
    <mergeCell ref="KY28:KY30"/>
    <mergeCell ref="KX29:KX30"/>
    <mergeCell ref="KZ28:KZ30"/>
    <mergeCell ref="LA28:LA30"/>
    <mergeCell ref="LB28:LB30"/>
    <mergeCell ref="LC28:LC30"/>
    <mergeCell ref="LD28:LD30"/>
    <mergeCell ref="LE28:LE30"/>
    <mergeCell ref="JX28:JX30"/>
    <mergeCell ref="JY28:JY30"/>
    <mergeCell ref="KA28:KA30"/>
    <mergeCell ref="KB28:KB30"/>
    <mergeCell ref="KC28:KC30"/>
    <mergeCell ref="JZ29:JZ30"/>
    <mergeCell ref="KD28:KD30"/>
    <mergeCell ref="KE28:KE30"/>
    <mergeCell ref="KF28:KF30"/>
    <mergeCell ref="KG28:KG30"/>
    <mergeCell ref="KH28:KH30"/>
    <mergeCell ref="KI28:KI30"/>
    <mergeCell ref="KJ28:KJ30"/>
    <mergeCell ref="KK28:KK30"/>
    <mergeCell ref="KL28:KL30"/>
    <mergeCell ref="KM28:KM30"/>
    <mergeCell ref="KN28:KN30"/>
    <mergeCell ref="JG28:JG30"/>
    <mergeCell ref="JH28:JH30"/>
    <mergeCell ref="JI28:JI30"/>
    <mergeCell ref="JJ28:JJ30"/>
    <mergeCell ref="JK28:JK30"/>
    <mergeCell ref="JL28:JL30"/>
    <mergeCell ref="JM28:JM30"/>
    <mergeCell ref="JO28:JO30"/>
    <mergeCell ref="JP28:JP30"/>
    <mergeCell ref="JQ28:JQ30"/>
    <mergeCell ref="JR28:JR30"/>
    <mergeCell ref="JS28:JS30"/>
    <mergeCell ref="JT28:JT30"/>
    <mergeCell ref="JU28:JU30"/>
    <mergeCell ref="JN29:JN30"/>
    <mergeCell ref="JV28:JV30"/>
    <mergeCell ref="JW28:JW30"/>
    <mergeCell ref="IP28:IP30"/>
    <mergeCell ref="IQ28:IQ30"/>
    <mergeCell ref="IR28:IR30"/>
    <mergeCell ref="IS28:IS30"/>
    <mergeCell ref="IT28:IT30"/>
    <mergeCell ref="IU28:IU30"/>
    <mergeCell ref="IV28:IV30"/>
    <mergeCell ref="IW28:IW30"/>
    <mergeCell ref="IX28:IX30"/>
    <mergeCell ref="IY28:IY30"/>
    <mergeCell ref="IZ28:IZ30"/>
    <mergeCell ref="JA28:JA30"/>
    <mergeCell ref="JC28:JC30"/>
    <mergeCell ref="JD28:JD30"/>
    <mergeCell ref="JE28:JE30"/>
    <mergeCell ref="JF28:JF30"/>
    <mergeCell ref="JB29:JB30"/>
    <mergeCell ref="HY28:HY30"/>
    <mergeCell ref="HZ28:HZ30"/>
    <mergeCell ref="IA28:IA30"/>
    <mergeCell ref="IB28:IB30"/>
    <mergeCell ref="IC28:IC30"/>
    <mergeCell ref="ID28:ID30"/>
    <mergeCell ref="IE28:IE30"/>
    <mergeCell ref="IF28:IF30"/>
    <mergeCell ref="IG28:IG30"/>
    <mergeCell ref="IH28:IH30"/>
    <mergeCell ref="II28:II30"/>
    <mergeCell ref="IJ28:IJ30"/>
    <mergeCell ref="IK28:IK30"/>
    <mergeCell ref="IL28:IL30"/>
    <mergeCell ref="IM28:IM30"/>
    <mergeCell ref="IN28:IN30"/>
    <mergeCell ref="IO28:IO30"/>
    <mergeCell ref="HG28:HG30"/>
    <mergeCell ref="HH28:HH30"/>
    <mergeCell ref="HI28:HI30"/>
    <mergeCell ref="HJ28:HJ30"/>
    <mergeCell ref="HK28:HK30"/>
    <mergeCell ref="HM28:HM30"/>
    <mergeCell ref="HN28:HN30"/>
    <mergeCell ref="HO28:HO30"/>
    <mergeCell ref="HQ28:HQ30"/>
    <mergeCell ref="HR28:HR30"/>
    <mergeCell ref="HS28:HS30"/>
    <mergeCell ref="HT28:HT30"/>
    <mergeCell ref="HU28:HU30"/>
    <mergeCell ref="HV28:HV30"/>
    <mergeCell ref="HP29:HP30"/>
    <mergeCell ref="HW28:HW30"/>
    <mergeCell ref="HX28:HX30"/>
    <mergeCell ref="GP28:GP30"/>
    <mergeCell ref="GQ28:GQ30"/>
    <mergeCell ref="GR28:GR30"/>
    <mergeCell ref="GS28:GS30"/>
    <mergeCell ref="GT28:GT30"/>
    <mergeCell ref="GU28:GU30"/>
    <mergeCell ref="GV28:GV30"/>
    <mergeCell ref="GW28:GW30"/>
    <mergeCell ref="GX28:GX30"/>
    <mergeCell ref="GY28:GY30"/>
    <mergeCell ref="GZ28:GZ30"/>
    <mergeCell ref="HA28:HA30"/>
    <mergeCell ref="HB28:HB30"/>
    <mergeCell ref="HC28:HC30"/>
    <mergeCell ref="HD28:HD30"/>
    <mergeCell ref="HE28:HE30"/>
    <mergeCell ref="HF28:HF30"/>
    <mergeCell ref="FY28:FY30"/>
    <mergeCell ref="FZ28:FZ30"/>
    <mergeCell ref="GA28:GA30"/>
    <mergeCell ref="GB28:GB30"/>
    <mergeCell ref="GC28:GC30"/>
    <mergeCell ref="GD28:GD30"/>
    <mergeCell ref="GE28:GE30"/>
    <mergeCell ref="GF28:GF30"/>
    <mergeCell ref="GG28:GG30"/>
    <mergeCell ref="GH28:GH30"/>
    <mergeCell ref="GI28:GI30"/>
    <mergeCell ref="GJ28:GJ30"/>
    <mergeCell ref="GK28:GK30"/>
    <mergeCell ref="GL28:GL30"/>
    <mergeCell ref="GM28:GM30"/>
    <mergeCell ref="GN28:GN30"/>
    <mergeCell ref="GO28:GO30"/>
    <mergeCell ref="FH28:FH30"/>
    <mergeCell ref="FI28:FI30"/>
    <mergeCell ref="FK28:FK30"/>
    <mergeCell ref="FL28:FL30"/>
    <mergeCell ref="FM28:FM30"/>
    <mergeCell ref="FN28:FN30"/>
    <mergeCell ref="FO28:FO30"/>
    <mergeCell ref="FP28:FP30"/>
    <mergeCell ref="FJ29:FJ30"/>
    <mergeCell ref="FQ28:FQ30"/>
    <mergeCell ref="FR28:FR30"/>
    <mergeCell ref="FS28:FS30"/>
    <mergeCell ref="FT28:FT30"/>
    <mergeCell ref="FU28:FU30"/>
    <mergeCell ref="FV28:FV30"/>
    <mergeCell ref="FW28:FW30"/>
    <mergeCell ref="FX28:FX30"/>
    <mergeCell ref="EQ28:EQ30"/>
    <mergeCell ref="ER28:ER30"/>
    <mergeCell ref="ES28:ES30"/>
    <mergeCell ref="ET28:ET30"/>
    <mergeCell ref="EU28:EU30"/>
    <mergeCell ref="EV28:EV30"/>
    <mergeCell ref="EW28:EW30"/>
    <mergeCell ref="EX28:EX30"/>
    <mergeCell ref="EY28:EY30"/>
    <mergeCell ref="EZ28:EZ30"/>
    <mergeCell ref="FA28:FA30"/>
    <mergeCell ref="FB28:FB30"/>
    <mergeCell ref="FC28:FC30"/>
    <mergeCell ref="FD28:FD30"/>
    <mergeCell ref="FE28:FE30"/>
    <mergeCell ref="FF28:FF30"/>
    <mergeCell ref="FG28:FG30"/>
    <mergeCell ref="DZ28:DZ30"/>
    <mergeCell ref="EA28:EA30"/>
    <mergeCell ref="EB28:EB30"/>
    <mergeCell ref="EC28:EC30"/>
    <mergeCell ref="ED28:ED30"/>
    <mergeCell ref="EE28:EE30"/>
    <mergeCell ref="EF28:EF30"/>
    <mergeCell ref="EG28:EG30"/>
    <mergeCell ref="EH28:EH30"/>
    <mergeCell ref="EI28:EI30"/>
    <mergeCell ref="EJ28:EJ30"/>
    <mergeCell ref="EK28:EK30"/>
    <mergeCell ref="EL28:EL30"/>
    <mergeCell ref="EM28:EM30"/>
    <mergeCell ref="EN28:EN30"/>
    <mergeCell ref="EO28:EO30"/>
    <mergeCell ref="EP28:EP30"/>
    <mergeCell ref="DI28:DI30"/>
    <mergeCell ref="DJ28:DJ30"/>
    <mergeCell ref="DK28:DK30"/>
    <mergeCell ref="DL28:DL30"/>
    <mergeCell ref="DM28:DM30"/>
    <mergeCell ref="DN28:DN30"/>
    <mergeCell ref="DO28:DO30"/>
    <mergeCell ref="DP28:DP30"/>
    <mergeCell ref="DQ28:DQ30"/>
    <mergeCell ref="DR28:DR30"/>
    <mergeCell ref="DS28:DS30"/>
    <mergeCell ref="DU28:DU30"/>
    <mergeCell ref="DV28:DV30"/>
    <mergeCell ref="DW28:DW30"/>
    <mergeCell ref="DX28:DX30"/>
    <mergeCell ref="DY28:DY30"/>
    <mergeCell ref="DT29:DT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Z28:CZ30"/>
    <mergeCell ref="DA28:DA30"/>
    <mergeCell ref="DB28:DB30"/>
    <mergeCell ref="DC28:DC30"/>
    <mergeCell ref="DD28:DD30"/>
    <mergeCell ref="DE28:DE30"/>
    <mergeCell ref="DF28:DF30"/>
    <mergeCell ref="DG28:DG30"/>
    <mergeCell ref="DH28:DH30"/>
    <mergeCell ref="WE28:WE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U28:BU30"/>
    <mergeCell ref="BV28:BV30"/>
    <mergeCell ref="BW28:BW30"/>
    <mergeCell ref="BX28:BX30"/>
    <mergeCell ref="BY28:BY30"/>
    <mergeCell ref="BZ28:BZ30"/>
    <mergeCell ref="BT29:BT30"/>
    <mergeCell ref="CA28:CA30"/>
    <mergeCell ref="CB28:CB30"/>
    <mergeCell ref="VN28:VN30"/>
    <mergeCell ref="VO28:VO30"/>
    <mergeCell ref="VP28:VP30"/>
    <mergeCell ref="VQ28:VQ30"/>
    <mergeCell ref="VR28:VR30"/>
    <mergeCell ref="VS28:VS30"/>
    <mergeCell ref="VT28:VT30"/>
    <mergeCell ref="VU28:VU30"/>
    <mergeCell ref="VV28:VV30"/>
    <mergeCell ref="VW28:VW30"/>
    <mergeCell ref="VX28:VX30"/>
    <mergeCell ref="VY28:VY30"/>
    <mergeCell ref="VZ28:VZ30"/>
    <mergeCell ref="WA28:WA30"/>
    <mergeCell ref="WB28:WB30"/>
    <mergeCell ref="WC28:WC30"/>
    <mergeCell ref="WD28:WD30"/>
    <mergeCell ref="UW28:UW30"/>
    <mergeCell ref="UX28:UX30"/>
    <mergeCell ref="UY28:UY30"/>
    <mergeCell ref="UZ28:UZ30"/>
    <mergeCell ref="VA28:VA30"/>
    <mergeCell ref="VB28:VB30"/>
    <mergeCell ref="VC28:VC30"/>
    <mergeCell ref="VD28:VD30"/>
    <mergeCell ref="VE28:VE30"/>
    <mergeCell ref="VF28:VF30"/>
    <mergeCell ref="VG28:VG30"/>
    <mergeCell ref="VH28:VH30"/>
    <mergeCell ref="VI28:VI30"/>
    <mergeCell ref="VJ28:VJ30"/>
    <mergeCell ref="VK28:VK30"/>
    <mergeCell ref="VL28:VL30"/>
    <mergeCell ref="VM28:VM30"/>
    <mergeCell ref="XK28:XK30"/>
    <mergeCell ref="XL28:XL30"/>
    <mergeCell ref="XM28:XM30"/>
    <mergeCell ref="XO28:XO30"/>
    <mergeCell ref="XN29:XN30"/>
    <mergeCell ref="XP28:XP30"/>
    <mergeCell ref="XQ28:XQ30"/>
    <mergeCell ref="XR28:XR30"/>
    <mergeCell ref="XS28:XS30"/>
    <mergeCell ref="XT28:XT30"/>
    <mergeCell ref="XU28:XU30"/>
    <mergeCell ref="XV28:XV30"/>
    <mergeCell ref="YD28:YD30"/>
    <mergeCell ref="YE28:YE30"/>
    <mergeCell ref="XW28:XW30"/>
    <mergeCell ref="XX28:XX30"/>
    <mergeCell ref="XY28:XY30"/>
    <mergeCell ref="XZ28:XZ30"/>
    <mergeCell ref="YA28:YA30"/>
    <mergeCell ref="YB28:YB30"/>
    <mergeCell ref="YC28:YC30"/>
    <mergeCell ref="WT28:WT30"/>
    <mergeCell ref="WU28:WU30"/>
    <mergeCell ref="WV28:WV30"/>
    <mergeCell ref="WW28:WW30"/>
    <mergeCell ref="WX28:WX30"/>
    <mergeCell ref="WY28:WY30"/>
    <mergeCell ref="WZ28:WZ30"/>
    <mergeCell ref="XA28:XA30"/>
    <mergeCell ref="XB28:XB30"/>
    <mergeCell ref="XC28:XC30"/>
    <mergeCell ref="XD28:XD30"/>
    <mergeCell ref="XE28:XE30"/>
    <mergeCell ref="XF28:XF30"/>
    <mergeCell ref="XG28:XG30"/>
    <mergeCell ref="XH28:XH30"/>
    <mergeCell ref="XI28:XI30"/>
    <mergeCell ref="XJ28:XJ30"/>
    <mergeCell ref="UE28:UE30"/>
    <mergeCell ref="UF28:UF30"/>
    <mergeCell ref="UG28:UG30"/>
    <mergeCell ref="WF28:WF30"/>
    <mergeCell ref="WG28:WG30"/>
    <mergeCell ref="WH28:WH30"/>
    <mergeCell ref="WI28:WI30"/>
    <mergeCell ref="WJ28:WJ30"/>
    <mergeCell ref="WK28:WK30"/>
    <mergeCell ref="WL28:WL30"/>
    <mergeCell ref="WM28:WM30"/>
    <mergeCell ref="WN28:WN30"/>
    <mergeCell ref="WO28:WO30"/>
    <mergeCell ref="WP28:WP30"/>
    <mergeCell ref="WQ28:WQ30"/>
    <mergeCell ref="WR28:WR30"/>
    <mergeCell ref="WS28:WS30"/>
    <mergeCell ref="UH28:UH30"/>
    <mergeCell ref="UI28:UI30"/>
    <mergeCell ref="UJ28:UJ30"/>
    <mergeCell ref="UK28:UK30"/>
    <mergeCell ref="UL28:UL30"/>
    <mergeCell ref="UM28:UM30"/>
    <mergeCell ref="UN28:UN30"/>
    <mergeCell ref="UO28:UO30"/>
    <mergeCell ref="UQ28:UQ30"/>
    <mergeCell ref="UR28:UR30"/>
    <mergeCell ref="US28:US30"/>
    <mergeCell ref="UT28:UT30"/>
    <mergeCell ref="UU28:UU30"/>
    <mergeCell ref="UV28:UV30"/>
    <mergeCell ref="UP29:UP30"/>
    <mergeCell ref="TO28:TO30"/>
    <mergeCell ref="TP28:TP30"/>
    <mergeCell ref="TQ28:TQ30"/>
    <mergeCell ref="TR28:TR30"/>
    <mergeCell ref="TS28:TS30"/>
    <mergeCell ref="TN29:TN30"/>
    <mergeCell ref="TT28:TT30"/>
    <mergeCell ref="TU28:TU30"/>
    <mergeCell ref="TV28:TV30"/>
    <mergeCell ref="TW28:TW30"/>
    <mergeCell ref="TX28:TX30"/>
    <mergeCell ref="TY28:TY30"/>
    <mergeCell ref="TZ28:TZ30"/>
    <mergeCell ref="UA28:UA30"/>
    <mergeCell ref="UB28:UB30"/>
    <mergeCell ref="UC28:UC30"/>
    <mergeCell ref="UD28:UD30"/>
    <mergeCell ref="SW28:SW30"/>
    <mergeCell ref="SX28:SX30"/>
    <mergeCell ref="SY28:SY30"/>
    <mergeCell ref="SZ28:SZ30"/>
    <mergeCell ref="TA28:TA30"/>
    <mergeCell ref="TB28:TB30"/>
    <mergeCell ref="TC28:TC30"/>
    <mergeCell ref="TD28:TD30"/>
    <mergeCell ref="TE28:TE30"/>
    <mergeCell ref="TF28:TF30"/>
    <mergeCell ref="TG28:TG30"/>
    <mergeCell ref="TH28:TH30"/>
    <mergeCell ref="TI28:TI30"/>
    <mergeCell ref="TJ28:TJ30"/>
    <mergeCell ref="TK28:TK30"/>
    <mergeCell ref="TL28:TL30"/>
    <mergeCell ref="TM28:TM30"/>
    <mergeCell ref="SF28:SF30"/>
    <mergeCell ref="SG28:SG30"/>
    <mergeCell ref="SH28:SH30"/>
    <mergeCell ref="SI28:SI30"/>
    <mergeCell ref="SJ28:SJ30"/>
    <mergeCell ref="SK28:SK30"/>
    <mergeCell ref="SL28:SL30"/>
    <mergeCell ref="SM28:SM30"/>
    <mergeCell ref="SN28:SN30"/>
    <mergeCell ref="SO28:SO30"/>
    <mergeCell ref="SP28:SP30"/>
    <mergeCell ref="SQ28:SQ30"/>
    <mergeCell ref="SR28:SR30"/>
    <mergeCell ref="SS28:SS30"/>
    <mergeCell ref="ST28:ST30"/>
    <mergeCell ref="SU28:SU30"/>
    <mergeCell ref="SV28:SV30"/>
    <mergeCell ref="RO28:RO30"/>
    <mergeCell ref="RP28:RP30"/>
    <mergeCell ref="RQ28:RQ30"/>
    <mergeCell ref="RR28:RR30"/>
    <mergeCell ref="RS28:RS30"/>
    <mergeCell ref="RT28:RT30"/>
    <mergeCell ref="RU28:RU30"/>
    <mergeCell ref="RV28:RV30"/>
    <mergeCell ref="RW28:RW30"/>
    <mergeCell ref="RX28:RX30"/>
    <mergeCell ref="RY28:RY30"/>
    <mergeCell ref="RZ28:RZ30"/>
    <mergeCell ref="SA28:SA30"/>
    <mergeCell ref="SB28:SB30"/>
    <mergeCell ref="SC28:SC30"/>
    <mergeCell ref="SD28:SD30"/>
    <mergeCell ref="SE28:SE30"/>
    <mergeCell ref="QX28:QX30"/>
    <mergeCell ref="QY28:QY30"/>
    <mergeCell ref="QZ28:QZ30"/>
    <mergeCell ref="RA28:RA30"/>
    <mergeCell ref="RB28:RB30"/>
    <mergeCell ref="RC28:RC30"/>
    <mergeCell ref="RD28:RD30"/>
    <mergeCell ref="RE28:RE30"/>
    <mergeCell ref="RF28:RF30"/>
    <mergeCell ref="RG28:RG30"/>
    <mergeCell ref="RH28:RH30"/>
    <mergeCell ref="RI28:RI30"/>
    <mergeCell ref="RJ28:RJ30"/>
    <mergeCell ref="RK28:RK30"/>
    <mergeCell ref="RL28:RL30"/>
    <mergeCell ref="RM28:RM30"/>
    <mergeCell ref="RN28:RN30"/>
    <mergeCell ref="QG28:QG30"/>
    <mergeCell ref="QH28:QH30"/>
    <mergeCell ref="QI28:QI30"/>
    <mergeCell ref="QJ28:QJ30"/>
    <mergeCell ref="QK28:QK30"/>
    <mergeCell ref="QL28:QL30"/>
    <mergeCell ref="QM28:QM30"/>
    <mergeCell ref="QN28:QN30"/>
    <mergeCell ref="QO28:QO30"/>
    <mergeCell ref="QQ28:QQ30"/>
    <mergeCell ref="QR28:QR30"/>
    <mergeCell ref="QS28:QS30"/>
    <mergeCell ref="QP29:QP30"/>
    <mergeCell ref="QT28:QT30"/>
    <mergeCell ref="QU28:QU30"/>
    <mergeCell ref="QV28:QV30"/>
    <mergeCell ref="QW28:QW30"/>
    <mergeCell ref="PP28:PP30"/>
    <mergeCell ref="PQ28:PQ30"/>
    <mergeCell ref="PR28:PR30"/>
    <mergeCell ref="PS28:PS30"/>
    <mergeCell ref="PT28:PT30"/>
    <mergeCell ref="PU28:PU30"/>
    <mergeCell ref="PV28:PV30"/>
    <mergeCell ref="PW28:PW30"/>
    <mergeCell ref="PX28:PX30"/>
    <mergeCell ref="PY28:PY30"/>
    <mergeCell ref="PZ28:PZ30"/>
    <mergeCell ref="QA28:QA30"/>
    <mergeCell ref="QB28:QB30"/>
    <mergeCell ref="QC28:QC30"/>
    <mergeCell ref="QD28:QD30"/>
    <mergeCell ref="QE28:QE30"/>
    <mergeCell ref="QF28:QF30"/>
    <mergeCell ref="OY28:OY30"/>
    <mergeCell ref="OZ28:OZ30"/>
    <mergeCell ref="PA28:PA30"/>
    <mergeCell ref="PB28:PB30"/>
    <mergeCell ref="PC28:PC30"/>
    <mergeCell ref="PD28:PD30"/>
    <mergeCell ref="PE28:PE30"/>
    <mergeCell ref="PF28:PF30"/>
    <mergeCell ref="PG28:PG30"/>
    <mergeCell ref="PH28:PH30"/>
    <mergeCell ref="PI28:PI30"/>
    <mergeCell ref="PJ28:PJ30"/>
    <mergeCell ref="PK28:PK30"/>
    <mergeCell ref="PL28:PL30"/>
    <mergeCell ref="PM28:PM30"/>
    <mergeCell ref="PN28:PN30"/>
    <mergeCell ref="PO28:PO30"/>
    <mergeCell ref="OH28:OH30"/>
    <mergeCell ref="OI28:OI30"/>
    <mergeCell ref="OJ28:OJ30"/>
    <mergeCell ref="OK28:OK30"/>
    <mergeCell ref="OL28:OL30"/>
    <mergeCell ref="OM28:OM30"/>
    <mergeCell ref="ON28:ON30"/>
    <mergeCell ref="OO28:OO30"/>
    <mergeCell ref="OP28:OP30"/>
    <mergeCell ref="OQ28:OQ30"/>
    <mergeCell ref="OR28:OR30"/>
    <mergeCell ref="OS28:OS30"/>
    <mergeCell ref="OT28:OT30"/>
    <mergeCell ref="OU28:OU30"/>
    <mergeCell ref="OV28:OV30"/>
    <mergeCell ref="OW28:OW30"/>
    <mergeCell ref="OX28:OX30"/>
    <mergeCell ref="NQ28:NQ30"/>
    <mergeCell ref="NR28:NR30"/>
    <mergeCell ref="NS28:NS30"/>
    <mergeCell ref="NT28:NT30"/>
    <mergeCell ref="NU28:NU30"/>
    <mergeCell ref="NV28:NV30"/>
    <mergeCell ref="NW28:NW30"/>
    <mergeCell ref="NX28:NX30"/>
    <mergeCell ref="NY28:NY30"/>
    <mergeCell ref="NZ28:NZ30"/>
    <mergeCell ref="OA28:OA30"/>
    <mergeCell ref="OB28:OB30"/>
    <mergeCell ref="OC28:OC30"/>
    <mergeCell ref="OD28:OD30"/>
    <mergeCell ref="OE28:OE30"/>
    <mergeCell ref="OF28:OF30"/>
    <mergeCell ref="OG28:OG30"/>
    <mergeCell ref="MZ28:MZ30"/>
    <mergeCell ref="NA28:NA30"/>
    <mergeCell ref="NB28:NB30"/>
    <mergeCell ref="NC28:NC30"/>
    <mergeCell ref="ND28:ND30"/>
    <mergeCell ref="NE28:NE30"/>
    <mergeCell ref="NF28:NF30"/>
    <mergeCell ref="NG28:NG30"/>
    <mergeCell ref="NH28:NH30"/>
    <mergeCell ref="NI28:NI30"/>
    <mergeCell ref="NJ28:NJ30"/>
    <mergeCell ref="NK28:NK30"/>
    <mergeCell ref="NL28:NL30"/>
    <mergeCell ref="NM28:NM30"/>
    <mergeCell ref="NN28:NN30"/>
    <mergeCell ref="NO28:NO30"/>
    <mergeCell ref="NP28:NP30"/>
    <mergeCell ref="AV26:AV27"/>
    <mergeCell ref="AW26:AW27"/>
    <mergeCell ref="A26:A27"/>
    <mergeCell ref="B26:B27"/>
    <mergeCell ref="C26:C27"/>
    <mergeCell ref="D26:D27"/>
    <mergeCell ref="E26:E27"/>
    <mergeCell ref="F26:F27"/>
    <mergeCell ref="G26:G27"/>
    <mergeCell ref="MR28:MR30"/>
    <mergeCell ref="MS28:MS30"/>
    <mergeCell ref="MT28:MT30"/>
    <mergeCell ref="MU28:MU30"/>
    <mergeCell ref="MV28:MV30"/>
    <mergeCell ref="MW28:MW30"/>
    <mergeCell ref="MX28:MX30"/>
    <mergeCell ref="MY28:MY30"/>
    <mergeCell ref="CC28:CC30"/>
    <mergeCell ref="CD28:CD30"/>
    <mergeCell ref="CE28:CE30"/>
    <mergeCell ref="CF28:CF30"/>
    <mergeCell ref="CG28:CG30"/>
    <mergeCell ref="CI28:CI30"/>
    <mergeCell ref="CJ28:CJ30"/>
    <mergeCell ref="CK28:CK30"/>
    <mergeCell ref="CL28:CL30"/>
    <mergeCell ref="CM28:CM30"/>
    <mergeCell ref="CN28:CN30"/>
    <mergeCell ref="CO28:CO30"/>
    <mergeCell ref="CH29:CH30"/>
    <mergeCell ref="CP28:CP30"/>
    <mergeCell ref="CQ28:CQ30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LZ26:LZ27"/>
    <mergeCell ref="MA26:MA27"/>
    <mergeCell ref="MB26:MB27"/>
    <mergeCell ref="MC26:MC27"/>
    <mergeCell ref="MD26:MD27"/>
    <mergeCell ref="ME26:ME27"/>
    <mergeCell ref="MF26:MF27"/>
    <mergeCell ref="MG26:MG27"/>
    <mergeCell ref="MH26:MH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LI26:LI27"/>
    <mergeCell ref="LJ26:LJ27"/>
    <mergeCell ref="LK26:LK27"/>
    <mergeCell ref="LL26:LL27"/>
    <mergeCell ref="LM26:LM27"/>
    <mergeCell ref="LN26:LN27"/>
    <mergeCell ref="LO26:LO27"/>
    <mergeCell ref="LP26:LP27"/>
    <mergeCell ref="LQ26:LQ27"/>
    <mergeCell ref="LR26:LR27"/>
    <mergeCell ref="LS26:LS27"/>
    <mergeCell ref="LT26:LT27"/>
    <mergeCell ref="LU26:LU27"/>
    <mergeCell ref="LV26:LV27"/>
    <mergeCell ref="LW26:LW27"/>
    <mergeCell ref="LX26:LX27"/>
    <mergeCell ref="LY26:LY27"/>
    <mergeCell ref="KR26:KR27"/>
    <mergeCell ref="KS26:KS27"/>
    <mergeCell ref="KT26:KT27"/>
    <mergeCell ref="KU26:KU27"/>
    <mergeCell ref="KV26:KV27"/>
    <mergeCell ref="KW26:KW27"/>
    <mergeCell ref="KX26:KX27"/>
    <mergeCell ref="KY26:KY27"/>
    <mergeCell ref="KZ26:KZ27"/>
    <mergeCell ref="LA26:LA27"/>
    <mergeCell ref="LB26:LB27"/>
    <mergeCell ref="LC26:LC27"/>
    <mergeCell ref="LD26:LD27"/>
    <mergeCell ref="LE26:LE27"/>
    <mergeCell ref="LF26:LF27"/>
    <mergeCell ref="LG26:LG27"/>
    <mergeCell ref="LH26:LH27"/>
    <mergeCell ref="KA26:KA27"/>
    <mergeCell ref="KB26:KB27"/>
    <mergeCell ref="KC26:KC27"/>
    <mergeCell ref="KD26:KD27"/>
    <mergeCell ref="KE26:KE27"/>
    <mergeCell ref="KF26:KF27"/>
    <mergeCell ref="KG26:KG27"/>
    <mergeCell ref="KH26:KH27"/>
    <mergeCell ref="KI26:KI27"/>
    <mergeCell ref="KJ26:KJ27"/>
    <mergeCell ref="KK26:KK27"/>
    <mergeCell ref="KL26:KL27"/>
    <mergeCell ref="KM26:KM27"/>
    <mergeCell ref="KN26:KN27"/>
    <mergeCell ref="KO26:KO27"/>
    <mergeCell ref="KP26:KP27"/>
    <mergeCell ref="KQ26:KQ27"/>
    <mergeCell ref="JJ26:JJ27"/>
    <mergeCell ref="JK26:JK27"/>
    <mergeCell ref="JL26:JL27"/>
    <mergeCell ref="JM26:JM27"/>
    <mergeCell ref="JN26:JN27"/>
    <mergeCell ref="JO26:JO27"/>
    <mergeCell ref="JP26:JP27"/>
    <mergeCell ref="JQ26:JQ27"/>
    <mergeCell ref="JR26:JR27"/>
    <mergeCell ref="JS26:JS27"/>
    <mergeCell ref="JT26:JT27"/>
    <mergeCell ref="JU26:JU27"/>
    <mergeCell ref="JV26:JV27"/>
    <mergeCell ref="JW26:JW27"/>
    <mergeCell ref="JX26:JX27"/>
    <mergeCell ref="JY26:JY27"/>
    <mergeCell ref="JZ26:JZ27"/>
    <mergeCell ref="IS26:IS27"/>
    <mergeCell ref="IT26:IT27"/>
    <mergeCell ref="IU26:IU27"/>
    <mergeCell ref="IV26:IV27"/>
    <mergeCell ref="IW26:IW27"/>
    <mergeCell ref="IX26:IX27"/>
    <mergeCell ref="IY26:IY27"/>
    <mergeCell ref="IZ26:IZ27"/>
    <mergeCell ref="JA26:JA27"/>
    <mergeCell ref="JB26:JB27"/>
    <mergeCell ref="JC26:JC27"/>
    <mergeCell ref="JD26:JD27"/>
    <mergeCell ref="JE26:JE27"/>
    <mergeCell ref="JF26:JF27"/>
    <mergeCell ref="JG26:JG27"/>
    <mergeCell ref="JH26:JH27"/>
    <mergeCell ref="JI26:JI27"/>
    <mergeCell ref="IB26:IB27"/>
    <mergeCell ref="IC26:IC27"/>
    <mergeCell ref="ID26:ID27"/>
    <mergeCell ref="IE26:IE27"/>
    <mergeCell ref="IF26:IF27"/>
    <mergeCell ref="IG26:IG27"/>
    <mergeCell ref="IH26:IH27"/>
    <mergeCell ref="II26:II27"/>
    <mergeCell ref="IJ26:IJ27"/>
    <mergeCell ref="IK26:IK27"/>
    <mergeCell ref="IL26:IL27"/>
    <mergeCell ref="IM26:IM27"/>
    <mergeCell ref="IN26:IN27"/>
    <mergeCell ref="IO26:IO27"/>
    <mergeCell ref="IP26:IP27"/>
    <mergeCell ref="IQ26:IQ27"/>
    <mergeCell ref="IR26:IR27"/>
    <mergeCell ref="HJ26:HJ27"/>
    <mergeCell ref="HK26:HK27"/>
    <mergeCell ref="HL26:HL27"/>
    <mergeCell ref="HM26:HM27"/>
    <mergeCell ref="HN26:HN27"/>
    <mergeCell ref="HO26:HO27"/>
    <mergeCell ref="HP26:HP27"/>
    <mergeCell ref="HQ26:HQ27"/>
    <mergeCell ref="HS26:HS27"/>
    <mergeCell ref="HT26:HT27"/>
    <mergeCell ref="HU26:HU27"/>
    <mergeCell ref="HV26:HV27"/>
    <mergeCell ref="HW26:HW27"/>
    <mergeCell ref="HX26:HX27"/>
    <mergeCell ref="HY26:HY27"/>
    <mergeCell ref="HZ26:HZ27"/>
    <mergeCell ref="IA26:IA27"/>
    <mergeCell ref="GS26:GS27"/>
    <mergeCell ref="GT26:GT27"/>
    <mergeCell ref="GU26:GU27"/>
    <mergeCell ref="GV26:GV27"/>
    <mergeCell ref="GW26:GW27"/>
    <mergeCell ref="GX26:GX27"/>
    <mergeCell ref="GY26:GY27"/>
    <mergeCell ref="GZ26:GZ27"/>
    <mergeCell ref="HA26:HA27"/>
    <mergeCell ref="HB26:HB27"/>
    <mergeCell ref="HC26:HC27"/>
    <mergeCell ref="HD26:HD27"/>
    <mergeCell ref="HE26:HE27"/>
    <mergeCell ref="HF26:HF27"/>
    <mergeCell ref="HG26:HG27"/>
    <mergeCell ref="HH26:HH27"/>
    <mergeCell ref="HI26:HI27"/>
    <mergeCell ref="GB26:GB27"/>
    <mergeCell ref="GC26:GC27"/>
    <mergeCell ref="GD26:GD27"/>
    <mergeCell ref="GE26:GE27"/>
    <mergeCell ref="GF26:GF27"/>
    <mergeCell ref="GG26:GG27"/>
    <mergeCell ref="GH26:GH27"/>
    <mergeCell ref="GI26:GI27"/>
    <mergeCell ref="GJ26:GJ27"/>
    <mergeCell ref="GK26:GK27"/>
    <mergeCell ref="GL26:GL27"/>
    <mergeCell ref="GM26:GM27"/>
    <mergeCell ref="GN26:GN27"/>
    <mergeCell ref="GO26:GO27"/>
    <mergeCell ref="GP26:GP27"/>
    <mergeCell ref="GQ26:GQ27"/>
    <mergeCell ref="GR26:GR27"/>
    <mergeCell ref="FK26:FK27"/>
    <mergeCell ref="FL26:FL27"/>
    <mergeCell ref="FM26:FM27"/>
    <mergeCell ref="FN26:FN27"/>
    <mergeCell ref="FO26:FO27"/>
    <mergeCell ref="FP26:FP27"/>
    <mergeCell ref="FQ26:FQ27"/>
    <mergeCell ref="FR26:FR27"/>
    <mergeCell ref="FS26:FS27"/>
    <mergeCell ref="FT26:FT27"/>
    <mergeCell ref="FU26:FU27"/>
    <mergeCell ref="FV26:FV27"/>
    <mergeCell ref="FW26:FW27"/>
    <mergeCell ref="FX26:FX27"/>
    <mergeCell ref="FY26:FY27"/>
    <mergeCell ref="FZ26:FZ27"/>
    <mergeCell ref="GA26:GA27"/>
    <mergeCell ref="ES26:ES27"/>
    <mergeCell ref="ET26:ET27"/>
    <mergeCell ref="EU26:EU27"/>
    <mergeCell ref="EV26:EV27"/>
    <mergeCell ref="EW26:EW27"/>
    <mergeCell ref="EX26:EX27"/>
    <mergeCell ref="EY26:EY27"/>
    <mergeCell ref="EZ26:EZ27"/>
    <mergeCell ref="FA26:FA27"/>
    <mergeCell ref="FB26:FB27"/>
    <mergeCell ref="FC26:FC27"/>
    <mergeCell ref="FD26:FD27"/>
    <mergeCell ref="FE26:FE27"/>
    <mergeCell ref="FF26:FF27"/>
    <mergeCell ref="FG26:FG27"/>
    <mergeCell ref="FH26:FH27"/>
    <mergeCell ref="FI26:FI27"/>
    <mergeCell ref="EB26:EB27"/>
    <mergeCell ref="EC26:EC27"/>
    <mergeCell ref="ED26:ED27"/>
    <mergeCell ref="EE26:EE27"/>
    <mergeCell ref="EF26:EF27"/>
    <mergeCell ref="EG26:EG27"/>
    <mergeCell ref="EH26:EH27"/>
    <mergeCell ref="EI26:EI27"/>
    <mergeCell ref="EJ26:EJ27"/>
    <mergeCell ref="EK26:EK27"/>
    <mergeCell ref="EL26:EL27"/>
    <mergeCell ref="EM26:EM27"/>
    <mergeCell ref="EN26:EN27"/>
    <mergeCell ref="EO26:EO27"/>
    <mergeCell ref="EP26:EP27"/>
    <mergeCell ref="EQ26:EQ27"/>
    <mergeCell ref="ER26:ER27"/>
    <mergeCell ref="DK26:DK27"/>
    <mergeCell ref="DL26:DL27"/>
    <mergeCell ref="DM26:DM27"/>
    <mergeCell ref="DN26:DN27"/>
    <mergeCell ref="DO26:DO27"/>
    <mergeCell ref="DP26:DP27"/>
    <mergeCell ref="DQ26:DQ27"/>
    <mergeCell ref="DR26:DR27"/>
    <mergeCell ref="DS26:DS27"/>
    <mergeCell ref="DT26:DT27"/>
    <mergeCell ref="DU26:DU27"/>
    <mergeCell ref="DV26:DV27"/>
    <mergeCell ref="DW26:DW27"/>
    <mergeCell ref="DX26:DX27"/>
    <mergeCell ref="DY26:DY27"/>
    <mergeCell ref="DZ26:DZ27"/>
    <mergeCell ref="EA26:EA27"/>
    <mergeCell ref="CT26:CT27"/>
    <mergeCell ref="CU26:CU27"/>
    <mergeCell ref="CV26:CV27"/>
    <mergeCell ref="CW26:CW27"/>
    <mergeCell ref="CX26:CX27"/>
    <mergeCell ref="CY26:CY27"/>
    <mergeCell ref="CZ26:CZ27"/>
    <mergeCell ref="DA26:DA27"/>
    <mergeCell ref="DB26:DB27"/>
    <mergeCell ref="DC26:DC27"/>
    <mergeCell ref="DD26:DD27"/>
    <mergeCell ref="DE26:DE27"/>
    <mergeCell ref="DF26:DF27"/>
    <mergeCell ref="DG26:DG27"/>
    <mergeCell ref="DH26:DH27"/>
    <mergeCell ref="DI26:DI27"/>
    <mergeCell ref="DJ26:DJ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XQ26:XQ27"/>
    <mergeCell ref="XR26:XR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W26:BW27"/>
    <mergeCell ref="BX26:BX27"/>
    <mergeCell ref="BY26:BY27"/>
    <mergeCell ref="BZ26:BZ27"/>
    <mergeCell ref="CA26:CA27"/>
    <mergeCell ref="CB26:CB27"/>
    <mergeCell ref="WZ26:WZ27"/>
    <mergeCell ref="XA26:XA27"/>
    <mergeCell ref="XB26:XB27"/>
    <mergeCell ref="XC26:XC27"/>
    <mergeCell ref="XD26:XD27"/>
    <mergeCell ref="XE26:XE27"/>
    <mergeCell ref="XF26:XF27"/>
    <mergeCell ref="XG26:XG27"/>
    <mergeCell ref="XH26:XH27"/>
    <mergeCell ref="XI26:XI27"/>
    <mergeCell ref="XJ26:XJ27"/>
    <mergeCell ref="XK26:XK27"/>
    <mergeCell ref="XL26:XL27"/>
    <mergeCell ref="XM26:XM27"/>
    <mergeCell ref="XN26:XN27"/>
    <mergeCell ref="XO26:XO27"/>
    <mergeCell ref="XP26:XP27"/>
    <mergeCell ref="WI26:WI27"/>
    <mergeCell ref="WJ26:WJ27"/>
    <mergeCell ref="WK26:WK27"/>
    <mergeCell ref="WL26:WL27"/>
    <mergeCell ref="WM26:WM27"/>
    <mergeCell ref="WN26:WN27"/>
    <mergeCell ref="WO26:WO27"/>
    <mergeCell ref="WP26:WP27"/>
    <mergeCell ref="WQ26:WQ27"/>
    <mergeCell ref="WR26:WR27"/>
    <mergeCell ref="WS26:WS27"/>
    <mergeCell ref="WT26:WT27"/>
    <mergeCell ref="WU26:WU27"/>
    <mergeCell ref="WV26:WV27"/>
    <mergeCell ref="WW26:WW27"/>
    <mergeCell ref="WX26:WX27"/>
    <mergeCell ref="WY26:WY27"/>
    <mergeCell ref="VO26:VO27"/>
    <mergeCell ref="VP26:VP27"/>
    <mergeCell ref="VQ26:VQ27"/>
    <mergeCell ref="VR26:VR27"/>
    <mergeCell ref="VS26:VS27"/>
    <mergeCell ref="VT26:VT27"/>
    <mergeCell ref="VU26:VU27"/>
    <mergeCell ref="YA26:YA27"/>
    <mergeCell ref="YB26:YB27"/>
    <mergeCell ref="YC26:YC27"/>
    <mergeCell ref="YD26:YD27"/>
    <mergeCell ref="YE26:YE27"/>
    <mergeCell ref="XS26:XS27"/>
    <mergeCell ref="XT26:XT27"/>
    <mergeCell ref="XU26:XU27"/>
    <mergeCell ref="XW26:XW27"/>
    <mergeCell ref="XX26:XX27"/>
    <mergeCell ref="XY26:XY27"/>
    <mergeCell ref="XZ26:XZ27"/>
    <mergeCell ref="VV26:VV27"/>
    <mergeCell ref="VW26:VW27"/>
    <mergeCell ref="VX26:VX27"/>
    <mergeCell ref="VY26:VY27"/>
    <mergeCell ref="VZ26:VZ27"/>
    <mergeCell ref="WA26:WA27"/>
    <mergeCell ref="WB26:WB27"/>
    <mergeCell ref="WC26:WC27"/>
    <mergeCell ref="WD26:WD27"/>
    <mergeCell ref="WE26:WE27"/>
    <mergeCell ref="WF26:WF27"/>
    <mergeCell ref="WG26:WG27"/>
    <mergeCell ref="WH26:WH27"/>
    <mergeCell ref="UX26:UX27"/>
    <mergeCell ref="UY26:UY27"/>
    <mergeCell ref="UZ26:UZ27"/>
    <mergeCell ref="VA26:VA27"/>
    <mergeCell ref="VB26:VB27"/>
    <mergeCell ref="VC26:VC27"/>
    <mergeCell ref="VD26:VD27"/>
    <mergeCell ref="VE26:VE27"/>
    <mergeCell ref="VF26:VF27"/>
    <mergeCell ref="VG26:VG27"/>
    <mergeCell ref="VH26:VH27"/>
    <mergeCell ref="VI26:VI27"/>
    <mergeCell ref="VJ26:VJ27"/>
    <mergeCell ref="VK26:VK27"/>
    <mergeCell ref="VL26:VL27"/>
    <mergeCell ref="VM26:VM27"/>
    <mergeCell ref="VN26:VN27"/>
    <mergeCell ref="UF26:UF27"/>
    <mergeCell ref="UG26:UG27"/>
    <mergeCell ref="UH26:UH27"/>
    <mergeCell ref="UI26:UI27"/>
    <mergeCell ref="UJ26:UJ27"/>
    <mergeCell ref="UK26:UK27"/>
    <mergeCell ref="UL26:UL27"/>
    <mergeCell ref="UM26:UM27"/>
    <mergeCell ref="UN26:UN27"/>
    <mergeCell ref="UO26:UO27"/>
    <mergeCell ref="UQ26:UQ27"/>
    <mergeCell ref="UR26:UR27"/>
    <mergeCell ref="US26:US27"/>
    <mergeCell ref="UT26:UT27"/>
    <mergeCell ref="UU26:UU27"/>
    <mergeCell ref="UV26:UV27"/>
    <mergeCell ref="UW26:UW27"/>
    <mergeCell ref="TO26:TO27"/>
    <mergeCell ref="TP26:TP27"/>
    <mergeCell ref="TQ26:TQ27"/>
    <mergeCell ref="TR26:TR27"/>
    <mergeCell ref="TS26:TS27"/>
    <mergeCell ref="TT26:TT27"/>
    <mergeCell ref="TU26:TU27"/>
    <mergeCell ref="TV26:TV27"/>
    <mergeCell ref="TW26:TW27"/>
    <mergeCell ref="TX26:TX27"/>
    <mergeCell ref="TY26:TY27"/>
    <mergeCell ref="TZ26:TZ27"/>
    <mergeCell ref="UA26:UA27"/>
    <mergeCell ref="UB26:UB27"/>
    <mergeCell ref="UC26:UC27"/>
    <mergeCell ref="UD26:UD27"/>
    <mergeCell ref="UE26:UE27"/>
    <mergeCell ref="SX26:SX27"/>
    <mergeCell ref="SY26:SY27"/>
    <mergeCell ref="SZ26:SZ27"/>
    <mergeCell ref="TA26:TA27"/>
    <mergeCell ref="TB26:TB27"/>
    <mergeCell ref="TC26:TC27"/>
    <mergeCell ref="TD26:TD27"/>
    <mergeCell ref="TE26:TE27"/>
    <mergeCell ref="TF26:TF27"/>
    <mergeCell ref="TG26:TG27"/>
    <mergeCell ref="TH26:TH27"/>
    <mergeCell ref="TI26:TI27"/>
    <mergeCell ref="TJ26:TJ27"/>
    <mergeCell ref="TK26:TK27"/>
    <mergeCell ref="TL26:TL27"/>
    <mergeCell ref="TM26:TM27"/>
    <mergeCell ref="TN26:TN27"/>
    <mergeCell ref="SG26:SG27"/>
    <mergeCell ref="SH26:SH27"/>
    <mergeCell ref="SI26:SI27"/>
    <mergeCell ref="SJ26:SJ27"/>
    <mergeCell ref="SK26:SK27"/>
    <mergeCell ref="SL26:SL27"/>
    <mergeCell ref="SM26:SM27"/>
    <mergeCell ref="SN26:SN27"/>
    <mergeCell ref="SO26:SO27"/>
    <mergeCell ref="SP26:SP27"/>
    <mergeCell ref="SQ26:SQ27"/>
    <mergeCell ref="SR26:SR27"/>
    <mergeCell ref="SS26:SS27"/>
    <mergeCell ref="ST26:ST27"/>
    <mergeCell ref="SU26:SU27"/>
    <mergeCell ref="SV26:SV27"/>
    <mergeCell ref="SW26:SW27"/>
    <mergeCell ref="RO26:RO27"/>
    <mergeCell ref="RP26:RP27"/>
    <mergeCell ref="RQ26:RQ27"/>
    <mergeCell ref="RS26:RS27"/>
    <mergeCell ref="RT26:RT27"/>
    <mergeCell ref="RU26:RU27"/>
    <mergeCell ref="RV26:RV27"/>
    <mergeCell ref="RW26:RW27"/>
    <mergeCell ref="RX26:RX27"/>
    <mergeCell ref="RY26:RY27"/>
    <mergeCell ref="RZ26:RZ27"/>
    <mergeCell ref="SA26:SA27"/>
    <mergeCell ref="SB26:SB27"/>
    <mergeCell ref="SC26:SC27"/>
    <mergeCell ref="SD26:SD27"/>
    <mergeCell ref="SE26:SE27"/>
    <mergeCell ref="SF26:SF27"/>
    <mergeCell ref="QX26:QX27"/>
    <mergeCell ref="QY26:QY27"/>
    <mergeCell ref="QZ26:QZ27"/>
    <mergeCell ref="RA26:RA27"/>
    <mergeCell ref="RB26:RB27"/>
    <mergeCell ref="RC26:RC27"/>
    <mergeCell ref="RD26:RD27"/>
    <mergeCell ref="RE26:RE27"/>
    <mergeCell ref="RF26:RF27"/>
    <mergeCell ref="RG26:RG27"/>
    <mergeCell ref="RH26:RH27"/>
    <mergeCell ref="RI26:RI27"/>
    <mergeCell ref="RJ26:RJ27"/>
    <mergeCell ref="RK26:RK27"/>
    <mergeCell ref="RL26:RL27"/>
    <mergeCell ref="RM26:RM27"/>
    <mergeCell ref="RN26:RN27"/>
    <mergeCell ref="QG26:QG27"/>
    <mergeCell ref="QH26:QH27"/>
    <mergeCell ref="QI26:QI27"/>
    <mergeCell ref="QJ26:QJ27"/>
    <mergeCell ref="QK26:QK27"/>
    <mergeCell ref="QL26:QL27"/>
    <mergeCell ref="QM26:QM27"/>
    <mergeCell ref="QN26:QN27"/>
    <mergeCell ref="QO26:QO27"/>
    <mergeCell ref="QP26:QP27"/>
    <mergeCell ref="QQ26:QQ27"/>
    <mergeCell ref="QR26:QR27"/>
    <mergeCell ref="QS26:QS27"/>
    <mergeCell ref="QT26:QT27"/>
    <mergeCell ref="QU26:QU27"/>
    <mergeCell ref="QV26:QV27"/>
    <mergeCell ref="QW26:QW27"/>
    <mergeCell ref="PP26:PP27"/>
    <mergeCell ref="PQ26:PQ27"/>
    <mergeCell ref="PR26:PR27"/>
    <mergeCell ref="PS26:PS27"/>
    <mergeCell ref="PT26:PT27"/>
    <mergeCell ref="PU26:PU27"/>
    <mergeCell ref="PV26:PV27"/>
    <mergeCell ref="PW26:PW27"/>
    <mergeCell ref="PX26:PX27"/>
    <mergeCell ref="PY26:PY27"/>
    <mergeCell ref="PZ26:PZ27"/>
    <mergeCell ref="QA26:QA27"/>
    <mergeCell ref="QB26:QB27"/>
    <mergeCell ref="QC26:QC27"/>
    <mergeCell ref="QD26:QD27"/>
    <mergeCell ref="QE26:QE27"/>
    <mergeCell ref="QF26:QF27"/>
    <mergeCell ref="OY26:OY27"/>
    <mergeCell ref="OZ26:OZ27"/>
    <mergeCell ref="PA26:PA27"/>
    <mergeCell ref="PB26:PB27"/>
    <mergeCell ref="PC26:PC27"/>
    <mergeCell ref="PD26:PD27"/>
    <mergeCell ref="PE26:PE27"/>
    <mergeCell ref="PF26:PF27"/>
    <mergeCell ref="PG26:PG27"/>
    <mergeCell ref="PH26:PH27"/>
    <mergeCell ref="PI26:PI27"/>
    <mergeCell ref="PJ26:PJ27"/>
    <mergeCell ref="PK26:PK27"/>
    <mergeCell ref="PL26:PL27"/>
    <mergeCell ref="PM26:PM27"/>
    <mergeCell ref="PN26:PN27"/>
    <mergeCell ref="PO26:PO27"/>
    <mergeCell ref="OH26:OH27"/>
    <mergeCell ref="OI26:OI27"/>
    <mergeCell ref="OJ26:OJ27"/>
    <mergeCell ref="OK26:OK27"/>
    <mergeCell ref="OL26:OL27"/>
    <mergeCell ref="OM26:OM27"/>
    <mergeCell ref="ON26:ON27"/>
    <mergeCell ref="OO26:OO27"/>
    <mergeCell ref="OP26:OP27"/>
    <mergeCell ref="OQ26:OQ27"/>
    <mergeCell ref="OR26:OR27"/>
    <mergeCell ref="OS26:OS27"/>
    <mergeCell ref="OT26:OT27"/>
    <mergeCell ref="OU26:OU27"/>
    <mergeCell ref="OV26:OV27"/>
    <mergeCell ref="OW26:OW27"/>
    <mergeCell ref="OX26:OX27"/>
    <mergeCell ref="NQ26:NQ27"/>
    <mergeCell ref="NR26:NR27"/>
    <mergeCell ref="NS26:NS27"/>
    <mergeCell ref="NT26:NT27"/>
    <mergeCell ref="NU26:NU27"/>
    <mergeCell ref="NV26:NV27"/>
    <mergeCell ref="NW26:NW27"/>
    <mergeCell ref="NX26:NX27"/>
    <mergeCell ref="NY26:NY27"/>
    <mergeCell ref="NZ26:NZ27"/>
    <mergeCell ref="OA26:OA27"/>
    <mergeCell ref="OB26:OB27"/>
    <mergeCell ref="OC26:OC27"/>
    <mergeCell ref="OD26:OD27"/>
    <mergeCell ref="OE26:OE27"/>
    <mergeCell ref="OF26:OF27"/>
    <mergeCell ref="OG26:OG27"/>
    <mergeCell ref="MZ26:MZ27"/>
    <mergeCell ref="NA26:NA27"/>
    <mergeCell ref="NB26:NB27"/>
    <mergeCell ref="NC26:NC27"/>
    <mergeCell ref="ND26:ND27"/>
    <mergeCell ref="NE26:NE27"/>
    <mergeCell ref="NF26:NF27"/>
    <mergeCell ref="NG26:NG27"/>
    <mergeCell ref="NH26:NH27"/>
    <mergeCell ref="NI26:NI27"/>
    <mergeCell ref="NJ26:NJ27"/>
    <mergeCell ref="NK26:NK27"/>
    <mergeCell ref="NL26:NL27"/>
    <mergeCell ref="NM26:NM27"/>
    <mergeCell ref="NN26:NN27"/>
    <mergeCell ref="NO26:NO27"/>
    <mergeCell ref="NP26:NP27"/>
    <mergeCell ref="MI26:MI27"/>
    <mergeCell ref="MJ26:MJ27"/>
    <mergeCell ref="MK26:MK27"/>
    <mergeCell ref="ML26:ML27"/>
    <mergeCell ref="MM26:MM27"/>
    <mergeCell ref="MN26:MN27"/>
    <mergeCell ref="MO26:MO27"/>
    <mergeCell ref="MP26:MP27"/>
    <mergeCell ref="MQ26:MQ27"/>
    <mergeCell ref="MR26:MR27"/>
    <mergeCell ref="MS26:MS27"/>
    <mergeCell ref="MT26:MT27"/>
    <mergeCell ref="MU26:MU27"/>
    <mergeCell ref="MV26:MV27"/>
    <mergeCell ref="MW26:MW27"/>
    <mergeCell ref="MX26:MX27"/>
    <mergeCell ref="MY26:MY27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24:A25"/>
    <mergeCell ref="B24:B25"/>
    <mergeCell ref="C24:C25"/>
    <mergeCell ref="D24:D25"/>
    <mergeCell ref="E24:E25"/>
    <mergeCell ref="F24:F25"/>
    <mergeCell ref="G24:G25"/>
    <mergeCell ref="MB24:MB25"/>
    <mergeCell ref="MC24:MC25"/>
    <mergeCell ref="MD24:MD25"/>
    <mergeCell ref="ME24:ME25"/>
    <mergeCell ref="MF24:MF25"/>
    <mergeCell ref="MG24:M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LK24:LK25"/>
    <mergeCell ref="LL24:LL25"/>
    <mergeCell ref="LM24:LM25"/>
    <mergeCell ref="LN24:LN25"/>
    <mergeCell ref="LO24:LO25"/>
    <mergeCell ref="LP24:LP25"/>
    <mergeCell ref="LQ24:LQ25"/>
    <mergeCell ref="LR24:LR25"/>
    <mergeCell ref="LS24:LS25"/>
    <mergeCell ref="LT24:LT25"/>
    <mergeCell ref="LU24:LU25"/>
    <mergeCell ref="LV24:LV25"/>
    <mergeCell ref="LW24:LW25"/>
    <mergeCell ref="LX24:LX25"/>
    <mergeCell ref="LY24:LY25"/>
    <mergeCell ref="LZ24:LZ25"/>
    <mergeCell ref="MA24:MA25"/>
    <mergeCell ref="KT24:KT25"/>
    <mergeCell ref="KU24:KU25"/>
    <mergeCell ref="KV24:KV25"/>
    <mergeCell ref="KW24:KW25"/>
    <mergeCell ref="KX24:KX25"/>
    <mergeCell ref="KY24:KY25"/>
    <mergeCell ref="KZ24:KZ25"/>
    <mergeCell ref="LA24:LA25"/>
    <mergeCell ref="LB24:LB25"/>
    <mergeCell ref="LC24:LC25"/>
    <mergeCell ref="LD24:LD25"/>
    <mergeCell ref="LE24:LE25"/>
    <mergeCell ref="LF24:LF25"/>
    <mergeCell ref="LG24:LG25"/>
    <mergeCell ref="LH24:LH25"/>
    <mergeCell ref="LI24:LI25"/>
    <mergeCell ref="LJ24:LJ25"/>
    <mergeCell ref="KC24:KC25"/>
    <mergeCell ref="KD24:KD25"/>
    <mergeCell ref="KE24:KE25"/>
    <mergeCell ref="KF24:KF25"/>
    <mergeCell ref="KG24:KG25"/>
    <mergeCell ref="KH24:KH25"/>
    <mergeCell ref="KI24:KI25"/>
    <mergeCell ref="KJ24:KJ25"/>
    <mergeCell ref="KK24:KK25"/>
    <mergeCell ref="KL24:KL25"/>
    <mergeCell ref="KM24:KM25"/>
    <mergeCell ref="KN24:KN25"/>
    <mergeCell ref="KO24:KO25"/>
    <mergeCell ref="KP24:KP25"/>
    <mergeCell ref="KQ24:KQ25"/>
    <mergeCell ref="KR24:KR25"/>
    <mergeCell ref="KS24:KS25"/>
    <mergeCell ref="JL24:JL25"/>
    <mergeCell ref="JM24:JM25"/>
    <mergeCell ref="JN24:JN25"/>
    <mergeCell ref="JO24:JO25"/>
    <mergeCell ref="JP24:JP25"/>
    <mergeCell ref="JQ24:JQ25"/>
    <mergeCell ref="JR24:JR25"/>
    <mergeCell ref="JS24:JS25"/>
    <mergeCell ref="JT24:JT25"/>
    <mergeCell ref="JU24:JU25"/>
    <mergeCell ref="JV24:JV25"/>
    <mergeCell ref="JW24:JW25"/>
    <mergeCell ref="JX24:JX25"/>
    <mergeCell ref="JY24:JY25"/>
    <mergeCell ref="JZ24:JZ25"/>
    <mergeCell ref="KA24:KA25"/>
    <mergeCell ref="KB24:KB25"/>
    <mergeCell ref="IU24:IU25"/>
    <mergeCell ref="IV24:IV25"/>
    <mergeCell ref="IW24:IW25"/>
    <mergeCell ref="IX24:IX25"/>
    <mergeCell ref="IY24:IY25"/>
    <mergeCell ref="IZ24:IZ25"/>
    <mergeCell ref="JA24:JA25"/>
    <mergeCell ref="JB24:JB25"/>
    <mergeCell ref="JC24:JC25"/>
    <mergeCell ref="JD24:JD25"/>
    <mergeCell ref="JE24:JE25"/>
    <mergeCell ref="JF24:JF25"/>
    <mergeCell ref="JG24:JG25"/>
    <mergeCell ref="JH24:JH25"/>
    <mergeCell ref="JI24:JI25"/>
    <mergeCell ref="JJ24:JJ25"/>
    <mergeCell ref="JK24:JK25"/>
    <mergeCell ref="ID24:ID25"/>
    <mergeCell ref="IE24:IE25"/>
    <mergeCell ref="IF24:IF25"/>
    <mergeCell ref="IG24:IG25"/>
    <mergeCell ref="IH24:IH25"/>
    <mergeCell ref="II24:II25"/>
    <mergeCell ref="IJ24:IJ25"/>
    <mergeCell ref="IK24:IK25"/>
    <mergeCell ref="IL24:IL25"/>
    <mergeCell ref="IM24:IM25"/>
    <mergeCell ref="IN24:IN25"/>
    <mergeCell ref="IO24:IO25"/>
    <mergeCell ref="IP24:IP25"/>
    <mergeCell ref="IQ24:IQ25"/>
    <mergeCell ref="IR24:IR25"/>
    <mergeCell ref="IS24:IS25"/>
    <mergeCell ref="IT24:IT25"/>
    <mergeCell ref="HM24:HM25"/>
    <mergeCell ref="HN24:HN25"/>
    <mergeCell ref="HO24:HO25"/>
    <mergeCell ref="HP24:HP25"/>
    <mergeCell ref="HQ24:HQ25"/>
    <mergeCell ref="HR24:HR25"/>
    <mergeCell ref="HS24:HS25"/>
    <mergeCell ref="HT24:HT25"/>
    <mergeCell ref="HU24:HU25"/>
    <mergeCell ref="HV24:HV25"/>
    <mergeCell ref="HW24:HW25"/>
    <mergeCell ref="HX24:HX25"/>
    <mergeCell ref="HY24:HY25"/>
    <mergeCell ref="HZ24:HZ25"/>
    <mergeCell ref="IA24:IA25"/>
    <mergeCell ref="IB24:IB25"/>
    <mergeCell ref="IC24:IC25"/>
    <mergeCell ref="GU24:GU25"/>
    <mergeCell ref="GV24:GV25"/>
    <mergeCell ref="GW24:GW25"/>
    <mergeCell ref="GX24:GX25"/>
    <mergeCell ref="GY24:GY25"/>
    <mergeCell ref="GZ24:GZ25"/>
    <mergeCell ref="HA24:HA25"/>
    <mergeCell ref="HB24:HB25"/>
    <mergeCell ref="HC24:HC25"/>
    <mergeCell ref="HD24:HD25"/>
    <mergeCell ref="HE24:HE25"/>
    <mergeCell ref="HG24:HG25"/>
    <mergeCell ref="HH24:HH25"/>
    <mergeCell ref="HI24:HI25"/>
    <mergeCell ref="HJ24:HJ25"/>
    <mergeCell ref="HK24:HK25"/>
    <mergeCell ref="HL24:HL25"/>
    <mergeCell ref="GD24:GD25"/>
    <mergeCell ref="GE24:GE25"/>
    <mergeCell ref="GF24:GF25"/>
    <mergeCell ref="GG24:GG25"/>
    <mergeCell ref="GH24:GH25"/>
    <mergeCell ref="GI24:GI25"/>
    <mergeCell ref="GJ24:GJ25"/>
    <mergeCell ref="GK24:GK25"/>
    <mergeCell ref="GL24:GL25"/>
    <mergeCell ref="GM24:GM25"/>
    <mergeCell ref="GN24:GN25"/>
    <mergeCell ref="GO24:GO25"/>
    <mergeCell ref="GP24:GP25"/>
    <mergeCell ref="GQ24:GQ25"/>
    <mergeCell ref="GR24:GR25"/>
    <mergeCell ref="GS24:GS25"/>
    <mergeCell ref="GT24:GT25"/>
    <mergeCell ref="FM24:FM25"/>
    <mergeCell ref="FN24:FN25"/>
    <mergeCell ref="FO24:FO25"/>
    <mergeCell ref="FP24:FP25"/>
    <mergeCell ref="FQ24:FQ25"/>
    <mergeCell ref="FR24:FR25"/>
    <mergeCell ref="FS24:FS25"/>
    <mergeCell ref="FT24:FT25"/>
    <mergeCell ref="FU24:FU25"/>
    <mergeCell ref="FV24:FV25"/>
    <mergeCell ref="FW24:FW25"/>
    <mergeCell ref="FX24:FX25"/>
    <mergeCell ref="FY24:FY25"/>
    <mergeCell ref="FZ24:FZ25"/>
    <mergeCell ref="GA24:GA25"/>
    <mergeCell ref="GB24:GB25"/>
    <mergeCell ref="GC24:GC25"/>
    <mergeCell ref="EV24:EV25"/>
    <mergeCell ref="EW24:EW25"/>
    <mergeCell ref="EX24:EX25"/>
    <mergeCell ref="EY24:EY25"/>
    <mergeCell ref="EZ24:EZ25"/>
    <mergeCell ref="FA24:FA25"/>
    <mergeCell ref="FB24:FB25"/>
    <mergeCell ref="FC24:FC25"/>
    <mergeCell ref="FD24:FD25"/>
    <mergeCell ref="FE24:FE25"/>
    <mergeCell ref="FF24:FF25"/>
    <mergeCell ref="FG24:FG25"/>
    <mergeCell ref="FH24:FH25"/>
    <mergeCell ref="FI24:FI25"/>
    <mergeCell ref="FJ24:FJ25"/>
    <mergeCell ref="FK24:FK25"/>
    <mergeCell ref="FL24:FL25"/>
    <mergeCell ref="ED24:ED25"/>
    <mergeCell ref="EE24:EE25"/>
    <mergeCell ref="EF24:EF25"/>
    <mergeCell ref="EG24:EG25"/>
    <mergeCell ref="EH24:EH25"/>
    <mergeCell ref="EI24:EI25"/>
    <mergeCell ref="EK24:EK25"/>
    <mergeCell ref="EL24:EL25"/>
    <mergeCell ref="EM24:EM25"/>
    <mergeCell ref="EN24:EN25"/>
    <mergeCell ref="EO24:EO25"/>
    <mergeCell ref="EP24:EP25"/>
    <mergeCell ref="EQ24:EQ25"/>
    <mergeCell ref="ER24:ER25"/>
    <mergeCell ref="ES24:ES25"/>
    <mergeCell ref="ET24:ET25"/>
    <mergeCell ref="EU24:EU25"/>
    <mergeCell ref="DM24:DM25"/>
    <mergeCell ref="DN24:DN25"/>
    <mergeCell ref="DO24:DO25"/>
    <mergeCell ref="DP24:DP25"/>
    <mergeCell ref="DQ24:DQ25"/>
    <mergeCell ref="DR24:DR25"/>
    <mergeCell ref="DS24:DS25"/>
    <mergeCell ref="DT24:DT25"/>
    <mergeCell ref="DU24:DU25"/>
    <mergeCell ref="DV24:DV25"/>
    <mergeCell ref="DW24:DW25"/>
    <mergeCell ref="DX24:DX25"/>
    <mergeCell ref="DY24:DY25"/>
    <mergeCell ref="DZ24:DZ25"/>
    <mergeCell ref="EA24:EA25"/>
    <mergeCell ref="EB24:EB25"/>
    <mergeCell ref="EC24:EC25"/>
    <mergeCell ref="CV24:CV25"/>
    <mergeCell ref="CW24:CW25"/>
    <mergeCell ref="CX24:CX25"/>
    <mergeCell ref="CY24:CY25"/>
    <mergeCell ref="CZ24:CZ25"/>
    <mergeCell ref="DA24:DA25"/>
    <mergeCell ref="DB24:DB25"/>
    <mergeCell ref="DC24:DC25"/>
    <mergeCell ref="DD24:DD25"/>
    <mergeCell ref="DE24:DE25"/>
    <mergeCell ref="DF24:DF25"/>
    <mergeCell ref="DG24:DG25"/>
    <mergeCell ref="DH24:DH25"/>
    <mergeCell ref="DI24:DI25"/>
    <mergeCell ref="DJ24:DJ25"/>
    <mergeCell ref="DK24:DK25"/>
    <mergeCell ref="DL24:DL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XB24:XB25"/>
    <mergeCell ref="XC24:XC25"/>
    <mergeCell ref="XD24:XD25"/>
    <mergeCell ref="XE24:XE25"/>
    <mergeCell ref="XF24:XF25"/>
    <mergeCell ref="XG24:XG25"/>
    <mergeCell ref="XH24:XH25"/>
    <mergeCell ref="XI24:XI25"/>
    <mergeCell ref="XJ24:XJ25"/>
    <mergeCell ref="XK24:XK25"/>
    <mergeCell ref="XL24:XL25"/>
    <mergeCell ref="XM24:XM25"/>
    <mergeCell ref="XN24:XN25"/>
    <mergeCell ref="XO24:XO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YA24:YA25"/>
    <mergeCell ref="YB24:YB25"/>
    <mergeCell ref="YC24:YC25"/>
    <mergeCell ref="YD24:YD25"/>
    <mergeCell ref="YE24:YE25"/>
    <mergeCell ref="XP24:XP25"/>
    <mergeCell ref="XQ24:XQ25"/>
    <mergeCell ref="XR24:XR25"/>
    <mergeCell ref="XS24:XS25"/>
    <mergeCell ref="XT24:XT25"/>
    <mergeCell ref="XU24:XU25"/>
    <mergeCell ref="XV24:XV25"/>
    <mergeCell ref="VS24:VS25"/>
    <mergeCell ref="VT24:VT25"/>
    <mergeCell ref="VU24:VU25"/>
    <mergeCell ref="VV24:VV25"/>
    <mergeCell ref="VW24:VW25"/>
    <mergeCell ref="VX24:VX25"/>
    <mergeCell ref="VY24:VY25"/>
    <mergeCell ref="VZ24:VZ25"/>
    <mergeCell ref="WA24:WA25"/>
    <mergeCell ref="WB24:WB25"/>
    <mergeCell ref="WC24:WC25"/>
    <mergeCell ref="WD24:WD25"/>
    <mergeCell ref="WE24:WE25"/>
    <mergeCell ref="WF24:WF25"/>
    <mergeCell ref="WG24:WG25"/>
    <mergeCell ref="WH24:WH25"/>
    <mergeCell ref="WI24:WI25"/>
    <mergeCell ref="WJ24:WJ25"/>
    <mergeCell ref="WK24:WK25"/>
    <mergeCell ref="WL24:WL25"/>
    <mergeCell ref="VE24:VE25"/>
    <mergeCell ref="VF24:VF25"/>
    <mergeCell ref="VG24:VG25"/>
    <mergeCell ref="VH24:VH25"/>
    <mergeCell ref="VI24:VI25"/>
    <mergeCell ref="VJ24:VJ25"/>
    <mergeCell ref="VK24:VK25"/>
    <mergeCell ref="VL24:VL25"/>
    <mergeCell ref="VM24:VM25"/>
    <mergeCell ref="VN24:VN25"/>
    <mergeCell ref="VO24:VO25"/>
    <mergeCell ref="VP24:VP25"/>
    <mergeCell ref="VQ24:VQ25"/>
    <mergeCell ref="VR24:VR25"/>
    <mergeCell ref="XW24:XW25"/>
    <mergeCell ref="XY24:XY25"/>
    <mergeCell ref="XZ24:XZ25"/>
    <mergeCell ref="WM24:WM25"/>
    <mergeCell ref="WN24:WN25"/>
    <mergeCell ref="WO24:WO25"/>
    <mergeCell ref="WP24:WP25"/>
    <mergeCell ref="WQ24:WQ25"/>
    <mergeCell ref="WR24:WR25"/>
    <mergeCell ref="WS24:WS25"/>
    <mergeCell ref="WT24:WT25"/>
    <mergeCell ref="WU24:WU25"/>
    <mergeCell ref="WV24:WV25"/>
    <mergeCell ref="WW24:WW25"/>
    <mergeCell ref="WX24:WX25"/>
    <mergeCell ref="WY24:WY25"/>
    <mergeCell ref="WZ24:WZ25"/>
    <mergeCell ref="XA24:XA25"/>
    <mergeCell ref="UN24:UN25"/>
    <mergeCell ref="UO24:UO25"/>
    <mergeCell ref="UP24:UP25"/>
    <mergeCell ref="UQ24:UQ25"/>
    <mergeCell ref="UR24:UR25"/>
    <mergeCell ref="US24:US25"/>
    <mergeCell ref="UT24:UT25"/>
    <mergeCell ref="UU24:UU25"/>
    <mergeCell ref="UV24:UV25"/>
    <mergeCell ref="UW24:UW25"/>
    <mergeCell ref="UX24:UX25"/>
    <mergeCell ref="UY24:UY25"/>
    <mergeCell ref="UZ24:UZ25"/>
    <mergeCell ref="VA24:VA25"/>
    <mergeCell ref="VB24:VB25"/>
    <mergeCell ref="VC24:VC25"/>
    <mergeCell ref="VD24:VD25"/>
    <mergeCell ref="TW24:TW25"/>
    <mergeCell ref="TX24:TX25"/>
    <mergeCell ref="TY24:TY25"/>
    <mergeCell ref="TZ24:TZ25"/>
    <mergeCell ref="UA24:UA25"/>
    <mergeCell ref="UB24:UB25"/>
    <mergeCell ref="UC24:UC25"/>
    <mergeCell ref="UD24:UD25"/>
    <mergeCell ref="UE24:UE25"/>
    <mergeCell ref="UF24:UF25"/>
    <mergeCell ref="UG24:UG25"/>
    <mergeCell ref="UH24:UH25"/>
    <mergeCell ref="UI24:UI25"/>
    <mergeCell ref="UJ24:UJ25"/>
    <mergeCell ref="UK24:UK25"/>
    <mergeCell ref="UL24:UL25"/>
    <mergeCell ref="UM24:UM25"/>
    <mergeCell ref="TF24:TF25"/>
    <mergeCell ref="TG24:TG25"/>
    <mergeCell ref="TH24:TH25"/>
    <mergeCell ref="TI24:TI25"/>
    <mergeCell ref="TJ24:TJ25"/>
    <mergeCell ref="TK24:TK25"/>
    <mergeCell ref="TL24:TL25"/>
    <mergeCell ref="TM24:TM25"/>
    <mergeCell ref="TN24:TN25"/>
    <mergeCell ref="TO24:TO25"/>
    <mergeCell ref="TP24:TP25"/>
    <mergeCell ref="TQ24:TQ25"/>
    <mergeCell ref="TR24:TR25"/>
    <mergeCell ref="TS24:TS25"/>
    <mergeCell ref="TT24:TT25"/>
    <mergeCell ref="TU24:TU25"/>
    <mergeCell ref="TV24:TV25"/>
    <mergeCell ref="SO24:SO25"/>
    <mergeCell ref="SP24:SP25"/>
    <mergeCell ref="SQ24:SQ25"/>
    <mergeCell ref="SR24:SR25"/>
    <mergeCell ref="SS24:SS25"/>
    <mergeCell ref="ST24:ST25"/>
    <mergeCell ref="SU24:SU25"/>
    <mergeCell ref="SV24:SV25"/>
    <mergeCell ref="SW24:SW25"/>
    <mergeCell ref="SX24:SX25"/>
    <mergeCell ref="SY24:SY25"/>
    <mergeCell ref="SZ24:SZ25"/>
    <mergeCell ref="TA24:TA25"/>
    <mergeCell ref="TB24:TB25"/>
    <mergeCell ref="TC24:TC25"/>
    <mergeCell ref="TD24:TD25"/>
    <mergeCell ref="TE24:TE25"/>
    <mergeCell ref="RX24:RX25"/>
    <mergeCell ref="RY24:RY25"/>
    <mergeCell ref="RZ24:RZ25"/>
    <mergeCell ref="SA24:SA25"/>
    <mergeCell ref="SB24:SB25"/>
    <mergeCell ref="SC24:SC25"/>
    <mergeCell ref="SD24:SD25"/>
    <mergeCell ref="SE24:SE25"/>
    <mergeCell ref="SF24:SF25"/>
    <mergeCell ref="SG24:SG25"/>
    <mergeCell ref="SH24:SH25"/>
    <mergeCell ref="SI24:SI25"/>
    <mergeCell ref="SJ24:SJ25"/>
    <mergeCell ref="SK24:SK25"/>
    <mergeCell ref="SL24:SL25"/>
    <mergeCell ref="SM24:SM25"/>
    <mergeCell ref="SN24:SN25"/>
    <mergeCell ref="RG24:RG25"/>
    <mergeCell ref="RH24:RH25"/>
    <mergeCell ref="RI24:RI25"/>
    <mergeCell ref="RJ24:RJ25"/>
    <mergeCell ref="RK24:RK25"/>
    <mergeCell ref="RL24:RL25"/>
    <mergeCell ref="RM24:RM25"/>
    <mergeCell ref="RN24:RN25"/>
    <mergeCell ref="RO24:RO25"/>
    <mergeCell ref="RP24:RP25"/>
    <mergeCell ref="RQ24:RQ25"/>
    <mergeCell ref="RR24:RR25"/>
    <mergeCell ref="RS24:RS25"/>
    <mergeCell ref="RT24:RT25"/>
    <mergeCell ref="RU24:RU25"/>
    <mergeCell ref="RV24:RV25"/>
    <mergeCell ref="RW24:RW25"/>
    <mergeCell ref="QP24:QP25"/>
    <mergeCell ref="QQ24:QQ25"/>
    <mergeCell ref="QR24:QR25"/>
    <mergeCell ref="QS24:QS25"/>
    <mergeCell ref="QT24:QT25"/>
    <mergeCell ref="QU24:QU25"/>
    <mergeCell ref="QV24:QV25"/>
    <mergeCell ref="QW24:QW25"/>
    <mergeCell ref="QX24:QX25"/>
    <mergeCell ref="QY24:QY25"/>
    <mergeCell ref="QZ24:QZ25"/>
    <mergeCell ref="RA24:RA25"/>
    <mergeCell ref="RB24:RB25"/>
    <mergeCell ref="RC24:RC25"/>
    <mergeCell ref="RD24:RD25"/>
    <mergeCell ref="RE24:RE25"/>
    <mergeCell ref="RF24:RF25"/>
    <mergeCell ref="PY24:PY25"/>
    <mergeCell ref="PZ24:PZ25"/>
    <mergeCell ref="QA24:QA25"/>
    <mergeCell ref="QB24:QB25"/>
    <mergeCell ref="QC24:QC25"/>
    <mergeCell ref="QD24:QD25"/>
    <mergeCell ref="QE24:QE25"/>
    <mergeCell ref="QF24:QF25"/>
    <mergeCell ref="QG24:QG25"/>
    <mergeCell ref="QH24:QH25"/>
    <mergeCell ref="QI24:QI25"/>
    <mergeCell ref="QJ24:QJ25"/>
    <mergeCell ref="QK24:QK25"/>
    <mergeCell ref="QL24:QL25"/>
    <mergeCell ref="QM24:QM25"/>
    <mergeCell ref="QN24:QN25"/>
    <mergeCell ref="QO24:QO25"/>
    <mergeCell ref="PH24:PH25"/>
    <mergeCell ref="PI24:PI25"/>
    <mergeCell ref="PJ24:PJ25"/>
    <mergeCell ref="PK24:PK25"/>
    <mergeCell ref="PL24:PL25"/>
    <mergeCell ref="PM24:PM25"/>
    <mergeCell ref="PN24:PN25"/>
    <mergeCell ref="PO24:PO25"/>
    <mergeCell ref="PP24:PP25"/>
    <mergeCell ref="PQ24:PQ25"/>
    <mergeCell ref="PR24:PR25"/>
    <mergeCell ref="PS24:PS25"/>
    <mergeCell ref="PT24:PT25"/>
    <mergeCell ref="PU24:PU25"/>
    <mergeCell ref="PV24:PV25"/>
    <mergeCell ref="PW24:PW25"/>
    <mergeCell ref="PX24:PX25"/>
    <mergeCell ref="OQ24:OQ25"/>
    <mergeCell ref="OR24:OR25"/>
    <mergeCell ref="OS24:OS25"/>
    <mergeCell ref="OT24:OT25"/>
    <mergeCell ref="OU24:OU25"/>
    <mergeCell ref="OV24:OV25"/>
    <mergeCell ref="OW24:OW25"/>
    <mergeCell ref="OX24:OX25"/>
    <mergeCell ref="OY24:OY25"/>
    <mergeCell ref="OZ24:OZ25"/>
    <mergeCell ref="PA24:PA25"/>
    <mergeCell ref="PB24:PB25"/>
    <mergeCell ref="PC24:PC25"/>
    <mergeCell ref="PD24:PD25"/>
    <mergeCell ref="PE24:PE25"/>
    <mergeCell ref="PF24:PF25"/>
    <mergeCell ref="PG24:PG25"/>
    <mergeCell ref="NZ24:NZ25"/>
    <mergeCell ref="OA24:OA25"/>
    <mergeCell ref="OB24:OB25"/>
    <mergeCell ref="OC24:OC25"/>
    <mergeCell ref="OD24:OD25"/>
    <mergeCell ref="OE24:OE25"/>
    <mergeCell ref="OF24:OF25"/>
    <mergeCell ref="OG24:OG25"/>
    <mergeCell ref="OH24:OH25"/>
    <mergeCell ref="OI24:OI25"/>
    <mergeCell ref="OJ24:OJ25"/>
    <mergeCell ref="OK24:OK25"/>
    <mergeCell ref="OL24:OL25"/>
    <mergeCell ref="OM24:OM25"/>
    <mergeCell ref="ON24:ON25"/>
    <mergeCell ref="OO24:OO25"/>
    <mergeCell ref="OP24:OP25"/>
    <mergeCell ref="NI24:NI25"/>
    <mergeCell ref="NJ24:NJ25"/>
    <mergeCell ref="NK24:NK25"/>
    <mergeCell ref="NL24:NL25"/>
    <mergeCell ref="NM24:NM25"/>
    <mergeCell ref="NN24:NN25"/>
    <mergeCell ref="NO24:NO25"/>
    <mergeCell ref="NP24:NP25"/>
    <mergeCell ref="NQ24:NQ25"/>
    <mergeCell ref="NR24:NR25"/>
    <mergeCell ref="NS24:NS25"/>
    <mergeCell ref="NT24:NT25"/>
    <mergeCell ref="NU24:NU25"/>
    <mergeCell ref="NV24:NV25"/>
    <mergeCell ref="NW24:NW25"/>
    <mergeCell ref="NX24:NX25"/>
    <mergeCell ref="NY24:NY25"/>
    <mergeCell ref="MR24:MR25"/>
    <mergeCell ref="MS24:MS25"/>
    <mergeCell ref="MT24:MT25"/>
    <mergeCell ref="MU24:MU25"/>
    <mergeCell ref="MV24:MV25"/>
    <mergeCell ref="MW24:MW25"/>
    <mergeCell ref="MX24:MX25"/>
    <mergeCell ref="MY24:MY25"/>
    <mergeCell ref="MZ24:MZ25"/>
    <mergeCell ref="NA24:NA25"/>
    <mergeCell ref="NB24:NB25"/>
    <mergeCell ref="NC24:NC25"/>
    <mergeCell ref="ND24:ND25"/>
    <mergeCell ref="NE24:NE25"/>
    <mergeCell ref="NF24:NF25"/>
    <mergeCell ref="NG24:NG25"/>
    <mergeCell ref="NH24:NH25"/>
    <mergeCell ref="A10:A13"/>
    <mergeCell ref="B10:B13"/>
    <mergeCell ref="C10:C13"/>
    <mergeCell ref="D10:D13"/>
    <mergeCell ref="E10:E13"/>
    <mergeCell ref="F10:F13"/>
    <mergeCell ref="G10:G13"/>
    <mergeCell ref="MH24:MH25"/>
    <mergeCell ref="MI24:MI25"/>
    <mergeCell ref="MJ24:MJ25"/>
    <mergeCell ref="MK24:MK25"/>
    <mergeCell ref="ML24:ML25"/>
    <mergeCell ref="MM24:MM25"/>
    <mergeCell ref="MN24:MN25"/>
    <mergeCell ref="MO24:MO25"/>
    <mergeCell ref="MP24:MP25"/>
    <mergeCell ref="MQ24:MQ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AG10:AG13"/>
    <mergeCell ref="AH10:AH13"/>
    <mergeCell ref="AI10:AI13"/>
    <mergeCell ref="AJ10:AJ13"/>
    <mergeCell ref="AK10:AK13"/>
    <mergeCell ref="AL10:AL13"/>
    <mergeCell ref="AM10:AM13"/>
    <mergeCell ref="AN10:AN13"/>
    <mergeCell ref="AO10:AO13"/>
    <mergeCell ref="AP10:AP13"/>
    <mergeCell ref="AQ10:AQ13"/>
    <mergeCell ref="AR10:AR13"/>
    <mergeCell ref="AS10:AS13"/>
    <mergeCell ref="AT10:AT13"/>
    <mergeCell ref="AU10:AU13"/>
    <mergeCell ref="AV10:AV13"/>
    <mergeCell ref="AW10:AW13"/>
    <mergeCell ref="LY10:LY13"/>
    <mergeCell ref="LZ10:LZ13"/>
    <mergeCell ref="MA10:MA13"/>
    <mergeCell ref="MB10:MB13"/>
    <mergeCell ref="MC10:MC13"/>
    <mergeCell ref="MD10:MD13"/>
    <mergeCell ref="ME10:ME13"/>
    <mergeCell ref="H10:H13"/>
    <mergeCell ref="I10:I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S10:S13"/>
    <mergeCell ref="T10:T13"/>
    <mergeCell ref="U10:U13"/>
    <mergeCell ref="V10:V13"/>
    <mergeCell ref="W10:W13"/>
    <mergeCell ref="X10:X13"/>
    <mergeCell ref="Y10:Y13"/>
    <mergeCell ref="Z10:Z13"/>
    <mergeCell ref="AA10:AA13"/>
    <mergeCell ref="AB10:AB13"/>
    <mergeCell ref="AC10:AC13"/>
    <mergeCell ref="AD10:AD13"/>
    <mergeCell ref="AE10:AE13"/>
    <mergeCell ref="AF10:AF13"/>
    <mergeCell ref="LH10:LH13"/>
    <mergeCell ref="LI10:LI13"/>
    <mergeCell ref="LJ10:LJ13"/>
    <mergeCell ref="LK10:LK13"/>
    <mergeCell ref="LL10:LL13"/>
    <mergeCell ref="LM10:LM13"/>
    <mergeCell ref="LN10:LN13"/>
    <mergeCell ref="LO10:LO13"/>
    <mergeCell ref="LP10:LP13"/>
    <mergeCell ref="LQ10:LQ13"/>
    <mergeCell ref="LR10:LR13"/>
    <mergeCell ref="LS10:LS13"/>
    <mergeCell ref="LT10:LT13"/>
    <mergeCell ref="LU10:LU13"/>
    <mergeCell ref="LV10:LV13"/>
    <mergeCell ref="LW10:LW13"/>
    <mergeCell ref="LX10:LX13"/>
    <mergeCell ref="KQ10:KQ13"/>
    <mergeCell ref="KR10:KR13"/>
    <mergeCell ref="KS10:KS13"/>
    <mergeCell ref="KT10:KT13"/>
    <mergeCell ref="KU10:KU13"/>
    <mergeCell ref="KV10:KV13"/>
    <mergeCell ref="KW10:KW13"/>
    <mergeCell ref="KX10:KX13"/>
    <mergeCell ref="KY10:KY13"/>
    <mergeCell ref="KZ10:KZ13"/>
    <mergeCell ref="LA10:LA13"/>
    <mergeCell ref="LB10:LB13"/>
    <mergeCell ref="LC10:LC13"/>
    <mergeCell ref="LD10:LD13"/>
    <mergeCell ref="LE10:LE13"/>
    <mergeCell ref="LF10:LF13"/>
    <mergeCell ref="LG10:LG13"/>
    <mergeCell ref="JZ10:JZ13"/>
    <mergeCell ref="KA10:KA13"/>
    <mergeCell ref="KB10:KB13"/>
    <mergeCell ref="KC10:KC13"/>
    <mergeCell ref="KD10:KD13"/>
    <mergeCell ref="KE10:KE13"/>
    <mergeCell ref="KF10:KF13"/>
    <mergeCell ref="KG10:KG13"/>
    <mergeCell ref="KH10:KH13"/>
    <mergeCell ref="KI10:KI13"/>
    <mergeCell ref="KJ10:KJ13"/>
    <mergeCell ref="KK10:KK13"/>
    <mergeCell ref="KL10:KL13"/>
    <mergeCell ref="KM10:KM13"/>
    <mergeCell ref="KN10:KN13"/>
    <mergeCell ref="KO10:KO13"/>
    <mergeCell ref="KP10:KP13"/>
    <mergeCell ref="JI10:JI13"/>
    <mergeCell ref="JJ10:JJ13"/>
    <mergeCell ref="JK10:JK13"/>
    <mergeCell ref="JL10:JL13"/>
    <mergeCell ref="JM10:JM13"/>
    <mergeCell ref="JN10:JN13"/>
    <mergeCell ref="JO10:JO13"/>
    <mergeCell ref="JP10:JP13"/>
    <mergeCell ref="JQ10:JQ13"/>
    <mergeCell ref="JR10:JR13"/>
    <mergeCell ref="JS10:JS13"/>
    <mergeCell ref="JT10:JT13"/>
    <mergeCell ref="JU10:JU13"/>
    <mergeCell ref="JV10:JV13"/>
    <mergeCell ref="JW10:JW13"/>
    <mergeCell ref="JX10:JX13"/>
    <mergeCell ref="JY10:JY13"/>
    <mergeCell ref="IR10:IR13"/>
    <mergeCell ref="IS10:IS13"/>
    <mergeCell ref="IT10:IT13"/>
    <mergeCell ref="IU10:IU13"/>
    <mergeCell ref="IV10:IV13"/>
    <mergeCell ref="IW10:IW13"/>
    <mergeCell ref="IX10:IX13"/>
    <mergeCell ref="IY10:IY13"/>
    <mergeCell ref="IZ10:IZ13"/>
    <mergeCell ref="JA10:JA13"/>
    <mergeCell ref="JB10:JB13"/>
    <mergeCell ref="JC10:JC13"/>
    <mergeCell ref="JD10:JD13"/>
    <mergeCell ref="JE10:JE13"/>
    <mergeCell ref="JF10:JF13"/>
    <mergeCell ref="JG10:JG13"/>
    <mergeCell ref="JH10:JH13"/>
    <mergeCell ref="IB10:IB11"/>
    <mergeCell ref="IC10:IC13"/>
    <mergeCell ref="ID10:ID13"/>
    <mergeCell ref="IB12:IB13"/>
    <mergeCell ref="IE10:IE13"/>
    <mergeCell ref="IF10:IF13"/>
    <mergeCell ref="IG10:IG13"/>
    <mergeCell ref="IH10:IH13"/>
    <mergeCell ref="II10:II13"/>
    <mergeCell ref="IJ10:IJ13"/>
    <mergeCell ref="IK10:IK13"/>
    <mergeCell ref="IL10:IL13"/>
    <mergeCell ref="IM10:IM13"/>
    <mergeCell ref="IN10:IN13"/>
    <mergeCell ref="IO10:IO13"/>
    <mergeCell ref="IP10:IP13"/>
    <mergeCell ref="IQ10:IQ13"/>
    <mergeCell ref="HK10:HK13"/>
    <mergeCell ref="HL10:HL13"/>
    <mergeCell ref="HM10:HM13"/>
    <mergeCell ref="HN10:HN13"/>
    <mergeCell ref="HO10:HO13"/>
    <mergeCell ref="HP10:HP13"/>
    <mergeCell ref="HQ10:HQ13"/>
    <mergeCell ref="HR10:HR13"/>
    <mergeCell ref="HS10:HS13"/>
    <mergeCell ref="HT10:HT13"/>
    <mergeCell ref="HU10:HU13"/>
    <mergeCell ref="HV10:HV13"/>
    <mergeCell ref="HW10:HW13"/>
    <mergeCell ref="HX10:HX13"/>
    <mergeCell ref="HY10:HY13"/>
    <mergeCell ref="HZ10:HZ13"/>
    <mergeCell ref="IA10:IA13"/>
    <mergeCell ref="GT10:GT13"/>
    <mergeCell ref="GU10:GU13"/>
    <mergeCell ref="GV10:GV13"/>
    <mergeCell ref="GW10:GW13"/>
    <mergeCell ref="GX10:GX13"/>
    <mergeCell ref="GY10:GY13"/>
    <mergeCell ref="GZ10:GZ13"/>
    <mergeCell ref="HA10:HA13"/>
    <mergeCell ref="HB10:HB13"/>
    <mergeCell ref="HC10:HC13"/>
    <mergeCell ref="HD10:HD13"/>
    <mergeCell ref="HE10:HE13"/>
    <mergeCell ref="HF10:HF13"/>
    <mergeCell ref="HG10:HG13"/>
    <mergeCell ref="HH10:HH13"/>
    <mergeCell ref="HI10:HI13"/>
    <mergeCell ref="HJ10:HJ13"/>
    <mergeCell ref="GC10:GC13"/>
    <mergeCell ref="GD10:GD13"/>
    <mergeCell ref="GE10:GE13"/>
    <mergeCell ref="GF10:GF13"/>
    <mergeCell ref="GG10:GG13"/>
    <mergeCell ref="GH10:GH13"/>
    <mergeCell ref="GI10:GI13"/>
    <mergeCell ref="GJ10:GJ13"/>
    <mergeCell ref="GK10:GK13"/>
    <mergeCell ref="GL10:GL13"/>
    <mergeCell ref="GM10:GM13"/>
    <mergeCell ref="GN10:GN13"/>
    <mergeCell ref="GO10:GO13"/>
    <mergeCell ref="GP10:GP13"/>
    <mergeCell ref="GQ10:GQ13"/>
    <mergeCell ref="GR10:GR13"/>
    <mergeCell ref="GS10:GS13"/>
    <mergeCell ref="FM10:FM13"/>
    <mergeCell ref="FN10:FN13"/>
    <mergeCell ref="FO10:FO13"/>
    <mergeCell ref="FP10:FP13"/>
    <mergeCell ref="FQ10:FQ13"/>
    <mergeCell ref="FR10:FR13"/>
    <mergeCell ref="FS10:FS13"/>
    <mergeCell ref="FT10:FT13"/>
    <mergeCell ref="FU10:FU13"/>
    <mergeCell ref="FV10:FV13"/>
    <mergeCell ref="FW10:FW13"/>
    <mergeCell ref="FX10:FX13"/>
    <mergeCell ref="FY10:FY13"/>
    <mergeCell ref="FZ10:FZ11"/>
    <mergeCell ref="FZ12:FZ13"/>
    <mergeCell ref="GA10:GA13"/>
    <mergeCell ref="GB10:GB13"/>
    <mergeCell ref="EV10:EV13"/>
    <mergeCell ref="EW10:EW13"/>
    <mergeCell ref="EX10:EX13"/>
    <mergeCell ref="EY10:EY13"/>
    <mergeCell ref="EZ10:EZ13"/>
    <mergeCell ref="FA10:FA13"/>
    <mergeCell ref="FB10:FB13"/>
    <mergeCell ref="FC10:FC13"/>
    <mergeCell ref="FD10:FD13"/>
    <mergeCell ref="FE10:FE13"/>
    <mergeCell ref="FF10:FF13"/>
    <mergeCell ref="FG10:FG13"/>
    <mergeCell ref="FH10:FH13"/>
    <mergeCell ref="FI10:FI13"/>
    <mergeCell ref="FJ10:FJ13"/>
    <mergeCell ref="FK10:FK13"/>
    <mergeCell ref="FL10:FL13"/>
    <mergeCell ref="EE10:EE13"/>
    <mergeCell ref="EF10:EF13"/>
    <mergeCell ref="EG10:EG13"/>
    <mergeCell ref="EH10:EH13"/>
    <mergeCell ref="EI10:EI13"/>
    <mergeCell ref="EJ10:EJ13"/>
    <mergeCell ref="EK10:EK13"/>
    <mergeCell ref="EL10:EL13"/>
    <mergeCell ref="EM10:EM13"/>
    <mergeCell ref="EN10:EN13"/>
    <mergeCell ref="EO10:EO13"/>
    <mergeCell ref="EP10:EP13"/>
    <mergeCell ref="EQ10:EQ13"/>
    <mergeCell ref="ER10:ER13"/>
    <mergeCell ref="ES10:ES13"/>
    <mergeCell ref="ET10:ET13"/>
    <mergeCell ref="EU10:EU13"/>
    <mergeCell ref="DN10:DN13"/>
    <mergeCell ref="DO10:DO13"/>
    <mergeCell ref="DP10:DP13"/>
    <mergeCell ref="DQ10:DQ13"/>
    <mergeCell ref="DR10:DR13"/>
    <mergeCell ref="DS10:DS13"/>
    <mergeCell ref="DT10:DT13"/>
    <mergeCell ref="DU10:DU13"/>
    <mergeCell ref="DV10:DV13"/>
    <mergeCell ref="DW10:DW13"/>
    <mergeCell ref="DX10:DX13"/>
    <mergeCell ref="DY10:DY13"/>
    <mergeCell ref="DZ10:DZ13"/>
    <mergeCell ref="EA10:EA13"/>
    <mergeCell ref="EB10:EB13"/>
    <mergeCell ref="EC10:EC13"/>
    <mergeCell ref="ED10:ED13"/>
    <mergeCell ref="CW10:CW13"/>
    <mergeCell ref="CX10:CX13"/>
    <mergeCell ref="CY10:CY13"/>
    <mergeCell ref="CZ10:CZ13"/>
    <mergeCell ref="DA10:DA13"/>
    <mergeCell ref="DB10:DB13"/>
    <mergeCell ref="DC10:DC13"/>
    <mergeCell ref="DD10:DD13"/>
    <mergeCell ref="DE10:DE13"/>
    <mergeCell ref="DF10:DF13"/>
    <mergeCell ref="DG10:DG13"/>
    <mergeCell ref="DH10:DH13"/>
    <mergeCell ref="DI10:DI13"/>
    <mergeCell ref="DJ10:DJ13"/>
    <mergeCell ref="DK10:DK13"/>
    <mergeCell ref="DL10:DL13"/>
    <mergeCell ref="DM10:DM13"/>
    <mergeCell ref="CF10:CF13"/>
    <mergeCell ref="CG10:CG13"/>
    <mergeCell ref="CH10:CH13"/>
    <mergeCell ref="CI10:CI13"/>
    <mergeCell ref="CJ10:CJ13"/>
    <mergeCell ref="CK10:CK13"/>
    <mergeCell ref="CL10:CL13"/>
    <mergeCell ref="CM10:CM13"/>
    <mergeCell ref="CN10:CN13"/>
    <mergeCell ref="CO10:CO13"/>
    <mergeCell ref="CP10:CP13"/>
    <mergeCell ref="CQ10:CQ13"/>
    <mergeCell ref="CR10:CR13"/>
    <mergeCell ref="CS10:CS13"/>
    <mergeCell ref="CT10:CT13"/>
    <mergeCell ref="CU10:CU13"/>
    <mergeCell ref="CV10:CV13"/>
    <mergeCell ref="BO10:BO13"/>
    <mergeCell ref="BP10:BP13"/>
    <mergeCell ref="BQ10:BQ13"/>
    <mergeCell ref="BR10:BR13"/>
    <mergeCell ref="BS10:BS13"/>
    <mergeCell ref="BT10:BT13"/>
    <mergeCell ref="BU10:BU13"/>
    <mergeCell ref="BV10:BV13"/>
    <mergeCell ref="BW10:BW13"/>
    <mergeCell ref="BX10:BX13"/>
    <mergeCell ref="BY10:BY13"/>
    <mergeCell ref="BZ10:BZ13"/>
    <mergeCell ref="CA10:CA13"/>
    <mergeCell ref="CB10:CB13"/>
    <mergeCell ref="CC10:CC13"/>
    <mergeCell ref="CD10:CD13"/>
    <mergeCell ref="CE10:CE13"/>
    <mergeCell ref="AX10:AX13"/>
    <mergeCell ref="AY10:AY13"/>
    <mergeCell ref="AZ10:AZ13"/>
    <mergeCell ref="BA10:BA13"/>
    <mergeCell ref="BB10:BB13"/>
    <mergeCell ref="BC10:BC13"/>
    <mergeCell ref="BD10:BD13"/>
    <mergeCell ref="BE10:BE13"/>
    <mergeCell ref="BF10:BF13"/>
    <mergeCell ref="BG10:BG13"/>
    <mergeCell ref="BH10:BH13"/>
    <mergeCell ref="BI10:BI13"/>
    <mergeCell ref="BJ10:BJ13"/>
    <mergeCell ref="BK10:BK13"/>
    <mergeCell ref="BL10:BL13"/>
    <mergeCell ref="BM10:BM13"/>
    <mergeCell ref="BN10:BN13"/>
    <mergeCell ref="WX10:WX13"/>
    <mergeCell ref="WY10:WY13"/>
    <mergeCell ref="WZ10:WZ13"/>
    <mergeCell ref="XA10:XA13"/>
    <mergeCell ref="XB10:XB13"/>
    <mergeCell ref="XC10:XC13"/>
    <mergeCell ref="XD10:XD13"/>
    <mergeCell ref="XE10:XE13"/>
    <mergeCell ref="XF10:XF13"/>
    <mergeCell ref="XG10:XG13"/>
    <mergeCell ref="XH10:XH13"/>
    <mergeCell ref="XI10:XI13"/>
    <mergeCell ref="XJ10:XJ13"/>
    <mergeCell ref="XK10:XK13"/>
    <mergeCell ref="XL10:XL13"/>
    <mergeCell ref="XM10:XM13"/>
    <mergeCell ref="XO10:XO13"/>
    <mergeCell ref="XN12:XN13"/>
    <mergeCell ref="XR10:XR13"/>
    <mergeCell ref="XS10:XS13"/>
    <mergeCell ref="XT10:XT13"/>
    <mergeCell ref="XU10:XU13"/>
    <mergeCell ref="XV10:XV13"/>
    <mergeCell ref="YD10:YD13"/>
    <mergeCell ref="YE10:YE13"/>
    <mergeCell ref="XW10:XW13"/>
    <mergeCell ref="XX10:XX13"/>
    <mergeCell ref="XY10:XY13"/>
    <mergeCell ref="XZ10:XZ13"/>
    <mergeCell ref="YA10:YA13"/>
    <mergeCell ref="YB10:YB13"/>
    <mergeCell ref="YC10:YC13"/>
    <mergeCell ref="VR10:VR13"/>
    <mergeCell ref="VS10:VS13"/>
    <mergeCell ref="VT10:VT13"/>
    <mergeCell ref="VU10:VU13"/>
    <mergeCell ref="VV10:VV13"/>
    <mergeCell ref="VW10:VW13"/>
    <mergeCell ref="VX10:VX13"/>
    <mergeCell ref="VY10:VY13"/>
    <mergeCell ref="VZ10:VZ13"/>
    <mergeCell ref="WA10:WA13"/>
    <mergeCell ref="WB10:WB13"/>
    <mergeCell ref="WC10:WC13"/>
    <mergeCell ref="WD10:WD13"/>
    <mergeCell ref="WE10:WE13"/>
    <mergeCell ref="WF10:WF13"/>
    <mergeCell ref="WG10:WG13"/>
    <mergeCell ref="WH10:WH11"/>
    <mergeCell ref="WI10:WI13"/>
    <mergeCell ref="VC10:VC13"/>
    <mergeCell ref="VD10:VD13"/>
    <mergeCell ref="VE10:VE13"/>
    <mergeCell ref="VF10:VF13"/>
    <mergeCell ref="VG10:VG13"/>
    <mergeCell ref="VH10:VH13"/>
    <mergeCell ref="VI10:VI13"/>
    <mergeCell ref="VK10:VK13"/>
    <mergeCell ref="VL10:VL13"/>
    <mergeCell ref="VM10:VM13"/>
    <mergeCell ref="VN10:VN13"/>
    <mergeCell ref="VO10:VO13"/>
    <mergeCell ref="VP10:VP13"/>
    <mergeCell ref="VQ10:VQ13"/>
    <mergeCell ref="VJ12:VJ13"/>
    <mergeCell ref="XP10:XP13"/>
    <mergeCell ref="XQ10:XQ13"/>
    <mergeCell ref="WJ10:WJ13"/>
    <mergeCell ref="WK10:WK13"/>
    <mergeCell ref="WL10:WL13"/>
    <mergeCell ref="WH12:WH13"/>
    <mergeCell ref="WM10:WM13"/>
    <mergeCell ref="WN10:WN13"/>
    <mergeCell ref="WO10:WO13"/>
    <mergeCell ref="WP10:WP13"/>
    <mergeCell ref="WQ10:WQ13"/>
    <mergeCell ref="WR10:WR13"/>
    <mergeCell ref="WS10:WS13"/>
    <mergeCell ref="WT10:WT13"/>
    <mergeCell ref="WU10:WU13"/>
    <mergeCell ref="WV10:WV13"/>
    <mergeCell ref="WW10:WW13"/>
    <mergeCell ref="UM10:UM13"/>
    <mergeCell ref="UN10:UN13"/>
    <mergeCell ref="UO10:UO13"/>
    <mergeCell ref="UP10:UP11"/>
    <mergeCell ref="UQ10:UQ13"/>
    <mergeCell ref="UR10:UR13"/>
    <mergeCell ref="US10:US13"/>
    <mergeCell ref="UT10:UT13"/>
    <mergeCell ref="UU10:UU13"/>
    <mergeCell ref="UP12:UP13"/>
    <mergeCell ref="UV10:UV13"/>
    <mergeCell ref="UW10:UW13"/>
    <mergeCell ref="UX10:UX13"/>
    <mergeCell ref="UY10:UY13"/>
    <mergeCell ref="UZ10:UZ13"/>
    <mergeCell ref="VA10:VA13"/>
    <mergeCell ref="VB10:VB13"/>
    <mergeCell ref="TV10:TV13"/>
    <mergeCell ref="TW10:TW13"/>
    <mergeCell ref="TX10:TX13"/>
    <mergeCell ref="TY10:TY13"/>
    <mergeCell ref="TZ10:TZ13"/>
    <mergeCell ref="UA10:UA13"/>
    <mergeCell ref="UB10:UB13"/>
    <mergeCell ref="UC10:UC13"/>
    <mergeCell ref="UD10:UD13"/>
    <mergeCell ref="UE10:UE13"/>
    <mergeCell ref="UF10:UF13"/>
    <mergeCell ref="UG10:UG13"/>
    <mergeCell ref="UH10:UH13"/>
    <mergeCell ref="UI10:UI13"/>
    <mergeCell ref="UJ10:UJ13"/>
    <mergeCell ref="UK10:UK13"/>
    <mergeCell ref="UL10:UL13"/>
    <mergeCell ref="TF10:TF13"/>
    <mergeCell ref="TG10:TG13"/>
    <mergeCell ref="TH10:TH13"/>
    <mergeCell ref="TI10:TI13"/>
    <mergeCell ref="TJ10:TJ13"/>
    <mergeCell ref="TK10:TK13"/>
    <mergeCell ref="TL10:TL13"/>
    <mergeCell ref="TM10:TM13"/>
    <mergeCell ref="TN10:TN11"/>
    <mergeCell ref="TO10:TO13"/>
    <mergeCell ref="TP10:TP13"/>
    <mergeCell ref="TQ10:TQ13"/>
    <mergeCell ref="TR10:TR13"/>
    <mergeCell ref="TS10:TS13"/>
    <mergeCell ref="TN12:TN13"/>
    <mergeCell ref="TT10:TT13"/>
    <mergeCell ref="TU10:TU13"/>
    <mergeCell ref="SP10:SP13"/>
    <mergeCell ref="SQ10:SQ13"/>
    <mergeCell ref="SN12:SN13"/>
    <mergeCell ref="SR10:SR13"/>
    <mergeCell ref="SS10:SS13"/>
    <mergeCell ref="ST10:ST13"/>
    <mergeCell ref="SU10:SU13"/>
    <mergeCell ref="SV10:SV13"/>
    <mergeCell ref="SW10:SW13"/>
    <mergeCell ref="SX10:SX13"/>
    <mergeCell ref="SY10:SY13"/>
    <mergeCell ref="SZ10:SZ13"/>
    <mergeCell ref="TA10:TA13"/>
    <mergeCell ref="TB10:TB13"/>
    <mergeCell ref="TC10:TC13"/>
    <mergeCell ref="TD10:TD13"/>
    <mergeCell ref="TE10:TE13"/>
    <mergeCell ref="RZ10:RZ13"/>
    <mergeCell ref="SA10:SA13"/>
    <mergeCell ref="SB10:SB13"/>
    <mergeCell ref="SC10:SC13"/>
    <mergeCell ref="SD10:SD11"/>
    <mergeCell ref="SE10:SE13"/>
    <mergeCell ref="SF10:SF13"/>
    <mergeCell ref="SG10:SG13"/>
    <mergeCell ref="SH10:SH13"/>
    <mergeCell ref="SI10:SI13"/>
    <mergeCell ref="SJ10:SJ13"/>
    <mergeCell ref="SD12:SD13"/>
    <mergeCell ref="SK10:SK13"/>
    <mergeCell ref="SL10:SL13"/>
    <mergeCell ref="SM10:SM13"/>
    <mergeCell ref="SN10:SN11"/>
    <mergeCell ref="SO10:SO13"/>
    <mergeCell ref="RI10:RI13"/>
    <mergeCell ref="RJ10:RJ13"/>
    <mergeCell ref="RK10:RK13"/>
    <mergeCell ref="RL10:RL13"/>
    <mergeCell ref="RM10:RM13"/>
    <mergeCell ref="RN10:RN13"/>
    <mergeCell ref="RO10:RO13"/>
    <mergeCell ref="RP10:RP13"/>
    <mergeCell ref="RQ10:RQ13"/>
    <mergeCell ref="RR10:RR13"/>
    <mergeCell ref="RS10:RS13"/>
    <mergeCell ref="RT10:RT13"/>
    <mergeCell ref="RU10:RU13"/>
    <mergeCell ref="RV10:RV13"/>
    <mergeCell ref="RW10:RW13"/>
    <mergeCell ref="RX10:RX13"/>
    <mergeCell ref="RY10:RY13"/>
    <mergeCell ref="QS10:QS13"/>
    <mergeCell ref="QT10:QT13"/>
    <mergeCell ref="QU10:QU13"/>
    <mergeCell ref="QV10:QV13"/>
    <mergeCell ref="QW10:QW13"/>
    <mergeCell ref="QX10:QX13"/>
    <mergeCell ref="QY10:QY13"/>
    <mergeCell ref="QZ10:QZ13"/>
    <mergeCell ref="RA10:RA13"/>
    <mergeCell ref="RB10:RB13"/>
    <mergeCell ref="RC10:RC13"/>
    <mergeCell ref="RD10:RD11"/>
    <mergeCell ref="RE10:RE13"/>
    <mergeCell ref="RF10:RF13"/>
    <mergeCell ref="RG10:RG13"/>
    <mergeCell ref="RH10:RH13"/>
    <mergeCell ref="RD12:RD13"/>
    <mergeCell ref="QB10:QB13"/>
    <mergeCell ref="QC10:QC13"/>
    <mergeCell ref="QD10:QD13"/>
    <mergeCell ref="QE10:QE13"/>
    <mergeCell ref="QF10:QF13"/>
    <mergeCell ref="QG10:QG13"/>
    <mergeCell ref="QH10:QH13"/>
    <mergeCell ref="QI10:QI13"/>
    <mergeCell ref="QJ10:QJ13"/>
    <mergeCell ref="QK10:QK13"/>
    <mergeCell ref="QL10:QL13"/>
    <mergeCell ref="QM10:QM13"/>
    <mergeCell ref="QN10:QN13"/>
    <mergeCell ref="QO10:QO13"/>
    <mergeCell ref="QP10:QP13"/>
    <mergeCell ref="QQ10:QQ13"/>
    <mergeCell ref="QR10:QR13"/>
    <mergeCell ref="PK10:PK13"/>
    <mergeCell ref="PL10:PL13"/>
    <mergeCell ref="PM10:PM13"/>
    <mergeCell ref="PN10:PN13"/>
    <mergeCell ref="PO10:PO13"/>
    <mergeCell ref="PP10:PP13"/>
    <mergeCell ref="PQ10:PQ13"/>
    <mergeCell ref="PR10:PR13"/>
    <mergeCell ref="PS10:PS13"/>
    <mergeCell ref="PT10:PT13"/>
    <mergeCell ref="PU10:PU13"/>
    <mergeCell ref="PV10:PV13"/>
    <mergeCell ref="PW10:PW13"/>
    <mergeCell ref="PX10:PX13"/>
    <mergeCell ref="PY10:PY13"/>
    <mergeCell ref="PZ10:PZ13"/>
    <mergeCell ref="QA10:QA13"/>
    <mergeCell ref="OT10:OT13"/>
    <mergeCell ref="OU10:OU13"/>
    <mergeCell ref="OV10:OV13"/>
    <mergeCell ref="OW10:OW13"/>
    <mergeCell ref="OX10:OX13"/>
    <mergeCell ref="OY10:OY13"/>
    <mergeCell ref="OZ10:OZ13"/>
    <mergeCell ref="PA10:PA13"/>
    <mergeCell ref="PB10:PB13"/>
    <mergeCell ref="PC10:PC13"/>
    <mergeCell ref="PD10:PD13"/>
    <mergeCell ref="PE10:PE13"/>
    <mergeCell ref="PF10:PF13"/>
    <mergeCell ref="PG10:PG13"/>
    <mergeCell ref="PH10:PH13"/>
    <mergeCell ref="PI10:PI13"/>
    <mergeCell ref="PJ10:PJ13"/>
    <mergeCell ref="OD10:OD13"/>
    <mergeCell ref="OE10:OE13"/>
    <mergeCell ref="OF10:OF13"/>
    <mergeCell ref="OG10:OG13"/>
    <mergeCell ref="OH10:OH13"/>
    <mergeCell ref="OI10:OI13"/>
    <mergeCell ref="OJ10:OJ11"/>
    <mergeCell ref="OK10:OK13"/>
    <mergeCell ref="OL10:OL13"/>
    <mergeCell ref="OM10:OM13"/>
    <mergeCell ref="ON10:ON13"/>
    <mergeCell ref="OO10:OO13"/>
    <mergeCell ref="OP10:OP13"/>
    <mergeCell ref="OJ12:OJ13"/>
    <mergeCell ref="OQ10:OQ13"/>
    <mergeCell ref="OR10:OR13"/>
    <mergeCell ref="OS10:OS13"/>
    <mergeCell ref="NN10:NN13"/>
    <mergeCell ref="NL12:NL13"/>
    <mergeCell ref="NO10:NO13"/>
    <mergeCell ref="NP10:NP13"/>
    <mergeCell ref="NQ10:NQ13"/>
    <mergeCell ref="NR10:NR13"/>
    <mergeCell ref="NS10:NS13"/>
    <mergeCell ref="NT10:NT13"/>
    <mergeCell ref="NU10:NU13"/>
    <mergeCell ref="NV10:NV13"/>
    <mergeCell ref="NW10:NW13"/>
    <mergeCell ref="NX10:NX13"/>
    <mergeCell ref="NY10:NY13"/>
    <mergeCell ref="NZ10:NZ13"/>
    <mergeCell ref="OA10:OA13"/>
    <mergeCell ref="OB10:OB13"/>
    <mergeCell ref="OC10:OC13"/>
    <mergeCell ref="MW10:MW13"/>
    <mergeCell ref="MX10:MX13"/>
    <mergeCell ref="MY10:MY13"/>
    <mergeCell ref="MZ10:MZ13"/>
    <mergeCell ref="NA10:NA13"/>
    <mergeCell ref="NB10:NB13"/>
    <mergeCell ref="NC10:NC13"/>
    <mergeCell ref="ND10:ND13"/>
    <mergeCell ref="NE10:NE13"/>
    <mergeCell ref="NF10:NF13"/>
    <mergeCell ref="NG10:NG13"/>
    <mergeCell ref="NH10:NH13"/>
    <mergeCell ref="NI10:NI13"/>
    <mergeCell ref="NJ10:NJ13"/>
    <mergeCell ref="NK10:NK13"/>
    <mergeCell ref="NL10:NL11"/>
    <mergeCell ref="NM10:NM13"/>
    <mergeCell ref="MF10:MF13"/>
    <mergeCell ref="MG10:MG13"/>
    <mergeCell ref="MH10:MH13"/>
    <mergeCell ref="MI10:MI13"/>
    <mergeCell ref="MJ10:MJ13"/>
    <mergeCell ref="MK10:MK13"/>
    <mergeCell ref="ML10:ML13"/>
    <mergeCell ref="MM10:MM13"/>
    <mergeCell ref="MN10:MN13"/>
    <mergeCell ref="MO10:MO13"/>
    <mergeCell ref="MP10:MP13"/>
    <mergeCell ref="MQ10:MQ13"/>
    <mergeCell ref="MR10:MR13"/>
    <mergeCell ref="MS10:MS13"/>
    <mergeCell ref="MT10:MT13"/>
    <mergeCell ref="MU10:MU13"/>
    <mergeCell ref="MV10:MV13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8:A9"/>
    <mergeCell ref="B8:B9"/>
    <mergeCell ref="C8:C9"/>
    <mergeCell ref="D8:D9"/>
    <mergeCell ref="E8:E9"/>
    <mergeCell ref="F8:F9"/>
    <mergeCell ref="G8:G9"/>
    <mergeCell ref="MF8:MF9"/>
    <mergeCell ref="MG8:MG9"/>
    <mergeCell ref="MH8:MH9"/>
    <mergeCell ref="MI8:MI9"/>
    <mergeCell ref="MJ8:MJ9"/>
    <mergeCell ref="H8:H9"/>
    <mergeCell ref="I8:I9"/>
    <mergeCell ref="J8:J9"/>
    <mergeCell ref="K8:K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LO8:LO9"/>
    <mergeCell ref="LP8:LP9"/>
    <mergeCell ref="LQ8:LQ9"/>
    <mergeCell ref="LR8:LR9"/>
    <mergeCell ref="LS8:LS9"/>
    <mergeCell ref="LT8:LT9"/>
    <mergeCell ref="LU8:LU9"/>
    <mergeCell ref="LV8:LV9"/>
    <mergeCell ref="LW8:LW9"/>
    <mergeCell ref="LX8:LX9"/>
    <mergeCell ref="LY8:LY9"/>
    <mergeCell ref="LZ8:LZ9"/>
    <mergeCell ref="MA8:MA9"/>
    <mergeCell ref="MB8:MB9"/>
    <mergeCell ref="MC8:MC9"/>
    <mergeCell ref="MD8:MD9"/>
    <mergeCell ref="ME8:ME9"/>
    <mergeCell ref="KX8:KX9"/>
    <mergeCell ref="KY8:KY9"/>
    <mergeCell ref="KZ8:KZ9"/>
    <mergeCell ref="LA8:LA9"/>
    <mergeCell ref="LB8:LB9"/>
    <mergeCell ref="LC8:LC9"/>
    <mergeCell ref="LD8:LD9"/>
    <mergeCell ref="LE8:LE9"/>
    <mergeCell ref="LF8:LF9"/>
    <mergeCell ref="LG8:LG9"/>
    <mergeCell ref="LH8:LH9"/>
    <mergeCell ref="LI8:LI9"/>
    <mergeCell ref="LJ8:LJ9"/>
    <mergeCell ref="LK8:LK9"/>
    <mergeCell ref="LL8:LL9"/>
    <mergeCell ref="LM8:LM9"/>
    <mergeCell ref="LN8:LN9"/>
    <mergeCell ref="KF8:KF9"/>
    <mergeCell ref="KG8:KG9"/>
    <mergeCell ref="KH8:KH9"/>
    <mergeCell ref="KI8:KI9"/>
    <mergeCell ref="KJ8:KJ9"/>
    <mergeCell ref="KK8:KK9"/>
    <mergeCell ref="KL8:KL9"/>
    <mergeCell ref="KM8:KM9"/>
    <mergeCell ref="KN8:KN9"/>
    <mergeCell ref="KO8:KO9"/>
    <mergeCell ref="KQ8:KQ9"/>
    <mergeCell ref="KR8:KR9"/>
    <mergeCell ref="KS8:KS9"/>
    <mergeCell ref="KT8:KT9"/>
    <mergeCell ref="KU8:KU9"/>
    <mergeCell ref="KV8:KV9"/>
    <mergeCell ref="KW8:KW9"/>
    <mergeCell ref="JN8:JN9"/>
    <mergeCell ref="JO8:JO9"/>
    <mergeCell ref="JP8:JP9"/>
    <mergeCell ref="JQ8:JQ9"/>
    <mergeCell ref="JR8:JR9"/>
    <mergeCell ref="JS8:JS9"/>
    <mergeCell ref="JT8:JT9"/>
    <mergeCell ref="JU8:JU9"/>
    <mergeCell ref="JV8:JV9"/>
    <mergeCell ref="JW8:JW9"/>
    <mergeCell ref="JX8:JX9"/>
    <mergeCell ref="JY8:JY9"/>
    <mergeCell ref="JZ8:JZ9"/>
    <mergeCell ref="KA8:KA9"/>
    <mergeCell ref="KB8:KB9"/>
    <mergeCell ref="KC8:KC9"/>
    <mergeCell ref="KE8:KE9"/>
    <mergeCell ref="IW8:IW9"/>
    <mergeCell ref="IX8:IX9"/>
    <mergeCell ref="IY8:IY9"/>
    <mergeCell ref="IZ8:IZ9"/>
    <mergeCell ref="JA8:JA9"/>
    <mergeCell ref="JB8:JB9"/>
    <mergeCell ref="JC8:JC9"/>
    <mergeCell ref="JD8:JD9"/>
    <mergeCell ref="JE8:JE9"/>
    <mergeCell ref="JF8:JF9"/>
    <mergeCell ref="JG8:JG9"/>
    <mergeCell ref="JH8:JH9"/>
    <mergeCell ref="JI8:JI9"/>
    <mergeCell ref="JJ8:JJ9"/>
    <mergeCell ref="JK8:JK9"/>
    <mergeCell ref="JL8:JL9"/>
    <mergeCell ref="JM8:JM9"/>
    <mergeCell ref="IF8:IF9"/>
    <mergeCell ref="IG8:IG9"/>
    <mergeCell ref="IH8:IH9"/>
    <mergeCell ref="II8:II9"/>
    <mergeCell ref="IJ8:IJ9"/>
    <mergeCell ref="IK8:IK9"/>
    <mergeCell ref="IL8:IL9"/>
    <mergeCell ref="IM8:IM9"/>
    <mergeCell ref="IN8:IN9"/>
    <mergeCell ref="IO8:IO9"/>
    <mergeCell ref="IP8:IP9"/>
    <mergeCell ref="IQ8:IQ9"/>
    <mergeCell ref="IR8:IR9"/>
    <mergeCell ref="IS8:IS9"/>
    <mergeCell ref="IT8:IT9"/>
    <mergeCell ref="IU8:IU9"/>
    <mergeCell ref="IV8:IV9"/>
    <mergeCell ref="HO8:HO9"/>
    <mergeCell ref="HP8:HP9"/>
    <mergeCell ref="HQ8:HQ9"/>
    <mergeCell ref="HR8:HR9"/>
    <mergeCell ref="HS8:HS9"/>
    <mergeCell ref="HT8:HT9"/>
    <mergeCell ref="HU8:HU9"/>
    <mergeCell ref="HV8:HV9"/>
    <mergeCell ref="HW8:HW9"/>
    <mergeCell ref="HX8:HX9"/>
    <mergeCell ref="HY8:HY9"/>
    <mergeCell ref="HZ8:HZ9"/>
    <mergeCell ref="IA8:IA9"/>
    <mergeCell ref="IB8:IB9"/>
    <mergeCell ref="IC8:IC9"/>
    <mergeCell ref="ID8:ID9"/>
    <mergeCell ref="IE8:IE9"/>
    <mergeCell ref="GX8:GX9"/>
    <mergeCell ref="GY8:GY9"/>
    <mergeCell ref="GZ8:GZ9"/>
    <mergeCell ref="HA8:HA9"/>
    <mergeCell ref="HB8:HB9"/>
    <mergeCell ref="HC8:HC9"/>
    <mergeCell ref="HD8:HD9"/>
    <mergeCell ref="HE8:HE9"/>
    <mergeCell ref="HF8:HF9"/>
    <mergeCell ref="HG8:HG9"/>
    <mergeCell ref="HH8:HH9"/>
    <mergeCell ref="HI8:HI9"/>
    <mergeCell ref="HJ8:HJ9"/>
    <mergeCell ref="HK8:HK9"/>
    <mergeCell ref="HL8:HL9"/>
    <mergeCell ref="HM8:HM9"/>
    <mergeCell ref="HN8:HN9"/>
    <mergeCell ref="GG8:GG9"/>
    <mergeCell ref="GH8:GH9"/>
    <mergeCell ref="GI8:GI9"/>
    <mergeCell ref="GJ8:GJ9"/>
    <mergeCell ref="GK8:GK9"/>
    <mergeCell ref="GL8:GL9"/>
    <mergeCell ref="GM8:GM9"/>
    <mergeCell ref="GN8:GN9"/>
    <mergeCell ref="GO8:GO9"/>
    <mergeCell ref="GP8:GP9"/>
    <mergeCell ref="GQ8:GQ9"/>
    <mergeCell ref="GR8:GR9"/>
    <mergeCell ref="GS8:GS9"/>
    <mergeCell ref="GT8:GT9"/>
    <mergeCell ref="GU8:GU9"/>
    <mergeCell ref="GV8:GV9"/>
    <mergeCell ref="GW8:GW9"/>
    <mergeCell ref="FP8:FP9"/>
    <mergeCell ref="FQ8:FQ9"/>
    <mergeCell ref="FR8:FR9"/>
    <mergeCell ref="FS8:FS9"/>
    <mergeCell ref="FT8:FT9"/>
    <mergeCell ref="FU8:FU9"/>
    <mergeCell ref="FV8:FV9"/>
    <mergeCell ref="FW8:FW9"/>
    <mergeCell ref="FX8:FX9"/>
    <mergeCell ref="FY8:FY9"/>
    <mergeCell ref="FZ8:FZ9"/>
    <mergeCell ref="GA8:GA9"/>
    <mergeCell ref="GB8:GB9"/>
    <mergeCell ref="GC8:GC9"/>
    <mergeCell ref="GD8:GD9"/>
    <mergeCell ref="GE8:GE9"/>
    <mergeCell ref="GF8:GF9"/>
    <mergeCell ref="EX8:EX9"/>
    <mergeCell ref="EY8:EY9"/>
    <mergeCell ref="EZ8:EZ9"/>
    <mergeCell ref="FA8:FA9"/>
    <mergeCell ref="FB8:FB9"/>
    <mergeCell ref="FC8:FC9"/>
    <mergeCell ref="FD8:FD9"/>
    <mergeCell ref="FE8:FE9"/>
    <mergeCell ref="FF8:FF9"/>
    <mergeCell ref="FG8:FG9"/>
    <mergeCell ref="FH8:FH9"/>
    <mergeCell ref="FI8:FI9"/>
    <mergeCell ref="FK8:FK9"/>
    <mergeCell ref="FL8:FL9"/>
    <mergeCell ref="FM8:FM9"/>
    <mergeCell ref="FN8:FN9"/>
    <mergeCell ref="FO8:FO9"/>
    <mergeCell ref="EG8:EG9"/>
    <mergeCell ref="EH8:EH9"/>
    <mergeCell ref="EI8:EI9"/>
    <mergeCell ref="EJ8:EJ9"/>
    <mergeCell ref="EK8:EK9"/>
    <mergeCell ref="EL8:EL9"/>
    <mergeCell ref="EM8:EM9"/>
    <mergeCell ref="EN8:EN9"/>
    <mergeCell ref="EO8:EO9"/>
    <mergeCell ref="EP8:EP9"/>
    <mergeCell ref="EQ8:EQ9"/>
    <mergeCell ref="ER8:ER9"/>
    <mergeCell ref="ES8:ES9"/>
    <mergeCell ref="ET8:ET9"/>
    <mergeCell ref="EU8:EU9"/>
    <mergeCell ref="EV8:EV9"/>
    <mergeCell ref="EW8:EW9"/>
    <mergeCell ref="DP8:DP9"/>
    <mergeCell ref="DQ8:DQ9"/>
    <mergeCell ref="DR8:DR9"/>
    <mergeCell ref="DS8:DS9"/>
    <mergeCell ref="DT8:DT9"/>
    <mergeCell ref="DU8:DU9"/>
    <mergeCell ref="DV8:DV9"/>
    <mergeCell ref="DW8:DW9"/>
    <mergeCell ref="DX8:DX9"/>
    <mergeCell ref="DY8:DY9"/>
    <mergeCell ref="DZ8:DZ9"/>
    <mergeCell ref="EA8:EA9"/>
    <mergeCell ref="EB8:EB9"/>
    <mergeCell ref="EC8:EC9"/>
    <mergeCell ref="ED8:ED9"/>
    <mergeCell ref="EE8:EE9"/>
    <mergeCell ref="EF8:EF9"/>
    <mergeCell ref="CX8:CX9"/>
    <mergeCell ref="CY8:CY9"/>
    <mergeCell ref="CZ8:CZ9"/>
    <mergeCell ref="DA8:DA9"/>
    <mergeCell ref="DB8:DB9"/>
    <mergeCell ref="DC8:DC9"/>
    <mergeCell ref="DD8:DD9"/>
    <mergeCell ref="DE8:DE9"/>
    <mergeCell ref="DF8:DF9"/>
    <mergeCell ref="DG8:DG9"/>
    <mergeCell ref="DH8:DH9"/>
    <mergeCell ref="DI8:DI9"/>
    <mergeCell ref="DJ8:DJ9"/>
    <mergeCell ref="DK8:DK9"/>
    <mergeCell ref="DM8:DM9"/>
    <mergeCell ref="DN8:DN9"/>
    <mergeCell ref="DO8:DO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VI8:VI9"/>
    <mergeCell ref="VJ8:VJ9"/>
    <mergeCell ref="VK8:VK9"/>
    <mergeCell ref="VL8:VL9"/>
    <mergeCell ref="VM8:VM9"/>
    <mergeCell ref="VN8:VN9"/>
    <mergeCell ref="VO8:VO9"/>
    <mergeCell ref="VP8:VP9"/>
    <mergeCell ref="VQ8:VQ9"/>
    <mergeCell ref="VR8:VR9"/>
    <mergeCell ref="VS8:VS9"/>
    <mergeCell ref="VT8:VT9"/>
    <mergeCell ref="VU8:VU9"/>
    <mergeCell ref="VV8:VV9"/>
    <mergeCell ref="VW8:VW9"/>
    <mergeCell ref="VX8:VX9"/>
    <mergeCell ref="VY8:VY9"/>
    <mergeCell ref="XX8:XX9"/>
    <mergeCell ref="XY8:XY9"/>
    <mergeCell ref="XZ8:XZ9"/>
    <mergeCell ref="YA8:YA9"/>
    <mergeCell ref="YB8:YB9"/>
    <mergeCell ref="YC8:YC9"/>
    <mergeCell ref="YD8:YD9"/>
    <mergeCell ref="YE8:YE9"/>
    <mergeCell ref="XQ8:XQ9"/>
    <mergeCell ref="XR8:XR9"/>
    <mergeCell ref="XS8:XS9"/>
    <mergeCell ref="XT8:XT9"/>
    <mergeCell ref="XU8:XU9"/>
    <mergeCell ref="XV8:XV9"/>
    <mergeCell ref="XW8:XW9"/>
    <mergeCell ref="UC8:UC9"/>
    <mergeCell ref="UD8:UD9"/>
    <mergeCell ref="UE8:UE9"/>
    <mergeCell ref="UF8:UF9"/>
    <mergeCell ref="UG8:UG9"/>
    <mergeCell ref="UH8:UH9"/>
    <mergeCell ref="UI8:UI9"/>
    <mergeCell ref="UJ8:UJ9"/>
    <mergeCell ref="UK8:UK9"/>
    <mergeCell ref="UL8:UL9"/>
    <mergeCell ref="UM8:UM9"/>
    <mergeCell ref="UN8:UN9"/>
    <mergeCell ref="UO8:UO9"/>
    <mergeCell ref="UP8:UP9"/>
    <mergeCell ref="UQ8:UQ9"/>
    <mergeCell ref="UR8:UR9"/>
    <mergeCell ref="US8:US9"/>
    <mergeCell ref="WZ8:WZ9"/>
    <mergeCell ref="XA8:XA9"/>
    <mergeCell ref="XB8:XB9"/>
    <mergeCell ref="XC8:XC9"/>
    <mergeCell ref="XD8:XD9"/>
    <mergeCell ref="XE8:XE9"/>
    <mergeCell ref="XF8:XF9"/>
    <mergeCell ref="XG8:XG9"/>
    <mergeCell ref="XH8:XH9"/>
    <mergeCell ref="XI8:XI9"/>
    <mergeCell ref="XJ8:XJ9"/>
    <mergeCell ref="XK8:XK9"/>
    <mergeCell ref="XL8:XL9"/>
    <mergeCell ref="XM8:XM9"/>
    <mergeCell ref="XN8:XN9"/>
    <mergeCell ref="XO8:XO9"/>
    <mergeCell ref="XP8:XP9"/>
    <mergeCell ref="WH8:WH9"/>
    <mergeCell ref="WI8:WI9"/>
    <mergeCell ref="WJ8:WJ9"/>
    <mergeCell ref="WK8:WK9"/>
    <mergeCell ref="WL8:WL9"/>
    <mergeCell ref="WM8:WM9"/>
    <mergeCell ref="WN8:WN9"/>
    <mergeCell ref="WO8:WO9"/>
    <mergeCell ref="WQ8:WQ9"/>
    <mergeCell ref="WR8:WR9"/>
    <mergeCell ref="WS8:WS9"/>
    <mergeCell ref="WT8:WT9"/>
    <mergeCell ref="WU8:WU9"/>
    <mergeCell ref="WV8:WV9"/>
    <mergeCell ref="WW8:WW9"/>
    <mergeCell ref="WX8:WX9"/>
    <mergeCell ref="WY8:WY9"/>
    <mergeCell ref="TT8:TT9"/>
    <mergeCell ref="TU8:TU9"/>
    <mergeCell ref="TV8:TV9"/>
    <mergeCell ref="TW8:TW9"/>
    <mergeCell ref="TX8:TX9"/>
    <mergeCell ref="TY8:TY9"/>
    <mergeCell ref="TZ8:TZ9"/>
    <mergeCell ref="UA8:UA9"/>
    <mergeCell ref="UB8:UB9"/>
    <mergeCell ref="VZ8:VZ9"/>
    <mergeCell ref="WA8:WA9"/>
    <mergeCell ref="WB8:WB9"/>
    <mergeCell ref="WC8:WC9"/>
    <mergeCell ref="WD8:WD9"/>
    <mergeCell ref="WE8:WE9"/>
    <mergeCell ref="WF8:WF9"/>
    <mergeCell ref="WG8:WG9"/>
    <mergeCell ref="UT8:UT9"/>
    <mergeCell ref="UU8:UU9"/>
    <mergeCell ref="UV8:UV9"/>
    <mergeCell ref="UW8:UW9"/>
    <mergeCell ref="UX8:UX9"/>
    <mergeCell ref="UY8:UY9"/>
    <mergeCell ref="UZ8:UZ9"/>
    <mergeCell ref="VA8:VA9"/>
    <mergeCell ref="VB8:VB9"/>
    <mergeCell ref="VC8:VC9"/>
    <mergeCell ref="VD8:VD9"/>
    <mergeCell ref="VE8:VE9"/>
    <mergeCell ref="VF8:VF9"/>
    <mergeCell ref="VG8:VG9"/>
    <mergeCell ref="VH8:VH9"/>
    <mergeCell ref="TB8:TB9"/>
    <mergeCell ref="TC8:TC9"/>
    <mergeCell ref="TD8:TD9"/>
    <mergeCell ref="TE8:TE9"/>
    <mergeCell ref="TF8:TF9"/>
    <mergeCell ref="TG8:TG9"/>
    <mergeCell ref="TH8:TH9"/>
    <mergeCell ref="TI8:TI9"/>
    <mergeCell ref="TJ8:TJ9"/>
    <mergeCell ref="TK8:TK9"/>
    <mergeCell ref="TL8:TL9"/>
    <mergeCell ref="TM8:TM9"/>
    <mergeCell ref="TN8:TN9"/>
    <mergeCell ref="TO8:TO9"/>
    <mergeCell ref="TP8:TP9"/>
    <mergeCell ref="TQ8:TQ9"/>
    <mergeCell ref="TS8:TS9"/>
    <mergeCell ref="SK8:SK9"/>
    <mergeCell ref="SL8:SL9"/>
    <mergeCell ref="SM8:SM9"/>
    <mergeCell ref="SN8:SN9"/>
    <mergeCell ref="SO8:SO9"/>
    <mergeCell ref="SP8:SP9"/>
    <mergeCell ref="SQ8:SQ9"/>
    <mergeCell ref="SR8:SR9"/>
    <mergeCell ref="SS8:SS9"/>
    <mergeCell ref="ST8:ST9"/>
    <mergeCell ref="SU8:SU9"/>
    <mergeCell ref="SV8:SV9"/>
    <mergeCell ref="SW8:SW9"/>
    <mergeCell ref="SX8:SX9"/>
    <mergeCell ref="SY8:SY9"/>
    <mergeCell ref="SZ8:SZ9"/>
    <mergeCell ref="TA8:TA9"/>
    <mergeCell ref="RS8:RS9"/>
    <mergeCell ref="RU8:RU9"/>
    <mergeCell ref="RV8:RV9"/>
    <mergeCell ref="RW8:RW9"/>
    <mergeCell ref="RX8:RX9"/>
    <mergeCell ref="RY8:RY9"/>
    <mergeCell ref="RZ8:RZ9"/>
    <mergeCell ref="SA8:SA9"/>
    <mergeCell ref="SB8:SB9"/>
    <mergeCell ref="SC8:SC9"/>
    <mergeCell ref="SD8:SD9"/>
    <mergeCell ref="SE8:SE9"/>
    <mergeCell ref="SF8:SF9"/>
    <mergeCell ref="SG8:SG9"/>
    <mergeCell ref="SH8:SH9"/>
    <mergeCell ref="SI8:SI9"/>
    <mergeCell ref="SJ8:SJ9"/>
    <mergeCell ref="RB8:RB9"/>
    <mergeCell ref="RC8:RC9"/>
    <mergeCell ref="RD8:RD9"/>
    <mergeCell ref="RE8:RE9"/>
    <mergeCell ref="RF8:RF9"/>
    <mergeCell ref="RG8:RG9"/>
    <mergeCell ref="RH8:RH9"/>
    <mergeCell ref="RI8:RI9"/>
    <mergeCell ref="RJ8:RJ9"/>
    <mergeCell ref="RK8:RK9"/>
    <mergeCell ref="RL8:RL9"/>
    <mergeCell ref="RM8:RM9"/>
    <mergeCell ref="RN8:RN9"/>
    <mergeCell ref="RO8:RO9"/>
    <mergeCell ref="RP8:RP9"/>
    <mergeCell ref="RQ8:RQ9"/>
    <mergeCell ref="RR8:RR9"/>
    <mergeCell ref="QJ8:QJ9"/>
    <mergeCell ref="QK8:QK9"/>
    <mergeCell ref="QL8:QL9"/>
    <mergeCell ref="QM8:QM9"/>
    <mergeCell ref="QN8:QN9"/>
    <mergeCell ref="QO8:QO9"/>
    <mergeCell ref="QP8:QP9"/>
    <mergeCell ref="QQ8:QQ9"/>
    <mergeCell ref="QR8:QR9"/>
    <mergeCell ref="QS8:QS9"/>
    <mergeCell ref="QU8:QU9"/>
    <mergeCell ref="QV8:QV9"/>
    <mergeCell ref="QW8:QW9"/>
    <mergeCell ref="QX8:QX9"/>
    <mergeCell ref="QY8:QY9"/>
    <mergeCell ref="QZ8:QZ9"/>
    <mergeCell ref="RA8:RA9"/>
    <mergeCell ref="PS8:PS9"/>
    <mergeCell ref="PT8:PT9"/>
    <mergeCell ref="PU8:PU9"/>
    <mergeCell ref="PV8:PV9"/>
    <mergeCell ref="PW8:PW9"/>
    <mergeCell ref="PX8:PX9"/>
    <mergeCell ref="PY8:PY9"/>
    <mergeCell ref="PZ8:PZ9"/>
    <mergeCell ref="QA8:QA9"/>
    <mergeCell ref="QB8:QB9"/>
    <mergeCell ref="QC8:QC9"/>
    <mergeCell ref="QD8:QD9"/>
    <mergeCell ref="QE8:QE9"/>
    <mergeCell ref="QF8:QF9"/>
    <mergeCell ref="QG8:QG9"/>
    <mergeCell ref="QH8:QH9"/>
    <mergeCell ref="QI8:QI9"/>
    <mergeCell ref="PB8:PB9"/>
    <mergeCell ref="PC8:PC9"/>
    <mergeCell ref="PD8:PD9"/>
    <mergeCell ref="PE8:PE9"/>
    <mergeCell ref="PF8:PF9"/>
    <mergeCell ref="PG8:PG9"/>
    <mergeCell ref="PH8:PH9"/>
    <mergeCell ref="PI8:PI9"/>
    <mergeCell ref="PJ8:PJ9"/>
    <mergeCell ref="PK8:PK9"/>
    <mergeCell ref="PL8:PL9"/>
    <mergeCell ref="PM8:PM9"/>
    <mergeCell ref="PN8:PN9"/>
    <mergeCell ref="PO8:PO9"/>
    <mergeCell ref="PP8:PP9"/>
    <mergeCell ref="PQ8:PQ9"/>
    <mergeCell ref="PR8:PR9"/>
    <mergeCell ref="OK8:OK9"/>
    <mergeCell ref="OL8:OL9"/>
    <mergeCell ref="OM8:OM9"/>
    <mergeCell ref="ON8:ON9"/>
    <mergeCell ref="OO8:OO9"/>
    <mergeCell ref="OP8:OP9"/>
    <mergeCell ref="OQ8:OQ9"/>
    <mergeCell ref="OR8:OR9"/>
    <mergeCell ref="OS8:OS9"/>
    <mergeCell ref="OT8:OT9"/>
    <mergeCell ref="OU8:OU9"/>
    <mergeCell ref="OV8:OV9"/>
    <mergeCell ref="OW8:OW9"/>
    <mergeCell ref="OX8:OX9"/>
    <mergeCell ref="OY8:OY9"/>
    <mergeCell ref="OZ8:OZ9"/>
    <mergeCell ref="PA8:PA9"/>
    <mergeCell ref="NT8:NT9"/>
    <mergeCell ref="NU8:NU9"/>
    <mergeCell ref="NV8:NV9"/>
    <mergeCell ref="NW8:NW9"/>
    <mergeCell ref="NX8:NX9"/>
    <mergeCell ref="NY8:NY9"/>
    <mergeCell ref="NZ8:NZ9"/>
    <mergeCell ref="OA8:OA9"/>
    <mergeCell ref="OB8:OB9"/>
    <mergeCell ref="OC8:OC9"/>
    <mergeCell ref="OD8:OD9"/>
    <mergeCell ref="OE8:OE9"/>
    <mergeCell ref="OF8:OF9"/>
    <mergeCell ref="OG8:OG9"/>
    <mergeCell ref="OH8:OH9"/>
    <mergeCell ref="OI8:OI9"/>
    <mergeCell ref="OJ8:OJ9"/>
    <mergeCell ref="NC8:NC9"/>
    <mergeCell ref="ND8:ND9"/>
    <mergeCell ref="NE8:NE9"/>
    <mergeCell ref="NF8:NF9"/>
    <mergeCell ref="NG8:NG9"/>
    <mergeCell ref="NH8:NH9"/>
    <mergeCell ref="NI8:NI9"/>
    <mergeCell ref="NJ8:NJ9"/>
    <mergeCell ref="NK8:NK9"/>
    <mergeCell ref="NL8:NL9"/>
    <mergeCell ref="NM8:NM9"/>
    <mergeCell ref="NN8:NN9"/>
    <mergeCell ref="NO8:NO9"/>
    <mergeCell ref="NP8:NP9"/>
    <mergeCell ref="NQ8:NQ9"/>
    <mergeCell ref="NR8:NR9"/>
    <mergeCell ref="NS8:NS9"/>
    <mergeCell ref="MK8:MK9"/>
    <mergeCell ref="ML8:ML9"/>
    <mergeCell ref="MM8:MM9"/>
    <mergeCell ref="MN8:MN9"/>
    <mergeCell ref="MO8:MO9"/>
    <mergeCell ref="MP8:MP9"/>
    <mergeCell ref="MQ8:MQ9"/>
    <mergeCell ref="MR8:MR9"/>
    <mergeCell ref="MS8:MS9"/>
    <mergeCell ref="MU8:MU9"/>
    <mergeCell ref="MV8:MV9"/>
    <mergeCell ref="MW8:MW9"/>
    <mergeCell ref="MX8:MX9"/>
    <mergeCell ref="MY8:MY9"/>
    <mergeCell ref="MZ8:MZ9"/>
    <mergeCell ref="NA8:NA9"/>
    <mergeCell ref="NB8:NB9"/>
    <mergeCell ref="AO5:AO7"/>
    <mergeCell ref="AP5:AP7"/>
    <mergeCell ref="AQ5:AQ7"/>
    <mergeCell ref="AR5:AR7"/>
    <mergeCell ref="AS5:AS7"/>
    <mergeCell ref="AT5:AT7"/>
    <mergeCell ref="AU5:AU7"/>
    <mergeCell ref="AW5:AW7"/>
    <mergeCell ref="AX5:AX7"/>
    <mergeCell ref="AV6:AV7"/>
    <mergeCell ref="A5:A7"/>
    <mergeCell ref="B5:B7"/>
    <mergeCell ref="C5:C7"/>
    <mergeCell ref="D5:D7"/>
    <mergeCell ref="E5:E7"/>
    <mergeCell ref="F5:F7"/>
    <mergeCell ref="G5:G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LW5:LW7"/>
    <mergeCell ref="LX5:LX7"/>
    <mergeCell ref="LY5:LY7"/>
    <mergeCell ref="LZ5:LZ7"/>
    <mergeCell ref="MA5:MA7"/>
    <mergeCell ref="MB5:MB7"/>
    <mergeCell ref="MC5:MC7"/>
    <mergeCell ref="MD5:MD7"/>
    <mergeCell ref="ME5:ME7"/>
    <mergeCell ref="MF5:MF7"/>
    <mergeCell ref="MG5:MG7"/>
    <mergeCell ref="MH5:MH7"/>
    <mergeCell ref="MI5:MI7"/>
    <mergeCell ref="MJ5:MJ7"/>
    <mergeCell ref="MK5:MK7"/>
    <mergeCell ref="ML5:ML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LF5:LF7"/>
    <mergeCell ref="LG5:LG7"/>
    <mergeCell ref="LH5:LH7"/>
    <mergeCell ref="LI5:LI7"/>
    <mergeCell ref="LJ5:LJ7"/>
    <mergeCell ref="LK5:LK7"/>
    <mergeCell ref="LL5:LL7"/>
    <mergeCell ref="LM5:LM7"/>
    <mergeCell ref="LN5:LN7"/>
    <mergeCell ref="LO5:LO7"/>
    <mergeCell ref="LP5:LP7"/>
    <mergeCell ref="LQ5:LQ7"/>
    <mergeCell ref="LR5:LR7"/>
    <mergeCell ref="LS5:LS7"/>
    <mergeCell ref="LT5:LT7"/>
    <mergeCell ref="LU5:LU7"/>
    <mergeCell ref="LV5:LV7"/>
    <mergeCell ref="KO5:KO7"/>
    <mergeCell ref="KP5:KP7"/>
    <mergeCell ref="KQ5:KQ7"/>
    <mergeCell ref="KR5:KR7"/>
    <mergeCell ref="KS5:KS7"/>
    <mergeCell ref="KT5:KT7"/>
    <mergeCell ref="KU5:KU7"/>
    <mergeCell ref="KV5:KV7"/>
    <mergeCell ref="KW5:KW7"/>
    <mergeCell ref="KX5:KX7"/>
    <mergeCell ref="KY5:KY7"/>
    <mergeCell ref="KZ5:KZ7"/>
    <mergeCell ref="LA5:LA7"/>
    <mergeCell ref="LB5:LB7"/>
    <mergeCell ref="LC5:LC7"/>
    <mergeCell ref="LD5:LD7"/>
    <mergeCell ref="LE5:LE7"/>
    <mergeCell ref="JY5:JY7"/>
    <mergeCell ref="JZ5:JZ7"/>
    <mergeCell ref="KA5:KA7"/>
    <mergeCell ref="JX6:JX7"/>
    <mergeCell ref="KB5:KB7"/>
    <mergeCell ref="KC5:KC7"/>
    <mergeCell ref="KD5:KD7"/>
    <mergeCell ref="KE5:KE7"/>
    <mergeCell ref="KF5:KF7"/>
    <mergeCell ref="KG5:KG7"/>
    <mergeCell ref="KH5:KH7"/>
    <mergeCell ref="KI5:KI7"/>
    <mergeCell ref="KJ5:KJ7"/>
    <mergeCell ref="KK5:KK7"/>
    <mergeCell ref="KL5:KL7"/>
    <mergeCell ref="KM5:KM7"/>
    <mergeCell ref="KN5:KN7"/>
    <mergeCell ref="JG5:JG7"/>
    <mergeCell ref="JH5:JH7"/>
    <mergeCell ref="JI5:JI7"/>
    <mergeCell ref="JJ5:JJ7"/>
    <mergeCell ref="JK5:JK7"/>
    <mergeCell ref="JL5:JL7"/>
    <mergeCell ref="JM5:JM7"/>
    <mergeCell ref="JN5:JN7"/>
    <mergeCell ref="JO5:JO7"/>
    <mergeCell ref="JP5:JP7"/>
    <mergeCell ref="JQ5:JQ7"/>
    <mergeCell ref="JR5:JR7"/>
    <mergeCell ref="JS5:JS7"/>
    <mergeCell ref="JT5:JT7"/>
    <mergeCell ref="JU5:JU7"/>
    <mergeCell ref="JV5:JV7"/>
    <mergeCell ref="JW5:JW7"/>
    <mergeCell ref="IP5:IP7"/>
    <mergeCell ref="IQ5:IQ7"/>
    <mergeCell ref="IR5:IR7"/>
    <mergeCell ref="IS5:IS7"/>
    <mergeCell ref="IT5:IT7"/>
    <mergeCell ref="IU5:IU7"/>
    <mergeCell ref="IV5:IV7"/>
    <mergeCell ref="IW5:IW7"/>
    <mergeCell ref="IX5:IX7"/>
    <mergeCell ref="IY5:IY7"/>
    <mergeCell ref="IZ5:IZ7"/>
    <mergeCell ref="JA5:JA7"/>
    <mergeCell ref="JB5:JB7"/>
    <mergeCell ref="JC5:JC7"/>
    <mergeCell ref="JD5:JD7"/>
    <mergeCell ref="JE5:JE7"/>
    <mergeCell ref="JF5:JF7"/>
    <mergeCell ref="HZ5:HZ7"/>
    <mergeCell ref="IA5:IA7"/>
    <mergeCell ref="IB5:IB7"/>
    <mergeCell ref="IC5:IC7"/>
    <mergeCell ref="HV6:HV7"/>
    <mergeCell ref="ID5:ID7"/>
    <mergeCell ref="IE5:IE7"/>
    <mergeCell ref="IF5:IF7"/>
    <mergeCell ref="IG5:IG7"/>
    <mergeCell ref="IH5:IH7"/>
    <mergeCell ref="II5:II7"/>
    <mergeCell ref="IJ5:IJ7"/>
    <mergeCell ref="IK5:IK7"/>
    <mergeCell ref="IL5:IL7"/>
    <mergeCell ref="IM5:IM7"/>
    <mergeCell ref="IN5:IN7"/>
    <mergeCell ref="IO5:IO7"/>
    <mergeCell ref="HH5:HH7"/>
    <mergeCell ref="HI5:HI7"/>
    <mergeCell ref="HJ5:HJ7"/>
    <mergeCell ref="HK5:HK7"/>
    <mergeCell ref="HL5:HL7"/>
    <mergeCell ref="HM5:HM7"/>
    <mergeCell ref="HN5:HN7"/>
    <mergeCell ref="HO5:HO7"/>
    <mergeCell ref="HP5:HP7"/>
    <mergeCell ref="HQ5:HQ7"/>
    <mergeCell ref="HR5:HR7"/>
    <mergeCell ref="HS5:HS7"/>
    <mergeCell ref="HT5:HT7"/>
    <mergeCell ref="HU5:HU7"/>
    <mergeCell ref="HW5:HW7"/>
    <mergeCell ref="HX5:HX7"/>
    <mergeCell ref="HY5:HY7"/>
    <mergeCell ref="GP5:GP7"/>
    <mergeCell ref="GQ5:GQ7"/>
    <mergeCell ref="GR5:GR7"/>
    <mergeCell ref="GS5:GS7"/>
    <mergeCell ref="GT5:GT7"/>
    <mergeCell ref="GU5:GU7"/>
    <mergeCell ref="GV5:GV7"/>
    <mergeCell ref="GW5:GW7"/>
    <mergeCell ref="GX5:GX7"/>
    <mergeCell ref="GY5:GY7"/>
    <mergeCell ref="GZ5:GZ7"/>
    <mergeCell ref="HA5:HA7"/>
    <mergeCell ref="HB5:HB7"/>
    <mergeCell ref="HC5:HC7"/>
    <mergeCell ref="HE5:HE7"/>
    <mergeCell ref="HF5:HF7"/>
    <mergeCell ref="HG5:HG7"/>
    <mergeCell ref="HD6:HD7"/>
    <mergeCell ref="FY5:FY7"/>
    <mergeCell ref="FZ5:FZ7"/>
    <mergeCell ref="GA5:GA7"/>
    <mergeCell ref="GB5:GB7"/>
    <mergeCell ref="GC5:GC7"/>
    <mergeCell ref="GD5:GD7"/>
    <mergeCell ref="GE5:GE7"/>
    <mergeCell ref="GF5:GF7"/>
    <mergeCell ref="GG5:GG7"/>
    <mergeCell ref="GH5:GH7"/>
    <mergeCell ref="GI5:GI7"/>
    <mergeCell ref="GJ5:GJ7"/>
    <mergeCell ref="GK5:GK7"/>
    <mergeCell ref="GL5:GL7"/>
    <mergeCell ref="GM5:GM7"/>
    <mergeCell ref="GN5:GN7"/>
    <mergeCell ref="GO5:GO7"/>
    <mergeCell ref="FH5:FH7"/>
    <mergeCell ref="FI5:FI7"/>
    <mergeCell ref="FK5:FK7"/>
    <mergeCell ref="FL5:FL7"/>
    <mergeCell ref="FM5:FM7"/>
    <mergeCell ref="FN5:FN7"/>
    <mergeCell ref="FO5:FO7"/>
    <mergeCell ref="FP5:FP7"/>
    <mergeCell ref="FJ6:FJ7"/>
    <mergeCell ref="FQ5:FQ7"/>
    <mergeCell ref="FR5:FR7"/>
    <mergeCell ref="FS5:FS7"/>
    <mergeCell ref="FT5:FT7"/>
    <mergeCell ref="FU5:FU7"/>
    <mergeCell ref="FV5:FV7"/>
    <mergeCell ref="FW5:FW7"/>
    <mergeCell ref="FX5:FX7"/>
    <mergeCell ref="EQ5:EQ7"/>
    <mergeCell ref="ER5:ER7"/>
    <mergeCell ref="ES5:ES7"/>
    <mergeCell ref="ET5:ET7"/>
    <mergeCell ref="EU5:EU7"/>
    <mergeCell ref="EV5:EV7"/>
    <mergeCell ref="EW5:EW7"/>
    <mergeCell ref="EX5:EX7"/>
    <mergeCell ref="EY5:EY7"/>
    <mergeCell ref="EZ5:EZ7"/>
    <mergeCell ref="FA5:FA7"/>
    <mergeCell ref="FB5:FB7"/>
    <mergeCell ref="FC5:FC7"/>
    <mergeCell ref="FD5:FD7"/>
    <mergeCell ref="FE5:FE7"/>
    <mergeCell ref="FF5:FF7"/>
    <mergeCell ref="FG5:FG7"/>
    <mergeCell ref="DZ5:DZ7"/>
    <mergeCell ref="EA5:EA7"/>
    <mergeCell ref="EB5:EB7"/>
    <mergeCell ref="EC5:EC7"/>
    <mergeCell ref="ED5:ED7"/>
    <mergeCell ref="EE5:EE7"/>
    <mergeCell ref="EF5:EF7"/>
    <mergeCell ref="EG5:EG7"/>
    <mergeCell ref="EH5:EH7"/>
    <mergeCell ref="EI5:EI7"/>
    <mergeCell ref="EJ5:EJ7"/>
    <mergeCell ref="EK5:EK7"/>
    <mergeCell ref="EL5:EL7"/>
    <mergeCell ref="EM5:EM7"/>
    <mergeCell ref="EN5:EN7"/>
    <mergeCell ref="EO5:EO7"/>
    <mergeCell ref="EP5:EP7"/>
    <mergeCell ref="DH5:DH7"/>
    <mergeCell ref="DI5:DI7"/>
    <mergeCell ref="DJ5:DJ7"/>
    <mergeCell ref="DK5:DK7"/>
    <mergeCell ref="DL5:DL7"/>
    <mergeCell ref="DM5:DM7"/>
    <mergeCell ref="DN5:DN7"/>
    <mergeCell ref="DO5:DO7"/>
    <mergeCell ref="DP5:DP7"/>
    <mergeCell ref="DQ5:DQ7"/>
    <mergeCell ref="DS5:DS7"/>
    <mergeCell ref="DT5:DT7"/>
    <mergeCell ref="DU5:DU7"/>
    <mergeCell ref="DV5:DV7"/>
    <mergeCell ref="DW5:DW7"/>
    <mergeCell ref="DX5:DX7"/>
    <mergeCell ref="DY5:DY7"/>
    <mergeCell ref="DR6:DR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CZ5:CZ7"/>
    <mergeCell ref="DA5:DA7"/>
    <mergeCell ref="DB5:DB7"/>
    <mergeCell ref="DC5:DC7"/>
    <mergeCell ref="DD5:DD7"/>
    <mergeCell ref="DE5:DE7"/>
    <mergeCell ref="DF5:DF7"/>
    <mergeCell ref="DG5:DG7"/>
    <mergeCell ref="WE5:WE7"/>
    <mergeCell ref="WF5:WF7"/>
    <mergeCell ref="WD6:WD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VL5:VL7"/>
    <mergeCell ref="VM5:VM7"/>
    <mergeCell ref="VN5:VN7"/>
    <mergeCell ref="VO5:VO7"/>
    <mergeCell ref="VP5:VP7"/>
    <mergeCell ref="VQ5:VQ7"/>
    <mergeCell ref="VS5:VS7"/>
    <mergeCell ref="VT5:VT7"/>
    <mergeCell ref="VU5:VU7"/>
    <mergeCell ref="VV5:VV7"/>
    <mergeCell ref="VW5:VW7"/>
    <mergeCell ref="VX5:VX7"/>
    <mergeCell ref="VY5:VY7"/>
    <mergeCell ref="VZ5:VZ7"/>
    <mergeCell ref="WA5:WA7"/>
    <mergeCell ref="WB5:WB7"/>
    <mergeCell ref="WC5:WC7"/>
    <mergeCell ref="UU5:UU7"/>
    <mergeCell ref="UW5:UW7"/>
    <mergeCell ref="UX5:UX7"/>
    <mergeCell ref="UY5:UY7"/>
    <mergeCell ref="UZ5:UZ7"/>
    <mergeCell ref="VA5:VA7"/>
    <mergeCell ref="VB5:VB7"/>
    <mergeCell ref="UV6:UV7"/>
    <mergeCell ref="VC5:VC7"/>
    <mergeCell ref="VD5:VD7"/>
    <mergeCell ref="VE5:VE7"/>
    <mergeCell ref="VF5:VF7"/>
    <mergeCell ref="VG5:VG7"/>
    <mergeCell ref="VH5:VH7"/>
    <mergeCell ref="VI5:VI7"/>
    <mergeCell ref="VJ5:VJ7"/>
    <mergeCell ref="VK5:VK7"/>
    <mergeCell ref="XH5:XH7"/>
    <mergeCell ref="XI5:XI7"/>
    <mergeCell ref="XJ5:XJ7"/>
    <mergeCell ref="XK5:XK7"/>
    <mergeCell ref="XL5:XL7"/>
    <mergeCell ref="XM5:XM7"/>
    <mergeCell ref="XN5:XN7"/>
    <mergeCell ref="XO5:XO7"/>
    <mergeCell ref="XW5:XW7"/>
    <mergeCell ref="XX5:XX7"/>
    <mergeCell ref="XY5:XY7"/>
    <mergeCell ref="XZ5:XZ7"/>
    <mergeCell ref="YA5:YA7"/>
    <mergeCell ref="YC5:YC7"/>
    <mergeCell ref="YD5:YD7"/>
    <mergeCell ref="YE5:YE7"/>
    <mergeCell ref="XP5:XP7"/>
    <mergeCell ref="XQ5:XQ7"/>
    <mergeCell ref="XR5:XR7"/>
    <mergeCell ref="XS5:XS7"/>
    <mergeCell ref="XT5:XT7"/>
    <mergeCell ref="XU5:XU7"/>
    <mergeCell ref="XV5:XV7"/>
    <mergeCell ref="WQ5:WQ7"/>
    <mergeCell ref="WR5:WR7"/>
    <mergeCell ref="WS5:WS7"/>
    <mergeCell ref="WT5:WT7"/>
    <mergeCell ref="WU5:WU7"/>
    <mergeCell ref="WV5:WV7"/>
    <mergeCell ref="WW5:WW7"/>
    <mergeCell ref="WX5:WX7"/>
    <mergeCell ref="WY5:WY7"/>
    <mergeCell ref="WZ5:WZ7"/>
    <mergeCell ref="XA5:XA7"/>
    <mergeCell ref="XB5:XB7"/>
    <mergeCell ref="XC5:XC7"/>
    <mergeCell ref="XD5:XD7"/>
    <mergeCell ref="XE5:XE7"/>
    <mergeCell ref="XF5:XF7"/>
    <mergeCell ref="XG5:XG7"/>
    <mergeCell ref="TY5:TY7"/>
    <mergeCell ref="TZ5:TZ7"/>
    <mergeCell ref="UA5:UA7"/>
    <mergeCell ref="UB5:UB7"/>
    <mergeCell ref="UC5:UC7"/>
    <mergeCell ref="UD5:UD7"/>
    <mergeCell ref="UE5:UE7"/>
    <mergeCell ref="WG5:WG7"/>
    <mergeCell ref="WH5:WH7"/>
    <mergeCell ref="WI5:WI7"/>
    <mergeCell ref="WJ5:WJ7"/>
    <mergeCell ref="WK5:WK7"/>
    <mergeCell ref="WL5:WL7"/>
    <mergeCell ref="WM5:WM7"/>
    <mergeCell ref="WN5:WN7"/>
    <mergeCell ref="WO5:WO7"/>
    <mergeCell ref="WP5:WP7"/>
    <mergeCell ref="UF5:UF7"/>
    <mergeCell ref="UG5:UG7"/>
    <mergeCell ref="UH5:UH7"/>
    <mergeCell ref="UI5:UI7"/>
    <mergeCell ref="UJ5:UJ7"/>
    <mergeCell ref="UK5:UK7"/>
    <mergeCell ref="UL5:UL7"/>
    <mergeCell ref="UM5:UM7"/>
    <mergeCell ref="UN5:UN7"/>
    <mergeCell ref="UO5:UO7"/>
    <mergeCell ref="UQ5:UQ7"/>
    <mergeCell ref="UR5:UR7"/>
    <mergeCell ref="US5:US7"/>
    <mergeCell ref="UT5:UT7"/>
    <mergeCell ref="UP6:UP7"/>
    <mergeCell ref="TH5:TH7"/>
    <mergeCell ref="TI5:TI7"/>
    <mergeCell ref="TF6:TF7"/>
    <mergeCell ref="TJ5:TJ7"/>
    <mergeCell ref="TK5:TK7"/>
    <mergeCell ref="TL5:TL7"/>
    <mergeCell ref="TM5:TM7"/>
    <mergeCell ref="TN5:TN7"/>
    <mergeCell ref="TO5:TO7"/>
    <mergeCell ref="TP5:TP7"/>
    <mergeCell ref="TQ5:TQ7"/>
    <mergeCell ref="TR5:TR7"/>
    <mergeCell ref="TS5:TS7"/>
    <mergeCell ref="TU5:TU7"/>
    <mergeCell ref="TV5:TV7"/>
    <mergeCell ref="TW5:TW7"/>
    <mergeCell ref="TX5:TX7"/>
    <mergeCell ref="TT6:TT7"/>
    <mergeCell ref="SP5:SP7"/>
    <mergeCell ref="SQ5:SQ7"/>
    <mergeCell ref="SR5:SR7"/>
    <mergeCell ref="SS5:SS7"/>
    <mergeCell ref="ST5:ST7"/>
    <mergeCell ref="SU5:SU7"/>
    <mergeCell ref="SV5:SV7"/>
    <mergeCell ref="SW5:SW7"/>
    <mergeCell ref="SX5:SX7"/>
    <mergeCell ref="SY5:SY7"/>
    <mergeCell ref="SZ5:SZ7"/>
    <mergeCell ref="TA5:TA7"/>
    <mergeCell ref="TB5:TB7"/>
    <mergeCell ref="TC5:TC7"/>
    <mergeCell ref="TD5:TD7"/>
    <mergeCell ref="TE5:TE7"/>
    <mergeCell ref="TG5:TG7"/>
    <mergeCell ref="RY5:RY7"/>
    <mergeCell ref="RZ5:RZ7"/>
    <mergeCell ref="SA5:SA7"/>
    <mergeCell ref="SB5:SB7"/>
    <mergeCell ref="SC5:SC7"/>
    <mergeCell ref="SD5:SD7"/>
    <mergeCell ref="SE5:SE7"/>
    <mergeCell ref="SF5:SF7"/>
    <mergeCell ref="SG5:SG7"/>
    <mergeCell ref="SH5:SH7"/>
    <mergeCell ref="SI5:SI7"/>
    <mergeCell ref="SJ5:SJ7"/>
    <mergeCell ref="SK5:SK7"/>
    <mergeCell ref="SL5:SL7"/>
    <mergeCell ref="SM5:SM7"/>
    <mergeCell ref="SN5:SN7"/>
    <mergeCell ref="SO5:SO7"/>
    <mergeCell ref="RI5:RI7"/>
    <mergeCell ref="RJ5:RJ7"/>
    <mergeCell ref="RK5:RK7"/>
    <mergeCell ref="RF6:RF7"/>
    <mergeCell ref="RL5:RL7"/>
    <mergeCell ref="RM5:RM7"/>
    <mergeCell ref="RN5:RN7"/>
    <mergeCell ref="RO5:RO7"/>
    <mergeCell ref="RP5:RP7"/>
    <mergeCell ref="RQ5:RQ7"/>
    <mergeCell ref="RR5:RR7"/>
    <mergeCell ref="RS5:RS7"/>
    <mergeCell ref="RT5:RT7"/>
    <mergeCell ref="RU5:RU7"/>
    <mergeCell ref="RV5:RV7"/>
    <mergeCell ref="RW5:RW7"/>
    <mergeCell ref="RX5:RX7"/>
    <mergeCell ref="QQ5:QQ7"/>
    <mergeCell ref="QR5:QR7"/>
    <mergeCell ref="QS5:QS7"/>
    <mergeCell ref="QT5:QT7"/>
    <mergeCell ref="QU5:QU7"/>
    <mergeCell ref="QV5:QV7"/>
    <mergeCell ref="QW5:QW7"/>
    <mergeCell ref="QX5:QX7"/>
    <mergeCell ref="QY5:QY7"/>
    <mergeCell ref="QZ5:QZ7"/>
    <mergeCell ref="RA5:RA7"/>
    <mergeCell ref="RB5:RB7"/>
    <mergeCell ref="RC5:RC7"/>
    <mergeCell ref="RD5:RD7"/>
    <mergeCell ref="RE5:RE7"/>
    <mergeCell ref="RG5:RG7"/>
    <mergeCell ref="RH5:RH7"/>
    <mergeCell ref="QA5:QA7"/>
    <mergeCell ref="PT6:PT7"/>
    <mergeCell ref="QB5:QB7"/>
    <mergeCell ref="QC5:QC7"/>
    <mergeCell ref="QD5:QD7"/>
    <mergeCell ref="QE5:QE7"/>
    <mergeCell ref="QF5:QF7"/>
    <mergeCell ref="QG5:QG7"/>
    <mergeCell ref="QH5:QH7"/>
    <mergeCell ref="QI5:QI7"/>
    <mergeCell ref="QJ5:QJ7"/>
    <mergeCell ref="QK5:QK7"/>
    <mergeCell ref="QL5:QL7"/>
    <mergeCell ref="QM5:QM7"/>
    <mergeCell ref="QN5:QN7"/>
    <mergeCell ref="QO5:QO7"/>
    <mergeCell ref="QP5:QP7"/>
    <mergeCell ref="PI5:PI7"/>
    <mergeCell ref="PJ5:PJ7"/>
    <mergeCell ref="PK5:PK7"/>
    <mergeCell ref="PL5:PL7"/>
    <mergeCell ref="PM5:PM7"/>
    <mergeCell ref="PN5:PN7"/>
    <mergeCell ref="PO5:PO7"/>
    <mergeCell ref="PP5:PP7"/>
    <mergeCell ref="PQ5:PQ7"/>
    <mergeCell ref="PR5:PR7"/>
    <mergeCell ref="PS5:PS7"/>
    <mergeCell ref="PU5:PU7"/>
    <mergeCell ref="PV5:PV7"/>
    <mergeCell ref="PW5:PW7"/>
    <mergeCell ref="PX5:PX7"/>
    <mergeCell ref="PY5:PY7"/>
    <mergeCell ref="PZ5:PZ7"/>
    <mergeCell ref="OR5:OR7"/>
    <mergeCell ref="OS5:OS7"/>
    <mergeCell ref="OT5:OT7"/>
    <mergeCell ref="OU5:OU7"/>
    <mergeCell ref="OV5:OV7"/>
    <mergeCell ref="OW5:OW7"/>
    <mergeCell ref="OX5:OX7"/>
    <mergeCell ref="OY5:OY7"/>
    <mergeCell ref="OZ5:OZ7"/>
    <mergeCell ref="PA5:PA7"/>
    <mergeCell ref="PB5:PB7"/>
    <mergeCell ref="PC5:PC7"/>
    <mergeCell ref="PD5:PD7"/>
    <mergeCell ref="PE5:PE7"/>
    <mergeCell ref="PF5:PF7"/>
    <mergeCell ref="PG5:PG7"/>
    <mergeCell ref="PH5:PH7"/>
    <mergeCell ref="OA5:OA7"/>
    <mergeCell ref="OB5:OB7"/>
    <mergeCell ref="OC5:OC7"/>
    <mergeCell ref="OD5:OD7"/>
    <mergeCell ref="OE5:OE7"/>
    <mergeCell ref="OF5:OF7"/>
    <mergeCell ref="OG5:OG7"/>
    <mergeCell ref="OH5:OH7"/>
    <mergeCell ref="OI5:OI7"/>
    <mergeCell ref="OJ5:OJ7"/>
    <mergeCell ref="OK5:OK7"/>
    <mergeCell ref="OL5:OL7"/>
    <mergeCell ref="OM5:OM7"/>
    <mergeCell ref="ON5:ON7"/>
    <mergeCell ref="OO5:OO7"/>
    <mergeCell ref="OP5:OP7"/>
    <mergeCell ref="OQ5:OQ7"/>
    <mergeCell ref="NJ5:NJ7"/>
    <mergeCell ref="NK5:NK7"/>
    <mergeCell ref="NL5:NL7"/>
    <mergeCell ref="NM5:NM7"/>
    <mergeCell ref="NN5:NN7"/>
    <mergeCell ref="NO5:NO7"/>
    <mergeCell ref="NP5:NP7"/>
    <mergeCell ref="NQ5:NQ7"/>
    <mergeCell ref="NR5:NR7"/>
    <mergeCell ref="NS5:NS7"/>
    <mergeCell ref="NT5:NT7"/>
    <mergeCell ref="NU5:NU7"/>
    <mergeCell ref="NV5:NV7"/>
    <mergeCell ref="NW5:NW7"/>
    <mergeCell ref="NX5:NX7"/>
    <mergeCell ref="NY5:NY7"/>
    <mergeCell ref="NZ5:NZ7"/>
    <mergeCell ref="MT5:MT7"/>
    <mergeCell ref="MN6:MN7"/>
    <mergeCell ref="MU5:MU7"/>
    <mergeCell ref="MV5:MV7"/>
    <mergeCell ref="MW5:MW7"/>
    <mergeCell ref="MX5:MX7"/>
    <mergeCell ref="MY5:MY7"/>
    <mergeCell ref="MZ5:MZ7"/>
    <mergeCell ref="NA5:NA7"/>
    <mergeCell ref="NB5:NB7"/>
    <mergeCell ref="NC5:NC7"/>
    <mergeCell ref="ND5:ND7"/>
    <mergeCell ref="NE5:NE7"/>
    <mergeCell ref="NF5:NF7"/>
    <mergeCell ref="NG5:NG7"/>
    <mergeCell ref="NH5:NH7"/>
    <mergeCell ref="NI5:NI7"/>
    <mergeCell ref="CL1:CM2"/>
    <mergeCell ref="CN1:CO2"/>
    <mergeCell ref="CP1:CQ2"/>
    <mergeCell ref="CR1:CS2"/>
    <mergeCell ref="A1:A2"/>
    <mergeCell ref="B1:C2"/>
    <mergeCell ref="D1:E2"/>
    <mergeCell ref="F1:G2"/>
    <mergeCell ref="H1:I2"/>
    <mergeCell ref="J1:K2"/>
    <mergeCell ref="L1:M2"/>
    <mergeCell ref="MM5:MM7"/>
    <mergeCell ref="MO5:MO7"/>
    <mergeCell ref="MP5:MP7"/>
    <mergeCell ref="MQ5:MQ7"/>
    <mergeCell ref="MR5:MR7"/>
    <mergeCell ref="MS5:MS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O5:CO7"/>
    <mergeCell ref="CN6:CN7"/>
    <mergeCell ref="CP5:CP7"/>
    <mergeCell ref="BD1:BE2"/>
    <mergeCell ref="BF1:BG2"/>
    <mergeCell ref="BH1:BI2"/>
    <mergeCell ref="BJ1:BK2"/>
    <mergeCell ref="BL1:BM2"/>
    <mergeCell ref="BN1:BO2"/>
    <mergeCell ref="BP1:BQ2"/>
    <mergeCell ref="BR1:BS2"/>
    <mergeCell ref="BT1:BU2"/>
    <mergeCell ref="BV1:BW2"/>
    <mergeCell ref="BX1:BY2"/>
    <mergeCell ref="BZ1:CA2"/>
    <mergeCell ref="CB1:CC2"/>
    <mergeCell ref="CD1:CE2"/>
    <mergeCell ref="CF1:CG2"/>
    <mergeCell ref="CH1:CI2"/>
    <mergeCell ref="CJ1:CK2"/>
    <mergeCell ref="UT1:UU2"/>
    <mergeCell ref="UV1:UW2"/>
    <mergeCell ref="UX1:UY2"/>
    <mergeCell ref="UZ1:VA2"/>
    <mergeCell ref="VB1:VC2"/>
    <mergeCell ref="VD1:VE2"/>
    <mergeCell ref="VF1:VG2"/>
    <mergeCell ref="VH1:VI2"/>
    <mergeCell ref="VJ1:VK2"/>
    <mergeCell ref="VL1:VM2"/>
    <mergeCell ref="VN1:VO2"/>
    <mergeCell ref="N1:O2"/>
    <mergeCell ref="P1:Q2"/>
    <mergeCell ref="R1:S2"/>
    <mergeCell ref="T1:U2"/>
    <mergeCell ref="V1:W2"/>
    <mergeCell ref="X1:Y2"/>
    <mergeCell ref="Z1:AA2"/>
    <mergeCell ref="AB1:AC2"/>
    <mergeCell ref="AD1:AE2"/>
    <mergeCell ref="AF1:AG2"/>
    <mergeCell ref="AH1:AI2"/>
    <mergeCell ref="AJ1:AK2"/>
    <mergeCell ref="AL1:AM2"/>
    <mergeCell ref="AN1:AO2"/>
    <mergeCell ref="AP1:AQ2"/>
    <mergeCell ref="AR1:AS2"/>
    <mergeCell ref="AT1:AU2"/>
    <mergeCell ref="AV1:AW2"/>
    <mergeCell ref="AX1:AY2"/>
    <mergeCell ref="AZ1:BA2"/>
    <mergeCell ref="BB1:BC2"/>
    <mergeCell ref="YB1:YC2"/>
    <mergeCell ref="YD1:YE2"/>
    <mergeCell ref="XF1:XG2"/>
    <mergeCell ref="XH1:XI2"/>
    <mergeCell ref="XJ1:XK2"/>
    <mergeCell ref="XL1:XM2"/>
    <mergeCell ref="XN1:XO2"/>
    <mergeCell ref="XP1:XQ2"/>
    <mergeCell ref="XR1:XS2"/>
    <mergeCell ref="RV1:RW2"/>
    <mergeCell ref="RX1:RY2"/>
    <mergeCell ref="RZ1:SA2"/>
    <mergeCell ref="SB1:SC2"/>
    <mergeCell ref="SD1:SE2"/>
    <mergeCell ref="SF1:SG2"/>
    <mergeCell ref="SH1:SI2"/>
    <mergeCell ref="SJ1:SK2"/>
    <mergeCell ref="SL1:SM2"/>
    <mergeCell ref="SN1:SO2"/>
    <mergeCell ref="SP1:SQ2"/>
    <mergeCell ref="SR1:SS2"/>
    <mergeCell ref="ST1:SU2"/>
    <mergeCell ref="SV1:SW2"/>
    <mergeCell ref="SX1:SY2"/>
    <mergeCell ref="SZ1:TA2"/>
    <mergeCell ref="TB1:TC2"/>
    <mergeCell ref="TD1:TE2"/>
    <mergeCell ref="TF1:TG2"/>
    <mergeCell ref="TH1:TI2"/>
    <mergeCell ref="TJ1:TK2"/>
    <mergeCell ref="TL1:TM2"/>
    <mergeCell ref="TN1:TO2"/>
    <mergeCell ref="WF1:WG2"/>
    <mergeCell ref="WH1:WI2"/>
    <mergeCell ref="WJ1:WK2"/>
    <mergeCell ref="WL1:WM2"/>
    <mergeCell ref="WN1:WO2"/>
    <mergeCell ref="WP1:WQ2"/>
    <mergeCell ref="WR1:WS2"/>
    <mergeCell ref="WT1:WU2"/>
    <mergeCell ref="WV1:WW2"/>
    <mergeCell ref="WX1:WY2"/>
    <mergeCell ref="WZ1:XA2"/>
    <mergeCell ref="XB1:XC2"/>
    <mergeCell ref="XD1:XE2"/>
    <mergeCell ref="XT1:XU2"/>
    <mergeCell ref="XV1:XW2"/>
    <mergeCell ref="XX1:XY2"/>
    <mergeCell ref="XZ1:YA2"/>
    <mergeCell ref="RD1:RE2"/>
    <mergeCell ref="RF1:RG2"/>
    <mergeCell ref="RH1:RI2"/>
    <mergeCell ref="RJ1:RK2"/>
    <mergeCell ref="RL1:RM2"/>
    <mergeCell ref="RN1:RO2"/>
    <mergeCell ref="RP1:RQ2"/>
    <mergeCell ref="RR1:RS2"/>
    <mergeCell ref="RT1:RU2"/>
    <mergeCell ref="VP1:VQ2"/>
    <mergeCell ref="VR1:VS2"/>
    <mergeCell ref="VT1:VU2"/>
    <mergeCell ref="VV1:VW2"/>
    <mergeCell ref="VX1:VY2"/>
    <mergeCell ref="VZ1:WA2"/>
    <mergeCell ref="WB1:WC2"/>
    <mergeCell ref="WD1:WE2"/>
    <mergeCell ref="TP1:TQ2"/>
    <mergeCell ref="TR1:TS2"/>
    <mergeCell ref="TT1:TU2"/>
    <mergeCell ref="TV1:TW2"/>
    <mergeCell ref="TX1:TY2"/>
    <mergeCell ref="TZ1:UA2"/>
    <mergeCell ref="UB1:UC2"/>
    <mergeCell ref="UD1:UE2"/>
    <mergeCell ref="UF1:UG2"/>
    <mergeCell ref="UH1:UI2"/>
    <mergeCell ref="UJ1:UK2"/>
    <mergeCell ref="UL1:UM2"/>
    <mergeCell ref="UN1:UO2"/>
    <mergeCell ref="UP1:UQ2"/>
    <mergeCell ref="UR1:US2"/>
    <mergeCell ref="PV1:PW2"/>
    <mergeCell ref="PX1:PY2"/>
    <mergeCell ref="PZ1:QA2"/>
    <mergeCell ref="QB1:QC2"/>
    <mergeCell ref="QD1:QE2"/>
    <mergeCell ref="QF1:QG2"/>
    <mergeCell ref="QH1:QI2"/>
    <mergeCell ref="QJ1:QK2"/>
    <mergeCell ref="QL1:QM2"/>
    <mergeCell ref="QN1:QO2"/>
    <mergeCell ref="QP1:QQ2"/>
    <mergeCell ref="QR1:QS2"/>
    <mergeCell ref="QT1:QU2"/>
    <mergeCell ref="QV1:QW2"/>
    <mergeCell ref="QX1:QY2"/>
    <mergeCell ref="QZ1:RA2"/>
    <mergeCell ref="RB1:RC2"/>
    <mergeCell ref="ON1:OO2"/>
    <mergeCell ref="OP1:OQ2"/>
    <mergeCell ref="OR1:OS2"/>
    <mergeCell ref="OT1:OU2"/>
    <mergeCell ref="OV1:OW2"/>
    <mergeCell ref="OX1:OY2"/>
    <mergeCell ref="OZ1:PA2"/>
    <mergeCell ref="PB1:PC2"/>
    <mergeCell ref="PD1:PE2"/>
    <mergeCell ref="PF1:PG2"/>
    <mergeCell ref="PH1:PI2"/>
    <mergeCell ref="PJ1:PK2"/>
    <mergeCell ref="PL1:PM2"/>
    <mergeCell ref="PN1:PO2"/>
    <mergeCell ref="PP1:PQ2"/>
    <mergeCell ref="PR1:PS2"/>
    <mergeCell ref="PT1:PU2"/>
    <mergeCell ref="NF1:NG2"/>
    <mergeCell ref="NH1:NI2"/>
    <mergeCell ref="NJ1:NK2"/>
    <mergeCell ref="NL1:NM2"/>
    <mergeCell ref="NN1:NO2"/>
    <mergeCell ref="NP1:NQ2"/>
    <mergeCell ref="NR1:NS2"/>
    <mergeCell ref="NT1:NU2"/>
    <mergeCell ref="NV1:NW2"/>
    <mergeCell ref="NX1:NY2"/>
    <mergeCell ref="NZ1:OA2"/>
    <mergeCell ref="OB1:OC2"/>
    <mergeCell ref="OD1:OE2"/>
    <mergeCell ref="OF1:OG2"/>
    <mergeCell ref="OH1:OI2"/>
    <mergeCell ref="OJ1:OK2"/>
    <mergeCell ref="OL1:OM2"/>
    <mergeCell ref="LX1:LY2"/>
    <mergeCell ref="LZ1:MA2"/>
    <mergeCell ref="MB1:MC2"/>
    <mergeCell ref="MD1:ME2"/>
    <mergeCell ref="MF1:MG2"/>
    <mergeCell ref="MH1:MI2"/>
    <mergeCell ref="MJ1:MK2"/>
    <mergeCell ref="ML1:MM2"/>
    <mergeCell ref="MN1:MO2"/>
    <mergeCell ref="MP1:MQ2"/>
    <mergeCell ref="MR1:MS2"/>
    <mergeCell ref="MT1:MU2"/>
    <mergeCell ref="MV1:MW2"/>
    <mergeCell ref="MX1:MY2"/>
    <mergeCell ref="MZ1:NA2"/>
    <mergeCell ref="NB1:NC2"/>
    <mergeCell ref="ND1:NE2"/>
    <mergeCell ref="KP1:KQ2"/>
    <mergeCell ref="KR1:KS2"/>
    <mergeCell ref="KT1:KU2"/>
    <mergeCell ref="KV1:KW2"/>
    <mergeCell ref="KX1:KY2"/>
    <mergeCell ref="KZ1:LA2"/>
    <mergeCell ref="LB1:LC2"/>
    <mergeCell ref="LD1:LE2"/>
    <mergeCell ref="LF1:LG2"/>
    <mergeCell ref="LH1:LI2"/>
    <mergeCell ref="LJ1:LK2"/>
    <mergeCell ref="LL1:LM2"/>
    <mergeCell ref="LN1:LO2"/>
    <mergeCell ref="LP1:LQ2"/>
    <mergeCell ref="LR1:LS2"/>
    <mergeCell ref="LT1:LU2"/>
    <mergeCell ref="LV1:LW2"/>
    <mergeCell ref="JH1:JI2"/>
    <mergeCell ref="JJ1:JK2"/>
    <mergeCell ref="JL1:JM2"/>
    <mergeCell ref="JN1:JO2"/>
    <mergeCell ref="JP1:JQ2"/>
    <mergeCell ref="JR1:JS2"/>
    <mergeCell ref="JT1:JU2"/>
    <mergeCell ref="JV1:JW2"/>
    <mergeCell ref="JX1:JY2"/>
    <mergeCell ref="JZ1:KA2"/>
    <mergeCell ref="KB1:KC2"/>
    <mergeCell ref="KD1:KE2"/>
    <mergeCell ref="KF1:KG2"/>
    <mergeCell ref="KH1:KI2"/>
    <mergeCell ref="KJ1:KK2"/>
    <mergeCell ref="KL1:KM2"/>
    <mergeCell ref="KN1:KO2"/>
    <mergeCell ref="HZ1:IA2"/>
    <mergeCell ref="IB1:IC2"/>
    <mergeCell ref="ID1:IE2"/>
    <mergeCell ref="IF1:IG2"/>
    <mergeCell ref="IH1:II2"/>
    <mergeCell ref="IJ1:IK2"/>
    <mergeCell ref="IL1:IM2"/>
    <mergeCell ref="IN1:IO2"/>
    <mergeCell ref="IP1:IQ2"/>
    <mergeCell ref="IR1:IS2"/>
    <mergeCell ref="IT1:IU2"/>
    <mergeCell ref="IV1:IW2"/>
    <mergeCell ref="IX1:IY2"/>
    <mergeCell ref="IZ1:JA2"/>
    <mergeCell ref="JB1:JC2"/>
    <mergeCell ref="JD1:JE2"/>
    <mergeCell ref="JF1:JG2"/>
    <mergeCell ref="GR1:GS2"/>
    <mergeCell ref="GT1:GU2"/>
    <mergeCell ref="GV1:GW2"/>
    <mergeCell ref="GX1:GY2"/>
    <mergeCell ref="GZ1:HA2"/>
    <mergeCell ref="HB1:HC2"/>
    <mergeCell ref="HD1:HE2"/>
    <mergeCell ref="HF1:HG2"/>
    <mergeCell ref="HH1:HI2"/>
    <mergeCell ref="HJ1:HK2"/>
    <mergeCell ref="HL1:HM2"/>
    <mergeCell ref="HN1:HO2"/>
    <mergeCell ref="HP1:HQ2"/>
    <mergeCell ref="HR1:HS2"/>
    <mergeCell ref="HT1:HU2"/>
    <mergeCell ref="HV1:HW2"/>
    <mergeCell ref="HX1:HY2"/>
    <mergeCell ref="FJ1:FK2"/>
    <mergeCell ref="FL1:FM2"/>
    <mergeCell ref="FN1:FO2"/>
    <mergeCell ref="FP1:FQ2"/>
    <mergeCell ref="FR1:FS2"/>
    <mergeCell ref="FT1:FU2"/>
    <mergeCell ref="FV1:FW2"/>
    <mergeCell ref="FX1:FY2"/>
    <mergeCell ref="FZ1:GA2"/>
    <mergeCell ref="GB1:GC2"/>
    <mergeCell ref="GD1:GE2"/>
    <mergeCell ref="GF1:GG2"/>
    <mergeCell ref="GH1:GI2"/>
    <mergeCell ref="GJ1:GK2"/>
    <mergeCell ref="GL1:GM2"/>
    <mergeCell ref="GN1:GO2"/>
    <mergeCell ref="GP1:GQ2"/>
    <mergeCell ref="EB1:EC2"/>
    <mergeCell ref="ED1:EE2"/>
    <mergeCell ref="EF1:EG2"/>
    <mergeCell ref="EH1:EI2"/>
    <mergeCell ref="EJ1:EK2"/>
    <mergeCell ref="EL1:EM2"/>
    <mergeCell ref="EN1:EO2"/>
    <mergeCell ref="EP1:EQ2"/>
    <mergeCell ref="ER1:ES2"/>
    <mergeCell ref="ET1:EU2"/>
    <mergeCell ref="EV1:EW2"/>
    <mergeCell ref="EX1:EY2"/>
    <mergeCell ref="EZ1:FA2"/>
    <mergeCell ref="FB1:FC2"/>
    <mergeCell ref="FD1:FE2"/>
    <mergeCell ref="FF1:FG2"/>
    <mergeCell ref="FH1:FI2"/>
    <mergeCell ref="CT1:CU2"/>
    <mergeCell ref="CV1:CW2"/>
    <mergeCell ref="CX1:CY2"/>
    <mergeCell ref="CZ1:DA2"/>
    <mergeCell ref="DB1:DC2"/>
    <mergeCell ref="DD1:DE2"/>
    <mergeCell ref="DF1:DG2"/>
    <mergeCell ref="DH1:DI2"/>
    <mergeCell ref="DJ1:DK2"/>
    <mergeCell ref="DL1:DM2"/>
    <mergeCell ref="DN1:DO2"/>
    <mergeCell ref="DP1:DQ2"/>
    <mergeCell ref="DR1:DS2"/>
    <mergeCell ref="DT1:DU2"/>
    <mergeCell ref="DV1:DW2"/>
    <mergeCell ref="DX1:DY2"/>
    <mergeCell ref="DZ1:EA2"/>
  </mergeCells>
  <conditionalFormatting sqref="FZ1:GA10 IB1:IC10 NL1:NM10 OJ1:OK10 RD1:RE10 SD1:SE10 SN1:SO10 UP1:UQ10 WH1:WI10 AD1:AE14 CP1:CQ14 FT1:FU14 OH1:OI14 TL1:TM14 VJ1:VK14 FJ1:FK21 MD1:ME21 NF1:NG21 QJ1:QK21 NN1:NN25 A1:AC43 AF1:CO43 CR1:FI43 FL1:FS43 FV1:FY43 GB1:IA43 ID1:MC43 MF1:NE43 NH1:NK43 NO1:OG43 OL1:QI43 QL1:RC43 RF1:SC43 SF1:SM43 SP1:TK43 TN1:UO43 UR1:VI43 VL1:WG43 WJ1:YE43 FZ12:GA43 IB12:IC43 NL12:NM43 OJ12:OK43 RD12:RE43 SD12:SE43 SN12:SO43 UP12:UQ43 WH12:WI43 AD16:AE43 CP16:CQ43 FT16:FU43 OH16:OI43 TL16:TM43 VJ16:VK43 FK23:FK43 ME23:ME43 NF23:NG43 QK23:QK43 FJ24:FJ43 MD24:MD43 QJ24:QJ43 NN28:NN43">
    <cfRule type="cellIs" dxfId="23" priority="1" operator="equal">
      <formula>"Monday"</formula>
    </cfRule>
    <cfRule type="cellIs" dxfId="22" priority="2" operator="equal">
      <formula>"Tuesday"</formula>
    </cfRule>
    <cfRule type="cellIs" dxfId="21" priority="3" operator="equal">
      <formula>"Wednesday"</formula>
    </cfRule>
    <cfRule type="cellIs" dxfId="20" priority="4" operator="equal">
      <formula>"Thursday"</formula>
    </cfRule>
    <cfRule type="cellIs" dxfId="19" priority="5" operator="equal">
      <formula>"Friday"</formula>
    </cfRule>
    <cfRule type="cellIs" dxfId="18" priority="6" operator="equal">
      <formula>"Saturday"</formula>
    </cfRule>
  </conditionalFormatting>
  <hyperlinks>
    <hyperlink ref="HV3" r:id="rId1" xr:uid="{00000000-0004-0000-0B00-000000000000}"/>
    <hyperlink ref="RR3" r:id="rId2" xr:uid="{00000000-0004-0000-0B00-000001000000}"/>
    <hyperlink ref="VD3" r:id="rId3" xr:uid="{00000000-0004-0000-0B00-000002000000}"/>
    <hyperlink ref="AZ4" r:id="rId4" xr:uid="{00000000-0004-0000-0B00-000003000000}"/>
    <hyperlink ref="BZ4" r:id="rId5" xr:uid="{00000000-0004-0000-0B00-000004000000}"/>
    <hyperlink ref="CP4" r:id="rId6" xr:uid="{00000000-0004-0000-0B00-000005000000}"/>
    <hyperlink ref="DB4" r:id="rId7" xr:uid="{00000000-0004-0000-0B00-000006000000}"/>
    <hyperlink ref="EN4" r:id="rId8" xr:uid="{00000000-0004-0000-0B00-000007000000}"/>
    <hyperlink ref="ER4" r:id="rId9" xr:uid="{00000000-0004-0000-0B00-000008000000}"/>
    <hyperlink ref="FJ4" r:id="rId10" xr:uid="{00000000-0004-0000-0B00-000009000000}"/>
    <hyperlink ref="GL4" r:id="rId11" xr:uid="{00000000-0004-0000-0B00-00000A000000}"/>
    <hyperlink ref="HF4" r:id="rId12" xr:uid="{00000000-0004-0000-0B00-00000B000000}"/>
    <hyperlink ref="HT4" r:id="rId13" xr:uid="{00000000-0004-0000-0B00-00000C000000}"/>
    <hyperlink ref="IZ4" r:id="rId14" xr:uid="{00000000-0004-0000-0B00-00000D000000}"/>
    <hyperlink ref="JB4" r:id="rId15" xr:uid="{00000000-0004-0000-0B00-00000E000000}"/>
    <hyperlink ref="JR4" r:id="rId16" xr:uid="{00000000-0004-0000-0B00-00000F000000}"/>
    <hyperlink ref="JT4" r:id="rId17" xr:uid="{00000000-0004-0000-0B00-000010000000}"/>
    <hyperlink ref="JV4" r:id="rId18" xr:uid="{00000000-0004-0000-0B00-000011000000}"/>
    <hyperlink ref="KD4" r:id="rId19" xr:uid="{00000000-0004-0000-0B00-000012000000}"/>
    <hyperlink ref="LB4" r:id="rId20" xr:uid="{00000000-0004-0000-0B00-000013000000}"/>
    <hyperlink ref="LP4" r:id="rId21" xr:uid="{00000000-0004-0000-0B00-000014000000}"/>
    <hyperlink ref="LX4" r:id="rId22" xr:uid="{00000000-0004-0000-0B00-000015000000}"/>
    <hyperlink ref="MD4" r:id="rId23" xr:uid="{00000000-0004-0000-0B00-000016000000}"/>
    <hyperlink ref="MP4" r:id="rId24" xr:uid="{00000000-0004-0000-0B00-000017000000}"/>
    <hyperlink ref="MR4" r:id="rId25" xr:uid="{00000000-0004-0000-0B00-000018000000}"/>
    <hyperlink ref="NZ4" r:id="rId26" xr:uid="{00000000-0004-0000-0B00-000019000000}"/>
    <hyperlink ref="OJ4" r:id="rId27" xr:uid="{00000000-0004-0000-0B00-00001A000000}"/>
    <hyperlink ref="OL4" r:id="rId28" xr:uid="{00000000-0004-0000-0B00-00001B000000}"/>
    <hyperlink ref="PN4" r:id="rId29" xr:uid="{00000000-0004-0000-0B00-00001C000000}"/>
    <hyperlink ref="PX4" r:id="rId30" xr:uid="{00000000-0004-0000-0B00-00001D000000}"/>
    <hyperlink ref="QB4" r:id="rId31" xr:uid="{00000000-0004-0000-0B00-00001E000000}"/>
    <hyperlink ref="QD4" r:id="rId32" xr:uid="{00000000-0004-0000-0B00-00001F000000}"/>
    <hyperlink ref="QJ4" r:id="rId33" xr:uid="{00000000-0004-0000-0B00-000020000000}"/>
    <hyperlink ref="QN4" r:id="rId34" xr:uid="{00000000-0004-0000-0B00-000021000000}"/>
    <hyperlink ref="QX4" r:id="rId35" xr:uid="{00000000-0004-0000-0B00-000022000000}"/>
    <hyperlink ref="RF4" r:id="rId36" xr:uid="{00000000-0004-0000-0B00-000023000000}"/>
    <hyperlink ref="RJ4" r:id="rId37" xr:uid="{00000000-0004-0000-0B00-000024000000}"/>
    <hyperlink ref="RN4" r:id="rId38" xr:uid="{00000000-0004-0000-0B00-000025000000}"/>
    <hyperlink ref="RR4" r:id="rId39" xr:uid="{00000000-0004-0000-0B00-000026000000}"/>
    <hyperlink ref="RT4" r:id="rId40" xr:uid="{00000000-0004-0000-0B00-000027000000}"/>
    <hyperlink ref="SP4" r:id="rId41" xr:uid="{00000000-0004-0000-0B00-000028000000}"/>
    <hyperlink ref="SR4" r:id="rId42" xr:uid="{00000000-0004-0000-0B00-000029000000}"/>
    <hyperlink ref="SV4" r:id="rId43" xr:uid="{00000000-0004-0000-0B00-00002A000000}"/>
    <hyperlink ref="TB4" r:id="rId44" xr:uid="{00000000-0004-0000-0B00-00002B000000}"/>
    <hyperlink ref="TD4" r:id="rId45" xr:uid="{00000000-0004-0000-0B00-00002C000000}"/>
    <hyperlink ref="TF4" r:id="rId46" xr:uid="{00000000-0004-0000-0B00-00002D000000}"/>
    <hyperlink ref="TP4" r:id="rId47" xr:uid="{00000000-0004-0000-0B00-00002E000000}"/>
    <hyperlink ref="TR4" r:id="rId48" xr:uid="{00000000-0004-0000-0B00-00002F000000}"/>
    <hyperlink ref="TT4" r:id="rId49" xr:uid="{00000000-0004-0000-0B00-000030000000}"/>
    <hyperlink ref="UD4" r:id="rId50" xr:uid="{00000000-0004-0000-0B00-000031000000}"/>
    <hyperlink ref="UF4" r:id="rId51" xr:uid="{00000000-0004-0000-0B00-000032000000}"/>
    <hyperlink ref="UP4" r:id="rId52" xr:uid="{00000000-0004-0000-0B00-000033000000}"/>
    <hyperlink ref="UX4" r:id="rId53" xr:uid="{00000000-0004-0000-0B00-000034000000}"/>
    <hyperlink ref="VB4" r:id="rId54" xr:uid="{00000000-0004-0000-0B00-000035000000}"/>
    <hyperlink ref="VR4" r:id="rId55" xr:uid="{00000000-0004-0000-0B00-000036000000}"/>
    <hyperlink ref="WD4" r:id="rId56" xr:uid="{00000000-0004-0000-0B00-000037000000}"/>
    <hyperlink ref="WF4" r:id="rId57" xr:uid="{00000000-0004-0000-0B00-000038000000}"/>
    <hyperlink ref="WH4" r:id="rId58" xr:uid="{00000000-0004-0000-0B00-000039000000}"/>
    <hyperlink ref="WJ4" r:id="rId59" xr:uid="{00000000-0004-0000-0B00-00003A000000}"/>
    <hyperlink ref="WP4" r:id="rId60" xr:uid="{00000000-0004-0000-0B00-00003B000000}"/>
    <hyperlink ref="WT4" r:id="rId61" xr:uid="{00000000-0004-0000-0B00-00003C000000}"/>
    <hyperlink ref="WZ4" r:id="rId62" xr:uid="{00000000-0004-0000-0B00-00003D000000}"/>
    <hyperlink ref="XB4" r:id="rId63" xr:uid="{00000000-0004-0000-0B00-00003E000000}"/>
    <hyperlink ref="XP4" r:id="rId64" xr:uid="{00000000-0004-0000-0B00-00003F000000}"/>
    <hyperlink ref="YB4" r:id="rId65" xr:uid="{00000000-0004-0000-0B00-000040000000}"/>
    <hyperlink ref="YD4" r:id="rId66" xr:uid="{00000000-0004-0000-0B00-000041000000}"/>
    <hyperlink ref="F5" r:id="rId67" xr:uid="{00000000-0004-0000-0B00-000042000000}"/>
    <hyperlink ref="P5" r:id="rId68" xr:uid="{00000000-0004-0000-0B00-000043000000}"/>
    <hyperlink ref="T5" r:id="rId69" xr:uid="{00000000-0004-0000-0B00-000044000000}"/>
    <hyperlink ref="V5" r:id="rId70" xr:uid="{00000000-0004-0000-0B00-000045000000}"/>
    <hyperlink ref="AH5" r:id="rId71" xr:uid="{00000000-0004-0000-0B00-000046000000}"/>
    <hyperlink ref="AJ5" r:id="rId72" xr:uid="{00000000-0004-0000-0B00-000047000000}"/>
    <hyperlink ref="AL5" r:id="rId73" xr:uid="{00000000-0004-0000-0B00-000048000000}"/>
    <hyperlink ref="AT5" r:id="rId74" xr:uid="{00000000-0004-0000-0B00-000049000000}"/>
    <hyperlink ref="AV5" r:id="rId75" xr:uid="{00000000-0004-0000-0B00-00004A000000}"/>
    <hyperlink ref="BD5" r:id="rId76" xr:uid="{00000000-0004-0000-0B00-00004B000000}"/>
    <hyperlink ref="BH5" r:id="rId77" xr:uid="{00000000-0004-0000-0B00-00004C000000}"/>
    <hyperlink ref="BJ5" r:id="rId78" xr:uid="{00000000-0004-0000-0B00-00004D000000}"/>
    <hyperlink ref="BR5" r:id="rId79" xr:uid="{00000000-0004-0000-0B00-00004E000000}"/>
    <hyperlink ref="BX5" r:id="rId80" xr:uid="{00000000-0004-0000-0B00-00004F000000}"/>
    <hyperlink ref="BZ5" r:id="rId81" xr:uid="{00000000-0004-0000-0B00-000050000000}"/>
    <hyperlink ref="CD5" r:id="rId82" xr:uid="{00000000-0004-0000-0B00-000051000000}"/>
    <hyperlink ref="CJ5" r:id="rId83" xr:uid="{00000000-0004-0000-0B00-000052000000}"/>
    <hyperlink ref="CN5" r:id="rId84" xr:uid="{00000000-0004-0000-0B00-000053000000}"/>
    <hyperlink ref="CR5" r:id="rId85" xr:uid="{00000000-0004-0000-0B00-000054000000}"/>
    <hyperlink ref="CT5" r:id="rId86" xr:uid="{00000000-0004-0000-0B00-000055000000}"/>
    <hyperlink ref="CV5" r:id="rId87" xr:uid="{00000000-0004-0000-0B00-000056000000}"/>
    <hyperlink ref="CX5" r:id="rId88" xr:uid="{00000000-0004-0000-0B00-000057000000}"/>
    <hyperlink ref="DN5" r:id="rId89" xr:uid="{00000000-0004-0000-0B00-000058000000}"/>
    <hyperlink ref="DR5" r:id="rId90" xr:uid="{00000000-0004-0000-0B00-000059000000}"/>
    <hyperlink ref="DT5" r:id="rId91" xr:uid="{00000000-0004-0000-0B00-00005A000000}"/>
    <hyperlink ref="DX5" r:id="rId92" xr:uid="{00000000-0004-0000-0B00-00005B000000}"/>
    <hyperlink ref="DZ5" r:id="rId93" xr:uid="{00000000-0004-0000-0B00-00005C000000}"/>
    <hyperlink ref="EF5" r:id="rId94" xr:uid="{00000000-0004-0000-0B00-00005D000000}"/>
    <hyperlink ref="EJ5" r:id="rId95" xr:uid="{00000000-0004-0000-0B00-00005E000000}"/>
    <hyperlink ref="EL5" r:id="rId96" xr:uid="{00000000-0004-0000-0B00-00005F000000}"/>
    <hyperlink ref="EN5" r:id="rId97" xr:uid="{00000000-0004-0000-0B00-000060000000}"/>
    <hyperlink ref="ET5" r:id="rId98" xr:uid="{00000000-0004-0000-0B00-000061000000}"/>
    <hyperlink ref="EV5" r:id="rId99" xr:uid="{00000000-0004-0000-0B00-000062000000}"/>
    <hyperlink ref="EX5" r:id="rId100" xr:uid="{00000000-0004-0000-0B00-000063000000}"/>
    <hyperlink ref="FB5" r:id="rId101" xr:uid="{00000000-0004-0000-0B00-000064000000}"/>
    <hyperlink ref="FH5" r:id="rId102" xr:uid="{00000000-0004-0000-0B00-000065000000}"/>
    <hyperlink ref="FJ5" r:id="rId103" xr:uid="{00000000-0004-0000-0B00-000066000000}"/>
    <hyperlink ref="FN5" r:id="rId104" xr:uid="{00000000-0004-0000-0B00-000067000000}"/>
    <hyperlink ref="FT5" r:id="rId105" xr:uid="{00000000-0004-0000-0B00-000068000000}"/>
    <hyperlink ref="FV5" r:id="rId106" xr:uid="{00000000-0004-0000-0B00-000069000000}"/>
    <hyperlink ref="FX5" r:id="rId107" xr:uid="{00000000-0004-0000-0B00-00006A000000}"/>
    <hyperlink ref="FZ5" r:id="rId108" xr:uid="{00000000-0004-0000-0B00-00006B000000}"/>
    <hyperlink ref="GD5" r:id="rId109" xr:uid="{00000000-0004-0000-0B00-00006C000000}"/>
    <hyperlink ref="GJ5" r:id="rId110" xr:uid="{00000000-0004-0000-0B00-00006D000000}"/>
    <hyperlink ref="GP5" r:id="rId111" xr:uid="{00000000-0004-0000-0B00-00006E000000}"/>
    <hyperlink ref="HD5" r:id="rId112" xr:uid="{00000000-0004-0000-0B00-00006F000000}"/>
    <hyperlink ref="HJ5" r:id="rId113" xr:uid="{00000000-0004-0000-0B00-000070000000}"/>
    <hyperlink ref="HP5" r:id="rId114" xr:uid="{00000000-0004-0000-0B00-000071000000}"/>
    <hyperlink ref="HR5" r:id="rId115" xr:uid="{00000000-0004-0000-0B00-000072000000}"/>
    <hyperlink ref="HT5" r:id="rId116" xr:uid="{00000000-0004-0000-0B00-000073000000}"/>
    <hyperlink ref="HV5" r:id="rId117" xr:uid="{00000000-0004-0000-0B00-000074000000}"/>
    <hyperlink ref="IB5" r:id="rId118" xr:uid="{00000000-0004-0000-0B00-000075000000}"/>
    <hyperlink ref="ID5" r:id="rId119" xr:uid="{00000000-0004-0000-0B00-000076000000}"/>
    <hyperlink ref="IH5" r:id="rId120" xr:uid="{00000000-0004-0000-0B00-000077000000}"/>
    <hyperlink ref="IP5" r:id="rId121" xr:uid="{00000000-0004-0000-0B00-000078000000}"/>
    <hyperlink ref="IR5" r:id="rId122" xr:uid="{00000000-0004-0000-0B00-000079000000}"/>
    <hyperlink ref="IZ5" r:id="rId123" xr:uid="{00000000-0004-0000-0B00-00007A000000}"/>
    <hyperlink ref="JD5" r:id="rId124" xr:uid="{00000000-0004-0000-0B00-00007B000000}"/>
    <hyperlink ref="JF5" r:id="rId125" xr:uid="{00000000-0004-0000-0B00-00007C000000}"/>
    <hyperlink ref="JP5" r:id="rId126" xr:uid="{00000000-0004-0000-0B00-00007D000000}"/>
    <hyperlink ref="JR5" r:id="rId127" xr:uid="{00000000-0004-0000-0B00-00007E000000}"/>
    <hyperlink ref="JX5" r:id="rId128" xr:uid="{00000000-0004-0000-0B00-00007F000000}"/>
    <hyperlink ref="KD5" r:id="rId129" xr:uid="{00000000-0004-0000-0B00-000080000000}"/>
    <hyperlink ref="KF5" r:id="rId130" xr:uid="{00000000-0004-0000-0B00-000081000000}"/>
    <hyperlink ref="LF5" r:id="rId131" xr:uid="{00000000-0004-0000-0B00-000082000000}"/>
    <hyperlink ref="LJ5" r:id="rId132" xr:uid="{00000000-0004-0000-0B00-000083000000}"/>
    <hyperlink ref="LN5" r:id="rId133" xr:uid="{00000000-0004-0000-0B00-000084000000}"/>
    <hyperlink ref="LR5" r:id="rId134" xr:uid="{00000000-0004-0000-0B00-000085000000}"/>
    <hyperlink ref="LZ5" r:id="rId135" xr:uid="{00000000-0004-0000-0B00-000086000000}"/>
    <hyperlink ref="MB5" r:id="rId136" xr:uid="{00000000-0004-0000-0B00-000087000000}"/>
    <hyperlink ref="MH5" r:id="rId137" xr:uid="{00000000-0004-0000-0B00-000088000000}"/>
    <hyperlink ref="MN5" r:id="rId138" xr:uid="{00000000-0004-0000-0B00-000089000000}"/>
    <hyperlink ref="ND5" r:id="rId139" xr:uid="{00000000-0004-0000-0B00-00008A000000}"/>
    <hyperlink ref="NH5" r:id="rId140" xr:uid="{00000000-0004-0000-0B00-00008B000000}"/>
    <hyperlink ref="NZ5" r:id="rId141" xr:uid="{00000000-0004-0000-0B00-00008C000000}"/>
    <hyperlink ref="OB5" r:id="rId142" xr:uid="{00000000-0004-0000-0B00-00008D000000}"/>
    <hyperlink ref="OJ5" r:id="rId143" xr:uid="{00000000-0004-0000-0B00-00008E000000}"/>
    <hyperlink ref="OP5" r:id="rId144" xr:uid="{00000000-0004-0000-0B00-00008F000000}"/>
    <hyperlink ref="OV5" r:id="rId145" xr:uid="{00000000-0004-0000-0B00-000090000000}"/>
    <hyperlink ref="OX5" r:id="rId146" xr:uid="{00000000-0004-0000-0B00-000091000000}"/>
    <hyperlink ref="PN5" r:id="rId147" xr:uid="{00000000-0004-0000-0B00-000092000000}"/>
    <hyperlink ref="PP5" r:id="rId148" xr:uid="{00000000-0004-0000-0B00-000093000000}"/>
    <hyperlink ref="PT5" r:id="rId149" xr:uid="{00000000-0004-0000-0B00-000094000000}"/>
    <hyperlink ref="QD5" r:id="rId150" xr:uid="{00000000-0004-0000-0B00-000095000000}"/>
    <hyperlink ref="QF5" r:id="rId151" xr:uid="{00000000-0004-0000-0B00-000096000000}"/>
    <hyperlink ref="QH5" r:id="rId152" xr:uid="{00000000-0004-0000-0B00-000097000000}"/>
    <hyperlink ref="QN5" r:id="rId153" xr:uid="{00000000-0004-0000-0B00-000098000000}"/>
    <hyperlink ref="QP5" r:id="rId154" xr:uid="{00000000-0004-0000-0B00-000099000000}"/>
    <hyperlink ref="QR5" r:id="rId155" xr:uid="{00000000-0004-0000-0B00-00009A000000}"/>
    <hyperlink ref="QV5" r:id="rId156" xr:uid="{00000000-0004-0000-0B00-00009B000000}"/>
    <hyperlink ref="QX5" r:id="rId157" xr:uid="{00000000-0004-0000-0B00-00009C000000}"/>
    <hyperlink ref="RF5" r:id="rId158" xr:uid="{00000000-0004-0000-0B00-00009D000000}"/>
    <hyperlink ref="RJ5" r:id="rId159" xr:uid="{00000000-0004-0000-0B00-00009E000000}"/>
    <hyperlink ref="RT5" r:id="rId160" xr:uid="{00000000-0004-0000-0B00-00009F000000}"/>
    <hyperlink ref="RV5" r:id="rId161" xr:uid="{00000000-0004-0000-0B00-0000A0000000}"/>
    <hyperlink ref="RX5" r:id="rId162" xr:uid="{00000000-0004-0000-0B00-0000A1000000}"/>
    <hyperlink ref="SH5" r:id="rId163" xr:uid="{00000000-0004-0000-0B00-0000A2000000}"/>
    <hyperlink ref="SP5" r:id="rId164" xr:uid="{00000000-0004-0000-0B00-0000A3000000}"/>
    <hyperlink ref="ST5" r:id="rId165" xr:uid="{00000000-0004-0000-0B00-0000A4000000}"/>
    <hyperlink ref="TB5" r:id="rId166" xr:uid="{00000000-0004-0000-0B00-0000A5000000}"/>
    <hyperlink ref="TF5" r:id="rId167" xr:uid="{00000000-0004-0000-0B00-0000A6000000}"/>
    <hyperlink ref="TR5" r:id="rId168" xr:uid="{00000000-0004-0000-0B00-0000A7000000}"/>
    <hyperlink ref="TT5" r:id="rId169" xr:uid="{00000000-0004-0000-0B00-0000A8000000}"/>
    <hyperlink ref="UH5" r:id="rId170" xr:uid="{00000000-0004-0000-0B00-0000A9000000}"/>
    <hyperlink ref="UN5" r:id="rId171" xr:uid="{00000000-0004-0000-0B00-0000AA000000}"/>
    <hyperlink ref="UP5" r:id="rId172" xr:uid="{00000000-0004-0000-0B00-0000AB000000}"/>
    <hyperlink ref="UV5" r:id="rId173" xr:uid="{00000000-0004-0000-0B00-0000AC000000}"/>
    <hyperlink ref="VB5" r:id="rId174" xr:uid="{00000000-0004-0000-0B00-0000AD000000}"/>
    <hyperlink ref="VD5" r:id="rId175" xr:uid="{00000000-0004-0000-0B00-0000AE000000}"/>
    <hyperlink ref="VL5" r:id="rId176" xr:uid="{00000000-0004-0000-0B00-0000AF000000}"/>
    <hyperlink ref="VP5" r:id="rId177" xr:uid="{00000000-0004-0000-0B00-0000B0000000}"/>
    <hyperlink ref="VR5" r:id="rId178" xr:uid="{00000000-0004-0000-0B00-0000B1000000}"/>
    <hyperlink ref="WD5" r:id="rId179" xr:uid="{00000000-0004-0000-0B00-0000B2000000}"/>
    <hyperlink ref="WJ5" r:id="rId180" xr:uid="{00000000-0004-0000-0B00-0000B3000000}"/>
    <hyperlink ref="XB5" r:id="rId181" xr:uid="{00000000-0004-0000-0B00-0000B4000000}"/>
    <hyperlink ref="XP5" r:id="rId182" xr:uid="{00000000-0004-0000-0B00-0000B5000000}"/>
    <hyperlink ref="YB5" r:id="rId183" xr:uid="{00000000-0004-0000-0B00-0000B6000000}"/>
    <hyperlink ref="AV6" r:id="rId184" xr:uid="{00000000-0004-0000-0B00-0000B7000000}"/>
    <hyperlink ref="CN6" r:id="rId185" xr:uid="{00000000-0004-0000-0B00-0000B8000000}"/>
    <hyperlink ref="DR6" r:id="rId186" xr:uid="{00000000-0004-0000-0B00-0000B9000000}"/>
    <hyperlink ref="FJ6" r:id="rId187" xr:uid="{00000000-0004-0000-0B00-0000BA000000}"/>
    <hyperlink ref="HD6" r:id="rId188" xr:uid="{00000000-0004-0000-0B00-0000BB000000}"/>
    <hyperlink ref="HV6" r:id="rId189" xr:uid="{00000000-0004-0000-0B00-0000BC000000}"/>
    <hyperlink ref="JX6" r:id="rId190" xr:uid="{00000000-0004-0000-0B00-0000BD000000}"/>
    <hyperlink ref="MN6" r:id="rId191" xr:uid="{00000000-0004-0000-0B00-0000BE000000}"/>
    <hyperlink ref="PT6" r:id="rId192" xr:uid="{00000000-0004-0000-0B00-0000BF000000}"/>
    <hyperlink ref="RF6" r:id="rId193" xr:uid="{00000000-0004-0000-0B00-0000C0000000}"/>
    <hyperlink ref="TF6" r:id="rId194" xr:uid="{00000000-0004-0000-0B00-0000C1000000}"/>
    <hyperlink ref="TT6" r:id="rId195" xr:uid="{00000000-0004-0000-0B00-0000C2000000}"/>
    <hyperlink ref="UP6" r:id="rId196" xr:uid="{00000000-0004-0000-0B00-0000C3000000}"/>
    <hyperlink ref="UV6" r:id="rId197" xr:uid="{00000000-0004-0000-0B00-0000C4000000}"/>
    <hyperlink ref="VR6" r:id="rId198" xr:uid="{00000000-0004-0000-0B00-0000C5000000}"/>
    <hyperlink ref="WD6" r:id="rId199" xr:uid="{00000000-0004-0000-0B00-0000C6000000}"/>
    <hyperlink ref="YB6" r:id="rId200" xr:uid="{00000000-0004-0000-0B00-0000C7000000}"/>
    <hyperlink ref="VR7" r:id="rId201" xr:uid="{00000000-0004-0000-0B00-0000C8000000}"/>
    <hyperlink ref="YB7" r:id="rId202" xr:uid="{00000000-0004-0000-0B00-0000C9000000}"/>
    <hyperlink ref="D8" r:id="rId203" xr:uid="{00000000-0004-0000-0B00-0000CA000000}"/>
    <hyperlink ref="L8" r:id="rId204" xr:uid="{00000000-0004-0000-0B00-0000CB000000}"/>
    <hyperlink ref="AB8" r:id="rId205" xr:uid="{00000000-0004-0000-0B00-0000CC000000}"/>
    <hyperlink ref="AX8" r:id="rId206" xr:uid="{00000000-0004-0000-0B00-0000CD000000}"/>
    <hyperlink ref="BB8" r:id="rId207" xr:uid="{00000000-0004-0000-0B00-0000CE000000}"/>
    <hyperlink ref="BL8" r:id="rId208" xr:uid="{00000000-0004-0000-0B00-0000CF000000}"/>
    <hyperlink ref="BZ8" r:id="rId209" xr:uid="{00000000-0004-0000-0B00-0000D0000000}"/>
    <hyperlink ref="CF8" r:id="rId210" xr:uid="{00000000-0004-0000-0B00-0000D1000000}"/>
    <hyperlink ref="CN8" r:id="rId211" xr:uid="{00000000-0004-0000-0B00-0000D2000000}"/>
    <hyperlink ref="CR8" r:id="rId212" xr:uid="{00000000-0004-0000-0B00-0000D3000000}"/>
    <hyperlink ref="DL8" r:id="rId213" xr:uid="{00000000-0004-0000-0B00-0000D4000000}"/>
    <hyperlink ref="DP8" r:id="rId214" xr:uid="{00000000-0004-0000-0B00-0000D5000000}"/>
    <hyperlink ref="EF8" r:id="rId215" xr:uid="{00000000-0004-0000-0B00-0000D6000000}"/>
    <hyperlink ref="EL8" r:id="rId216" xr:uid="{00000000-0004-0000-0B00-0000D7000000}"/>
    <hyperlink ref="FF8" r:id="rId217" xr:uid="{00000000-0004-0000-0B00-0000D8000000}"/>
    <hyperlink ref="FJ8" r:id="rId218" xr:uid="{00000000-0004-0000-0B00-0000D9000000}"/>
    <hyperlink ref="FL8" r:id="rId219" xr:uid="{00000000-0004-0000-0B00-0000DA000000}"/>
    <hyperlink ref="FN8" r:id="rId220" xr:uid="{00000000-0004-0000-0B00-0000DB000000}"/>
    <hyperlink ref="FV8" r:id="rId221" xr:uid="{00000000-0004-0000-0B00-0000DC000000}"/>
    <hyperlink ref="GR8" r:id="rId222" xr:uid="{00000000-0004-0000-0B00-0000DD000000}"/>
    <hyperlink ref="HF8" r:id="rId223" xr:uid="{00000000-0004-0000-0B00-0000DE000000}"/>
    <hyperlink ref="HT8" r:id="rId224" xr:uid="{00000000-0004-0000-0B00-0000DF000000}"/>
    <hyperlink ref="HV8" r:id="rId225" xr:uid="{00000000-0004-0000-0B00-0000E0000000}"/>
    <hyperlink ref="IF8" r:id="rId226" xr:uid="{00000000-0004-0000-0B00-0000E1000000}"/>
    <hyperlink ref="IR8" r:id="rId227" xr:uid="{00000000-0004-0000-0B00-0000E2000000}"/>
    <hyperlink ref="IX8" r:id="rId228" xr:uid="{00000000-0004-0000-0B00-0000E3000000}"/>
    <hyperlink ref="JB8" r:id="rId229" xr:uid="{00000000-0004-0000-0B00-0000E4000000}"/>
    <hyperlink ref="JF8" r:id="rId230" xr:uid="{00000000-0004-0000-0B00-0000E5000000}"/>
    <hyperlink ref="JP8" r:id="rId231" xr:uid="{00000000-0004-0000-0B00-0000E6000000}"/>
    <hyperlink ref="KD8" r:id="rId232" xr:uid="{00000000-0004-0000-0B00-0000E7000000}"/>
    <hyperlink ref="KN8" r:id="rId233" xr:uid="{00000000-0004-0000-0B00-0000E8000000}"/>
    <hyperlink ref="KP8" r:id="rId234" xr:uid="{00000000-0004-0000-0B00-0000E9000000}"/>
    <hyperlink ref="KR8" r:id="rId235" xr:uid="{00000000-0004-0000-0B00-0000EA000000}"/>
    <hyperlink ref="LB8" r:id="rId236" xr:uid="{00000000-0004-0000-0B00-0000EB000000}"/>
    <hyperlink ref="LN8" r:id="rId237" xr:uid="{00000000-0004-0000-0B00-0000EC000000}"/>
    <hyperlink ref="LP8" r:id="rId238" xr:uid="{00000000-0004-0000-0B00-0000ED000000}"/>
    <hyperlink ref="LZ8" r:id="rId239" xr:uid="{00000000-0004-0000-0B00-0000EE000000}"/>
    <hyperlink ref="MN8" r:id="rId240" xr:uid="{00000000-0004-0000-0B00-0000EF000000}"/>
    <hyperlink ref="MT8" r:id="rId241" xr:uid="{00000000-0004-0000-0B00-0000F0000000}"/>
    <hyperlink ref="MX8" r:id="rId242" xr:uid="{00000000-0004-0000-0B00-0000F1000000}"/>
    <hyperlink ref="MZ8" r:id="rId243" xr:uid="{00000000-0004-0000-0B00-0000F2000000}"/>
    <hyperlink ref="NB8" r:id="rId244" xr:uid="{00000000-0004-0000-0B00-0000F3000000}"/>
    <hyperlink ref="NP8" r:id="rId245" xr:uid="{00000000-0004-0000-0B00-0000F4000000}"/>
    <hyperlink ref="OJ8" r:id="rId246" xr:uid="{00000000-0004-0000-0B00-0000F5000000}"/>
    <hyperlink ref="OV8" r:id="rId247" xr:uid="{00000000-0004-0000-0B00-0000F6000000}"/>
    <hyperlink ref="OZ8" r:id="rId248" xr:uid="{00000000-0004-0000-0B00-0000F7000000}"/>
    <hyperlink ref="PH8" r:id="rId249" xr:uid="{00000000-0004-0000-0B00-0000F8000000}"/>
    <hyperlink ref="PN8" r:id="rId250" xr:uid="{00000000-0004-0000-0B00-0000F9000000}"/>
    <hyperlink ref="PR8" r:id="rId251" xr:uid="{00000000-0004-0000-0B00-0000FA000000}"/>
    <hyperlink ref="PZ8" r:id="rId252" xr:uid="{00000000-0004-0000-0B00-0000FB000000}"/>
    <hyperlink ref="QF8" r:id="rId253" xr:uid="{00000000-0004-0000-0B00-0000FC000000}"/>
    <hyperlink ref="QT8" r:id="rId254" xr:uid="{00000000-0004-0000-0B00-0000FD000000}"/>
    <hyperlink ref="RH8" r:id="rId255" xr:uid="{00000000-0004-0000-0B00-0000FE000000}"/>
    <hyperlink ref="RT8" r:id="rId256" xr:uid="{00000000-0004-0000-0B00-0000FF000000}"/>
    <hyperlink ref="SF8" r:id="rId257" xr:uid="{00000000-0004-0000-0B00-000000010000}"/>
    <hyperlink ref="TP8" r:id="rId258" xr:uid="{00000000-0004-0000-0B00-000001010000}"/>
    <hyperlink ref="TR8" r:id="rId259" xr:uid="{00000000-0004-0000-0B00-000002010000}"/>
    <hyperlink ref="UH8" r:id="rId260" xr:uid="{00000000-0004-0000-0B00-000003010000}"/>
    <hyperlink ref="UN8" r:id="rId261" xr:uid="{00000000-0004-0000-0B00-000004010000}"/>
    <hyperlink ref="UT8" r:id="rId262" xr:uid="{00000000-0004-0000-0B00-000005010000}"/>
    <hyperlink ref="VH8" r:id="rId263" xr:uid="{00000000-0004-0000-0B00-000006010000}"/>
    <hyperlink ref="WD8" r:id="rId264" xr:uid="{00000000-0004-0000-0B00-000007010000}"/>
    <hyperlink ref="WH8" r:id="rId265" xr:uid="{00000000-0004-0000-0B00-000008010000}"/>
    <hyperlink ref="WN8" r:id="rId266" xr:uid="{00000000-0004-0000-0B00-000009010000}"/>
    <hyperlink ref="WP8" r:id="rId267" xr:uid="{00000000-0004-0000-0B00-00000A010000}"/>
    <hyperlink ref="XB8" r:id="rId268" xr:uid="{00000000-0004-0000-0B00-00000B010000}"/>
    <hyperlink ref="XP8" r:id="rId269" xr:uid="{00000000-0004-0000-0B00-00000C010000}"/>
    <hyperlink ref="XR8" r:id="rId270" xr:uid="{00000000-0004-0000-0B00-00000D010000}"/>
    <hyperlink ref="YD8" r:id="rId271" xr:uid="{00000000-0004-0000-0B00-00000E010000}"/>
    <hyperlink ref="L9" r:id="rId272" xr:uid="{00000000-0004-0000-0B00-00000F010000}"/>
    <hyperlink ref="DL9" r:id="rId273" xr:uid="{00000000-0004-0000-0B00-000010010000}"/>
    <hyperlink ref="FJ9" r:id="rId274" xr:uid="{00000000-0004-0000-0B00-000011010000}"/>
    <hyperlink ref="KD9" r:id="rId275" xr:uid="{00000000-0004-0000-0B00-000012010000}"/>
    <hyperlink ref="KP9" r:id="rId276" xr:uid="{00000000-0004-0000-0B00-000013010000}"/>
    <hyperlink ref="MT9" r:id="rId277" xr:uid="{00000000-0004-0000-0B00-000014010000}"/>
    <hyperlink ref="QT9" r:id="rId278" xr:uid="{00000000-0004-0000-0B00-000015010000}"/>
    <hyperlink ref="RT9" r:id="rId279" xr:uid="{00000000-0004-0000-0B00-000016010000}"/>
    <hyperlink ref="TR9" r:id="rId280" xr:uid="{00000000-0004-0000-0B00-000017010000}"/>
    <hyperlink ref="WP9" r:id="rId281" xr:uid="{00000000-0004-0000-0B00-000018010000}"/>
    <hyperlink ref="H10" r:id="rId282" xr:uid="{00000000-0004-0000-0B00-000019010000}"/>
    <hyperlink ref="J10" r:id="rId283" xr:uid="{00000000-0004-0000-0B00-00001A010000}"/>
    <hyperlink ref="P10" r:id="rId284" xr:uid="{00000000-0004-0000-0B00-00001B010000}"/>
    <hyperlink ref="X10" r:id="rId285" xr:uid="{00000000-0004-0000-0B00-00001C010000}"/>
    <hyperlink ref="BH10" r:id="rId286" xr:uid="{00000000-0004-0000-0B00-00001D010000}"/>
    <hyperlink ref="BX10" r:id="rId287" xr:uid="{00000000-0004-0000-0B00-00001E010000}"/>
    <hyperlink ref="CL10" r:id="rId288" xr:uid="{00000000-0004-0000-0B00-00001F010000}"/>
    <hyperlink ref="DH10" r:id="rId289" xr:uid="{00000000-0004-0000-0B00-000020010000}"/>
    <hyperlink ref="DR10" r:id="rId290" xr:uid="{00000000-0004-0000-0B00-000021010000}"/>
    <hyperlink ref="EF10" r:id="rId291" xr:uid="{00000000-0004-0000-0B00-000022010000}"/>
    <hyperlink ref="EH10" r:id="rId292" xr:uid="{00000000-0004-0000-0B00-000023010000}"/>
    <hyperlink ref="FJ10" r:id="rId293" xr:uid="{00000000-0004-0000-0B00-000024010000}"/>
    <hyperlink ref="FV10" r:id="rId294" xr:uid="{00000000-0004-0000-0B00-000025010000}"/>
    <hyperlink ref="FZ10" r:id="rId295" xr:uid="{00000000-0004-0000-0B00-000026010000}"/>
    <hyperlink ref="HP10" r:id="rId296" xr:uid="{00000000-0004-0000-0B00-000027010000}"/>
    <hyperlink ref="HV10" r:id="rId297" xr:uid="{00000000-0004-0000-0B00-000028010000}"/>
    <hyperlink ref="IB10" r:id="rId298" xr:uid="{00000000-0004-0000-0B00-000029010000}"/>
    <hyperlink ref="JN10" r:id="rId299" xr:uid="{00000000-0004-0000-0B00-00002A010000}"/>
    <hyperlink ref="JX10" r:id="rId300" xr:uid="{00000000-0004-0000-0B00-00002B010000}"/>
    <hyperlink ref="KX10" r:id="rId301" xr:uid="{00000000-0004-0000-0B00-00002C010000}"/>
    <hyperlink ref="LD10" r:id="rId302" xr:uid="{00000000-0004-0000-0B00-00002D010000}"/>
    <hyperlink ref="LJ10" r:id="rId303" xr:uid="{00000000-0004-0000-0B00-00002E010000}"/>
    <hyperlink ref="LP10" r:id="rId304" xr:uid="{00000000-0004-0000-0B00-00002F010000}"/>
    <hyperlink ref="LR10" r:id="rId305" xr:uid="{00000000-0004-0000-0B00-000030010000}"/>
    <hyperlink ref="LV10" r:id="rId306" xr:uid="{00000000-0004-0000-0B00-000031010000}"/>
    <hyperlink ref="NL10" r:id="rId307" xr:uid="{00000000-0004-0000-0B00-000032010000}"/>
    <hyperlink ref="NT10" r:id="rId308" xr:uid="{00000000-0004-0000-0B00-000033010000}"/>
    <hyperlink ref="OJ10" r:id="rId309" xr:uid="{00000000-0004-0000-0B00-000034010000}"/>
    <hyperlink ref="OR10" r:id="rId310" xr:uid="{00000000-0004-0000-0B00-000035010000}"/>
    <hyperlink ref="PL10" r:id="rId311" xr:uid="{00000000-0004-0000-0B00-000036010000}"/>
    <hyperlink ref="QB10" r:id="rId312" xr:uid="{00000000-0004-0000-0B00-000037010000}"/>
    <hyperlink ref="QN10" r:id="rId313" xr:uid="{00000000-0004-0000-0B00-000038010000}"/>
    <hyperlink ref="RD10" r:id="rId314" xr:uid="{00000000-0004-0000-0B00-000039010000}"/>
    <hyperlink ref="RP10" r:id="rId315" xr:uid="{00000000-0004-0000-0B00-00003A010000}"/>
    <hyperlink ref="SD10" r:id="rId316" xr:uid="{00000000-0004-0000-0B00-00003B010000}"/>
    <hyperlink ref="SN10" r:id="rId317" xr:uid="{00000000-0004-0000-0B00-00003C010000}"/>
    <hyperlink ref="SZ10" r:id="rId318" xr:uid="{00000000-0004-0000-0B00-00003D010000}"/>
    <hyperlink ref="TJ10" r:id="rId319" xr:uid="{00000000-0004-0000-0B00-00003E010000}"/>
    <hyperlink ref="TN10" r:id="rId320" xr:uid="{00000000-0004-0000-0B00-00003F010000}"/>
    <hyperlink ref="UB10" r:id="rId321" xr:uid="{00000000-0004-0000-0B00-000040010000}"/>
    <hyperlink ref="UP10" r:id="rId322" xr:uid="{00000000-0004-0000-0B00-000041010000}"/>
    <hyperlink ref="UZ10" r:id="rId323" xr:uid="{00000000-0004-0000-0B00-000042010000}"/>
    <hyperlink ref="VJ10" r:id="rId324" xr:uid="{00000000-0004-0000-0B00-000043010000}"/>
    <hyperlink ref="VV10" r:id="rId325" xr:uid="{00000000-0004-0000-0B00-000044010000}"/>
    <hyperlink ref="VZ10" r:id="rId326" xr:uid="{00000000-0004-0000-0B00-000045010000}"/>
    <hyperlink ref="WH10" r:id="rId327" xr:uid="{00000000-0004-0000-0B00-000046010000}"/>
    <hyperlink ref="WL10" r:id="rId328" xr:uid="{00000000-0004-0000-0B00-000047010000}"/>
    <hyperlink ref="WZ10" r:id="rId329" xr:uid="{00000000-0004-0000-0B00-000048010000}"/>
    <hyperlink ref="XJ10" r:id="rId330" xr:uid="{00000000-0004-0000-0B00-000049010000}"/>
    <hyperlink ref="XL10" r:id="rId331" xr:uid="{00000000-0004-0000-0B00-00004A010000}"/>
    <hyperlink ref="XN10" r:id="rId332" xr:uid="{00000000-0004-0000-0B00-00004B010000}"/>
    <hyperlink ref="VJ11" r:id="rId333" xr:uid="{00000000-0004-0000-0B00-00004C010000}"/>
    <hyperlink ref="XN11" r:id="rId334" xr:uid="{00000000-0004-0000-0B00-00004D010000}"/>
    <hyperlink ref="FZ12" r:id="rId335" xr:uid="{00000000-0004-0000-0B00-00004E010000}"/>
    <hyperlink ref="IB12" r:id="rId336" xr:uid="{00000000-0004-0000-0B00-00004F010000}"/>
    <hyperlink ref="NL12" r:id="rId337" xr:uid="{00000000-0004-0000-0B00-000050010000}"/>
    <hyperlink ref="OJ12" r:id="rId338" xr:uid="{00000000-0004-0000-0B00-000051010000}"/>
    <hyperlink ref="RD12" r:id="rId339" xr:uid="{00000000-0004-0000-0B00-000052010000}"/>
    <hyperlink ref="SD12" r:id="rId340" xr:uid="{00000000-0004-0000-0B00-000053010000}"/>
    <hyperlink ref="SN12" r:id="rId341" xr:uid="{00000000-0004-0000-0B00-000054010000}"/>
    <hyperlink ref="TN12" r:id="rId342" xr:uid="{00000000-0004-0000-0B00-000055010000}"/>
    <hyperlink ref="UP12" r:id="rId343" xr:uid="{00000000-0004-0000-0B00-000056010000}"/>
    <hyperlink ref="VJ12" r:id="rId344" xr:uid="{00000000-0004-0000-0B00-000057010000}"/>
    <hyperlink ref="WH12" r:id="rId345" xr:uid="{00000000-0004-0000-0B00-000058010000}"/>
    <hyperlink ref="XN12" r:id="rId346" xr:uid="{00000000-0004-0000-0B00-000059010000}"/>
    <hyperlink ref="AD14" r:id="rId347" xr:uid="{00000000-0004-0000-0B00-00005A010000}"/>
    <hyperlink ref="AR14" r:id="rId348" xr:uid="{00000000-0004-0000-0B00-00005B010000}"/>
    <hyperlink ref="BZ14" r:id="rId349" xr:uid="{00000000-0004-0000-0B00-00005C010000}"/>
    <hyperlink ref="CF14" r:id="rId350" xr:uid="{00000000-0004-0000-0B00-00005D010000}"/>
    <hyperlink ref="CP14" r:id="rId351" xr:uid="{00000000-0004-0000-0B00-00005E010000}"/>
    <hyperlink ref="CR14" r:id="rId352" xr:uid="{00000000-0004-0000-0B00-00005F010000}"/>
    <hyperlink ref="DF14" r:id="rId353" xr:uid="{00000000-0004-0000-0B00-000060010000}"/>
    <hyperlink ref="DN14" r:id="rId354" xr:uid="{00000000-0004-0000-0B00-000061010000}"/>
    <hyperlink ref="EF14" r:id="rId355" xr:uid="{00000000-0004-0000-0B00-000062010000}"/>
    <hyperlink ref="ET14" r:id="rId356" xr:uid="{00000000-0004-0000-0B00-000063010000}"/>
    <hyperlink ref="FH14" r:id="rId357" xr:uid="{00000000-0004-0000-0B00-000064010000}"/>
    <hyperlink ref="FT14" r:id="rId358" xr:uid="{00000000-0004-0000-0B00-000065010000}"/>
    <hyperlink ref="GB14" r:id="rId359" xr:uid="{00000000-0004-0000-0B00-000066010000}"/>
    <hyperlink ref="HN14" r:id="rId360" xr:uid="{00000000-0004-0000-0B00-000067010000}"/>
    <hyperlink ref="HT14" r:id="rId361" xr:uid="{00000000-0004-0000-0B00-000068010000}"/>
    <hyperlink ref="HZ14" r:id="rId362" xr:uid="{00000000-0004-0000-0B00-000069010000}"/>
    <hyperlink ref="IZ14" r:id="rId363" xr:uid="{00000000-0004-0000-0B00-00006A010000}"/>
    <hyperlink ref="JL14" r:id="rId364" xr:uid="{00000000-0004-0000-0B00-00006B010000}"/>
    <hyperlink ref="JX14" r:id="rId365" xr:uid="{00000000-0004-0000-0B00-00006C010000}"/>
    <hyperlink ref="KL14" r:id="rId366" xr:uid="{00000000-0004-0000-0B00-00006D010000}"/>
    <hyperlink ref="KT14" r:id="rId367" xr:uid="{00000000-0004-0000-0B00-00006E010000}"/>
    <hyperlink ref="KV14" r:id="rId368" xr:uid="{00000000-0004-0000-0B00-00006F010000}"/>
    <hyperlink ref="LP14" r:id="rId369" xr:uid="{00000000-0004-0000-0B00-000070010000}"/>
    <hyperlink ref="LR14" r:id="rId370" xr:uid="{00000000-0004-0000-0B00-000071010000}"/>
    <hyperlink ref="LT14" r:id="rId371" xr:uid="{00000000-0004-0000-0B00-000072010000}"/>
    <hyperlink ref="MH14" r:id="rId372" xr:uid="{00000000-0004-0000-0B00-000073010000}"/>
    <hyperlink ref="MV14" r:id="rId373" xr:uid="{00000000-0004-0000-0B00-000074010000}"/>
    <hyperlink ref="NX14" r:id="rId374" xr:uid="{00000000-0004-0000-0B00-000075010000}"/>
    <hyperlink ref="OH14" r:id="rId375" xr:uid="{00000000-0004-0000-0B00-000076010000}"/>
    <hyperlink ref="PB14" r:id="rId376" xr:uid="{00000000-0004-0000-0B00-000077010000}"/>
    <hyperlink ref="PL14" r:id="rId377" xr:uid="{00000000-0004-0000-0B00-000078010000}"/>
    <hyperlink ref="QB14" r:id="rId378" xr:uid="{00000000-0004-0000-0B00-000079010000}"/>
    <hyperlink ref="QF14" r:id="rId379" xr:uid="{00000000-0004-0000-0B00-00007A010000}"/>
    <hyperlink ref="QN14" r:id="rId380" xr:uid="{00000000-0004-0000-0B00-00007B010000}"/>
    <hyperlink ref="QR14" r:id="rId381" xr:uid="{00000000-0004-0000-0B00-00007C010000}"/>
    <hyperlink ref="QV14" r:id="rId382" xr:uid="{00000000-0004-0000-0B00-00007D010000}"/>
    <hyperlink ref="RN14" r:id="rId383" xr:uid="{00000000-0004-0000-0B00-00007E010000}"/>
    <hyperlink ref="RV14" r:id="rId384" xr:uid="{00000000-0004-0000-0B00-00007F010000}"/>
    <hyperlink ref="SF14" r:id="rId385" xr:uid="{00000000-0004-0000-0B00-000080010000}"/>
    <hyperlink ref="SL14" r:id="rId386" xr:uid="{00000000-0004-0000-0B00-000081010000}"/>
    <hyperlink ref="SX14" r:id="rId387" xr:uid="{00000000-0004-0000-0B00-000082010000}"/>
    <hyperlink ref="TL14" r:id="rId388" xr:uid="{00000000-0004-0000-0B00-000083010000}"/>
    <hyperlink ref="TV14" r:id="rId389" xr:uid="{00000000-0004-0000-0B00-000084010000}"/>
    <hyperlink ref="VJ14" r:id="rId390" xr:uid="{00000000-0004-0000-0B00-000085010000}"/>
    <hyperlink ref="VX14" r:id="rId391" xr:uid="{00000000-0004-0000-0B00-000086010000}"/>
    <hyperlink ref="WJ14" r:id="rId392" xr:uid="{00000000-0004-0000-0B00-000087010000}"/>
    <hyperlink ref="XB14" r:id="rId393" xr:uid="{00000000-0004-0000-0B00-000088010000}"/>
    <hyperlink ref="XL14" r:id="rId394" xr:uid="{00000000-0004-0000-0B00-000089010000}"/>
    <hyperlink ref="XX14" r:id="rId395" xr:uid="{00000000-0004-0000-0B00-00008A010000}"/>
    <hyperlink ref="XZ14" r:id="rId396" xr:uid="{00000000-0004-0000-0B00-00008B010000}"/>
    <hyperlink ref="YD14" r:id="rId397" xr:uid="{00000000-0004-0000-0B00-00008C010000}"/>
    <hyperlink ref="XL15" r:id="rId398" xr:uid="{00000000-0004-0000-0B00-00008D010000}"/>
    <hyperlink ref="AD16" r:id="rId399" xr:uid="{00000000-0004-0000-0B00-00008E010000}"/>
    <hyperlink ref="CP16" r:id="rId400" xr:uid="{00000000-0004-0000-0B00-00008F010000}"/>
    <hyperlink ref="FT16" r:id="rId401" xr:uid="{00000000-0004-0000-0B00-000090010000}"/>
    <hyperlink ref="OH16" r:id="rId402" xr:uid="{00000000-0004-0000-0B00-000091010000}"/>
    <hyperlink ref="TL16" r:id="rId403" xr:uid="{00000000-0004-0000-0B00-000092010000}"/>
    <hyperlink ref="VJ16" r:id="rId404" xr:uid="{00000000-0004-0000-0B00-000093010000}"/>
    <hyperlink ref="XL16" r:id="rId405" xr:uid="{00000000-0004-0000-0B00-000094010000}"/>
    <hyperlink ref="AP18" r:id="rId406" xr:uid="{00000000-0004-0000-0B00-000095010000}"/>
    <hyperlink ref="BB18" r:id="rId407" xr:uid="{00000000-0004-0000-0B00-000096010000}"/>
    <hyperlink ref="BP18" r:id="rId408" xr:uid="{00000000-0004-0000-0B00-000097010000}"/>
    <hyperlink ref="BZ18" r:id="rId409" xr:uid="{00000000-0004-0000-0B00-000098010000}"/>
    <hyperlink ref="CD18" r:id="rId410" xr:uid="{00000000-0004-0000-0B00-000099010000}"/>
    <hyperlink ref="CP18" r:id="rId411" xr:uid="{00000000-0004-0000-0B00-00009A010000}"/>
    <hyperlink ref="DD18" r:id="rId412" xr:uid="{00000000-0004-0000-0B00-00009B010000}"/>
    <hyperlink ref="DP18" r:id="rId413" xr:uid="{00000000-0004-0000-0B00-00009C010000}"/>
    <hyperlink ref="ED18" r:id="rId414" xr:uid="{00000000-0004-0000-0B00-00009D010000}"/>
    <hyperlink ref="EJ18" r:id="rId415" xr:uid="{00000000-0004-0000-0B00-00009E010000}"/>
    <hyperlink ref="ER18" r:id="rId416" xr:uid="{00000000-0004-0000-0B00-00009F010000}"/>
    <hyperlink ref="FH18" r:id="rId417" xr:uid="{00000000-0004-0000-0B00-0000A0010000}"/>
    <hyperlink ref="FJ18" r:id="rId418" xr:uid="{00000000-0004-0000-0B00-0000A1010000}"/>
    <hyperlink ref="FR18" r:id="rId419" xr:uid="{00000000-0004-0000-0B00-0000A2010000}"/>
    <hyperlink ref="GB18" r:id="rId420" xr:uid="{00000000-0004-0000-0B00-0000A3010000}"/>
    <hyperlink ref="GD18" r:id="rId421" xr:uid="{00000000-0004-0000-0B00-0000A4010000}"/>
    <hyperlink ref="HL18" r:id="rId422" xr:uid="{00000000-0004-0000-0B00-0000A5010000}"/>
    <hyperlink ref="KV18" r:id="rId423" xr:uid="{00000000-0004-0000-0B00-0000A6010000}"/>
    <hyperlink ref="LF18" r:id="rId424" xr:uid="{00000000-0004-0000-0B00-0000A7010000}"/>
    <hyperlink ref="LP18" r:id="rId425" xr:uid="{00000000-0004-0000-0B00-0000A8010000}"/>
    <hyperlink ref="LR18" r:id="rId426" xr:uid="{00000000-0004-0000-0B00-0000A9010000}"/>
    <hyperlink ref="MF18" r:id="rId427" xr:uid="{00000000-0004-0000-0B00-0000AA010000}"/>
    <hyperlink ref="NT18" r:id="rId428" xr:uid="{00000000-0004-0000-0B00-0000AB010000}"/>
    <hyperlink ref="PD18" r:id="rId429" xr:uid="{00000000-0004-0000-0B00-0000AC010000}"/>
    <hyperlink ref="PX18" r:id="rId430" xr:uid="{00000000-0004-0000-0B00-0000AD010000}"/>
    <hyperlink ref="QL18" r:id="rId431" xr:uid="{00000000-0004-0000-0B00-0000AE010000}"/>
    <hyperlink ref="RV18" r:id="rId432" xr:uid="{00000000-0004-0000-0B00-0000AF010000}"/>
    <hyperlink ref="TJ18" r:id="rId433" xr:uid="{00000000-0004-0000-0B00-0000B0010000}"/>
    <hyperlink ref="TR18" r:id="rId434" xr:uid="{00000000-0004-0000-0B00-0000B1010000}"/>
    <hyperlink ref="TV18" r:id="rId435" xr:uid="{00000000-0004-0000-0B00-0000B2010000}"/>
    <hyperlink ref="UL18" r:id="rId436" xr:uid="{00000000-0004-0000-0B00-0000B3010000}"/>
    <hyperlink ref="UP18" r:id="rId437" xr:uid="{00000000-0004-0000-0B00-0000B4010000}"/>
    <hyperlink ref="UX18" r:id="rId438" xr:uid="{00000000-0004-0000-0B00-0000B5010000}"/>
    <hyperlink ref="XJ18" r:id="rId439" xr:uid="{00000000-0004-0000-0B00-0000B6010000}"/>
    <hyperlink ref="XP18" r:id="rId440" xr:uid="{00000000-0004-0000-0B00-0000B7010000}"/>
    <hyperlink ref="XV18" r:id="rId441" xr:uid="{00000000-0004-0000-0B00-0000B8010000}"/>
    <hyperlink ref="YD18" r:id="rId442" xr:uid="{00000000-0004-0000-0B00-0000B9010000}"/>
    <hyperlink ref="CD19" r:id="rId443" xr:uid="{00000000-0004-0000-0B00-0000BA010000}"/>
    <hyperlink ref="FH19" r:id="rId444" xr:uid="{00000000-0004-0000-0B00-0000BB010000}"/>
    <hyperlink ref="FR19" r:id="rId445" xr:uid="{00000000-0004-0000-0B00-0000BC010000}"/>
    <hyperlink ref="GD19" r:id="rId446" xr:uid="{00000000-0004-0000-0B00-0000BD010000}"/>
    <hyperlink ref="XJ19" r:id="rId447" xr:uid="{00000000-0004-0000-0B00-0000BE010000}"/>
    <hyperlink ref="AN21" r:id="rId448" xr:uid="{00000000-0004-0000-0B00-0000BF010000}"/>
    <hyperlink ref="BH21" r:id="rId449" xr:uid="{00000000-0004-0000-0B00-0000C0010000}"/>
    <hyperlink ref="BZ21" r:id="rId450" xr:uid="{00000000-0004-0000-0B00-0000C1010000}"/>
    <hyperlink ref="CH21" r:id="rId451" xr:uid="{00000000-0004-0000-0B00-0000C2010000}"/>
    <hyperlink ref="CP21" r:id="rId452" xr:uid="{00000000-0004-0000-0B00-0000C3010000}"/>
    <hyperlink ref="DP21" r:id="rId453" xr:uid="{00000000-0004-0000-0B00-0000C4010000}"/>
    <hyperlink ref="EJ21" r:id="rId454" xr:uid="{00000000-0004-0000-0B00-0000C5010000}"/>
    <hyperlink ref="EP21" r:id="rId455" xr:uid="{00000000-0004-0000-0B00-0000C6010000}"/>
    <hyperlink ref="FJ21" r:id="rId456" xr:uid="{00000000-0004-0000-0B00-0000C7010000}"/>
    <hyperlink ref="HT21" r:id="rId457" xr:uid="{00000000-0004-0000-0B00-0000C8010000}"/>
    <hyperlink ref="ID21" r:id="rId458" xr:uid="{00000000-0004-0000-0B00-0000C9010000}"/>
    <hyperlink ref="JT21" r:id="rId459" xr:uid="{00000000-0004-0000-0B00-0000CA010000}"/>
    <hyperlink ref="KD21" r:id="rId460" xr:uid="{00000000-0004-0000-0B00-0000CB010000}"/>
    <hyperlink ref="KR21" r:id="rId461" xr:uid="{00000000-0004-0000-0B00-0000CC010000}"/>
    <hyperlink ref="KZ21" r:id="rId462" xr:uid="{00000000-0004-0000-0B00-0000CD010000}"/>
    <hyperlink ref="LF21" r:id="rId463" xr:uid="{00000000-0004-0000-0B00-0000CE010000}"/>
    <hyperlink ref="LL21" r:id="rId464" xr:uid="{00000000-0004-0000-0B00-0000CF010000}"/>
    <hyperlink ref="LP21" r:id="rId465" xr:uid="{00000000-0004-0000-0B00-0000D0010000}"/>
    <hyperlink ref="LR21" r:id="rId466" xr:uid="{00000000-0004-0000-0B00-0000D1010000}"/>
    <hyperlink ref="MD21" r:id="rId467" xr:uid="{00000000-0004-0000-0B00-0000D2010000}"/>
    <hyperlink ref="MR21" r:id="rId468" xr:uid="{00000000-0004-0000-0B00-0000D3010000}"/>
    <hyperlink ref="NF21" r:id="rId469" xr:uid="{00000000-0004-0000-0B00-0000D4010000}"/>
    <hyperlink ref="OD21" r:id="rId470" xr:uid="{00000000-0004-0000-0B00-0000D5010000}"/>
    <hyperlink ref="OF21" r:id="rId471" xr:uid="{00000000-0004-0000-0B00-0000D6010000}"/>
    <hyperlink ref="PD21" r:id="rId472" xr:uid="{00000000-0004-0000-0B00-0000D7010000}"/>
    <hyperlink ref="PV21" r:id="rId473" xr:uid="{00000000-0004-0000-0B00-0000D8010000}"/>
    <hyperlink ref="QJ21" r:id="rId474" xr:uid="{00000000-0004-0000-0B00-0000D9010000}"/>
    <hyperlink ref="QT21" r:id="rId475" xr:uid="{00000000-0004-0000-0B00-0000DA010000}"/>
    <hyperlink ref="RR21" r:id="rId476" xr:uid="{00000000-0004-0000-0B00-0000DB010000}"/>
    <hyperlink ref="RV21" r:id="rId477" xr:uid="{00000000-0004-0000-0B00-0000DC010000}"/>
    <hyperlink ref="TD21" r:id="rId478" xr:uid="{00000000-0004-0000-0B00-0000DD010000}"/>
    <hyperlink ref="TT21" r:id="rId479" xr:uid="{00000000-0004-0000-0B00-0000DE010000}"/>
    <hyperlink ref="TV21" r:id="rId480" xr:uid="{00000000-0004-0000-0B00-0000DF010000}"/>
    <hyperlink ref="UP21" r:id="rId481" xr:uid="{00000000-0004-0000-0B00-0000E0010000}"/>
    <hyperlink ref="VR21" r:id="rId482" xr:uid="{00000000-0004-0000-0B00-0000E1010000}"/>
    <hyperlink ref="XH21" r:id="rId483" xr:uid="{00000000-0004-0000-0B00-0000E2010000}"/>
    <hyperlink ref="XP21" r:id="rId484" xr:uid="{00000000-0004-0000-0B00-0000E3010000}"/>
    <hyperlink ref="YD21" r:id="rId485" xr:uid="{00000000-0004-0000-0B00-0000E4010000}"/>
    <hyperlink ref="FJ22" r:id="rId486" xr:uid="{00000000-0004-0000-0B00-0000E5010000}"/>
    <hyperlink ref="MD22" r:id="rId487" xr:uid="{00000000-0004-0000-0B00-0000E6010000}"/>
    <hyperlink ref="QJ22" r:id="rId488" xr:uid="{00000000-0004-0000-0B00-0000E7010000}"/>
    <hyperlink ref="XH22" r:id="rId489" xr:uid="{00000000-0004-0000-0B00-0000E8010000}"/>
    <hyperlink ref="XP22" r:id="rId490" xr:uid="{00000000-0004-0000-0B00-0000E9010000}"/>
    <hyperlink ref="AJ24" r:id="rId491" xr:uid="{00000000-0004-0000-0B00-0000EA010000}"/>
    <hyperlink ref="AL24" r:id="rId492" xr:uid="{00000000-0004-0000-0B00-0000EB010000}"/>
    <hyperlink ref="BZ24" r:id="rId493" xr:uid="{00000000-0004-0000-0B00-0000EC010000}"/>
    <hyperlink ref="CN24" r:id="rId494" xr:uid="{00000000-0004-0000-0B00-0000ED010000}"/>
    <hyperlink ref="DL24" r:id="rId495" xr:uid="{00000000-0004-0000-0B00-0000EE010000}"/>
    <hyperlink ref="EJ24" r:id="rId496" xr:uid="{00000000-0004-0000-0B00-0000EF010000}"/>
    <hyperlink ref="FJ24" r:id="rId497" xr:uid="{00000000-0004-0000-0B00-0000F0010000}"/>
    <hyperlink ref="FZ24" r:id="rId498" xr:uid="{00000000-0004-0000-0B00-0000F1010000}"/>
    <hyperlink ref="HF24" r:id="rId499" xr:uid="{00000000-0004-0000-0B00-0000F2010000}"/>
    <hyperlink ref="HR24" r:id="rId500" xr:uid="{00000000-0004-0000-0B00-0000F3010000}"/>
    <hyperlink ref="JR24" r:id="rId501" xr:uid="{00000000-0004-0000-0B00-0000F4010000}"/>
    <hyperlink ref="KD24" r:id="rId502" xr:uid="{00000000-0004-0000-0B00-0000F5010000}"/>
    <hyperlink ref="KP24" r:id="rId503" xr:uid="{00000000-0004-0000-0B00-0000F6010000}"/>
    <hyperlink ref="LH24" r:id="rId504" xr:uid="{00000000-0004-0000-0B00-0000F7010000}"/>
    <hyperlink ref="LN24" r:id="rId505" xr:uid="{00000000-0004-0000-0B00-0000F8010000}"/>
    <hyperlink ref="MH24" r:id="rId506" xr:uid="{00000000-0004-0000-0B00-0000F9010000}"/>
    <hyperlink ref="NB24" r:id="rId507" xr:uid="{00000000-0004-0000-0B00-0000FA010000}"/>
    <hyperlink ref="NR24" r:id="rId508" xr:uid="{00000000-0004-0000-0B00-0000FB010000}"/>
    <hyperlink ref="OJ24" r:id="rId509" xr:uid="{00000000-0004-0000-0B00-0000FC010000}"/>
    <hyperlink ref="PB24" r:id="rId510" xr:uid="{00000000-0004-0000-0B00-0000FD010000}"/>
    <hyperlink ref="QF24" r:id="rId511" xr:uid="{00000000-0004-0000-0B00-0000FE010000}"/>
    <hyperlink ref="QL24" r:id="rId512" xr:uid="{00000000-0004-0000-0B00-0000FF010000}"/>
    <hyperlink ref="RT24" r:id="rId513" xr:uid="{00000000-0004-0000-0B00-000000020000}"/>
    <hyperlink ref="SL24" r:id="rId514" xr:uid="{00000000-0004-0000-0B00-000001020000}"/>
    <hyperlink ref="TJ24" r:id="rId515" xr:uid="{00000000-0004-0000-0B00-000002020000}"/>
    <hyperlink ref="TT24" r:id="rId516" xr:uid="{00000000-0004-0000-0B00-000003020000}"/>
    <hyperlink ref="TX24" r:id="rId517" xr:uid="{00000000-0004-0000-0B00-000004020000}"/>
    <hyperlink ref="UP24" r:id="rId518" xr:uid="{00000000-0004-0000-0B00-000005020000}"/>
    <hyperlink ref="VL24" r:id="rId519" xr:uid="{00000000-0004-0000-0B00-000006020000}"/>
    <hyperlink ref="VT24" r:id="rId520" xr:uid="{00000000-0004-0000-0B00-000007020000}"/>
    <hyperlink ref="XN24" r:id="rId521" xr:uid="{00000000-0004-0000-0B00-000008020000}"/>
    <hyperlink ref="XP24" r:id="rId522" xr:uid="{00000000-0004-0000-0B00-000009020000}"/>
    <hyperlink ref="XX24" r:id="rId523" xr:uid="{00000000-0004-0000-0B00-00000A020000}"/>
    <hyperlink ref="EJ25" r:id="rId524" xr:uid="{00000000-0004-0000-0B00-00000B020000}"/>
    <hyperlink ref="HF25" r:id="rId525" xr:uid="{00000000-0004-0000-0B00-00000C020000}"/>
    <hyperlink ref="XX25" r:id="rId526" xr:uid="{00000000-0004-0000-0B00-00000D020000}"/>
    <hyperlink ref="BV26" r:id="rId527" xr:uid="{00000000-0004-0000-0B00-00000E020000}"/>
    <hyperlink ref="CJ26" r:id="rId528" xr:uid="{00000000-0004-0000-0B00-00000F020000}"/>
    <hyperlink ref="DJ26" r:id="rId529" xr:uid="{00000000-0004-0000-0B00-000010020000}"/>
    <hyperlink ref="EF26" r:id="rId530" xr:uid="{00000000-0004-0000-0B00-000011020000}"/>
    <hyperlink ref="EJ26" r:id="rId531" xr:uid="{00000000-0004-0000-0B00-000012020000}"/>
    <hyperlink ref="FJ26" r:id="rId532" xr:uid="{00000000-0004-0000-0B00-000013020000}"/>
    <hyperlink ref="FN26" r:id="rId533" xr:uid="{00000000-0004-0000-0B00-000014020000}"/>
    <hyperlink ref="FX26" r:id="rId534" xr:uid="{00000000-0004-0000-0B00-000015020000}"/>
    <hyperlink ref="HD26" r:id="rId535" xr:uid="{00000000-0004-0000-0B00-000016020000}"/>
    <hyperlink ref="HR26" r:id="rId536" xr:uid="{00000000-0004-0000-0B00-000017020000}"/>
    <hyperlink ref="JP26" r:id="rId537" xr:uid="{00000000-0004-0000-0B00-000018020000}"/>
    <hyperlink ref="KB26" r:id="rId538" xr:uid="{00000000-0004-0000-0B00-000019020000}"/>
    <hyperlink ref="KV26" r:id="rId539" xr:uid="{00000000-0004-0000-0B00-00001A020000}"/>
    <hyperlink ref="LJ26" r:id="rId540" xr:uid="{00000000-0004-0000-0B00-00001B020000}"/>
    <hyperlink ref="LL26" r:id="rId541" xr:uid="{00000000-0004-0000-0B00-00001C020000}"/>
    <hyperlink ref="MH26" r:id="rId542" xr:uid="{00000000-0004-0000-0B00-00001D020000}"/>
    <hyperlink ref="MZ26" r:id="rId543" xr:uid="{00000000-0004-0000-0B00-00001E020000}"/>
    <hyperlink ref="NN26" r:id="rId544" xr:uid="{00000000-0004-0000-0B00-00001F020000}"/>
    <hyperlink ref="NT26" r:id="rId545" xr:uid="{00000000-0004-0000-0B00-000020020000}"/>
    <hyperlink ref="OJ26" r:id="rId546" xr:uid="{00000000-0004-0000-0B00-000021020000}"/>
    <hyperlink ref="QD26" r:id="rId547" xr:uid="{00000000-0004-0000-0B00-000022020000}"/>
    <hyperlink ref="QN26" r:id="rId548" xr:uid="{00000000-0004-0000-0B00-000023020000}"/>
    <hyperlink ref="QR26" r:id="rId549" xr:uid="{00000000-0004-0000-0B00-000024020000}"/>
    <hyperlink ref="RR26" r:id="rId550" xr:uid="{00000000-0004-0000-0B00-000025020000}"/>
    <hyperlink ref="SP26" r:id="rId551" xr:uid="{00000000-0004-0000-0B00-000026020000}"/>
    <hyperlink ref="TP26" r:id="rId552" xr:uid="{00000000-0004-0000-0B00-000027020000}"/>
    <hyperlink ref="TV26" r:id="rId553" xr:uid="{00000000-0004-0000-0B00-000028020000}"/>
    <hyperlink ref="UB26" r:id="rId554" xr:uid="{00000000-0004-0000-0B00-000029020000}"/>
    <hyperlink ref="UJ26" r:id="rId555" xr:uid="{00000000-0004-0000-0B00-00002A020000}"/>
    <hyperlink ref="UP26" r:id="rId556" xr:uid="{00000000-0004-0000-0B00-00002B020000}"/>
    <hyperlink ref="UV26" r:id="rId557" xr:uid="{00000000-0004-0000-0B00-00002C020000}"/>
    <hyperlink ref="VB26" r:id="rId558" xr:uid="{00000000-0004-0000-0B00-00002D020000}"/>
    <hyperlink ref="VJ26" r:id="rId559" xr:uid="{00000000-0004-0000-0B00-00002E020000}"/>
    <hyperlink ref="VL26" r:id="rId560" xr:uid="{00000000-0004-0000-0B00-00002F020000}"/>
    <hyperlink ref="VN26" r:id="rId561" xr:uid="{00000000-0004-0000-0B00-000030020000}"/>
    <hyperlink ref="WB26" r:id="rId562" xr:uid="{00000000-0004-0000-0B00-000031020000}"/>
    <hyperlink ref="WH26" r:id="rId563" xr:uid="{00000000-0004-0000-0B00-000032020000}"/>
    <hyperlink ref="WL26" r:id="rId564" xr:uid="{00000000-0004-0000-0B00-000033020000}"/>
    <hyperlink ref="WN26" r:id="rId565" xr:uid="{00000000-0004-0000-0B00-000034020000}"/>
    <hyperlink ref="WZ26" r:id="rId566" xr:uid="{00000000-0004-0000-0B00-000035020000}"/>
    <hyperlink ref="XH26" r:id="rId567" xr:uid="{00000000-0004-0000-0B00-000036020000}"/>
    <hyperlink ref="XL26" r:id="rId568" xr:uid="{00000000-0004-0000-0B00-000037020000}"/>
    <hyperlink ref="XP26" r:id="rId569" xr:uid="{00000000-0004-0000-0B00-000038020000}"/>
    <hyperlink ref="XV26" r:id="rId570" xr:uid="{00000000-0004-0000-0B00-000039020000}"/>
    <hyperlink ref="BV27" r:id="rId571" xr:uid="{00000000-0004-0000-0B00-00003A020000}"/>
    <hyperlink ref="FJ27" r:id="rId572" xr:uid="{00000000-0004-0000-0B00-00003B020000}"/>
    <hyperlink ref="HR27" r:id="rId573" xr:uid="{00000000-0004-0000-0B00-00003C020000}"/>
    <hyperlink ref="RR27" r:id="rId574" xr:uid="{00000000-0004-0000-0B00-00003D020000}"/>
    <hyperlink ref="UP27" r:id="rId575" xr:uid="{00000000-0004-0000-0B00-00003E020000}"/>
    <hyperlink ref="XV27" r:id="rId576" xr:uid="{00000000-0004-0000-0B00-00003F020000}"/>
    <hyperlink ref="D28" r:id="rId577" xr:uid="{00000000-0004-0000-0B00-000040020000}"/>
    <hyperlink ref="L28" r:id="rId578" xr:uid="{00000000-0004-0000-0B00-000041020000}"/>
    <hyperlink ref="R28" r:id="rId579" xr:uid="{00000000-0004-0000-0B00-000042020000}"/>
    <hyperlink ref="AF28" r:id="rId580" xr:uid="{00000000-0004-0000-0B00-000043020000}"/>
    <hyperlink ref="AP28" r:id="rId581" xr:uid="{00000000-0004-0000-0B00-000044020000}"/>
    <hyperlink ref="AR28" r:id="rId582" xr:uid="{00000000-0004-0000-0B00-000045020000}"/>
    <hyperlink ref="BB28" r:id="rId583" xr:uid="{00000000-0004-0000-0B00-000046020000}"/>
    <hyperlink ref="BN28" r:id="rId584" xr:uid="{00000000-0004-0000-0B00-000047020000}"/>
    <hyperlink ref="BR28" r:id="rId585" xr:uid="{00000000-0004-0000-0B00-000048020000}"/>
    <hyperlink ref="BT28" r:id="rId586" xr:uid="{00000000-0004-0000-0B00-000049020000}"/>
    <hyperlink ref="CH28" r:id="rId587" xr:uid="{00000000-0004-0000-0B00-00004A020000}"/>
    <hyperlink ref="CP28" r:id="rId588" xr:uid="{00000000-0004-0000-0B00-00004B020000}"/>
    <hyperlink ref="CV28" r:id="rId589" xr:uid="{00000000-0004-0000-0B00-00004C020000}"/>
    <hyperlink ref="DN28" r:id="rId590" xr:uid="{00000000-0004-0000-0B00-00004D020000}"/>
    <hyperlink ref="DR28" r:id="rId591" xr:uid="{00000000-0004-0000-0B00-00004E020000}"/>
    <hyperlink ref="DT28" r:id="rId592" xr:uid="{00000000-0004-0000-0B00-00004F020000}"/>
    <hyperlink ref="FJ28" r:id="rId593" xr:uid="{00000000-0004-0000-0B00-000050020000}"/>
    <hyperlink ref="FP28" r:id="rId594" xr:uid="{00000000-0004-0000-0B00-000051020000}"/>
    <hyperlink ref="FV28" r:id="rId595" xr:uid="{00000000-0004-0000-0B00-000052020000}"/>
    <hyperlink ref="FZ28" r:id="rId596" xr:uid="{00000000-0004-0000-0B00-000053020000}"/>
    <hyperlink ref="GB28" r:id="rId597" xr:uid="{00000000-0004-0000-0B00-000054020000}"/>
    <hyperlink ref="GF28" r:id="rId598" xr:uid="{00000000-0004-0000-0B00-000055020000}"/>
    <hyperlink ref="GJ28" r:id="rId599" xr:uid="{00000000-0004-0000-0B00-000056020000}"/>
    <hyperlink ref="GN28" r:id="rId600" xr:uid="{00000000-0004-0000-0B00-000057020000}"/>
    <hyperlink ref="GT28" r:id="rId601" xr:uid="{00000000-0004-0000-0B00-000058020000}"/>
    <hyperlink ref="HF28" r:id="rId602" xr:uid="{00000000-0004-0000-0B00-000059020000}"/>
    <hyperlink ref="HH28" r:id="rId603" xr:uid="{00000000-0004-0000-0B00-00005A020000}"/>
    <hyperlink ref="HJ28" r:id="rId604" xr:uid="{00000000-0004-0000-0B00-00005B020000}"/>
    <hyperlink ref="HL28" r:id="rId605" xr:uid="{00000000-0004-0000-0B00-00005C020000}"/>
    <hyperlink ref="HN28" r:id="rId606" xr:uid="{00000000-0004-0000-0B00-00005D020000}"/>
    <hyperlink ref="HP28" r:id="rId607" xr:uid="{00000000-0004-0000-0B00-00005E020000}"/>
    <hyperlink ref="HR28" r:id="rId608" xr:uid="{00000000-0004-0000-0B00-00005F020000}"/>
    <hyperlink ref="HX28" r:id="rId609" xr:uid="{00000000-0004-0000-0B00-000060020000}"/>
    <hyperlink ref="IB28" r:id="rId610" xr:uid="{00000000-0004-0000-0B00-000061020000}"/>
    <hyperlink ref="IL28" r:id="rId611" xr:uid="{00000000-0004-0000-0B00-000062020000}"/>
    <hyperlink ref="IR28" r:id="rId612" xr:uid="{00000000-0004-0000-0B00-000063020000}"/>
    <hyperlink ref="IZ28" r:id="rId613" xr:uid="{00000000-0004-0000-0B00-000064020000}"/>
    <hyperlink ref="JB28" r:id="rId614" xr:uid="{00000000-0004-0000-0B00-000065020000}"/>
    <hyperlink ref="JL28" r:id="rId615" xr:uid="{00000000-0004-0000-0B00-000066020000}"/>
    <hyperlink ref="JN28" r:id="rId616" xr:uid="{00000000-0004-0000-0B00-000067020000}"/>
    <hyperlink ref="JR28" r:id="rId617" xr:uid="{00000000-0004-0000-0B00-000068020000}"/>
    <hyperlink ref="JX28" r:id="rId618" xr:uid="{00000000-0004-0000-0B00-000069020000}"/>
    <hyperlink ref="JZ28" r:id="rId619" xr:uid="{00000000-0004-0000-0B00-00006A020000}"/>
    <hyperlink ref="KD28" r:id="rId620" xr:uid="{00000000-0004-0000-0B00-00006B020000}"/>
    <hyperlink ref="KJ28" r:id="rId621" xr:uid="{00000000-0004-0000-0B00-00006C020000}"/>
    <hyperlink ref="KP28" r:id="rId622" xr:uid="{00000000-0004-0000-0B00-00006D020000}"/>
    <hyperlink ref="KT28" r:id="rId623" xr:uid="{00000000-0004-0000-0B00-00006E020000}"/>
    <hyperlink ref="KV28" r:id="rId624" xr:uid="{00000000-0004-0000-0B00-00006F020000}"/>
    <hyperlink ref="KX28" r:id="rId625" xr:uid="{00000000-0004-0000-0B00-000070020000}"/>
    <hyperlink ref="LD28" r:id="rId626" xr:uid="{00000000-0004-0000-0B00-000071020000}"/>
    <hyperlink ref="LH28" r:id="rId627" xr:uid="{00000000-0004-0000-0B00-000072020000}"/>
    <hyperlink ref="LJ28" r:id="rId628" xr:uid="{00000000-0004-0000-0B00-000073020000}"/>
    <hyperlink ref="LP28" r:id="rId629" xr:uid="{00000000-0004-0000-0B00-000074020000}"/>
    <hyperlink ref="LR28" r:id="rId630" xr:uid="{00000000-0004-0000-0B00-000075020000}"/>
    <hyperlink ref="LX28" r:id="rId631" xr:uid="{00000000-0004-0000-0B00-000076020000}"/>
    <hyperlink ref="MD28" r:id="rId632" xr:uid="{00000000-0004-0000-0B00-000077020000}"/>
    <hyperlink ref="MH28" r:id="rId633" xr:uid="{00000000-0004-0000-0B00-000078020000}"/>
    <hyperlink ref="MJ28" r:id="rId634" xr:uid="{00000000-0004-0000-0B00-000079020000}"/>
    <hyperlink ref="MT28" r:id="rId635" xr:uid="{00000000-0004-0000-0B00-00007A020000}"/>
    <hyperlink ref="NB28" r:id="rId636" xr:uid="{00000000-0004-0000-0B00-00007B020000}"/>
    <hyperlink ref="NJ28" r:id="rId637" xr:uid="{00000000-0004-0000-0B00-00007C020000}"/>
    <hyperlink ref="NL28" r:id="rId638" xr:uid="{00000000-0004-0000-0B00-00007D020000}"/>
    <hyperlink ref="NR28" r:id="rId639" xr:uid="{00000000-0004-0000-0B00-00007E020000}"/>
    <hyperlink ref="NT28" r:id="rId640" xr:uid="{00000000-0004-0000-0B00-00007F020000}"/>
    <hyperlink ref="OB28" r:id="rId641" xr:uid="{00000000-0004-0000-0B00-000080020000}"/>
    <hyperlink ref="OF28" r:id="rId642" xr:uid="{00000000-0004-0000-0B00-000081020000}"/>
    <hyperlink ref="OJ28" r:id="rId643" xr:uid="{00000000-0004-0000-0B00-000082020000}"/>
    <hyperlink ref="OL28" r:id="rId644" xr:uid="{00000000-0004-0000-0B00-000083020000}"/>
    <hyperlink ref="OR28" r:id="rId645" xr:uid="{00000000-0004-0000-0B00-000084020000}"/>
    <hyperlink ref="OT28" r:id="rId646" xr:uid="{00000000-0004-0000-0B00-000085020000}"/>
    <hyperlink ref="OZ28" r:id="rId647" xr:uid="{00000000-0004-0000-0B00-000086020000}"/>
    <hyperlink ref="PF28" r:id="rId648" xr:uid="{00000000-0004-0000-0B00-000087020000}"/>
    <hyperlink ref="PH28" r:id="rId649" xr:uid="{00000000-0004-0000-0B00-000088020000}"/>
    <hyperlink ref="PL28" r:id="rId650" xr:uid="{00000000-0004-0000-0B00-000089020000}"/>
    <hyperlink ref="PN28" r:id="rId651" xr:uid="{00000000-0004-0000-0B00-00008A020000}"/>
    <hyperlink ref="PT28" r:id="rId652" xr:uid="{00000000-0004-0000-0B00-00008B020000}"/>
    <hyperlink ref="PZ28" r:id="rId653" xr:uid="{00000000-0004-0000-0B00-00008C020000}"/>
    <hyperlink ref="QB28" r:id="rId654" xr:uid="{00000000-0004-0000-0B00-00008D020000}"/>
    <hyperlink ref="QH28" r:id="rId655" xr:uid="{00000000-0004-0000-0B00-00008E020000}"/>
    <hyperlink ref="QN28" r:id="rId656" xr:uid="{00000000-0004-0000-0B00-00008F020000}"/>
    <hyperlink ref="QP28" r:id="rId657" xr:uid="{00000000-0004-0000-0B00-000090020000}"/>
    <hyperlink ref="QV28" r:id="rId658" xr:uid="{00000000-0004-0000-0B00-000091020000}"/>
    <hyperlink ref="RD28" r:id="rId659" xr:uid="{00000000-0004-0000-0B00-000092020000}"/>
    <hyperlink ref="RL28" r:id="rId660" xr:uid="{00000000-0004-0000-0B00-000093020000}"/>
    <hyperlink ref="RP28" r:id="rId661" xr:uid="{00000000-0004-0000-0B00-000094020000}"/>
    <hyperlink ref="RT28" r:id="rId662" xr:uid="{00000000-0004-0000-0B00-000095020000}"/>
    <hyperlink ref="RV28" r:id="rId663" xr:uid="{00000000-0004-0000-0B00-000096020000}"/>
    <hyperlink ref="SB28" r:id="rId664" xr:uid="{00000000-0004-0000-0B00-000097020000}"/>
    <hyperlink ref="SH28" r:id="rId665" xr:uid="{00000000-0004-0000-0B00-000098020000}"/>
    <hyperlink ref="SL28" r:id="rId666" xr:uid="{00000000-0004-0000-0B00-000099020000}"/>
    <hyperlink ref="SN28" r:id="rId667" xr:uid="{00000000-0004-0000-0B00-00009A020000}"/>
    <hyperlink ref="SR28" r:id="rId668" xr:uid="{00000000-0004-0000-0B00-00009B020000}"/>
    <hyperlink ref="SX28" r:id="rId669" xr:uid="{00000000-0004-0000-0B00-00009C020000}"/>
    <hyperlink ref="TF28" r:id="rId670" xr:uid="{00000000-0004-0000-0B00-00009D020000}"/>
    <hyperlink ref="TN28" r:id="rId671" xr:uid="{00000000-0004-0000-0B00-00009E020000}"/>
    <hyperlink ref="TT28" r:id="rId672" xr:uid="{00000000-0004-0000-0B00-00009F020000}"/>
    <hyperlink ref="TV28" r:id="rId673" xr:uid="{00000000-0004-0000-0B00-0000A0020000}"/>
    <hyperlink ref="UB28" r:id="rId674" xr:uid="{00000000-0004-0000-0B00-0000A1020000}"/>
    <hyperlink ref="UD28" r:id="rId675" xr:uid="{00000000-0004-0000-0B00-0000A2020000}"/>
    <hyperlink ref="UH28" r:id="rId676" xr:uid="{00000000-0004-0000-0B00-0000A3020000}"/>
    <hyperlink ref="UL28" r:id="rId677" xr:uid="{00000000-0004-0000-0B00-0000A4020000}"/>
    <hyperlink ref="UP28" r:id="rId678" xr:uid="{00000000-0004-0000-0B00-0000A5020000}"/>
    <hyperlink ref="UR28" r:id="rId679" xr:uid="{00000000-0004-0000-0B00-0000A6020000}"/>
    <hyperlink ref="UV28" r:id="rId680" xr:uid="{00000000-0004-0000-0B00-0000A7020000}"/>
    <hyperlink ref="UZ28" r:id="rId681" xr:uid="{00000000-0004-0000-0B00-0000A8020000}"/>
    <hyperlink ref="VB28" r:id="rId682" xr:uid="{00000000-0004-0000-0B00-0000A9020000}"/>
    <hyperlink ref="VF28" r:id="rId683" xr:uid="{00000000-0004-0000-0B00-0000AA020000}"/>
    <hyperlink ref="VH28" r:id="rId684" xr:uid="{00000000-0004-0000-0B00-0000AB020000}"/>
    <hyperlink ref="VL28" r:id="rId685" xr:uid="{00000000-0004-0000-0B00-0000AC020000}"/>
    <hyperlink ref="VP28" r:id="rId686" xr:uid="{00000000-0004-0000-0B00-0000AD020000}"/>
    <hyperlink ref="VX28" r:id="rId687" xr:uid="{00000000-0004-0000-0B00-0000AE020000}"/>
    <hyperlink ref="WD28" r:id="rId688" xr:uid="{00000000-0004-0000-0B00-0000AF020000}"/>
    <hyperlink ref="WL28" r:id="rId689" xr:uid="{00000000-0004-0000-0B00-0000B0020000}"/>
    <hyperlink ref="WR28" r:id="rId690" xr:uid="{00000000-0004-0000-0B00-0000B1020000}"/>
    <hyperlink ref="WX28" r:id="rId691" xr:uid="{00000000-0004-0000-0B00-0000B2020000}"/>
    <hyperlink ref="WZ28" r:id="rId692" xr:uid="{00000000-0004-0000-0B00-0000B3020000}"/>
    <hyperlink ref="XF28" r:id="rId693" xr:uid="{00000000-0004-0000-0B00-0000B4020000}"/>
    <hyperlink ref="XL28" r:id="rId694" xr:uid="{00000000-0004-0000-0B00-0000B5020000}"/>
    <hyperlink ref="XN28" r:id="rId695" xr:uid="{00000000-0004-0000-0B00-0000B6020000}"/>
    <hyperlink ref="XV28" r:id="rId696" xr:uid="{00000000-0004-0000-0B00-0000B7020000}"/>
    <hyperlink ref="XZ28" r:id="rId697" xr:uid="{00000000-0004-0000-0B00-0000B8020000}"/>
    <hyperlink ref="YD28" r:id="rId698" xr:uid="{00000000-0004-0000-0B00-0000B9020000}"/>
    <hyperlink ref="BT29" r:id="rId699" xr:uid="{00000000-0004-0000-0B00-0000BA020000}"/>
    <hyperlink ref="CH29" r:id="rId700" xr:uid="{00000000-0004-0000-0B00-0000BB020000}"/>
    <hyperlink ref="FJ29" r:id="rId701" xr:uid="{00000000-0004-0000-0B00-0000BC020000}"/>
    <hyperlink ref="HL29" r:id="rId702" xr:uid="{00000000-0004-0000-0B00-0000BD020000}"/>
    <hyperlink ref="HP29" r:id="rId703" xr:uid="{00000000-0004-0000-0B00-0000BE020000}"/>
    <hyperlink ref="JB29" r:id="rId704" xr:uid="{00000000-0004-0000-0B00-0000BF020000}"/>
    <hyperlink ref="JN29" r:id="rId705" xr:uid="{00000000-0004-0000-0B00-0000C0020000}"/>
    <hyperlink ref="JZ29" r:id="rId706" xr:uid="{00000000-0004-0000-0B00-0000C1020000}"/>
    <hyperlink ref="KX29" r:id="rId707" xr:uid="{00000000-0004-0000-0B00-0000C2020000}"/>
    <hyperlink ref="LH29" r:id="rId708" xr:uid="{00000000-0004-0000-0B00-0000C3020000}"/>
    <hyperlink ref="LJ29" r:id="rId709" xr:uid="{00000000-0004-0000-0B00-0000C4020000}"/>
    <hyperlink ref="QP29" r:id="rId710" xr:uid="{00000000-0004-0000-0B00-0000C5020000}"/>
    <hyperlink ref="TN29" r:id="rId711" xr:uid="{00000000-0004-0000-0B00-0000C6020000}"/>
    <hyperlink ref="UP29" r:id="rId712" xr:uid="{00000000-0004-0000-0B00-0000C7020000}"/>
    <hyperlink ref="XN29" r:id="rId713" xr:uid="{00000000-0004-0000-0B00-0000C8020000}"/>
    <hyperlink ref="HL30" r:id="rId714" xr:uid="{00000000-0004-0000-0B00-0000C9020000}"/>
    <hyperlink ref="LJ30" r:id="rId715" xr:uid="{00000000-0004-0000-0B00-0000CA020000}"/>
    <hyperlink ref="B31" r:id="rId716" xr:uid="{00000000-0004-0000-0B00-0000CB020000}"/>
    <hyperlink ref="F31" r:id="rId717" xr:uid="{00000000-0004-0000-0B00-0000CC020000}"/>
    <hyperlink ref="H31" r:id="rId718" xr:uid="{00000000-0004-0000-0B00-0000CD020000}"/>
    <hyperlink ref="N31" r:id="rId719" xr:uid="{00000000-0004-0000-0B00-0000CE020000}"/>
    <hyperlink ref="P31" r:id="rId720" xr:uid="{00000000-0004-0000-0B00-0000CF020000}"/>
    <hyperlink ref="V31" r:id="rId721" xr:uid="{00000000-0004-0000-0B00-0000D0020000}"/>
    <hyperlink ref="Z31" r:id="rId722" xr:uid="{00000000-0004-0000-0B00-0000D1020000}"/>
    <hyperlink ref="AD31" r:id="rId723" xr:uid="{00000000-0004-0000-0B00-0000D2020000}"/>
    <hyperlink ref="AL31" r:id="rId724" xr:uid="{00000000-0004-0000-0B00-0000D3020000}"/>
    <hyperlink ref="AP31" r:id="rId725" xr:uid="{00000000-0004-0000-0B00-0000D4020000}"/>
    <hyperlink ref="AT31" r:id="rId726" xr:uid="{00000000-0004-0000-0B00-0000D5020000}"/>
    <hyperlink ref="AZ31" r:id="rId727" xr:uid="{00000000-0004-0000-0B00-0000D6020000}"/>
    <hyperlink ref="BB31" r:id="rId728" xr:uid="{00000000-0004-0000-0B00-0000D7020000}"/>
    <hyperlink ref="BF31" r:id="rId729" xr:uid="{00000000-0004-0000-0B00-0000D8020000}"/>
    <hyperlink ref="BL31" r:id="rId730" xr:uid="{00000000-0004-0000-0B00-0000D9020000}"/>
    <hyperlink ref="BN31" r:id="rId731" xr:uid="{00000000-0004-0000-0B00-0000DA020000}"/>
    <hyperlink ref="BR31" r:id="rId732" xr:uid="{00000000-0004-0000-0B00-0000DB020000}"/>
    <hyperlink ref="BT31" r:id="rId733" xr:uid="{00000000-0004-0000-0B00-0000DC020000}"/>
    <hyperlink ref="BZ31" r:id="rId734" xr:uid="{00000000-0004-0000-0B00-0000DD020000}"/>
    <hyperlink ref="CB31" r:id="rId735" xr:uid="{00000000-0004-0000-0B00-0000DE020000}"/>
    <hyperlink ref="CD31" r:id="rId736" xr:uid="{00000000-0004-0000-0B00-0000DF020000}"/>
    <hyperlink ref="CJ31" r:id="rId737" xr:uid="{00000000-0004-0000-0B00-0000E0020000}"/>
    <hyperlink ref="CN31" r:id="rId738" xr:uid="{00000000-0004-0000-0B00-0000E1020000}"/>
    <hyperlink ref="CP31" r:id="rId739" xr:uid="{00000000-0004-0000-0B00-0000E2020000}"/>
    <hyperlink ref="CV31" r:id="rId740" xr:uid="{00000000-0004-0000-0B00-0000E3020000}"/>
    <hyperlink ref="DB31" r:id="rId741" xr:uid="{00000000-0004-0000-0B00-0000E4020000}"/>
    <hyperlink ref="DJ31" r:id="rId742" xr:uid="{00000000-0004-0000-0B00-0000E5020000}"/>
    <hyperlink ref="DL31" r:id="rId743" xr:uid="{00000000-0004-0000-0B00-0000E6020000}"/>
    <hyperlink ref="DP31" r:id="rId744" xr:uid="{00000000-0004-0000-0B00-0000E7020000}"/>
    <hyperlink ref="DR31" r:id="rId745" xr:uid="{00000000-0004-0000-0B00-0000E8020000}"/>
    <hyperlink ref="DX31" r:id="rId746" xr:uid="{00000000-0004-0000-0B00-0000E9020000}"/>
    <hyperlink ref="ED31" r:id="rId747" xr:uid="{00000000-0004-0000-0B00-0000EA020000}"/>
    <hyperlink ref="EF31" r:id="rId748" xr:uid="{00000000-0004-0000-0B00-0000EB020000}"/>
    <hyperlink ref="EL31" r:id="rId749" xr:uid="{00000000-0004-0000-0B00-0000EC020000}"/>
    <hyperlink ref="EN31" r:id="rId750" xr:uid="{00000000-0004-0000-0B00-0000ED020000}"/>
    <hyperlink ref="ER31" r:id="rId751" xr:uid="{00000000-0004-0000-0B00-0000EE020000}"/>
    <hyperlink ref="EZ31" r:id="rId752" xr:uid="{00000000-0004-0000-0B00-0000EF020000}"/>
    <hyperlink ref="FB31" r:id="rId753" xr:uid="{00000000-0004-0000-0B00-0000F0020000}"/>
    <hyperlink ref="FD31" r:id="rId754" xr:uid="{00000000-0004-0000-0B00-0000F1020000}"/>
    <hyperlink ref="FF31" r:id="rId755" xr:uid="{00000000-0004-0000-0B00-0000F2020000}"/>
    <hyperlink ref="FH31" r:id="rId756" xr:uid="{00000000-0004-0000-0B00-0000F3020000}"/>
    <hyperlink ref="FJ31" r:id="rId757" xr:uid="{00000000-0004-0000-0B00-0000F4020000}"/>
    <hyperlink ref="FP31" r:id="rId758" xr:uid="{00000000-0004-0000-0B00-0000F5020000}"/>
    <hyperlink ref="FX31" r:id="rId759" xr:uid="{00000000-0004-0000-0B00-0000F6020000}"/>
    <hyperlink ref="GB31" r:id="rId760" xr:uid="{00000000-0004-0000-0B00-0000F7020000}"/>
    <hyperlink ref="GD31" r:id="rId761" xr:uid="{00000000-0004-0000-0B00-0000F8020000}"/>
    <hyperlink ref="GH31" r:id="rId762" xr:uid="{00000000-0004-0000-0B00-0000F9020000}"/>
    <hyperlink ref="GJ31" r:id="rId763" xr:uid="{00000000-0004-0000-0B00-0000FA020000}"/>
    <hyperlink ref="GL31" r:id="rId764" xr:uid="{00000000-0004-0000-0B00-0000FB020000}"/>
    <hyperlink ref="GR31" r:id="rId765" xr:uid="{00000000-0004-0000-0B00-0000FC020000}"/>
    <hyperlink ref="GT31" r:id="rId766" xr:uid="{00000000-0004-0000-0B00-0000FD020000}"/>
    <hyperlink ref="GX31" r:id="rId767" xr:uid="{00000000-0004-0000-0B00-0000FE020000}"/>
    <hyperlink ref="GZ31" r:id="rId768" xr:uid="{00000000-0004-0000-0B00-0000FF020000}"/>
    <hyperlink ref="HF31" r:id="rId769" xr:uid="{00000000-0004-0000-0B00-000000030000}"/>
    <hyperlink ref="HJ31" r:id="rId770" xr:uid="{00000000-0004-0000-0B00-000001030000}"/>
    <hyperlink ref="HL31" r:id="rId771" xr:uid="{00000000-0004-0000-0B00-000002030000}"/>
    <hyperlink ref="HN31" r:id="rId772" xr:uid="{00000000-0004-0000-0B00-000003030000}"/>
    <hyperlink ref="HR31" r:id="rId773" xr:uid="{00000000-0004-0000-0B00-000004030000}"/>
    <hyperlink ref="HX31" r:id="rId774" xr:uid="{00000000-0004-0000-0B00-000005030000}"/>
    <hyperlink ref="IB31" r:id="rId775" xr:uid="{00000000-0004-0000-0B00-000006030000}"/>
    <hyperlink ref="IL31" r:id="rId776" xr:uid="{00000000-0004-0000-0B00-000007030000}"/>
    <hyperlink ref="IN31" r:id="rId777" xr:uid="{00000000-0004-0000-0B00-000008030000}"/>
    <hyperlink ref="IT31" r:id="rId778" xr:uid="{00000000-0004-0000-0B00-000009030000}"/>
    <hyperlink ref="IZ31" r:id="rId779" xr:uid="{00000000-0004-0000-0B00-00000A030000}"/>
    <hyperlink ref="JB31" r:id="rId780" xr:uid="{00000000-0004-0000-0B00-00000B030000}"/>
    <hyperlink ref="JJ31" r:id="rId781" xr:uid="{00000000-0004-0000-0B00-00000C030000}"/>
    <hyperlink ref="JL31" r:id="rId782" xr:uid="{00000000-0004-0000-0B00-00000D030000}"/>
    <hyperlink ref="JR31" r:id="rId783" xr:uid="{00000000-0004-0000-0B00-00000E030000}"/>
    <hyperlink ref="JT31" r:id="rId784" xr:uid="{00000000-0004-0000-0B00-00000F030000}"/>
    <hyperlink ref="JX31" r:id="rId785" xr:uid="{00000000-0004-0000-0B00-000010030000}"/>
    <hyperlink ref="JZ31" r:id="rId786" xr:uid="{00000000-0004-0000-0B00-000011030000}"/>
    <hyperlink ref="KD31" r:id="rId787" xr:uid="{00000000-0004-0000-0B00-000012030000}"/>
    <hyperlink ref="KJ31" r:id="rId788" xr:uid="{00000000-0004-0000-0B00-000013030000}"/>
    <hyperlink ref="KL31" r:id="rId789" xr:uid="{00000000-0004-0000-0B00-000014030000}"/>
    <hyperlink ref="KP31" r:id="rId790" xr:uid="{00000000-0004-0000-0B00-000015030000}"/>
    <hyperlink ref="KV31" r:id="rId791" xr:uid="{00000000-0004-0000-0B00-000016030000}"/>
    <hyperlink ref="LD31" r:id="rId792" xr:uid="{00000000-0004-0000-0B00-000017030000}"/>
    <hyperlink ref="LH31" r:id="rId793" xr:uid="{00000000-0004-0000-0B00-000018030000}"/>
    <hyperlink ref="LJ31" r:id="rId794" xr:uid="{00000000-0004-0000-0B00-000019030000}"/>
    <hyperlink ref="LN31" r:id="rId795" xr:uid="{00000000-0004-0000-0B00-00001A030000}"/>
    <hyperlink ref="LP31" r:id="rId796" xr:uid="{00000000-0004-0000-0B00-00001B030000}"/>
    <hyperlink ref="LR31" r:id="rId797" xr:uid="{00000000-0004-0000-0B00-00001C030000}"/>
    <hyperlink ref="LT31" r:id="rId798" xr:uid="{00000000-0004-0000-0B00-00001D030000}"/>
    <hyperlink ref="LX31" r:id="rId799" xr:uid="{00000000-0004-0000-0B00-00001E030000}"/>
    <hyperlink ref="MB31" r:id="rId800" xr:uid="{00000000-0004-0000-0B00-00001F030000}"/>
    <hyperlink ref="MD31" r:id="rId801" xr:uid="{00000000-0004-0000-0B00-000020030000}"/>
    <hyperlink ref="MH31" r:id="rId802" xr:uid="{00000000-0004-0000-0B00-000021030000}"/>
    <hyperlink ref="ML31" r:id="rId803" xr:uid="{00000000-0004-0000-0B00-000022030000}"/>
    <hyperlink ref="MT31" r:id="rId804" xr:uid="{00000000-0004-0000-0B00-000023030000}"/>
    <hyperlink ref="NB31" r:id="rId805" xr:uid="{00000000-0004-0000-0B00-000024030000}"/>
    <hyperlink ref="NJ31" r:id="rId806" xr:uid="{00000000-0004-0000-0B00-000025030000}"/>
    <hyperlink ref="NR31" r:id="rId807" xr:uid="{00000000-0004-0000-0B00-000026030000}"/>
    <hyperlink ref="NT31" r:id="rId808" xr:uid="{00000000-0004-0000-0B00-000027030000}"/>
    <hyperlink ref="NX31" r:id="rId809" xr:uid="{00000000-0004-0000-0B00-000028030000}"/>
    <hyperlink ref="OD31" r:id="rId810" xr:uid="{00000000-0004-0000-0B00-000029030000}"/>
    <hyperlink ref="OH31" r:id="rId811" xr:uid="{00000000-0004-0000-0B00-00002A030000}"/>
    <hyperlink ref="OJ31" r:id="rId812" xr:uid="{00000000-0004-0000-0B00-00002B030000}"/>
    <hyperlink ref="OP31" r:id="rId813" xr:uid="{00000000-0004-0000-0B00-00002C030000}"/>
    <hyperlink ref="OR31" r:id="rId814" xr:uid="{00000000-0004-0000-0B00-00002D030000}"/>
    <hyperlink ref="OT31" r:id="rId815" xr:uid="{00000000-0004-0000-0B00-00002E030000}"/>
    <hyperlink ref="OX31" r:id="rId816" xr:uid="{00000000-0004-0000-0B00-00002F030000}"/>
    <hyperlink ref="PD31" r:id="rId817" xr:uid="{00000000-0004-0000-0B00-000030030000}"/>
    <hyperlink ref="PF31" r:id="rId818" xr:uid="{00000000-0004-0000-0B00-000031030000}"/>
    <hyperlink ref="PH31" r:id="rId819" xr:uid="{00000000-0004-0000-0B00-000032030000}"/>
    <hyperlink ref="PL31" r:id="rId820" xr:uid="{00000000-0004-0000-0B00-000033030000}"/>
    <hyperlink ref="PR31" r:id="rId821" xr:uid="{00000000-0004-0000-0B00-000034030000}"/>
    <hyperlink ref="PZ31" r:id="rId822" xr:uid="{00000000-0004-0000-0B00-000035030000}"/>
    <hyperlink ref="QH31" r:id="rId823" xr:uid="{00000000-0004-0000-0B00-000036030000}"/>
    <hyperlink ref="QN31" r:id="rId824" xr:uid="{00000000-0004-0000-0B00-000037030000}"/>
    <hyperlink ref="QP31" r:id="rId825" xr:uid="{00000000-0004-0000-0B00-000038030000}"/>
    <hyperlink ref="QT31" r:id="rId826" xr:uid="{00000000-0004-0000-0B00-000039030000}"/>
    <hyperlink ref="QX31" r:id="rId827" xr:uid="{00000000-0004-0000-0B00-00003A030000}"/>
    <hyperlink ref="RB31" r:id="rId828" xr:uid="{00000000-0004-0000-0B00-00003B030000}"/>
    <hyperlink ref="RD31" r:id="rId829" xr:uid="{00000000-0004-0000-0B00-00003C030000}"/>
    <hyperlink ref="RL31" r:id="rId830" xr:uid="{00000000-0004-0000-0B00-00003D030000}"/>
    <hyperlink ref="RN31" r:id="rId831" xr:uid="{00000000-0004-0000-0B00-00003E030000}"/>
    <hyperlink ref="RR31" r:id="rId832" xr:uid="{00000000-0004-0000-0B00-00003F030000}"/>
    <hyperlink ref="RV31" r:id="rId833" xr:uid="{00000000-0004-0000-0B00-000040030000}"/>
    <hyperlink ref="RZ31" r:id="rId834" xr:uid="{00000000-0004-0000-0B00-000041030000}"/>
    <hyperlink ref="SF31" r:id="rId835" xr:uid="{00000000-0004-0000-0B00-000042030000}"/>
    <hyperlink ref="SL31" r:id="rId836" xr:uid="{00000000-0004-0000-0B00-000043030000}"/>
    <hyperlink ref="SR31" r:id="rId837" xr:uid="{00000000-0004-0000-0B00-000044030000}"/>
    <hyperlink ref="SX31" r:id="rId838" xr:uid="{00000000-0004-0000-0B00-000045030000}"/>
    <hyperlink ref="TD31" r:id="rId839" xr:uid="{00000000-0004-0000-0B00-000046030000}"/>
    <hyperlink ref="TH31" r:id="rId840" xr:uid="{00000000-0004-0000-0B00-000047030000}"/>
    <hyperlink ref="TL31" r:id="rId841" xr:uid="{00000000-0004-0000-0B00-000048030000}"/>
    <hyperlink ref="TT31" r:id="rId842" xr:uid="{00000000-0004-0000-0B00-000049030000}"/>
    <hyperlink ref="TV31" r:id="rId843" xr:uid="{00000000-0004-0000-0B00-00004A030000}"/>
    <hyperlink ref="TZ31" r:id="rId844" xr:uid="{00000000-0004-0000-0B00-00004B030000}"/>
    <hyperlink ref="UD31" r:id="rId845" xr:uid="{00000000-0004-0000-0B00-00004C030000}"/>
    <hyperlink ref="UF31" r:id="rId846" xr:uid="{00000000-0004-0000-0B00-00004D030000}"/>
    <hyperlink ref="UL31" r:id="rId847" xr:uid="{00000000-0004-0000-0B00-00004E030000}"/>
    <hyperlink ref="UN31" r:id="rId848" xr:uid="{00000000-0004-0000-0B00-00004F030000}"/>
    <hyperlink ref="UR31" r:id="rId849" xr:uid="{00000000-0004-0000-0B00-000050030000}"/>
    <hyperlink ref="UZ31" r:id="rId850" xr:uid="{00000000-0004-0000-0B00-000051030000}"/>
    <hyperlink ref="VB31" r:id="rId851" xr:uid="{00000000-0004-0000-0B00-000052030000}"/>
    <hyperlink ref="VD31" r:id="rId852" xr:uid="{00000000-0004-0000-0B00-000053030000}"/>
    <hyperlink ref="VH31" r:id="rId853" xr:uid="{00000000-0004-0000-0B00-000054030000}"/>
    <hyperlink ref="VP31" r:id="rId854" xr:uid="{00000000-0004-0000-0B00-000055030000}"/>
    <hyperlink ref="VT31" r:id="rId855" xr:uid="{00000000-0004-0000-0B00-000056030000}"/>
    <hyperlink ref="VX31" r:id="rId856" xr:uid="{00000000-0004-0000-0B00-000057030000}"/>
    <hyperlink ref="WD31" r:id="rId857" xr:uid="{00000000-0004-0000-0B00-000058030000}"/>
    <hyperlink ref="WL31" r:id="rId858" xr:uid="{00000000-0004-0000-0B00-000059030000}"/>
    <hyperlink ref="WR31" r:id="rId859" xr:uid="{00000000-0004-0000-0B00-00005A030000}"/>
    <hyperlink ref="WZ31" r:id="rId860" xr:uid="{00000000-0004-0000-0B00-00005B030000}"/>
    <hyperlink ref="XF31" r:id="rId861" xr:uid="{00000000-0004-0000-0B00-00005C030000}"/>
    <hyperlink ref="XH31" r:id="rId862" xr:uid="{00000000-0004-0000-0B00-00005D030000}"/>
    <hyperlink ref="XN31" r:id="rId863" xr:uid="{00000000-0004-0000-0B00-00005E030000}"/>
    <hyperlink ref="XT31" r:id="rId864" xr:uid="{00000000-0004-0000-0B00-00005F030000}"/>
    <hyperlink ref="XV31" r:id="rId865" xr:uid="{00000000-0004-0000-0B00-000060030000}"/>
    <hyperlink ref="XZ31" r:id="rId866" xr:uid="{00000000-0004-0000-0B00-000061030000}"/>
    <hyperlink ref="YD31" r:id="rId867" xr:uid="{00000000-0004-0000-0B00-000062030000}"/>
    <hyperlink ref="CP32" r:id="rId868" xr:uid="{00000000-0004-0000-0B00-000063030000}"/>
    <hyperlink ref="DL32" r:id="rId869" xr:uid="{00000000-0004-0000-0B00-000064030000}"/>
    <hyperlink ref="FB32" r:id="rId870" xr:uid="{00000000-0004-0000-0B00-000065030000}"/>
    <hyperlink ref="FH32" r:id="rId871" xr:uid="{00000000-0004-0000-0B00-000066030000}"/>
    <hyperlink ref="GD32" r:id="rId872" xr:uid="{00000000-0004-0000-0B00-000067030000}"/>
    <hyperlink ref="GT32" r:id="rId873" xr:uid="{00000000-0004-0000-0B00-000068030000}"/>
    <hyperlink ref="GZ32" r:id="rId874" xr:uid="{00000000-0004-0000-0B00-000069030000}"/>
    <hyperlink ref="HN32" r:id="rId875" xr:uid="{00000000-0004-0000-0B00-00006A030000}"/>
    <hyperlink ref="IN32" r:id="rId876" xr:uid="{00000000-0004-0000-0B00-00006B030000}"/>
    <hyperlink ref="IZ32" r:id="rId877" xr:uid="{00000000-0004-0000-0B00-00006C030000}"/>
    <hyperlink ref="JJ32" r:id="rId878" xr:uid="{00000000-0004-0000-0B00-00006D030000}"/>
    <hyperlink ref="JL32" r:id="rId879" xr:uid="{00000000-0004-0000-0B00-00006E030000}"/>
    <hyperlink ref="JR32" r:id="rId880" xr:uid="{00000000-0004-0000-0B00-00006F030000}"/>
    <hyperlink ref="JX32" r:id="rId881" xr:uid="{00000000-0004-0000-0B00-000070030000}"/>
    <hyperlink ref="KJ32" r:id="rId882" xr:uid="{00000000-0004-0000-0B00-000071030000}"/>
    <hyperlink ref="KV32" r:id="rId883" xr:uid="{00000000-0004-0000-0B00-000072030000}"/>
    <hyperlink ref="LD32" r:id="rId884" xr:uid="{00000000-0004-0000-0B00-000073030000}"/>
    <hyperlink ref="LH32" r:id="rId885" xr:uid="{00000000-0004-0000-0B00-000074030000}"/>
    <hyperlink ref="MD32" r:id="rId886" xr:uid="{00000000-0004-0000-0B00-000075030000}"/>
    <hyperlink ref="MT32" r:id="rId887" xr:uid="{00000000-0004-0000-0B00-000076030000}"/>
    <hyperlink ref="NJ32" r:id="rId888" xr:uid="{00000000-0004-0000-0B00-000077030000}"/>
    <hyperlink ref="NR32" r:id="rId889" xr:uid="{00000000-0004-0000-0B00-000078030000}"/>
    <hyperlink ref="NX32" r:id="rId890" xr:uid="{00000000-0004-0000-0B00-000079030000}"/>
    <hyperlink ref="PD32" r:id="rId891" xr:uid="{00000000-0004-0000-0B00-00007A030000}"/>
    <hyperlink ref="PL32" r:id="rId892" xr:uid="{00000000-0004-0000-0B00-00007B030000}"/>
    <hyperlink ref="PZ32" r:id="rId893" xr:uid="{00000000-0004-0000-0B00-00007C030000}"/>
    <hyperlink ref="QN32" r:id="rId894" xr:uid="{00000000-0004-0000-0B00-00007D030000}"/>
    <hyperlink ref="QX32" r:id="rId895" xr:uid="{00000000-0004-0000-0B00-00007E030000}"/>
    <hyperlink ref="SF32" r:id="rId896" xr:uid="{00000000-0004-0000-0B00-00007F030000}"/>
    <hyperlink ref="SL32" r:id="rId897" xr:uid="{00000000-0004-0000-0B00-000080030000}"/>
    <hyperlink ref="SR32" r:id="rId898" xr:uid="{00000000-0004-0000-0B00-000081030000}"/>
    <hyperlink ref="SX32" r:id="rId899" xr:uid="{00000000-0004-0000-0B00-000082030000}"/>
    <hyperlink ref="TL32" r:id="rId900" xr:uid="{00000000-0004-0000-0B00-000083030000}"/>
    <hyperlink ref="TZ32" r:id="rId901" xr:uid="{00000000-0004-0000-0B00-000084030000}"/>
    <hyperlink ref="UN32" r:id="rId902" xr:uid="{00000000-0004-0000-0B00-000085030000}"/>
    <hyperlink ref="FH33" r:id="rId903" xr:uid="{00000000-0004-0000-0B00-000086030000}"/>
    <hyperlink ref="IZ33" r:id="rId904" xr:uid="{00000000-0004-0000-0B00-000087030000}"/>
    <hyperlink ref="LH33" r:id="rId905" xr:uid="{00000000-0004-0000-0B00-000088030000}"/>
    <hyperlink ref="MT33" r:id="rId906" xr:uid="{00000000-0004-0000-0B00-000089030000}"/>
    <hyperlink ref="TL33" r:id="rId907" xr:uid="{00000000-0004-0000-0B00-00008A030000}"/>
    <hyperlink ref="UN33" r:id="rId908" xr:uid="{00000000-0004-0000-0B00-00008B030000}"/>
    <hyperlink ref="B34" r:id="rId909" xr:uid="{00000000-0004-0000-0B00-00008C030000}"/>
    <hyperlink ref="F34" r:id="rId910" xr:uid="{00000000-0004-0000-0B00-00008D030000}"/>
    <hyperlink ref="H34" r:id="rId911" xr:uid="{00000000-0004-0000-0B00-00008E030000}"/>
    <hyperlink ref="N34" r:id="rId912" xr:uid="{00000000-0004-0000-0B00-00008F030000}"/>
    <hyperlink ref="V34" r:id="rId913" xr:uid="{00000000-0004-0000-0B00-000090030000}"/>
    <hyperlink ref="AD34" r:id="rId914" xr:uid="{00000000-0004-0000-0B00-000091030000}"/>
    <hyperlink ref="AL34" r:id="rId915" xr:uid="{00000000-0004-0000-0B00-000092030000}"/>
    <hyperlink ref="AP34" r:id="rId916" xr:uid="{00000000-0004-0000-0B00-000093030000}"/>
    <hyperlink ref="AT34" r:id="rId917" xr:uid="{00000000-0004-0000-0B00-000094030000}"/>
    <hyperlink ref="AX34" r:id="rId918" xr:uid="{00000000-0004-0000-0B00-000095030000}"/>
    <hyperlink ref="AZ34" r:id="rId919" xr:uid="{00000000-0004-0000-0B00-000096030000}"/>
    <hyperlink ref="BF34" r:id="rId920" xr:uid="{00000000-0004-0000-0B00-000097030000}"/>
    <hyperlink ref="BN34" r:id="rId921" xr:uid="{00000000-0004-0000-0B00-000098030000}"/>
    <hyperlink ref="BP34" r:id="rId922" xr:uid="{00000000-0004-0000-0B00-000099030000}"/>
    <hyperlink ref="BT34" r:id="rId923" xr:uid="{00000000-0004-0000-0B00-00009A030000}"/>
    <hyperlink ref="BZ34" r:id="rId924" xr:uid="{00000000-0004-0000-0B00-00009B030000}"/>
    <hyperlink ref="CB34" r:id="rId925" xr:uid="{00000000-0004-0000-0B00-00009C030000}"/>
    <hyperlink ref="CD34" r:id="rId926" xr:uid="{00000000-0004-0000-0B00-00009D030000}"/>
    <hyperlink ref="CJ34" r:id="rId927" xr:uid="{00000000-0004-0000-0B00-00009E030000}"/>
    <hyperlink ref="CN34" r:id="rId928" xr:uid="{00000000-0004-0000-0B00-00009F030000}"/>
    <hyperlink ref="CP34" r:id="rId929" xr:uid="{00000000-0004-0000-0B00-0000A0030000}"/>
    <hyperlink ref="CX34" r:id="rId930" xr:uid="{00000000-0004-0000-0B00-0000A1030000}"/>
    <hyperlink ref="CZ34" r:id="rId931" xr:uid="{00000000-0004-0000-0B00-0000A2030000}"/>
    <hyperlink ref="DB34" r:id="rId932" xr:uid="{00000000-0004-0000-0B00-0000A3030000}"/>
    <hyperlink ref="DJ34" r:id="rId933" xr:uid="{00000000-0004-0000-0B00-0000A4030000}"/>
    <hyperlink ref="DL34" r:id="rId934" xr:uid="{00000000-0004-0000-0B00-0000A5030000}"/>
    <hyperlink ref="DN34" r:id="rId935" xr:uid="{00000000-0004-0000-0B00-0000A6030000}"/>
    <hyperlink ref="DR34" r:id="rId936" xr:uid="{00000000-0004-0000-0B00-0000A7030000}"/>
    <hyperlink ref="DV34" r:id="rId937" xr:uid="{00000000-0004-0000-0B00-0000A8030000}"/>
    <hyperlink ref="DX34" r:id="rId938" xr:uid="{00000000-0004-0000-0B00-0000A9030000}"/>
    <hyperlink ref="EB34" r:id="rId939" xr:uid="{00000000-0004-0000-0B00-0000AA030000}"/>
    <hyperlink ref="ED34" r:id="rId940" xr:uid="{00000000-0004-0000-0B00-0000AB030000}"/>
    <hyperlink ref="EL34" r:id="rId941" xr:uid="{00000000-0004-0000-0B00-0000AC030000}"/>
    <hyperlink ref="EN34" r:id="rId942" xr:uid="{00000000-0004-0000-0B00-0000AD030000}"/>
    <hyperlink ref="ER34" r:id="rId943" xr:uid="{00000000-0004-0000-0B00-0000AE030000}"/>
    <hyperlink ref="EZ34" r:id="rId944" xr:uid="{00000000-0004-0000-0B00-0000AF030000}"/>
    <hyperlink ref="FB34" r:id="rId945" xr:uid="{00000000-0004-0000-0B00-0000B0030000}"/>
    <hyperlink ref="FD34" r:id="rId946" xr:uid="{00000000-0004-0000-0B00-0000B1030000}"/>
    <hyperlink ref="FJ34" r:id="rId947" xr:uid="{00000000-0004-0000-0B00-0000B2030000}"/>
    <hyperlink ref="FP34" r:id="rId948" xr:uid="{00000000-0004-0000-0B00-0000B3030000}"/>
    <hyperlink ref="FX34" r:id="rId949" xr:uid="{00000000-0004-0000-0B00-0000B4030000}"/>
    <hyperlink ref="GB34" r:id="rId950" xr:uid="{00000000-0004-0000-0B00-0000B5030000}"/>
    <hyperlink ref="GD34" r:id="rId951" xr:uid="{00000000-0004-0000-0B00-0000B6030000}"/>
    <hyperlink ref="GH34" r:id="rId952" xr:uid="{00000000-0004-0000-0B00-0000B7030000}"/>
    <hyperlink ref="GL34" r:id="rId953" xr:uid="{00000000-0004-0000-0B00-0000B8030000}"/>
    <hyperlink ref="GP34" r:id="rId954" xr:uid="{00000000-0004-0000-0B00-0000B9030000}"/>
    <hyperlink ref="GR34" r:id="rId955" xr:uid="{00000000-0004-0000-0B00-0000BA030000}"/>
    <hyperlink ref="GT34" r:id="rId956" xr:uid="{00000000-0004-0000-0B00-0000BB030000}"/>
    <hyperlink ref="GV34" r:id="rId957" xr:uid="{00000000-0004-0000-0B00-0000BC030000}"/>
    <hyperlink ref="GX34" r:id="rId958" xr:uid="{00000000-0004-0000-0B00-0000BD030000}"/>
    <hyperlink ref="HB34" r:id="rId959" xr:uid="{00000000-0004-0000-0B00-0000BE030000}"/>
    <hyperlink ref="HF34" r:id="rId960" xr:uid="{00000000-0004-0000-0B00-0000BF030000}"/>
    <hyperlink ref="HL34" r:id="rId961" xr:uid="{00000000-0004-0000-0B00-0000C0030000}"/>
    <hyperlink ref="HP34" r:id="rId962" xr:uid="{00000000-0004-0000-0B00-0000C1030000}"/>
    <hyperlink ref="HR34" r:id="rId963" xr:uid="{00000000-0004-0000-0B00-0000C2030000}"/>
    <hyperlink ref="HT34" r:id="rId964" xr:uid="{00000000-0004-0000-0B00-0000C3030000}"/>
    <hyperlink ref="HX34" r:id="rId965" xr:uid="{00000000-0004-0000-0B00-0000C4030000}"/>
    <hyperlink ref="IB34" r:id="rId966" xr:uid="{00000000-0004-0000-0B00-0000C5030000}"/>
    <hyperlink ref="IJ34" r:id="rId967" xr:uid="{00000000-0004-0000-0B00-0000C6030000}"/>
    <hyperlink ref="IL34" r:id="rId968" xr:uid="{00000000-0004-0000-0B00-0000C7030000}"/>
    <hyperlink ref="IR34" r:id="rId969" xr:uid="{00000000-0004-0000-0B00-0000C8030000}"/>
    <hyperlink ref="IT34" r:id="rId970" xr:uid="{00000000-0004-0000-0B00-0000C9030000}"/>
    <hyperlink ref="IV34" r:id="rId971" xr:uid="{00000000-0004-0000-0B00-0000CA030000}"/>
    <hyperlink ref="JB34" r:id="rId972" xr:uid="{00000000-0004-0000-0B00-0000CB030000}"/>
    <hyperlink ref="JD34" r:id="rId973" xr:uid="{00000000-0004-0000-0B00-0000CC030000}"/>
    <hyperlink ref="JF34" r:id="rId974" xr:uid="{00000000-0004-0000-0B00-0000CD030000}"/>
    <hyperlink ref="JH34" r:id="rId975" xr:uid="{00000000-0004-0000-0B00-0000CE030000}"/>
    <hyperlink ref="JJ34" r:id="rId976" xr:uid="{00000000-0004-0000-0B00-0000CF030000}"/>
    <hyperlink ref="JR34" r:id="rId977" xr:uid="{00000000-0004-0000-0B00-0000D0030000}"/>
    <hyperlink ref="JT34" r:id="rId978" xr:uid="{00000000-0004-0000-0B00-0000D1030000}"/>
    <hyperlink ref="JX34" r:id="rId979" xr:uid="{00000000-0004-0000-0B00-0000D2030000}"/>
    <hyperlink ref="JZ34" r:id="rId980" xr:uid="{00000000-0004-0000-0B00-0000D3030000}"/>
    <hyperlink ref="KD34" r:id="rId981" xr:uid="{00000000-0004-0000-0B00-0000D4030000}"/>
    <hyperlink ref="KH34" r:id="rId982" xr:uid="{00000000-0004-0000-0B00-0000D5030000}"/>
    <hyperlink ref="KJ34" r:id="rId983" xr:uid="{00000000-0004-0000-0B00-0000D6030000}"/>
    <hyperlink ref="KP34" r:id="rId984" xr:uid="{00000000-0004-0000-0B00-0000D7030000}"/>
    <hyperlink ref="KV34" r:id="rId985" xr:uid="{00000000-0004-0000-0B00-0000D8030000}"/>
    <hyperlink ref="LB34" r:id="rId986" xr:uid="{00000000-0004-0000-0B00-0000D9030000}"/>
    <hyperlink ref="LD34" r:id="rId987" xr:uid="{00000000-0004-0000-0B00-0000DA030000}"/>
    <hyperlink ref="LF34" r:id="rId988" xr:uid="{00000000-0004-0000-0B00-0000DB030000}"/>
    <hyperlink ref="LJ34" r:id="rId989" xr:uid="{00000000-0004-0000-0B00-0000DC030000}"/>
    <hyperlink ref="LN34" r:id="rId990" xr:uid="{00000000-0004-0000-0B00-0000DD030000}"/>
    <hyperlink ref="LP34" r:id="rId991" xr:uid="{00000000-0004-0000-0B00-0000DE030000}"/>
    <hyperlink ref="LR34" r:id="rId992" xr:uid="{00000000-0004-0000-0B00-0000DF030000}"/>
    <hyperlink ref="LX34" r:id="rId993" xr:uid="{00000000-0004-0000-0B00-0000E0030000}"/>
    <hyperlink ref="MD34" r:id="rId994" xr:uid="{00000000-0004-0000-0B00-0000E1030000}"/>
    <hyperlink ref="ML34" r:id="rId995" xr:uid="{00000000-0004-0000-0B00-0000E2030000}"/>
    <hyperlink ref="MR34" r:id="rId996" xr:uid="{00000000-0004-0000-0B00-0000E3030000}"/>
    <hyperlink ref="MT34" r:id="rId997" xr:uid="{00000000-0004-0000-0B00-0000E4030000}"/>
    <hyperlink ref="NB34" r:id="rId998" xr:uid="{00000000-0004-0000-0B00-0000E5030000}"/>
    <hyperlink ref="NF34" r:id="rId999" xr:uid="{00000000-0004-0000-0B00-0000E6030000}"/>
    <hyperlink ref="NJ34" r:id="rId1000" xr:uid="{00000000-0004-0000-0B00-0000E7030000}"/>
    <hyperlink ref="NR34" r:id="rId1001" xr:uid="{00000000-0004-0000-0B00-0000E8030000}"/>
    <hyperlink ref="NT34" r:id="rId1002" xr:uid="{00000000-0004-0000-0B00-0000E9030000}"/>
    <hyperlink ref="NZ34" r:id="rId1003" xr:uid="{00000000-0004-0000-0B00-0000EA030000}"/>
    <hyperlink ref="OD34" r:id="rId1004" xr:uid="{00000000-0004-0000-0B00-0000EB030000}"/>
    <hyperlink ref="OJ34" r:id="rId1005" xr:uid="{00000000-0004-0000-0B00-0000EC030000}"/>
    <hyperlink ref="ON34" r:id="rId1006" xr:uid="{00000000-0004-0000-0B00-0000ED030000}"/>
    <hyperlink ref="OP34" r:id="rId1007" xr:uid="{00000000-0004-0000-0B00-0000EE030000}"/>
    <hyperlink ref="OR34" r:id="rId1008" xr:uid="{00000000-0004-0000-0B00-0000EF030000}"/>
    <hyperlink ref="OT34" r:id="rId1009" xr:uid="{00000000-0004-0000-0B00-0000F0030000}"/>
    <hyperlink ref="OZ34" r:id="rId1010" xr:uid="{00000000-0004-0000-0B00-0000F1030000}"/>
    <hyperlink ref="PB34" r:id="rId1011" xr:uid="{00000000-0004-0000-0B00-0000F2030000}"/>
    <hyperlink ref="PD34" r:id="rId1012" xr:uid="{00000000-0004-0000-0B00-0000F3030000}"/>
    <hyperlink ref="PF34" r:id="rId1013" xr:uid="{00000000-0004-0000-0B00-0000F4030000}"/>
    <hyperlink ref="PH34" r:id="rId1014" xr:uid="{00000000-0004-0000-0B00-0000F5030000}"/>
    <hyperlink ref="PJ34" r:id="rId1015" xr:uid="{00000000-0004-0000-0B00-0000F6030000}"/>
    <hyperlink ref="PL34" r:id="rId1016" xr:uid="{00000000-0004-0000-0B00-0000F7030000}"/>
    <hyperlink ref="PN34" r:id="rId1017" xr:uid="{00000000-0004-0000-0B00-0000F8030000}"/>
    <hyperlink ref="PT34" r:id="rId1018" xr:uid="{00000000-0004-0000-0B00-0000F9030000}"/>
    <hyperlink ref="PV34" r:id="rId1019" xr:uid="{00000000-0004-0000-0B00-0000FA030000}"/>
    <hyperlink ref="PX34" r:id="rId1020" xr:uid="{00000000-0004-0000-0B00-0000FB030000}"/>
    <hyperlink ref="PZ34" r:id="rId1021" xr:uid="{00000000-0004-0000-0B00-0000FC030000}"/>
    <hyperlink ref="QH34" r:id="rId1022" xr:uid="{00000000-0004-0000-0B00-0000FD030000}"/>
    <hyperlink ref="QJ34" r:id="rId1023" xr:uid="{00000000-0004-0000-0B00-0000FE030000}"/>
    <hyperlink ref="QP34" r:id="rId1024" xr:uid="{00000000-0004-0000-0B00-0000FF030000}"/>
    <hyperlink ref="QR34" r:id="rId1025" xr:uid="{00000000-0004-0000-0B00-000000040000}"/>
    <hyperlink ref="QT34" r:id="rId1026" xr:uid="{00000000-0004-0000-0B00-000001040000}"/>
    <hyperlink ref="QV34" r:id="rId1027" xr:uid="{00000000-0004-0000-0B00-000002040000}"/>
    <hyperlink ref="QX34" r:id="rId1028" xr:uid="{00000000-0004-0000-0B00-000003040000}"/>
    <hyperlink ref="RD34" r:id="rId1029" xr:uid="{00000000-0004-0000-0B00-000004040000}"/>
    <hyperlink ref="RL34" r:id="rId1030" xr:uid="{00000000-0004-0000-0B00-000005040000}"/>
    <hyperlink ref="RR34" r:id="rId1031" xr:uid="{00000000-0004-0000-0B00-000006040000}"/>
    <hyperlink ref="RV34" r:id="rId1032" xr:uid="{00000000-0004-0000-0B00-000007040000}"/>
    <hyperlink ref="RZ34" r:id="rId1033" xr:uid="{00000000-0004-0000-0B00-000008040000}"/>
    <hyperlink ref="SF34" r:id="rId1034" xr:uid="{00000000-0004-0000-0B00-000009040000}"/>
    <hyperlink ref="SJ34" r:id="rId1035" xr:uid="{00000000-0004-0000-0B00-00000A040000}"/>
    <hyperlink ref="SL34" r:id="rId1036" xr:uid="{00000000-0004-0000-0B00-00000B040000}"/>
    <hyperlink ref="SR34" r:id="rId1037" xr:uid="{00000000-0004-0000-0B00-00000C040000}"/>
    <hyperlink ref="ST34" r:id="rId1038" xr:uid="{00000000-0004-0000-0B00-00000D040000}"/>
    <hyperlink ref="SX34" r:id="rId1039" xr:uid="{00000000-0004-0000-0B00-00000E040000}"/>
    <hyperlink ref="SZ34" r:id="rId1040" xr:uid="{00000000-0004-0000-0B00-00000F040000}"/>
    <hyperlink ref="TB34" r:id="rId1041" xr:uid="{00000000-0004-0000-0B00-000010040000}"/>
    <hyperlink ref="TD34" r:id="rId1042" xr:uid="{00000000-0004-0000-0B00-000011040000}"/>
    <hyperlink ref="TH34" r:id="rId1043" xr:uid="{00000000-0004-0000-0B00-000012040000}"/>
    <hyperlink ref="TN34" r:id="rId1044" xr:uid="{00000000-0004-0000-0B00-000013040000}"/>
    <hyperlink ref="TP34" r:id="rId1045" xr:uid="{00000000-0004-0000-0B00-000014040000}"/>
    <hyperlink ref="TV34" r:id="rId1046" xr:uid="{00000000-0004-0000-0B00-000015040000}"/>
    <hyperlink ref="UB34" r:id="rId1047" xr:uid="{00000000-0004-0000-0B00-000016040000}"/>
    <hyperlink ref="UD34" r:id="rId1048" xr:uid="{00000000-0004-0000-0B00-000017040000}"/>
    <hyperlink ref="UF34" r:id="rId1049" xr:uid="{00000000-0004-0000-0B00-000018040000}"/>
    <hyperlink ref="UJ34" r:id="rId1050" xr:uid="{00000000-0004-0000-0B00-000019040000}"/>
    <hyperlink ref="UL34" r:id="rId1051" xr:uid="{00000000-0004-0000-0B00-00001A040000}"/>
    <hyperlink ref="UP34" r:id="rId1052" xr:uid="{00000000-0004-0000-0B00-00001B040000}"/>
    <hyperlink ref="UR34" r:id="rId1053" xr:uid="{00000000-0004-0000-0B00-00001C040000}"/>
    <hyperlink ref="UT34" r:id="rId1054" xr:uid="{00000000-0004-0000-0B00-00001D040000}"/>
    <hyperlink ref="UZ34" r:id="rId1055" xr:uid="{00000000-0004-0000-0B00-00001E040000}"/>
    <hyperlink ref="VB34" r:id="rId1056" xr:uid="{00000000-0004-0000-0B00-00001F040000}"/>
    <hyperlink ref="VH34" r:id="rId1057" xr:uid="{00000000-0004-0000-0B00-000020040000}"/>
    <hyperlink ref="VP34" r:id="rId1058" xr:uid="{00000000-0004-0000-0B00-000021040000}"/>
    <hyperlink ref="VV34" r:id="rId1059" xr:uid="{00000000-0004-0000-0B00-000022040000}"/>
    <hyperlink ref="VX34" r:id="rId1060" xr:uid="{00000000-0004-0000-0B00-000023040000}"/>
    <hyperlink ref="WD34" r:id="rId1061" xr:uid="{00000000-0004-0000-0B00-000024040000}"/>
    <hyperlink ref="WF34" r:id="rId1062" xr:uid="{00000000-0004-0000-0B00-000025040000}"/>
    <hyperlink ref="WL34" r:id="rId1063" xr:uid="{00000000-0004-0000-0B00-000026040000}"/>
    <hyperlink ref="WN34" r:id="rId1064" xr:uid="{00000000-0004-0000-0B00-000027040000}"/>
    <hyperlink ref="WT34" r:id="rId1065" xr:uid="{00000000-0004-0000-0B00-000028040000}"/>
    <hyperlink ref="WV34" r:id="rId1066" xr:uid="{00000000-0004-0000-0B00-000029040000}"/>
    <hyperlink ref="WZ34" r:id="rId1067" xr:uid="{00000000-0004-0000-0B00-00002A040000}"/>
    <hyperlink ref="XF34" r:id="rId1068" xr:uid="{00000000-0004-0000-0B00-00002B040000}"/>
    <hyperlink ref="XH34" r:id="rId1069" xr:uid="{00000000-0004-0000-0B00-00002C040000}"/>
    <hyperlink ref="XN34" r:id="rId1070" xr:uid="{00000000-0004-0000-0B00-00002D040000}"/>
    <hyperlink ref="XT34" r:id="rId1071" xr:uid="{00000000-0004-0000-0B00-00002E040000}"/>
    <hyperlink ref="XV34" r:id="rId1072" xr:uid="{00000000-0004-0000-0B00-00002F040000}"/>
    <hyperlink ref="BP35" r:id="rId1073" xr:uid="{00000000-0004-0000-0B00-000030040000}"/>
    <hyperlink ref="LJ35" r:id="rId1074" xr:uid="{00000000-0004-0000-0B00-000031040000}"/>
    <hyperlink ref="MD35" r:id="rId1075" xr:uid="{00000000-0004-0000-0B00-000032040000}"/>
    <hyperlink ref="UP35" r:id="rId1076" xr:uid="{00000000-0004-0000-0B00-000033040000}"/>
    <hyperlink ref="N36" r:id="rId1077" xr:uid="{00000000-0004-0000-0B00-000034040000}"/>
    <hyperlink ref="AL36" r:id="rId1078" xr:uid="{00000000-0004-0000-0B00-000035040000}"/>
    <hyperlink ref="AP36" r:id="rId1079" xr:uid="{00000000-0004-0000-0B00-000036040000}"/>
    <hyperlink ref="BN36" r:id="rId1080" xr:uid="{00000000-0004-0000-0B00-000037040000}"/>
    <hyperlink ref="BP36" r:id="rId1081" xr:uid="{00000000-0004-0000-0B00-000038040000}"/>
    <hyperlink ref="CJ36" r:id="rId1082" xr:uid="{00000000-0004-0000-0B00-000039040000}"/>
    <hyperlink ref="CP36" r:id="rId1083" xr:uid="{00000000-0004-0000-0B00-00003A040000}"/>
    <hyperlink ref="DL36" r:id="rId1084" xr:uid="{00000000-0004-0000-0B00-00003B040000}"/>
    <hyperlink ref="FJ36" r:id="rId1085" xr:uid="{00000000-0004-0000-0B00-00003C040000}"/>
    <hyperlink ref="HF36" r:id="rId1086" xr:uid="{00000000-0004-0000-0B00-00003D040000}"/>
    <hyperlink ref="JF36" r:id="rId1087" xr:uid="{00000000-0004-0000-0B00-00003E040000}"/>
    <hyperlink ref="JH36" r:id="rId1088" xr:uid="{00000000-0004-0000-0B00-00003F040000}"/>
    <hyperlink ref="KD36" r:id="rId1089" xr:uid="{00000000-0004-0000-0B00-000040040000}"/>
    <hyperlink ref="KH36" r:id="rId1090" xr:uid="{00000000-0004-0000-0B00-000041040000}"/>
    <hyperlink ref="LJ36" r:id="rId1091" xr:uid="{00000000-0004-0000-0B00-000042040000}"/>
    <hyperlink ref="LX36" r:id="rId1092" xr:uid="{00000000-0004-0000-0B00-000043040000}"/>
    <hyperlink ref="MD36" r:id="rId1093" xr:uid="{00000000-0004-0000-0B00-000044040000}"/>
    <hyperlink ref="MR36" r:id="rId1094" xr:uid="{00000000-0004-0000-0B00-000045040000}"/>
    <hyperlink ref="NF36" r:id="rId1095" xr:uid="{00000000-0004-0000-0B00-000046040000}"/>
    <hyperlink ref="NR36" r:id="rId1096" xr:uid="{00000000-0004-0000-0B00-000047040000}"/>
    <hyperlink ref="NT36" r:id="rId1097" xr:uid="{00000000-0004-0000-0B00-000048040000}"/>
    <hyperlink ref="OJ36" r:id="rId1098" xr:uid="{00000000-0004-0000-0B00-000049040000}"/>
    <hyperlink ref="OR36" r:id="rId1099" xr:uid="{00000000-0004-0000-0B00-00004A040000}"/>
    <hyperlink ref="QJ36" r:id="rId1100" xr:uid="{00000000-0004-0000-0B00-00004B040000}"/>
    <hyperlink ref="QV36" r:id="rId1101" xr:uid="{00000000-0004-0000-0B00-00004C040000}"/>
    <hyperlink ref="RR36" r:id="rId1102" xr:uid="{00000000-0004-0000-0B00-00004D040000}"/>
    <hyperlink ref="SZ36" r:id="rId1103" xr:uid="{00000000-0004-0000-0B00-00004E040000}"/>
    <hyperlink ref="TD36" r:id="rId1104" xr:uid="{00000000-0004-0000-0B00-00004F040000}"/>
    <hyperlink ref="TH36" r:id="rId1105" xr:uid="{00000000-0004-0000-0B00-000050040000}"/>
    <hyperlink ref="TV36" r:id="rId1106" xr:uid="{00000000-0004-0000-0B00-000051040000}"/>
    <hyperlink ref="UP36" r:id="rId1107" xr:uid="{00000000-0004-0000-0B00-000052040000}"/>
    <hyperlink ref="VP36" r:id="rId1108" xr:uid="{00000000-0004-0000-0B00-000053040000}"/>
    <hyperlink ref="XF36" r:id="rId1109" xr:uid="{00000000-0004-0000-0B00-000054040000}"/>
    <hyperlink ref="LJ37" r:id="rId1110" xr:uid="{00000000-0004-0000-0B00-000055040000}"/>
    <hyperlink ref="B38" r:id="rId1111" xr:uid="{00000000-0004-0000-0B00-000056040000}"/>
    <hyperlink ref="F38" r:id="rId1112" xr:uid="{00000000-0004-0000-0B00-000057040000}"/>
    <hyperlink ref="H38" r:id="rId1113" xr:uid="{00000000-0004-0000-0B00-000058040000}"/>
    <hyperlink ref="J38" r:id="rId1114" xr:uid="{00000000-0004-0000-0B00-000059040000}"/>
    <hyperlink ref="N38" r:id="rId1115" xr:uid="{00000000-0004-0000-0B00-00005A040000}"/>
    <hyperlink ref="R38" r:id="rId1116" xr:uid="{00000000-0004-0000-0B00-00005B040000}"/>
    <hyperlink ref="V38" r:id="rId1117" xr:uid="{00000000-0004-0000-0B00-00005C040000}"/>
    <hyperlink ref="AD38" r:id="rId1118" xr:uid="{00000000-0004-0000-0B00-00005D040000}"/>
    <hyperlink ref="AL38" r:id="rId1119" xr:uid="{00000000-0004-0000-0B00-00005E040000}"/>
    <hyperlink ref="AP38" r:id="rId1120" xr:uid="{00000000-0004-0000-0B00-00005F040000}"/>
    <hyperlink ref="AT38" r:id="rId1121" xr:uid="{00000000-0004-0000-0B00-000060040000}"/>
    <hyperlink ref="AV38" r:id="rId1122" xr:uid="{00000000-0004-0000-0B00-000061040000}"/>
    <hyperlink ref="AZ38" r:id="rId1123" xr:uid="{00000000-0004-0000-0B00-000062040000}"/>
    <hyperlink ref="BF38" r:id="rId1124" xr:uid="{00000000-0004-0000-0B00-000063040000}"/>
    <hyperlink ref="BN38" r:id="rId1125" xr:uid="{00000000-0004-0000-0B00-000064040000}"/>
    <hyperlink ref="BT38" r:id="rId1126" xr:uid="{00000000-0004-0000-0B00-000065040000}"/>
    <hyperlink ref="BZ38" r:id="rId1127" xr:uid="{00000000-0004-0000-0B00-000066040000}"/>
    <hyperlink ref="CB38" r:id="rId1128" xr:uid="{00000000-0004-0000-0B00-000067040000}"/>
    <hyperlink ref="CJ38" r:id="rId1129" xr:uid="{00000000-0004-0000-0B00-000068040000}"/>
    <hyperlink ref="CP38" r:id="rId1130" xr:uid="{00000000-0004-0000-0B00-000069040000}"/>
    <hyperlink ref="CV38" r:id="rId1131" xr:uid="{00000000-0004-0000-0B00-00006A040000}"/>
    <hyperlink ref="AL39" r:id="rId1132" xr:uid="{00000000-0004-0000-0B00-00006B040000}"/>
    <hyperlink ref="BT39" r:id="rId1133" xr:uid="{00000000-0004-0000-0B00-00006C040000}"/>
    <hyperlink ref="BZ39" r:id="rId1134" xr:uid="{00000000-0004-0000-0B00-00006D04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F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4" max="4" width="4.28515625" customWidth="1"/>
    <col min="5" max="5" width="17.28515625" customWidth="1"/>
    <col min="6" max="7" width="12.5703125" customWidth="1"/>
    <col min="8" max="8" width="17.28515625" customWidth="1"/>
    <col min="9" max="10" width="12.5703125" customWidth="1"/>
    <col min="11" max="11" width="31.28515625" customWidth="1"/>
    <col min="12" max="13" width="12.5703125" customWidth="1"/>
    <col min="14" max="14" width="17.28515625" customWidth="1"/>
    <col min="15" max="22" width="12.5703125" customWidth="1"/>
    <col min="23" max="23" width="17.42578125" customWidth="1"/>
    <col min="24" max="28" width="12.5703125" customWidth="1"/>
    <col min="29" max="29" width="19.42578125" customWidth="1"/>
    <col min="30" max="31" width="12.5703125" customWidth="1"/>
    <col min="32" max="32" width="19.42578125" customWidth="1"/>
    <col min="33" max="34" width="12.5703125" customWidth="1"/>
    <col min="35" max="35" width="20.28515625" customWidth="1"/>
    <col min="36" max="40" width="12.5703125" customWidth="1"/>
    <col min="41" max="41" width="54.5703125" customWidth="1"/>
    <col min="44" max="44" width="12.5703125" customWidth="1"/>
    <col min="47" max="47" width="12.5703125" customWidth="1"/>
    <col min="50" max="50" width="19.7109375" customWidth="1"/>
    <col min="53" max="53" width="12.5703125" customWidth="1"/>
    <col min="56" max="56" width="19.7109375" customWidth="1"/>
  </cols>
  <sheetData>
    <row r="1" spans="1:58" ht="15.75" customHeight="1" x14ac:dyDescent="0.2">
      <c r="A1" s="65"/>
      <c r="B1" s="65"/>
      <c r="C1" s="65"/>
      <c r="D1" s="215"/>
      <c r="E1" s="449" t="s">
        <v>2059</v>
      </c>
      <c r="F1" s="397"/>
      <c r="G1" s="450"/>
      <c r="H1" s="449" t="s">
        <v>2060</v>
      </c>
      <c r="I1" s="397"/>
      <c r="J1" s="450"/>
      <c r="K1" s="449" t="s">
        <v>2061</v>
      </c>
      <c r="L1" s="397"/>
      <c r="M1" s="450"/>
      <c r="N1" s="449" t="s">
        <v>2062</v>
      </c>
      <c r="O1" s="397"/>
      <c r="P1" s="450"/>
      <c r="Q1" s="449" t="s">
        <v>2063</v>
      </c>
      <c r="R1" s="397"/>
      <c r="S1" s="450"/>
      <c r="T1" s="449" t="s">
        <v>2064</v>
      </c>
      <c r="U1" s="397"/>
      <c r="V1" s="450"/>
      <c r="W1" s="449" t="s">
        <v>2065</v>
      </c>
      <c r="X1" s="397"/>
      <c r="Y1" s="450"/>
      <c r="Z1" s="449" t="s">
        <v>2066</v>
      </c>
      <c r="AA1" s="397"/>
      <c r="AB1" s="450"/>
      <c r="AC1" s="449" t="s">
        <v>2067</v>
      </c>
      <c r="AD1" s="397"/>
      <c r="AE1" s="450"/>
      <c r="AF1" s="449" t="s">
        <v>2068</v>
      </c>
      <c r="AG1" s="397"/>
      <c r="AH1" s="450"/>
      <c r="AI1" s="449" t="s">
        <v>2069</v>
      </c>
      <c r="AJ1" s="397"/>
      <c r="AK1" s="450"/>
      <c r="AL1" s="449" t="s">
        <v>2070</v>
      </c>
      <c r="AM1" s="397"/>
      <c r="AN1" s="450"/>
      <c r="AO1" s="449" t="s">
        <v>2071</v>
      </c>
      <c r="AP1" s="397"/>
      <c r="AQ1" s="450"/>
      <c r="AR1" s="449" t="s">
        <v>2072</v>
      </c>
      <c r="AS1" s="397"/>
      <c r="AT1" s="450"/>
      <c r="AU1" s="449" t="s">
        <v>2062</v>
      </c>
      <c r="AV1" s="397"/>
      <c r="AW1" s="450"/>
      <c r="AX1" s="449" t="s">
        <v>2068</v>
      </c>
      <c r="AY1" s="397"/>
      <c r="AZ1" s="450"/>
      <c r="BA1" s="449" t="s">
        <v>2062</v>
      </c>
      <c r="BB1" s="397"/>
      <c r="BC1" s="450"/>
      <c r="BD1" s="449" t="s">
        <v>2068</v>
      </c>
      <c r="BE1" s="397"/>
      <c r="BF1" s="450"/>
    </row>
    <row r="2" spans="1:58" ht="15.75" customHeight="1" x14ac:dyDescent="0.2">
      <c r="A2" s="454" t="s">
        <v>2073</v>
      </c>
      <c r="B2" s="402"/>
      <c r="C2" s="412"/>
      <c r="D2" s="216"/>
      <c r="E2" s="223" t="s">
        <v>2074</v>
      </c>
      <c r="F2" s="79">
        <v>45688</v>
      </c>
      <c r="G2" s="218" t="str">
        <f t="shared" ref="G2:G3" si="0">CHOOSE(WEEKDAY(F2,2),"Monday","Tuesday","Wednesday","Thursday","Friday","Saturday","Sunday")</f>
        <v>Friday</v>
      </c>
      <c r="H2" s="223" t="s">
        <v>2074</v>
      </c>
      <c r="I2" s="79">
        <v>45670</v>
      </c>
      <c r="J2" s="218" t="str">
        <f t="shared" ref="J2:J3" si="1">CHOOSE(WEEKDAY(I2,2),"Monday","Tuesday","Wednesday","Thursday","Friday","Saturday","Sunday")</f>
        <v>Monday</v>
      </c>
      <c r="K2" s="223" t="s">
        <v>2074</v>
      </c>
      <c r="L2" s="79">
        <v>45618</v>
      </c>
      <c r="M2" s="218" t="str">
        <f t="shared" ref="M2:M3" si="2">CHOOSE(WEEKDAY(L2,2),"Monday","Tuesday","Wednesday","Thursday","Friday","Saturday","Sunday")</f>
        <v>Friday</v>
      </c>
      <c r="N2" s="223" t="s">
        <v>2074</v>
      </c>
      <c r="O2" s="79">
        <v>45590</v>
      </c>
      <c r="P2" s="218" t="str">
        <f t="shared" ref="P2:P4" si="3">CHOOSE(WEEKDAY(O2,2),"Monday","Tuesday","Wednesday","Thursday","Friday","Saturday","Sunday")</f>
        <v>Friday</v>
      </c>
      <c r="Q2" s="223" t="s">
        <v>2074</v>
      </c>
      <c r="R2" s="79">
        <v>45561</v>
      </c>
      <c r="S2" s="218" t="str">
        <f t="shared" ref="S2:S3" si="4">CHOOSE(WEEKDAY(R2,2),"Monday","Tuesday","Wednesday","Thursday","Friday","Saturday","Sunday")</f>
        <v>Thursday</v>
      </c>
      <c r="T2" s="223" t="s">
        <v>2074</v>
      </c>
      <c r="U2" s="79">
        <v>45533</v>
      </c>
      <c r="V2" s="218" t="str">
        <f t="shared" ref="V2:V3" si="5">CHOOSE(WEEKDAY(U2,2),"Monday","Tuesday","Wednesday","Thursday","Friday","Saturday","Sunday")</f>
        <v>Thursday</v>
      </c>
      <c r="W2" s="223" t="s">
        <v>2074</v>
      </c>
      <c r="X2" s="79">
        <v>45505</v>
      </c>
      <c r="Y2" s="218" t="str">
        <f t="shared" ref="Y2:Y3" si="6">CHOOSE(WEEKDAY(X2,2),"Monday","Tuesday","Wednesday","Thursday","Friday","Saturday","Sunday")</f>
        <v>Thursday</v>
      </c>
      <c r="Z2" s="223" t="s">
        <v>2074</v>
      </c>
      <c r="AA2" s="79">
        <v>45490</v>
      </c>
      <c r="AB2" s="218" t="str">
        <f t="shared" ref="AB2:AB3" si="7">CHOOSE(WEEKDAY(AA2,2),"Monday","Tuesday","Wednesday","Thursday","Friday","Saturday","Sunday")</f>
        <v>Wednesday</v>
      </c>
      <c r="AC2" s="223" t="s">
        <v>2074</v>
      </c>
      <c r="AD2" s="79">
        <v>45442</v>
      </c>
      <c r="AE2" s="218" t="str">
        <f t="shared" ref="AE2:AE3" si="8">CHOOSE(WEEKDAY(AD2,2),"Monday","Tuesday","Wednesday","Thursday","Friday","Saturday","Sunday")</f>
        <v>Thursday</v>
      </c>
      <c r="AF2" s="223" t="s">
        <v>2074</v>
      </c>
      <c r="AG2" s="79">
        <v>45414</v>
      </c>
      <c r="AH2" s="218" t="str">
        <f t="shared" ref="AH2:AH3" si="9">CHOOSE(WEEKDAY(AG2,2),"Monday","Tuesday","Wednesday","Thursday","Friday","Saturday","Sunday")</f>
        <v>Thursday</v>
      </c>
      <c r="AI2" s="223" t="s">
        <v>2074</v>
      </c>
      <c r="AJ2" s="79">
        <v>45400</v>
      </c>
      <c r="AK2" s="218" t="str">
        <f t="shared" ref="AK2:AK3" si="10">CHOOSE(WEEKDAY(AJ2,2),"Monday","Tuesday","Wednesday","Thursday","Friday","Saturday","Sunday")</f>
        <v>Thursday</v>
      </c>
      <c r="AL2" s="223" t="s">
        <v>2074</v>
      </c>
      <c r="AM2" s="79">
        <v>45358</v>
      </c>
      <c r="AN2" s="218" t="str">
        <f t="shared" ref="AN2:AN3" si="11">CHOOSE(WEEKDAY(AM2,2),"Monday","Tuesday","Wednesday","Thursday","Friday","Saturday","Sunday")</f>
        <v>Thursday</v>
      </c>
      <c r="AO2" s="223" t="s">
        <v>2074</v>
      </c>
      <c r="AP2" s="79">
        <v>45337</v>
      </c>
      <c r="AQ2" s="218" t="str">
        <f t="shared" ref="AQ2:AQ3" si="12">CHOOSE(WEEKDAY(AP2,2),"Monday","Tuesday","Wednesday","Thursday","Friday","Saturday","Sunday")</f>
        <v>Thursday</v>
      </c>
      <c r="AR2" s="223" t="s">
        <v>2075</v>
      </c>
      <c r="AS2" s="79">
        <v>45316</v>
      </c>
      <c r="AT2" s="218" t="str">
        <f t="shared" ref="AT2:AT3" si="13">CHOOSE(WEEKDAY(AS2,2),"Monday","Tuesday","Wednesday","Thursday","Friday","Saturday","Sunday")</f>
        <v>Thursday</v>
      </c>
      <c r="AU2" s="223" t="s">
        <v>2074</v>
      </c>
      <c r="AV2" s="79">
        <v>45230</v>
      </c>
      <c r="AW2" s="218" t="str">
        <f t="shared" ref="AW2:AW3" si="14">CHOOSE(WEEKDAY(AV2,2),"Monday","Tuesday","Wednesday","Thursday","Friday","Saturday","Sunday")</f>
        <v>Tuesday</v>
      </c>
      <c r="AX2" s="223" t="s">
        <v>2076</v>
      </c>
      <c r="AY2" s="79">
        <v>45049</v>
      </c>
      <c r="AZ2" s="218" t="str">
        <f t="shared" ref="AZ2:AZ3" si="15">CHOOSE(WEEKDAY(AY2,2),"Monday","Tuesday","Wednesday","Thursday","Friday","Saturday","Sunday")</f>
        <v>Wednesday</v>
      </c>
      <c r="BA2" s="223" t="s">
        <v>2077</v>
      </c>
      <c r="BB2" s="79">
        <v>44862</v>
      </c>
      <c r="BC2" s="218" t="str">
        <f t="shared" ref="BC2:BC4" si="16">CHOOSE(WEEKDAY(BB2,2),"Monday","Tuesday","Wednesday","Thursday","Friday","Saturday","Sunday")</f>
        <v>Friday</v>
      </c>
      <c r="BD2" s="223" t="s">
        <v>2078</v>
      </c>
      <c r="BE2" s="79">
        <v>44687</v>
      </c>
      <c r="BF2" s="218" t="str">
        <f>CHOOSE(WEEKDAY(BE2,2),"Monday","Tuesday","Wednesday","Thursday","Friday","Saturday","Sunday")</f>
        <v>Friday</v>
      </c>
    </row>
    <row r="3" spans="1:58" ht="15.75" customHeight="1" x14ac:dyDescent="0.2">
      <c r="A3" s="396"/>
      <c r="B3" s="397"/>
      <c r="C3" s="398"/>
      <c r="D3" s="216"/>
      <c r="E3" s="223" t="s">
        <v>2079</v>
      </c>
      <c r="F3" s="79">
        <v>45694</v>
      </c>
      <c r="G3" s="218" t="str">
        <f t="shared" si="0"/>
        <v>Thursday</v>
      </c>
      <c r="H3" s="223" t="s">
        <v>2080</v>
      </c>
      <c r="I3" s="79">
        <v>45674</v>
      </c>
      <c r="J3" s="218" t="str">
        <f t="shared" si="1"/>
        <v>Friday</v>
      </c>
      <c r="K3" s="223" t="s">
        <v>2081</v>
      </c>
      <c r="L3" s="79">
        <v>45623</v>
      </c>
      <c r="M3" s="218" t="str">
        <f t="shared" si="2"/>
        <v>Wednesday</v>
      </c>
      <c r="N3" s="223" t="s">
        <v>2074</v>
      </c>
      <c r="O3" s="79">
        <v>45597</v>
      </c>
      <c r="P3" s="218" t="str">
        <f t="shared" si="3"/>
        <v>Friday</v>
      </c>
      <c r="Q3" s="223" t="s">
        <v>2082</v>
      </c>
      <c r="R3" s="79">
        <v>45568</v>
      </c>
      <c r="S3" s="218" t="str">
        <f t="shared" si="4"/>
        <v>Thursday</v>
      </c>
      <c r="T3" s="223" t="s">
        <v>2083</v>
      </c>
      <c r="U3" s="79">
        <v>45540</v>
      </c>
      <c r="V3" s="218" t="str">
        <f t="shared" si="5"/>
        <v>Thursday</v>
      </c>
      <c r="W3" s="223" t="s">
        <v>2084</v>
      </c>
      <c r="X3" s="79">
        <v>45512</v>
      </c>
      <c r="Y3" s="218" t="str">
        <f t="shared" si="6"/>
        <v>Thursday</v>
      </c>
      <c r="Z3" s="223" t="s">
        <v>2085</v>
      </c>
      <c r="AA3" s="79">
        <v>45497</v>
      </c>
      <c r="AB3" s="218" t="str">
        <f t="shared" si="7"/>
        <v>Wednesday</v>
      </c>
      <c r="AC3" s="223" t="s">
        <v>2086</v>
      </c>
      <c r="AD3" s="79">
        <v>45448</v>
      </c>
      <c r="AE3" s="218" t="str">
        <f t="shared" si="8"/>
        <v>Wednesday</v>
      </c>
      <c r="AF3" s="223" t="s">
        <v>2087</v>
      </c>
      <c r="AG3" s="79">
        <v>45414</v>
      </c>
      <c r="AH3" s="218" t="str">
        <f t="shared" si="9"/>
        <v>Thursday</v>
      </c>
      <c r="AI3" s="223" t="s">
        <v>2088</v>
      </c>
      <c r="AJ3" s="79">
        <v>45406</v>
      </c>
      <c r="AK3" s="218" t="str">
        <f t="shared" si="10"/>
        <v>Wednesday</v>
      </c>
      <c r="AL3" s="223" t="s">
        <v>2089</v>
      </c>
      <c r="AM3" s="79">
        <v>45365</v>
      </c>
      <c r="AN3" s="218" t="str">
        <f t="shared" si="11"/>
        <v>Thursday</v>
      </c>
      <c r="AO3" s="223" t="s">
        <v>2090</v>
      </c>
      <c r="AP3" s="79">
        <v>45344</v>
      </c>
      <c r="AQ3" s="218" t="str">
        <f t="shared" si="12"/>
        <v>Thursday</v>
      </c>
      <c r="AR3" s="223" t="s">
        <v>2074</v>
      </c>
      <c r="AS3" s="79">
        <v>45316</v>
      </c>
      <c r="AT3" s="218" t="str">
        <f t="shared" si="13"/>
        <v>Thursday</v>
      </c>
      <c r="AU3" s="223" t="s">
        <v>2091</v>
      </c>
      <c r="AV3" s="79">
        <v>45238</v>
      </c>
      <c r="AW3" s="218" t="str">
        <f t="shared" si="14"/>
        <v>Wednesday</v>
      </c>
      <c r="AX3" s="223" t="s">
        <v>2074</v>
      </c>
      <c r="AY3" s="79">
        <v>45051</v>
      </c>
      <c r="AZ3" s="218" t="str">
        <f t="shared" si="15"/>
        <v>Friday</v>
      </c>
      <c r="BA3" s="223" t="s">
        <v>2074</v>
      </c>
      <c r="BB3" s="79">
        <v>44865</v>
      </c>
      <c r="BC3" s="218" t="str">
        <f t="shared" si="16"/>
        <v>Monday</v>
      </c>
      <c r="BD3" s="74"/>
      <c r="BE3" s="79"/>
      <c r="BF3" s="74"/>
    </row>
    <row r="4" spans="1:58" ht="15.75" customHeight="1" x14ac:dyDescent="0.2">
      <c r="A4" s="74"/>
      <c r="B4" s="216"/>
      <c r="C4" s="216"/>
      <c r="D4" s="74"/>
      <c r="E4" s="74"/>
      <c r="F4" s="79"/>
      <c r="G4" s="74"/>
      <c r="H4" s="74"/>
      <c r="I4" s="79"/>
      <c r="J4" s="74"/>
      <c r="K4" s="74"/>
      <c r="L4" s="79"/>
      <c r="M4" s="74"/>
      <c r="N4" s="223" t="s">
        <v>2092</v>
      </c>
      <c r="O4" s="79">
        <v>45600</v>
      </c>
      <c r="P4" s="218" t="str">
        <f t="shared" si="3"/>
        <v>Monday</v>
      </c>
      <c r="Q4" s="251"/>
      <c r="R4" s="79"/>
      <c r="S4" s="74"/>
      <c r="T4" s="251"/>
      <c r="U4" s="79"/>
      <c r="V4" s="74"/>
      <c r="W4" s="251"/>
      <c r="X4" s="79"/>
      <c r="Y4" s="74"/>
      <c r="Z4" s="251"/>
      <c r="AA4" s="79"/>
      <c r="AB4" s="74"/>
      <c r="AC4" s="251"/>
      <c r="AD4" s="79"/>
      <c r="AE4" s="74"/>
      <c r="AF4" s="251"/>
      <c r="AG4" s="79"/>
      <c r="AH4" s="74"/>
      <c r="AI4" s="251"/>
      <c r="AJ4" s="79"/>
      <c r="AK4" s="74"/>
      <c r="AL4" s="251"/>
      <c r="AM4" s="79"/>
      <c r="AN4" s="74"/>
      <c r="AO4" s="251"/>
      <c r="AP4" s="79"/>
      <c r="AQ4" s="74"/>
      <c r="AR4" s="74"/>
      <c r="AS4" s="79"/>
      <c r="AT4" s="74"/>
      <c r="AU4" s="74"/>
      <c r="AV4" s="79"/>
      <c r="AW4" s="74"/>
      <c r="AX4" s="74"/>
      <c r="AY4" s="79"/>
      <c r="AZ4" s="74"/>
      <c r="BA4" s="223" t="s">
        <v>2074</v>
      </c>
      <c r="BB4" s="79">
        <v>44873</v>
      </c>
      <c r="BC4" s="218" t="str">
        <f t="shared" si="16"/>
        <v>Tuesday</v>
      </c>
      <c r="BD4" s="74"/>
      <c r="BE4" s="79"/>
      <c r="BF4" s="74"/>
    </row>
    <row r="5" spans="1:58" ht="15.75" customHeight="1" x14ac:dyDescent="0.2">
      <c r="A5" s="239" t="s">
        <v>124</v>
      </c>
      <c r="B5" s="211">
        <f>COUNTIF(D2:BF25,"Monday")</f>
        <v>3</v>
      </c>
      <c r="C5" s="240">
        <f t="shared" ref="C5:C11" si="17">B5/SUM($B$5:$B$11)</f>
        <v>8.1081081081081086E-2</v>
      </c>
      <c r="D5" s="74"/>
      <c r="E5" s="74"/>
      <c r="F5" s="79"/>
      <c r="G5" s="74"/>
      <c r="H5" s="74"/>
      <c r="I5" s="79"/>
      <c r="J5" s="74"/>
      <c r="K5" s="74"/>
      <c r="L5" s="79"/>
      <c r="M5" s="74"/>
      <c r="N5" s="74"/>
      <c r="O5" s="79"/>
      <c r="P5" s="74"/>
      <c r="Q5" s="74"/>
      <c r="R5" s="79"/>
      <c r="S5" s="74"/>
      <c r="T5" s="74"/>
      <c r="U5" s="79"/>
      <c r="V5" s="74"/>
      <c r="W5" s="74"/>
      <c r="X5" s="79"/>
      <c r="Y5" s="74"/>
      <c r="Z5" s="74"/>
      <c r="AA5" s="79"/>
      <c r="AB5" s="74"/>
      <c r="AC5" s="74"/>
      <c r="AD5" s="79"/>
      <c r="AE5" s="74"/>
      <c r="AF5" s="74"/>
      <c r="AG5" s="79"/>
      <c r="AH5" s="74"/>
      <c r="AI5" s="74"/>
      <c r="AJ5" s="79"/>
      <c r="AK5" s="74"/>
      <c r="AL5" s="74"/>
      <c r="AM5" s="79"/>
      <c r="AN5" s="74"/>
      <c r="AO5" s="74"/>
      <c r="AP5" s="79"/>
      <c r="AQ5" s="74"/>
      <c r="AR5" s="74"/>
      <c r="AS5" s="79"/>
      <c r="AT5" s="74"/>
      <c r="AU5" s="74"/>
      <c r="AV5" s="79"/>
      <c r="AW5" s="74"/>
      <c r="AX5" s="74"/>
      <c r="AY5" s="79"/>
      <c r="AZ5" s="74"/>
      <c r="BA5" s="74"/>
      <c r="BB5" s="79"/>
      <c r="BC5" s="74"/>
      <c r="BD5" s="74"/>
      <c r="BE5" s="79"/>
      <c r="BF5" s="74"/>
    </row>
    <row r="6" spans="1:58" ht="15.75" customHeight="1" x14ac:dyDescent="0.2">
      <c r="A6" s="239" t="s">
        <v>125</v>
      </c>
      <c r="B6" s="242">
        <f>COUNTIF(D2:BF25,"Tuesday")</f>
        <v>2</v>
      </c>
      <c r="C6" s="240">
        <f t="shared" si="17"/>
        <v>5.4054054054054057E-2</v>
      </c>
      <c r="D6" s="74"/>
      <c r="E6" s="74"/>
      <c r="F6" s="79"/>
      <c r="G6" s="74"/>
      <c r="H6" s="74"/>
      <c r="I6" s="79"/>
      <c r="J6" s="74"/>
      <c r="K6" s="74"/>
      <c r="L6" s="79"/>
      <c r="M6" s="74"/>
      <c r="N6" s="74"/>
      <c r="O6" s="79"/>
      <c r="P6" s="74"/>
      <c r="Q6" s="74"/>
      <c r="R6" s="79"/>
      <c r="S6" s="74"/>
      <c r="T6" s="74"/>
      <c r="U6" s="79"/>
      <c r="V6" s="74"/>
      <c r="W6" s="74"/>
      <c r="X6" s="79"/>
      <c r="Y6" s="74"/>
      <c r="Z6" s="74"/>
      <c r="AA6" s="79"/>
      <c r="AB6" s="74"/>
      <c r="AC6" s="74"/>
      <c r="AD6" s="79"/>
      <c r="AE6" s="74"/>
      <c r="AF6" s="74"/>
      <c r="AG6" s="79"/>
      <c r="AH6" s="74"/>
      <c r="AI6" s="74"/>
      <c r="AJ6" s="79"/>
      <c r="AK6" s="74"/>
      <c r="AL6" s="74"/>
      <c r="AM6" s="79"/>
      <c r="AN6" s="74"/>
      <c r="AO6" s="74"/>
      <c r="AP6" s="79"/>
      <c r="AQ6" s="74"/>
      <c r="AR6" s="74"/>
      <c r="AS6" s="79"/>
      <c r="AT6" s="74"/>
      <c r="AU6" s="74"/>
      <c r="AV6" s="79"/>
      <c r="AW6" s="74"/>
      <c r="AX6" s="74"/>
      <c r="AY6" s="79"/>
      <c r="AZ6" s="74"/>
      <c r="BA6" s="74"/>
      <c r="BB6" s="79"/>
      <c r="BC6" s="74"/>
      <c r="BD6" s="74"/>
      <c r="BE6" s="79"/>
      <c r="BF6" s="74"/>
    </row>
    <row r="7" spans="1:58" ht="15.75" customHeight="1" x14ac:dyDescent="0.2">
      <c r="A7" s="239" t="s">
        <v>128</v>
      </c>
      <c r="B7" s="242">
        <f>COUNTIF(D2:BF25,"Wednesday")</f>
        <v>7</v>
      </c>
      <c r="C7" s="240">
        <f t="shared" si="17"/>
        <v>0.1891891891891892</v>
      </c>
      <c r="D7" s="74"/>
      <c r="E7" s="74"/>
      <c r="F7" s="79"/>
      <c r="G7" s="74"/>
      <c r="H7" s="74"/>
      <c r="I7" s="79"/>
      <c r="J7" s="74"/>
      <c r="K7" s="74"/>
      <c r="L7" s="79"/>
      <c r="M7" s="74"/>
      <c r="N7" s="74"/>
      <c r="O7" s="79"/>
      <c r="P7" s="74"/>
      <c r="Q7" s="74"/>
      <c r="R7" s="79"/>
      <c r="S7" s="74"/>
      <c r="T7" s="74"/>
      <c r="U7" s="79"/>
      <c r="V7" s="74"/>
      <c r="W7" s="74"/>
      <c r="X7" s="79"/>
      <c r="Y7" s="74"/>
      <c r="Z7" s="74"/>
      <c r="AA7" s="79"/>
      <c r="AB7" s="74"/>
      <c r="AC7" s="74"/>
      <c r="AD7" s="79"/>
      <c r="AE7" s="74"/>
      <c r="AF7" s="74"/>
      <c r="AG7" s="79"/>
      <c r="AH7" s="74"/>
      <c r="AI7" s="74"/>
      <c r="AJ7" s="79"/>
      <c r="AK7" s="74"/>
      <c r="AL7" s="74"/>
      <c r="AM7" s="79"/>
      <c r="AN7" s="74"/>
      <c r="AO7" s="74"/>
      <c r="AP7" s="79"/>
      <c r="AQ7" s="74"/>
      <c r="AR7" s="74"/>
      <c r="AS7" s="79"/>
      <c r="AT7" s="74"/>
      <c r="AU7" s="74"/>
      <c r="AV7" s="79"/>
      <c r="AW7" s="74"/>
      <c r="AX7" s="74"/>
      <c r="AY7" s="79"/>
      <c r="AZ7" s="74"/>
      <c r="BA7" s="74"/>
      <c r="BB7" s="79"/>
      <c r="BC7" s="74"/>
      <c r="BD7" s="74"/>
      <c r="BE7" s="79"/>
      <c r="BF7" s="74"/>
    </row>
    <row r="8" spans="1:58" ht="15.75" customHeight="1" x14ac:dyDescent="0.2">
      <c r="A8" s="239" t="s">
        <v>130</v>
      </c>
      <c r="B8" s="242">
        <f>COUNTIF(D2:BF25,"Thursday")</f>
        <v>17</v>
      </c>
      <c r="C8" s="240">
        <f t="shared" si="17"/>
        <v>0.45945945945945948</v>
      </c>
      <c r="D8" s="74"/>
      <c r="E8" s="74"/>
      <c r="F8" s="79"/>
      <c r="G8" s="74"/>
      <c r="H8" s="74"/>
      <c r="I8" s="79"/>
      <c r="J8" s="74"/>
      <c r="K8" s="74"/>
      <c r="L8" s="79"/>
      <c r="M8" s="74"/>
      <c r="N8" s="74"/>
      <c r="O8" s="79"/>
      <c r="P8" s="74"/>
      <c r="Q8" s="74"/>
      <c r="R8" s="79"/>
      <c r="S8" s="74"/>
      <c r="T8" s="74"/>
      <c r="U8" s="79"/>
      <c r="V8" s="74"/>
      <c r="W8" s="74"/>
      <c r="X8" s="79"/>
      <c r="Y8" s="74"/>
      <c r="Z8" s="74"/>
      <c r="AA8" s="79"/>
      <c r="AB8" s="74"/>
      <c r="AC8" s="74"/>
      <c r="AD8" s="79"/>
      <c r="AE8" s="74"/>
      <c r="AF8" s="74"/>
      <c r="AG8" s="79"/>
      <c r="AH8" s="74"/>
      <c r="AI8" s="74"/>
      <c r="AJ8" s="79"/>
      <c r="AK8" s="74"/>
      <c r="AL8" s="74"/>
      <c r="AM8" s="79"/>
      <c r="AN8" s="74"/>
      <c r="AO8" s="74"/>
      <c r="AP8" s="79"/>
      <c r="AQ8" s="74"/>
      <c r="AR8" s="74"/>
      <c r="AS8" s="79"/>
      <c r="AT8" s="74"/>
      <c r="AU8" s="74"/>
      <c r="AV8" s="79"/>
      <c r="AW8" s="74"/>
      <c r="AX8" s="74"/>
      <c r="AY8" s="79"/>
      <c r="AZ8" s="74"/>
      <c r="BA8" s="74"/>
      <c r="BB8" s="79"/>
      <c r="BC8" s="74"/>
      <c r="BD8" s="74"/>
      <c r="BE8" s="79"/>
      <c r="BF8" s="74"/>
    </row>
    <row r="9" spans="1:58" ht="15.75" customHeight="1" x14ac:dyDescent="0.2">
      <c r="A9" s="239" t="s">
        <v>132</v>
      </c>
      <c r="B9" s="242">
        <f>COUNTIF(D2:BF25,"Friday")</f>
        <v>8</v>
      </c>
      <c r="C9" s="240">
        <f t="shared" si="17"/>
        <v>0.21621621621621623</v>
      </c>
      <c r="D9" s="74"/>
      <c r="E9" s="74"/>
      <c r="F9" s="79"/>
      <c r="G9" s="74"/>
      <c r="H9" s="74"/>
      <c r="I9" s="79"/>
      <c r="J9" s="74"/>
      <c r="K9" s="74"/>
      <c r="L9" s="79"/>
      <c r="M9" s="74"/>
      <c r="N9" s="74"/>
      <c r="O9" s="79"/>
      <c r="P9" s="74"/>
      <c r="Q9" s="74"/>
      <c r="R9" s="79"/>
      <c r="S9" s="74"/>
      <c r="T9" s="74"/>
      <c r="U9" s="79"/>
      <c r="V9" s="74"/>
      <c r="W9" s="74"/>
      <c r="X9" s="79"/>
      <c r="Y9" s="74"/>
      <c r="Z9" s="74"/>
      <c r="AA9" s="79"/>
      <c r="AB9" s="74"/>
      <c r="AC9" s="74"/>
      <c r="AD9" s="79"/>
      <c r="AE9" s="74"/>
      <c r="AF9" s="74"/>
      <c r="AG9" s="79"/>
      <c r="AH9" s="74"/>
      <c r="AI9" s="74"/>
      <c r="AJ9" s="79"/>
      <c r="AK9" s="74"/>
      <c r="AL9" s="74"/>
      <c r="AM9" s="79"/>
      <c r="AN9" s="74"/>
      <c r="AO9" s="74"/>
      <c r="AP9" s="79"/>
      <c r="AQ9" s="74"/>
      <c r="AR9" s="74"/>
      <c r="AS9" s="79"/>
      <c r="AT9" s="74"/>
      <c r="AU9" s="74"/>
      <c r="AV9" s="79"/>
      <c r="AW9" s="74"/>
      <c r="AX9" s="74"/>
      <c r="AY9" s="79"/>
      <c r="AZ9" s="74"/>
      <c r="BA9" s="74"/>
      <c r="BB9" s="79"/>
      <c r="BC9" s="74"/>
      <c r="BD9" s="74"/>
      <c r="BE9" s="79"/>
      <c r="BF9" s="74"/>
    </row>
    <row r="10" spans="1:58" ht="15.75" customHeight="1" x14ac:dyDescent="0.2">
      <c r="A10" s="239" t="s">
        <v>134</v>
      </c>
      <c r="B10" s="242">
        <f>COUNTIF(D2:BF25,"Saturday")</f>
        <v>0</v>
      </c>
      <c r="C10" s="240">
        <f t="shared" si="17"/>
        <v>0</v>
      </c>
      <c r="D10" s="74"/>
      <c r="E10" s="74"/>
      <c r="F10" s="79"/>
      <c r="G10" s="74"/>
      <c r="H10" s="74"/>
      <c r="I10" s="79"/>
      <c r="J10" s="74"/>
      <c r="K10" s="74"/>
      <c r="L10" s="79"/>
      <c r="M10" s="74"/>
      <c r="N10" s="74"/>
      <c r="O10" s="79"/>
      <c r="P10" s="74"/>
      <c r="Q10" s="74"/>
      <c r="R10" s="79"/>
      <c r="S10" s="74"/>
      <c r="T10" s="74"/>
      <c r="U10" s="79"/>
      <c r="V10" s="74"/>
      <c r="W10" s="74"/>
      <c r="X10" s="79"/>
      <c r="Y10" s="74"/>
      <c r="Z10" s="74"/>
      <c r="AA10" s="79"/>
      <c r="AB10" s="74"/>
      <c r="AC10" s="74"/>
      <c r="AD10" s="79"/>
      <c r="AE10" s="74"/>
      <c r="AF10" s="74"/>
      <c r="AG10" s="79"/>
      <c r="AH10" s="74"/>
      <c r="AI10" s="74"/>
      <c r="AJ10" s="79"/>
      <c r="AK10" s="74"/>
      <c r="AL10" s="74"/>
      <c r="AM10" s="79"/>
      <c r="AN10" s="74"/>
      <c r="AO10" s="74"/>
      <c r="AP10" s="79"/>
      <c r="AQ10" s="74"/>
      <c r="AR10" s="74"/>
      <c r="AS10" s="79"/>
      <c r="AT10" s="74"/>
      <c r="AU10" s="74"/>
      <c r="AV10" s="79"/>
      <c r="AW10" s="74"/>
      <c r="AX10" s="74"/>
      <c r="AY10" s="79"/>
      <c r="AZ10" s="74"/>
      <c r="BA10" s="74"/>
      <c r="BB10" s="79"/>
      <c r="BC10" s="74"/>
      <c r="BD10" s="74"/>
      <c r="BE10" s="79"/>
      <c r="BF10" s="74"/>
    </row>
    <row r="11" spans="1:58" ht="15.75" customHeight="1" x14ac:dyDescent="0.2">
      <c r="A11" s="239" t="s">
        <v>136</v>
      </c>
      <c r="B11" s="242">
        <f>COUNTIF(D2:BF25,"Sunday")</f>
        <v>0</v>
      </c>
      <c r="C11" s="240">
        <f t="shared" si="17"/>
        <v>0</v>
      </c>
      <c r="D11" s="74"/>
      <c r="E11" s="74"/>
      <c r="F11" s="79"/>
      <c r="G11" s="74"/>
      <c r="H11" s="74"/>
      <c r="I11" s="79"/>
      <c r="J11" s="74"/>
      <c r="K11" s="74"/>
      <c r="L11" s="79"/>
      <c r="M11" s="74"/>
      <c r="N11" s="74"/>
      <c r="O11" s="79"/>
      <c r="P11" s="74"/>
      <c r="Q11" s="74"/>
      <c r="R11" s="79"/>
      <c r="S11" s="74"/>
      <c r="T11" s="74"/>
      <c r="U11" s="79"/>
      <c r="V11" s="74"/>
      <c r="W11" s="74"/>
      <c r="X11" s="79"/>
      <c r="Y11" s="74"/>
      <c r="Z11" s="74"/>
      <c r="AA11" s="79"/>
      <c r="AB11" s="74"/>
      <c r="AC11" s="74"/>
      <c r="AD11" s="79"/>
      <c r="AE11" s="74"/>
      <c r="AF11" s="74"/>
      <c r="AG11" s="79"/>
      <c r="AH11" s="74"/>
      <c r="AI11" s="74"/>
      <c r="AJ11" s="79"/>
      <c r="AK11" s="74"/>
      <c r="AL11" s="74"/>
      <c r="AM11" s="79"/>
      <c r="AN11" s="74"/>
      <c r="AO11" s="74"/>
      <c r="AP11" s="79"/>
      <c r="AQ11" s="74"/>
      <c r="AR11" s="74"/>
      <c r="AS11" s="79"/>
      <c r="AT11" s="74"/>
      <c r="AU11" s="74"/>
      <c r="AV11" s="79"/>
      <c r="AW11" s="74"/>
      <c r="AX11" s="74"/>
      <c r="AY11" s="79"/>
      <c r="AZ11" s="74"/>
      <c r="BA11" s="74"/>
      <c r="BB11" s="79"/>
      <c r="BC11" s="74"/>
      <c r="BD11" s="74"/>
      <c r="BE11" s="79"/>
      <c r="BF11" s="74"/>
    </row>
    <row r="12" spans="1:58" ht="15.75" customHeight="1" x14ac:dyDescent="0.2">
      <c r="A12" s="74"/>
      <c r="B12" s="74"/>
      <c r="C12" s="74"/>
      <c r="D12" s="74"/>
      <c r="E12" s="74"/>
      <c r="F12" s="79"/>
      <c r="G12" s="74"/>
      <c r="H12" s="74"/>
      <c r="I12" s="79"/>
      <c r="J12" s="74"/>
      <c r="K12" s="74"/>
      <c r="L12" s="79"/>
      <c r="M12" s="74"/>
      <c r="N12" s="74"/>
      <c r="O12" s="79"/>
      <c r="P12" s="74"/>
      <c r="Q12" s="74"/>
      <c r="R12" s="79"/>
      <c r="S12" s="74"/>
      <c r="T12" s="74"/>
      <c r="U12" s="79"/>
      <c r="V12" s="74"/>
      <c r="W12" s="74"/>
      <c r="X12" s="79"/>
      <c r="Y12" s="74"/>
      <c r="Z12" s="74"/>
      <c r="AA12" s="79"/>
      <c r="AB12" s="74"/>
      <c r="AC12" s="74"/>
      <c r="AD12" s="79"/>
      <c r="AE12" s="74"/>
      <c r="AF12" s="74"/>
      <c r="AG12" s="79"/>
      <c r="AH12" s="74"/>
      <c r="AI12" s="74"/>
      <c r="AJ12" s="79"/>
      <c r="AK12" s="74"/>
      <c r="AL12" s="74"/>
      <c r="AM12" s="79"/>
      <c r="AN12" s="74"/>
      <c r="AO12" s="74"/>
      <c r="AP12" s="79"/>
      <c r="AQ12" s="74"/>
      <c r="AR12" s="74"/>
      <c r="AS12" s="79"/>
      <c r="AT12" s="74"/>
      <c r="AU12" s="74"/>
      <c r="AV12" s="79"/>
      <c r="AW12" s="74"/>
      <c r="AX12" s="74"/>
      <c r="AY12" s="79"/>
      <c r="AZ12" s="74"/>
      <c r="BA12" s="74"/>
      <c r="BB12" s="79"/>
      <c r="BC12" s="74"/>
      <c r="BD12" s="74"/>
      <c r="BE12" s="79"/>
      <c r="BF12" s="74"/>
    </row>
    <row r="13" spans="1:58" ht="15.75" customHeight="1" x14ac:dyDescent="0.2">
      <c r="A13" s="453" t="s">
        <v>1218</v>
      </c>
      <c r="B13" s="394"/>
      <c r="C13" s="395"/>
      <c r="D13" s="74"/>
      <c r="E13" s="74"/>
      <c r="F13" s="79"/>
      <c r="G13" s="74"/>
      <c r="H13" s="74"/>
      <c r="I13" s="79"/>
      <c r="J13" s="74"/>
      <c r="K13" s="74"/>
      <c r="L13" s="79"/>
      <c r="M13" s="74"/>
      <c r="N13" s="74"/>
      <c r="O13" s="79"/>
      <c r="P13" s="74"/>
      <c r="Q13" s="74"/>
      <c r="R13" s="79"/>
      <c r="S13" s="74"/>
      <c r="T13" s="74"/>
      <c r="U13" s="79"/>
      <c r="V13" s="74"/>
      <c r="W13" s="74"/>
      <c r="X13" s="79"/>
      <c r="Y13" s="74"/>
      <c r="Z13" s="74"/>
      <c r="AA13" s="79"/>
      <c r="AB13" s="74"/>
      <c r="AC13" s="74"/>
      <c r="AD13" s="79"/>
      <c r="AE13" s="74"/>
      <c r="AF13" s="74"/>
      <c r="AG13" s="79"/>
      <c r="AH13" s="74"/>
      <c r="AI13" s="74"/>
      <c r="AJ13" s="79"/>
      <c r="AK13" s="74"/>
      <c r="AL13" s="74"/>
      <c r="AM13" s="79"/>
      <c r="AN13" s="74"/>
      <c r="AO13" s="74"/>
      <c r="AP13" s="79"/>
      <c r="AQ13" s="74"/>
      <c r="AR13" s="74"/>
      <c r="AS13" s="79"/>
      <c r="AT13" s="74"/>
      <c r="AU13" s="74"/>
      <c r="AV13" s="79"/>
      <c r="AW13" s="74"/>
      <c r="AX13" s="74"/>
      <c r="AY13" s="79"/>
      <c r="AZ13" s="74"/>
      <c r="BA13" s="74"/>
      <c r="BB13" s="79"/>
      <c r="BC13" s="74"/>
      <c r="BD13" s="74"/>
      <c r="BE13" s="79"/>
      <c r="BF13" s="74"/>
    </row>
    <row r="14" spans="1:58" ht="15.75" customHeight="1" x14ac:dyDescent="0.2">
      <c r="A14" s="239" t="s">
        <v>124</v>
      </c>
      <c r="B14" s="211">
        <f>COUNTIF(D2:BF2,"Monday")</f>
        <v>1</v>
      </c>
      <c r="C14" s="240">
        <f t="shared" ref="C14:C19" si="18">B14/SUM($B$14:$B$20)</f>
        <v>5.5555555555555552E-2</v>
      </c>
      <c r="D14" s="74"/>
      <c r="E14" s="74"/>
      <c r="F14" s="79"/>
      <c r="G14" s="74"/>
      <c r="H14" s="74"/>
      <c r="I14" s="79"/>
      <c r="J14" s="74"/>
      <c r="K14" s="74"/>
      <c r="L14" s="79"/>
      <c r="M14" s="74"/>
      <c r="N14" s="74"/>
      <c r="O14" s="79"/>
      <c r="P14" s="74"/>
      <c r="Q14" s="74"/>
      <c r="R14" s="79"/>
      <c r="S14" s="74"/>
      <c r="T14" s="74"/>
      <c r="U14" s="79"/>
      <c r="V14" s="74"/>
      <c r="W14" s="74"/>
      <c r="X14" s="79"/>
      <c r="Y14" s="74"/>
      <c r="Z14" s="74"/>
      <c r="AA14" s="79"/>
      <c r="AB14" s="74"/>
      <c r="AC14" s="74"/>
      <c r="AD14" s="79"/>
      <c r="AE14" s="74"/>
      <c r="AF14" s="74"/>
      <c r="AG14" s="79"/>
      <c r="AH14" s="74"/>
      <c r="AI14" s="74"/>
      <c r="AJ14" s="79"/>
      <c r="AK14" s="74"/>
      <c r="AL14" s="74"/>
      <c r="AM14" s="79"/>
      <c r="AN14" s="74"/>
      <c r="AO14" s="74"/>
      <c r="AP14" s="79"/>
      <c r="AQ14" s="74"/>
      <c r="AR14" s="74"/>
      <c r="AS14" s="79"/>
      <c r="AT14" s="74"/>
      <c r="AU14" s="74"/>
      <c r="AV14" s="79"/>
      <c r="AW14" s="74"/>
      <c r="AX14" s="74"/>
      <c r="AY14" s="79"/>
      <c r="AZ14" s="74"/>
      <c r="BA14" s="74"/>
      <c r="BB14" s="79"/>
      <c r="BC14" s="74"/>
      <c r="BD14" s="74"/>
      <c r="BE14" s="79"/>
      <c r="BF14" s="74"/>
    </row>
    <row r="15" spans="1:58" ht="15.75" customHeight="1" x14ac:dyDescent="0.2">
      <c r="A15" s="239" t="s">
        <v>125</v>
      </c>
      <c r="B15" s="242">
        <f>COUNTIF(D2:BF2,"Tuesday")</f>
        <v>1</v>
      </c>
      <c r="C15" s="240">
        <f t="shared" si="18"/>
        <v>5.5555555555555552E-2</v>
      </c>
      <c r="D15" s="74"/>
      <c r="E15" s="74"/>
      <c r="F15" s="79"/>
      <c r="G15" s="74"/>
      <c r="H15" s="74"/>
      <c r="I15" s="79"/>
      <c r="J15" s="74"/>
      <c r="K15" s="74"/>
      <c r="L15" s="79"/>
      <c r="M15" s="74"/>
      <c r="N15" s="74"/>
      <c r="O15" s="79"/>
      <c r="P15" s="74"/>
      <c r="Q15" s="74"/>
      <c r="R15" s="79"/>
      <c r="S15" s="74"/>
      <c r="T15" s="74"/>
      <c r="U15" s="79"/>
      <c r="V15" s="74"/>
      <c r="W15" s="74"/>
      <c r="X15" s="79"/>
      <c r="Y15" s="74"/>
      <c r="Z15" s="74"/>
      <c r="AA15" s="79"/>
      <c r="AB15" s="74"/>
      <c r="AC15" s="74"/>
      <c r="AD15" s="79"/>
      <c r="AE15" s="74"/>
      <c r="AF15" s="74"/>
      <c r="AG15" s="79"/>
      <c r="AH15" s="74"/>
      <c r="AI15" s="74"/>
      <c r="AJ15" s="79"/>
      <c r="AK15" s="74"/>
      <c r="AL15" s="74"/>
      <c r="AM15" s="79"/>
      <c r="AN15" s="74"/>
      <c r="AO15" s="74"/>
      <c r="AP15" s="79"/>
      <c r="AQ15" s="74"/>
      <c r="AR15" s="74"/>
      <c r="AS15" s="79"/>
      <c r="AT15" s="74"/>
      <c r="AU15" s="74"/>
      <c r="AV15" s="79"/>
      <c r="AW15" s="74"/>
      <c r="AX15" s="74"/>
      <c r="AY15" s="79"/>
      <c r="AZ15" s="74"/>
      <c r="BA15" s="74"/>
      <c r="BB15" s="79"/>
      <c r="BC15" s="74"/>
      <c r="BD15" s="74"/>
      <c r="BE15" s="79"/>
      <c r="BF15" s="74"/>
    </row>
    <row r="16" spans="1:58" ht="15.75" customHeight="1" x14ac:dyDescent="0.2">
      <c r="A16" s="239" t="s">
        <v>128</v>
      </c>
      <c r="B16" s="242">
        <f>COUNTIF(D2:BF2,"Wednesday")</f>
        <v>2</v>
      </c>
      <c r="C16" s="240">
        <f t="shared" si="18"/>
        <v>0.1111111111111111</v>
      </c>
      <c r="D16" s="74"/>
      <c r="E16" s="74"/>
      <c r="F16" s="79"/>
      <c r="G16" s="74"/>
      <c r="H16" s="74"/>
      <c r="I16" s="79"/>
      <c r="J16" s="74"/>
      <c r="K16" s="74"/>
      <c r="L16" s="79"/>
      <c r="M16" s="74"/>
      <c r="N16" s="74"/>
      <c r="O16" s="79"/>
      <c r="P16" s="74"/>
      <c r="Q16" s="74"/>
      <c r="R16" s="79"/>
      <c r="S16" s="74"/>
      <c r="T16" s="74"/>
      <c r="U16" s="79"/>
      <c r="V16" s="74"/>
      <c r="W16" s="74"/>
      <c r="X16" s="79"/>
      <c r="Y16" s="74"/>
      <c r="Z16" s="74"/>
      <c r="AA16" s="79"/>
      <c r="AB16" s="74"/>
      <c r="AC16" s="74"/>
      <c r="AD16" s="79"/>
      <c r="AE16" s="74"/>
      <c r="AF16" s="74"/>
      <c r="AG16" s="79"/>
      <c r="AH16" s="74"/>
      <c r="AI16" s="74"/>
      <c r="AJ16" s="79"/>
      <c r="AK16" s="74"/>
      <c r="AL16" s="74"/>
      <c r="AM16" s="79"/>
      <c r="AN16" s="74"/>
      <c r="AO16" s="74"/>
      <c r="AP16" s="79"/>
      <c r="AQ16" s="74"/>
      <c r="AR16" s="74"/>
      <c r="AS16" s="79"/>
      <c r="AT16" s="74"/>
      <c r="AU16" s="74"/>
      <c r="AV16" s="79"/>
      <c r="AW16" s="74"/>
      <c r="AX16" s="74"/>
      <c r="AY16" s="79"/>
      <c r="AZ16" s="74"/>
      <c r="BA16" s="74"/>
      <c r="BB16" s="79"/>
      <c r="BC16" s="74"/>
      <c r="BD16" s="74"/>
      <c r="BE16" s="79"/>
      <c r="BF16" s="74"/>
    </row>
    <row r="17" spans="1:58" ht="15.75" customHeight="1" x14ac:dyDescent="0.2">
      <c r="A17" s="239" t="s">
        <v>130</v>
      </c>
      <c r="B17" s="242">
        <f>COUNTIF(D2:BF2,"Thursday")</f>
        <v>9</v>
      </c>
      <c r="C17" s="240">
        <f t="shared" si="18"/>
        <v>0.5</v>
      </c>
      <c r="D17" s="74"/>
      <c r="E17" s="74"/>
      <c r="F17" s="79"/>
      <c r="G17" s="74"/>
      <c r="H17" s="74"/>
      <c r="I17" s="79"/>
      <c r="J17" s="74"/>
      <c r="K17" s="74"/>
      <c r="L17" s="79"/>
      <c r="M17" s="74"/>
      <c r="N17" s="74"/>
      <c r="O17" s="79"/>
      <c r="P17" s="74"/>
      <c r="Q17" s="74"/>
      <c r="R17" s="79"/>
      <c r="S17" s="74"/>
      <c r="T17" s="74"/>
      <c r="U17" s="79"/>
      <c r="V17" s="74"/>
      <c r="W17" s="74"/>
      <c r="X17" s="79"/>
      <c r="Y17" s="74"/>
      <c r="Z17" s="74"/>
      <c r="AA17" s="79"/>
      <c r="AB17" s="74"/>
      <c r="AC17" s="74"/>
      <c r="AD17" s="79"/>
      <c r="AE17" s="74"/>
      <c r="AF17" s="74"/>
      <c r="AG17" s="79"/>
      <c r="AH17" s="74"/>
      <c r="AI17" s="74"/>
      <c r="AJ17" s="79"/>
      <c r="AK17" s="74"/>
      <c r="AL17" s="74"/>
      <c r="AM17" s="79"/>
      <c r="AN17" s="74"/>
      <c r="AO17" s="74"/>
      <c r="AP17" s="79"/>
      <c r="AQ17" s="74"/>
      <c r="AR17" s="74"/>
      <c r="AS17" s="79"/>
      <c r="AT17" s="74"/>
      <c r="AU17" s="74"/>
      <c r="AV17" s="79"/>
      <c r="AW17" s="74"/>
      <c r="AX17" s="74"/>
      <c r="AY17" s="79"/>
      <c r="AZ17" s="74"/>
      <c r="BA17" s="74"/>
      <c r="BB17" s="79"/>
      <c r="BC17" s="74"/>
      <c r="BD17" s="74"/>
      <c r="BE17" s="79"/>
      <c r="BF17" s="74"/>
    </row>
    <row r="18" spans="1:58" ht="15.75" customHeight="1" x14ac:dyDescent="0.2">
      <c r="A18" s="239" t="s">
        <v>132</v>
      </c>
      <c r="B18" s="242">
        <f>COUNTIF(D2:BF2,"Friday")</f>
        <v>5</v>
      </c>
      <c r="C18" s="240">
        <f t="shared" si="18"/>
        <v>0.27777777777777779</v>
      </c>
      <c r="D18" s="74"/>
      <c r="E18" s="74"/>
      <c r="F18" s="79"/>
      <c r="G18" s="74"/>
      <c r="H18" s="74"/>
      <c r="I18" s="79"/>
      <c r="J18" s="74"/>
      <c r="K18" s="74"/>
      <c r="L18" s="79"/>
      <c r="M18" s="74"/>
      <c r="N18" s="74"/>
      <c r="O18" s="79"/>
      <c r="P18" s="74"/>
      <c r="Q18" s="74"/>
      <c r="R18" s="79"/>
      <c r="S18" s="74"/>
      <c r="T18" s="74"/>
      <c r="U18" s="79"/>
      <c r="V18" s="74"/>
      <c r="W18" s="74"/>
      <c r="X18" s="79"/>
      <c r="Y18" s="74"/>
      <c r="Z18" s="74"/>
      <c r="AA18" s="79"/>
      <c r="AB18" s="74"/>
      <c r="AC18" s="74"/>
      <c r="AD18" s="79"/>
      <c r="AE18" s="74"/>
      <c r="AF18" s="74"/>
      <c r="AG18" s="79"/>
      <c r="AH18" s="74"/>
      <c r="AI18" s="74"/>
      <c r="AJ18" s="79"/>
      <c r="AK18" s="74"/>
      <c r="AL18" s="74"/>
      <c r="AM18" s="79"/>
      <c r="AN18" s="74"/>
      <c r="AO18" s="74"/>
      <c r="AP18" s="79"/>
      <c r="AQ18" s="74"/>
      <c r="AR18" s="74"/>
      <c r="AS18" s="79"/>
      <c r="AT18" s="74"/>
      <c r="AU18" s="74"/>
      <c r="AV18" s="79"/>
      <c r="AW18" s="74"/>
      <c r="AX18" s="74"/>
      <c r="AY18" s="79"/>
      <c r="AZ18" s="74"/>
      <c r="BA18" s="74"/>
      <c r="BB18" s="79"/>
      <c r="BC18" s="74"/>
      <c r="BD18" s="74"/>
      <c r="BE18" s="79"/>
      <c r="BF18" s="74"/>
    </row>
    <row r="19" spans="1:58" ht="15.75" customHeight="1" x14ac:dyDescent="0.2">
      <c r="A19" s="239" t="s">
        <v>134</v>
      </c>
      <c r="B19" s="242">
        <f>COUNTIF(D2:BF2,"Saturday")</f>
        <v>0</v>
      </c>
      <c r="C19" s="240">
        <f t="shared" si="18"/>
        <v>0</v>
      </c>
      <c r="D19" s="74"/>
      <c r="E19" s="74"/>
      <c r="F19" s="79"/>
      <c r="G19" s="74"/>
      <c r="H19" s="74"/>
      <c r="I19" s="79"/>
      <c r="J19" s="74"/>
      <c r="K19" s="74"/>
      <c r="L19" s="79"/>
      <c r="M19" s="74"/>
      <c r="N19" s="74"/>
      <c r="O19" s="79"/>
      <c r="P19" s="74"/>
      <c r="Q19" s="74"/>
      <c r="R19" s="79"/>
      <c r="S19" s="74"/>
      <c r="T19" s="74"/>
      <c r="U19" s="79"/>
      <c r="V19" s="74"/>
      <c r="W19" s="74"/>
      <c r="X19" s="79"/>
      <c r="Y19" s="74"/>
      <c r="Z19" s="74"/>
      <c r="AA19" s="79"/>
      <c r="AB19" s="74"/>
      <c r="AC19" s="74"/>
      <c r="AD19" s="79"/>
      <c r="AE19" s="74"/>
      <c r="AF19" s="74"/>
      <c r="AG19" s="79"/>
      <c r="AH19" s="74"/>
      <c r="AI19" s="74"/>
      <c r="AJ19" s="79"/>
      <c r="AK19" s="74"/>
      <c r="AL19" s="74"/>
      <c r="AM19" s="79"/>
      <c r="AN19" s="74"/>
      <c r="AO19" s="74"/>
      <c r="AP19" s="79"/>
      <c r="AQ19" s="74"/>
      <c r="AR19" s="74"/>
      <c r="AS19" s="79"/>
      <c r="AT19" s="74"/>
      <c r="AU19" s="74"/>
      <c r="AV19" s="79"/>
      <c r="AW19" s="74"/>
      <c r="AX19" s="74"/>
      <c r="AY19" s="79"/>
      <c r="AZ19" s="74"/>
      <c r="BA19" s="74"/>
      <c r="BB19" s="79"/>
      <c r="BC19" s="74"/>
      <c r="BD19" s="74"/>
      <c r="BE19" s="79"/>
      <c r="BF19" s="74"/>
    </row>
    <row r="20" spans="1:58" ht="15.75" customHeight="1" x14ac:dyDescent="0.2">
      <c r="A20" s="239" t="s">
        <v>136</v>
      </c>
      <c r="B20" s="242">
        <f>COUNTIF(AR2:BF2,"Sunday")</f>
        <v>0</v>
      </c>
      <c r="C20" s="240">
        <f>B20/SUM($B$5:$B$11)</f>
        <v>0</v>
      </c>
      <c r="D20" s="74"/>
      <c r="E20" s="74"/>
      <c r="F20" s="79"/>
      <c r="G20" s="74"/>
      <c r="H20" s="74"/>
      <c r="I20" s="79"/>
      <c r="J20" s="74"/>
      <c r="K20" s="74"/>
      <c r="L20" s="79"/>
      <c r="M20" s="74"/>
      <c r="N20" s="74"/>
      <c r="O20" s="79"/>
      <c r="P20" s="74"/>
      <c r="Q20" s="74"/>
      <c r="R20" s="79"/>
      <c r="S20" s="74"/>
      <c r="T20" s="74"/>
      <c r="U20" s="79"/>
      <c r="V20" s="74"/>
      <c r="W20" s="74"/>
      <c r="X20" s="79"/>
      <c r="Y20" s="74"/>
      <c r="Z20" s="74"/>
      <c r="AA20" s="79"/>
      <c r="AB20" s="74"/>
      <c r="AC20" s="74"/>
      <c r="AD20" s="79"/>
      <c r="AE20" s="74"/>
      <c r="AF20" s="74"/>
      <c r="AG20" s="79"/>
      <c r="AH20" s="74"/>
      <c r="AI20" s="74"/>
      <c r="AJ20" s="79"/>
      <c r="AK20" s="74"/>
      <c r="AL20" s="74"/>
      <c r="AM20" s="79"/>
      <c r="AN20" s="74"/>
      <c r="AO20" s="74"/>
      <c r="AP20" s="79"/>
      <c r="AQ20" s="74"/>
      <c r="AR20" s="74"/>
      <c r="AS20" s="79"/>
      <c r="AT20" s="74"/>
      <c r="AU20" s="74"/>
      <c r="AV20" s="79"/>
      <c r="AW20" s="74"/>
      <c r="AX20" s="74"/>
      <c r="AY20" s="79"/>
      <c r="AZ20" s="74"/>
      <c r="BA20" s="74"/>
      <c r="BB20" s="79"/>
      <c r="BC20" s="74"/>
      <c r="BD20" s="74"/>
      <c r="BE20" s="79"/>
      <c r="BF20" s="74"/>
    </row>
    <row r="21" spans="1:58" ht="15.75" customHeight="1" x14ac:dyDescent="0.2">
      <c r="A21" s="74"/>
      <c r="B21" s="79"/>
      <c r="C21" s="74"/>
      <c r="D21" s="74"/>
      <c r="E21" s="74"/>
      <c r="F21" s="79"/>
      <c r="G21" s="74"/>
      <c r="H21" s="74"/>
      <c r="I21" s="79"/>
      <c r="J21" s="74"/>
      <c r="K21" s="74"/>
      <c r="L21" s="79"/>
      <c r="M21" s="74"/>
      <c r="N21" s="74"/>
      <c r="O21" s="79"/>
      <c r="P21" s="74"/>
      <c r="Q21" s="74"/>
      <c r="R21" s="79"/>
      <c r="S21" s="74"/>
      <c r="T21" s="74"/>
      <c r="U21" s="79"/>
      <c r="V21" s="74"/>
      <c r="W21" s="74"/>
      <c r="X21" s="79"/>
      <c r="Y21" s="74"/>
      <c r="Z21" s="74"/>
      <c r="AA21" s="79"/>
      <c r="AB21" s="74"/>
      <c r="AC21" s="74"/>
      <c r="AD21" s="79"/>
      <c r="AE21" s="74"/>
      <c r="AF21" s="74"/>
      <c r="AG21" s="79"/>
      <c r="AH21" s="74"/>
      <c r="AI21" s="74"/>
      <c r="AJ21" s="79"/>
      <c r="AK21" s="74"/>
      <c r="AL21" s="74"/>
      <c r="AM21" s="79"/>
      <c r="AN21" s="74"/>
      <c r="AO21" s="74"/>
      <c r="AP21" s="79"/>
      <c r="AQ21" s="74"/>
      <c r="AR21" s="74"/>
      <c r="AS21" s="79"/>
      <c r="AT21" s="74"/>
      <c r="AU21" s="74"/>
      <c r="AV21" s="79"/>
      <c r="AW21" s="74"/>
      <c r="AX21" s="74"/>
      <c r="AY21" s="79"/>
      <c r="AZ21" s="74"/>
      <c r="BA21" s="74"/>
      <c r="BB21" s="79"/>
      <c r="BC21" s="74"/>
      <c r="BD21" s="74"/>
      <c r="BE21" s="79"/>
      <c r="BF21" s="74"/>
    </row>
    <row r="22" spans="1:58" ht="15.75" customHeight="1" x14ac:dyDescent="0.2">
      <c r="A22" s="74"/>
      <c r="B22" s="79"/>
      <c r="C22" s="74"/>
      <c r="D22" s="74"/>
      <c r="E22" s="74"/>
      <c r="F22" s="79"/>
      <c r="G22" s="74"/>
      <c r="H22" s="74"/>
      <c r="I22" s="79"/>
      <c r="J22" s="74"/>
      <c r="K22" s="74"/>
      <c r="L22" s="79"/>
      <c r="M22" s="74"/>
      <c r="N22" s="74"/>
      <c r="O22" s="79"/>
      <c r="P22" s="74"/>
      <c r="Q22" s="74"/>
      <c r="R22" s="79"/>
      <c r="S22" s="74"/>
      <c r="T22" s="74"/>
      <c r="U22" s="79"/>
      <c r="V22" s="74"/>
      <c r="W22" s="74"/>
      <c r="X22" s="79"/>
      <c r="Y22" s="74"/>
      <c r="Z22" s="74"/>
      <c r="AA22" s="79"/>
      <c r="AB22" s="74"/>
      <c r="AC22" s="74"/>
      <c r="AD22" s="79"/>
      <c r="AE22" s="74"/>
      <c r="AF22" s="74"/>
      <c r="AG22" s="79"/>
      <c r="AH22" s="74"/>
      <c r="AI22" s="74"/>
      <c r="AJ22" s="79"/>
      <c r="AK22" s="74"/>
      <c r="AL22" s="74"/>
      <c r="AM22" s="79"/>
      <c r="AN22" s="74"/>
      <c r="AO22" s="74"/>
      <c r="AP22" s="79"/>
      <c r="AQ22" s="74"/>
      <c r="AR22" s="74"/>
      <c r="AS22" s="79"/>
      <c r="AT22" s="74"/>
      <c r="AU22" s="74"/>
      <c r="AV22" s="79"/>
      <c r="AW22" s="74"/>
      <c r="AX22" s="74"/>
      <c r="AY22" s="79"/>
      <c r="AZ22" s="74"/>
      <c r="BA22" s="74"/>
      <c r="BB22" s="79"/>
      <c r="BC22" s="74"/>
      <c r="BD22" s="74"/>
      <c r="BE22" s="79"/>
      <c r="BF22" s="74"/>
    </row>
    <row r="23" spans="1:58" ht="15.75" customHeight="1" x14ac:dyDescent="0.2">
      <c r="A23" s="74"/>
      <c r="B23" s="79"/>
      <c r="C23" s="74"/>
      <c r="D23" s="74"/>
      <c r="E23" s="74"/>
      <c r="F23" s="79"/>
      <c r="G23" s="74"/>
      <c r="H23" s="74"/>
      <c r="I23" s="79"/>
      <c r="J23" s="74"/>
      <c r="K23" s="74"/>
      <c r="L23" s="79"/>
      <c r="M23" s="74"/>
      <c r="N23" s="74"/>
      <c r="O23" s="79"/>
      <c r="P23" s="74"/>
      <c r="Q23" s="74"/>
      <c r="R23" s="79"/>
      <c r="S23" s="74"/>
      <c r="T23" s="74"/>
      <c r="U23" s="79"/>
      <c r="V23" s="74"/>
      <c r="W23" s="74"/>
      <c r="X23" s="79"/>
      <c r="Y23" s="74"/>
      <c r="Z23" s="74"/>
      <c r="AA23" s="79"/>
      <c r="AB23" s="74"/>
      <c r="AC23" s="74"/>
      <c r="AD23" s="79"/>
      <c r="AE23" s="74"/>
      <c r="AF23" s="74"/>
      <c r="AG23" s="79"/>
      <c r="AH23" s="74"/>
      <c r="AI23" s="74"/>
      <c r="AJ23" s="79"/>
      <c r="AK23" s="74"/>
      <c r="AL23" s="74"/>
      <c r="AM23" s="79"/>
      <c r="AN23" s="74"/>
      <c r="AO23" s="74"/>
      <c r="AP23" s="79"/>
      <c r="AQ23" s="74"/>
      <c r="AR23" s="74"/>
      <c r="AS23" s="79"/>
      <c r="AT23" s="74"/>
      <c r="AU23" s="74"/>
      <c r="AV23" s="79"/>
      <c r="AW23" s="74"/>
      <c r="AX23" s="74"/>
      <c r="AY23" s="79"/>
      <c r="AZ23" s="74"/>
      <c r="BA23" s="74"/>
      <c r="BB23" s="79"/>
      <c r="BC23" s="74"/>
      <c r="BD23" s="74"/>
      <c r="BE23" s="79"/>
      <c r="BF23" s="74"/>
    </row>
    <row r="24" spans="1:58" ht="15.75" customHeight="1" x14ac:dyDescent="0.2">
      <c r="A24" s="74"/>
      <c r="B24" s="79"/>
      <c r="C24" s="74"/>
      <c r="D24" s="74"/>
      <c r="E24" s="74"/>
      <c r="F24" s="79"/>
      <c r="G24" s="74"/>
      <c r="H24" s="74"/>
      <c r="I24" s="79"/>
      <c r="J24" s="74"/>
      <c r="K24" s="74"/>
      <c r="L24" s="79"/>
      <c r="M24" s="74"/>
      <c r="N24" s="74"/>
      <c r="O24" s="79"/>
      <c r="P24" s="74"/>
      <c r="Q24" s="74"/>
      <c r="R24" s="79"/>
      <c r="S24" s="74"/>
      <c r="T24" s="74"/>
      <c r="U24" s="79"/>
      <c r="V24" s="74"/>
      <c r="W24" s="74"/>
      <c r="X24" s="79"/>
      <c r="Y24" s="74"/>
      <c r="Z24" s="74"/>
      <c r="AA24" s="79"/>
      <c r="AB24" s="74"/>
      <c r="AC24" s="74"/>
      <c r="AD24" s="79"/>
      <c r="AE24" s="74"/>
      <c r="AF24" s="74"/>
      <c r="AG24" s="79"/>
      <c r="AH24" s="74"/>
      <c r="AI24" s="74"/>
      <c r="AJ24" s="79"/>
      <c r="AK24" s="74"/>
      <c r="AL24" s="74"/>
      <c r="AM24" s="79"/>
      <c r="AN24" s="74"/>
      <c r="AO24" s="74"/>
      <c r="AP24" s="79"/>
      <c r="AQ24" s="74"/>
      <c r="AR24" s="74"/>
      <c r="AS24" s="79"/>
      <c r="AT24" s="74"/>
      <c r="AU24" s="74"/>
      <c r="AV24" s="79"/>
      <c r="AW24" s="74"/>
      <c r="AX24" s="74"/>
      <c r="AY24" s="79"/>
      <c r="AZ24" s="74"/>
      <c r="BA24" s="74"/>
      <c r="BB24" s="79"/>
      <c r="BC24" s="74"/>
      <c r="BD24" s="74"/>
      <c r="BE24" s="79"/>
      <c r="BF24" s="74"/>
    </row>
    <row r="25" spans="1:58" ht="15.75" customHeight="1" x14ac:dyDescent="0.2">
      <c r="A25" s="74"/>
      <c r="B25" s="79"/>
      <c r="C25" s="74"/>
      <c r="D25" s="74"/>
      <c r="E25" s="74"/>
      <c r="F25" s="79"/>
      <c r="G25" s="74"/>
      <c r="H25" s="74"/>
      <c r="I25" s="79"/>
      <c r="J25" s="74"/>
      <c r="K25" s="74"/>
      <c r="L25" s="79"/>
      <c r="M25" s="74"/>
      <c r="N25" s="74"/>
      <c r="O25" s="79"/>
      <c r="P25" s="74"/>
      <c r="Q25" s="74"/>
      <c r="R25" s="79"/>
      <c r="S25" s="74"/>
      <c r="T25" s="74"/>
      <c r="U25" s="79"/>
      <c r="V25" s="74"/>
      <c r="W25" s="74"/>
      <c r="X25" s="79"/>
      <c r="Y25" s="74"/>
      <c r="Z25" s="74"/>
      <c r="AA25" s="79"/>
      <c r="AB25" s="74"/>
      <c r="AC25" s="74"/>
      <c r="AD25" s="79"/>
      <c r="AE25" s="74"/>
      <c r="AF25" s="74"/>
      <c r="AG25" s="79"/>
      <c r="AH25" s="74"/>
      <c r="AI25" s="74"/>
      <c r="AJ25" s="79"/>
      <c r="AK25" s="74"/>
      <c r="AL25" s="74"/>
      <c r="AM25" s="79"/>
      <c r="AN25" s="74"/>
      <c r="AO25" s="74"/>
      <c r="AP25" s="79"/>
      <c r="AQ25" s="74"/>
      <c r="AR25" s="74"/>
      <c r="AS25" s="79"/>
      <c r="AT25" s="74"/>
      <c r="AU25" s="74"/>
      <c r="AV25" s="79"/>
      <c r="AW25" s="74"/>
      <c r="AX25" s="74"/>
      <c r="AY25" s="79"/>
      <c r="AZ25" s="74"/>
      <c r="BA25" s="74"/>
      <c r="BB25" s="79"/>
      <c r="BC25" s="74"/>
      <c r="BD25" s="74"/>
      <c r="BE25" s="79"/>
      <c r="BF25" s="74"/>
    </row>
  </sheetData>
  <mergeCells count="20">
    <mergeCell ref="N1:P1"/>
    <mergeCell ref="Q1:S1"/>
    <mergeCell ref="T1:V1"/>
    <mergeCell ref="W1:Y1"/>
    <mergeCell ref="A2:C3"/>
    <mergeCell ref="A13:C13"/>
    <mergeCell ref="E1:G1"/>
    <mergeCell ref="H1:J1"/>
    <mergeCell ref="K1:M1"/>
    <mergeCell ref="AU1:AW1"/>
    <mergeCell ref="AX1:AZ1"/>
    <mergeCell ref="BA1:BC1"/>
    <mergeCell ref="BD1:BF1"/>
    <mergeCell ref="Z1:AB1"/>
    <mergeCell ref="AC1:AE1"/>
    <mergeCell ref="AF1:AH1"/>
    <mergeCell ref="AI1:AK1"/>
    <mergeCell ref="AL1:AN1"/>
    <mergeCell ref="AO1:AQ1"/>
    <mergeCell ref="AR1:AT1"/>
  </mergeCells>
  <conditionalFormatting sqref="A1:BF25">
    <cfRule type="cellIs" dxfId="17" priority="1" operator="equal">
      <formula>"Monday"</formula>
    </cfRule>
    <cfRule type="cellIs" dxfId="16" priority="2" operator="equal">
      <formula>"Tuesday"</formula>
    </cfRule>
    <cfRule type="cellIs" dxfId="15" priority="3" operator="equal">
      <formula>"Wednesday"</formula>
    </cfRule>
    <cfRule type="cellIs" dxfId="14" priority="4" operator="equal">
      <formula>"Thursday"</formula>
    </cfRule>
    <cfRule type="cellIs" dxfId="13" priority="5" operator="equal">
      <formula>"Friday"</formula>
    </cfRule>
    <cfRule type="cellIs" dxfId="12" priority="6" operator="equal">
      <formula>"Saturday"</formula>
    </cfRule>
  </conditionalFormatting>
  <hyperlinks>
    <hyperlink ref="E2" r:id="rId1" xr:uid="{00000000-0004-0000-0C00-000000000000}"/>
    <hyperlink ref="H2" r:id="rId2" xr:uid="{00000000-0004-0000-0C00-000001000000}"/>
    <hyperlink ref="K2" r:id="rId3" xr:uid="{00000000-0004-0000-0C00-000002000000}"/>
    <hyperlink ref="N2" r:id="rId4" xr:uid="{00000000-0004-0000-0C00-000003000000}"/>
    <hyperlink ref="Q2" r:id="rId5" xr:uid="{00000000-0004-0000-0C00-000004000000}"/>
    <hyperlink ref="T2" r:id="rId6" xr:uid="{00000000-0004-0000-0C00-000005000000}"/>
    <hyperlink ref="W2" r:id="rId7" xr:uid="{00000000-0004-0000-0C00-000006000000}"/>
    <hyperlink ref="Z2" r:id="rId8" xr:uid="{00000000-0004-0000-0C00-000007000000}"/>
    <hyperlink ref="AC2" r:id="rId9" xr:uid="{00000000-0004-0000-0C00-000008000000}"/>
    <hyperlink ref="AF2" r:id="rId10" xr:uid="{00000000-0004-0000-0C00-000009000000}"/>
    <hyperlink ref="AI2" r:id="rId11" xr:uid="{00000000-0004-0000-0C00-00000A000000}"/>
    <hyperlink ref="AL2" r:id="rId12" xr:uid="{00000000-0004-0000-0C00-00000B000000}"/>
    <hyperlink ref="AO2" r:id="rId13" xr:uid="{00000000-0004-0000-0C00-00000C000000}"/>
    <hyperlink ref="AR2" r:id="rId14" xr:uid="{00000000-0004-0000-0C00-00000D000000}"/>
    <hyperlink ref="AU2" r:id="rId15" xr:uid="{00000000-0004-0000-0C00-00000E000000}"/>
    <hyperlink ref="AX2" r:id="rId16" xr:uid="{00000000-0004-0000-0C00-00000F000000}"/>
    <hyperlink ref="BA2" r:id="rId17" xr:uid="{00000000-0004-0000-0C00-000010000000}"/>
    <hyperlink ref="BD2" r:id="rId18" xr:uid="{00000000-0004-0000-0C00-000011000000}"/>
    <hyperlink ref="E3" r:id="rId19" xr:uid="{00000000-0004-0000-0C00-000012000000}"/>
    <hyperlink ref="H3" r:id="rId20" xr:uid="{00000000-0004-0000-0C00-000013000000}"/>
    <hyperlink ref="K3" r:id="rId21" xr:uid="{00000000-0004-0000-0C00-000014000000}"/>
    <hyperlink ref="N3" r:id="rId22" xr:uid="{00000000-0004-0000-0C00-000015000000}"/>
    <hyperlink ref="Q3" r:id="rId23" xr:uid="{00000000-0004-0000-0C00-000016000000}"/>
    <hyperlink ref="T3" r:id="rId24" xr:uid="{00000000-0004-0000-0C00-000017000000}"/>
    <hyperlink ref="W3" r:id="rId25" xr:uid="{00000000-0004-0000-0C00-000018000000}"/>
    <hyperlink ref="Z3" r:id="rId26" xr:uid="{00000000-0004-0000-0C00-000019000000}"/>
    <hyperlink ref="AC3" r:id="rId27" xr:uid="{00000000-0004-0000-0C00-00001A000000}"/>
    <hyperlink ref="AF3" r:id="rId28" xr:uid="{00000000-0004-0000-0C00-00001B000000}"/>
    <hyperlink ref="AI3" r:id="rId29" xr:uid="{00000000-0004-0000-0C00-00001C000000}"/>
    <hyperlink ref="AL3" r:id="rId30" xr:uid="{00000000-0004-0000-0C00-00001D000000}"/>
    <hyperlink ref="AO3" r:id="rId31" xr:uid="{00000000-0004-0000-0C00-00001E000000}"/>
    <hyperlink ref="AR3" r:id="rId32" xr:uid="{00000000-0004-0000-0C00-00001F000000}"/>
    <hyperlink ref="AU3" r:id="rId33" xr:uid="{00000000-0004-0000-0C00-000020000000}"/>
    <hyperlink ref="AX3" r:id="rId34" xr:uid="{00000000-0004-0000-0C00-000021000000}"/>
    <hyperlink ref="BA3" r:id="rId35" xr:uid="{00000000-0004-0000-0C00-000022000000}"/>
    <hyperlink ref="N4" r:id="rId36" xr:uid="{00000000-0004-0000-0C00-000023000000}"/>
    <hyperlink ref="BA4" r:id="rId37" xr:uid="{00000000-0004-0000-0C00-000024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U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4" max="4" width="4.28515625" customWidth="1"/>
    <col min="5" max="5" width="12.5703125" customWidth="1"/>
    <col min="8" max="8" width="12.5703125" customWidth="1"/>
    <col min="11" max="11" width="12.5703125" customWidth="1"/>
    <col min="14" max="14" width="55.140625" customWidth="1"/>
    <col min="17" max="17" width="12.5703125" customWidth="1"/>
    <col min="20" max="20" width="12.5703125" customWidth="1"/>
    <col min="23" max="23" width="12.5703125" customWidth="1"/>
    <col min="26" max="26" width="26.42578125" customWidth="1"/>
    <col min="29" max="29" width="12.5703125" customWidth="1"/>
    <col min="32" max="32" width="12.5703125" customWidth="1"/>
    <col min="35" max="35" width="12.5703125" customWidth="1"/>
    <col min="38" max="38" width="12.5703125" customWidth="1"/>
    <col min="41" max="41" width="12.5703125" customWidth="1"/>
    <col min="44" max="44" width="12.5703125" customWidth="1"/>
    <col min="47" max="47" width="12.5703125" customWidth="1"/>
    <col min="50" max="50" width="12.5703125" customWidth="1"/>
    <col min="53" max="53" width="12.5703125" customWidth="1"/>
    <col min="56" max="56" width="12.5703125" customWidth="1"/>
    <col min="59" max="59" width="12.5703125" customWidth="1"/>
    <col min="62" max="62" width="12.5703125" customWidth="1"/>
    <col min="65" max="65" width="12.5703125" customWidth="1"/>
    <col min="68" max="68" width="12.5703125" customWidth="1"/>
    <col min="71" max="71" width="12.5703125" customWidth="1"/>
  </cols>
  <sheetData>
    <row r="1" spans="1:73" ht="15.75" customHeight="1" x14ac:dyDescent="0.2">
      <c r="A1" s="65"/>
      <c r="B1" s="65"/>
      <c r="C1" s="65"/>
      <c r="D1" s="215"/>
      <c r="E1" s="449" t="s">
        <v>2093</v>
      </c>
      <c r="F1" s="397"/>
      <c r="G1" s="450"/>
      <c r="H1" s="449" t="s">
        <v>2094</v>
      </c>
      <c r="I1" s="397"/>
      <c r="J1" s="450"/>
      <c r="K1" s="449" t="s">
        <v>2095</v>
      </c>
      <c r="L1" s="397"/>
      <c r="M1" s="450"/>
      <c r="N1" s="449" t="s">
        <v>2096</v>
      </c>
      <c r="O1" s="397"/>
      <c r="P1" s="450"/>
      <c r="Q1" s="449" t="s">
        <v>2097</v>
      </c>
      <c r="R1" s="397"/>
      <c r="S1" s="450"/>
      <c r="T1" s="449" t="s">
        <v>2098</v>
      </c>
      <c r="U1" s="397"/>
      <c r="V1" s="450"/>
      <c r="W1" s="449" t="s">
        <v>2099</v>
      </c>
      <c r="X1" s="397"/>
      <c r="Y1" s="450"/>
      <c r="Z1" s="449" t="s">
        <v>2098</v>
      </c>
      <c r="AA1" s="397"/>
      <c r="AB1" s="450"/>
      <c r="AC1" s="449" t="s">
        <v>2100</v>
      </c>
      <c r="AD1" s="397"/>
      <c r="AE1" s="450"/>
      <c r="AF1" s="449" t="s">
        <v>2101</v>
      </c>
      <c r="AG1" s="397"/>
      <c r="AH1" s="450"/>
      <c r="AI1" s="449" t="s">
        <v>2102</v>
      </c>
      <c r="AJ1" s="397"/>
      <c r="AK1" s="450"/>
      <c r="AL1" s="449" t="s">
        <v>2103</v>
      </c>
      <c r="AM1" s="397"/>
      <c r="AN1" s="450"/>
      <c r="AO1" s="449" t="s">
        <v>2104</v>
      </c>
      <c r="AP1" s="397"/>
      <c r="AQ1" s="450"/>
      <c r="AR1" s="449" t="s">
        <v>2100</v>
      </c>
      <c r="AS1" s="397"/>
      <c r="AT1" s="450"/>
      <c r="AU1" s="449" t="s">
        <v>2103</v>
      </c>
      <c r="AV1" s="397"/>
      <c r="AW1" s="450"/>
      <c r="AX1" s="449" t="s">
        <v>2100</v>
      </c>
      <c r="AY1" s="397"/>
      <c r="AZ1" s="450"/>
      <c r="BA1" s="449" t="s">
        <v>2105</v>
      </c>
      <c r="BB1" s="397"/>
      <c r="BC1" s="450"/>
      <c r="BD1" s="449" t="s">
        <v>2100</v>
      </c>
      <c r="BE1" s="397"/>
      <c r="BF1" s="450"/>
      <c r="BG1" s="449" t="s">
        <v>2106</v>
      </c>
      <c r="BH1" s="397"/>
      <c r="BI1" s="450"/>
      <c r="BJ1" s="449" t="s">
        <v>2107</v>
      </c>
      <c r="BK1" s="397"/>
      <c r="BL1" s="450"/>
      <c r="BM1" s="449" t="s">
        <v>2108</v>
      </c>
      <c r="BN1" s="397"/>
      <c r="BO1" s="450"/>
      <c r="BP1" s="449" t="s">
        <v>2107</v>
      </c>
      <c r="BQ1" s="397"/>
      <c r="BR1" s="450"/>
      <c r="BS1" s="449" t="s">
        <v>2109</v>
      </c>
      <c r="BT1" s="397"/>
      <c r="BU1" s="450"/>
    </row>
    <row r="2" spans="1:73" ht="15.75" customHeight="1" x14ac:dyDescent="0.2">
      <c r="A2" s="454" t="s">
        <v>2110</v>
      </c>
      <c r="B2" s="402"/>
      <c r="C2" s="412"/>
      <c r="D2" s="216"/>
      <c r="E2" s="223" t="s">
        <v>2074</v>
      </c>
      <c r="F2" s="84">
        <v>45639</v>
      </c>
      <c r="G2" s="218" t="str">
        <f>CHOOSE(WEEKDAY(F2,2),"Monday","Tuesday","Wednesday","Thursday","Friday","Saturday","Sunday")</f>
        <v>Friday</v>
      </c>
      <c r="H2" s="223" t="s">
        <v>2074</v>
      </c>
      <c r="I2" s="79">
        <v>45273</v>
      </c>
      <c r="J2" s="218" t="str">
        <f>CHOOSE(WEEKDAY(I2,2),"Monday","Tuesday","Wednesday","Thursday","Friday","Saturday","Sunday")</f>
        <v>Wednesday</v>
      </c>
      <c r="K2" s="223" t="s">
        <v>2074</v>
      </c>
      <c r="L2" s="79">
        <v>45142</v>
      </c>
      <c r="M2" s="218" t="str">
        <f>CHOOSE(WEEKDAY(L2,2),"Monday","Tuesday","Wednesday","Thursday","Friday","Saturday","Sunday")</f>
        <v>Friday</v>
      </c>
      <c r="N2" s="223" t="s">
        <v>2111</v>
      </c>
      <c r="O2" s="79">
        <v>44897</v>
      </c>
      <c r="P2" s="218" t="str">
        <f t="shared" ref="P2:P6" si="0">CHOOSE(WEEKDAY(O2,2),"Monday","Tuesday","Wednesday","Thursday","Friday","Saturday","Sunday")</f>
        <v>Friday</v>
      </c>
      <c r="Q2" s="223" t="s">
        <v>2074</v>
      </c>
      <c r="R2" s="79">
        <v>44776</v>
      </c>
      <c r="S2" s="218" t="str">
        <f>CHOOSE(WEEKDAY(R2,2),"Monday","Tuesday","Wednesday","Thursday","Friday","Saturday","Sunday")</f>
        <v>Wednesday</v>
      </c>
      <c r="T2" s="223" t="s">
        <v>2074</v>
      </c>
      <c r="U2" s="79">
        <v>44540</v>
      </c>
      <c r="V2" s="218" t="str">
        <f>CHOOSE(WEEKDAY(U2,2),"Monday","Tuesday","Wednesday","Thursday","Friday","Saturday","Sunday")</f>
        <v>Friday</v>
      </c>
      <c r="W2" s="223" t="s">
        <v>2074</v>
      </c>
      <c r="X2" s="79">
        <v>44407</v>
      </c>
      <c r="Y2" s="218" t="str">
        <f>CHOOSE(WEEKDAY(X2,2),"Monday","Tuesday","Wednesday","Thursday","Friday","Saturday","Sunday")</f>
        <v>Friday</v>
      </c>
      <c r="Z2" s="223" t="s">
        <v>2074</v>
      </c>
      <c r="AA2" s="79">
        <v>44175</v>
      </c>
      <c r="AB2" s="218" t="str">
        <f t="shared" ref="AB2:AB8" si="1">CHOOSE(WEEKDAY(AA2,2),"Monday","Tuesday","Wednesday","Thursday","Friday","Saturday","Sunday")</f>
        <v>Thursday</v>
      </c>
      <c r="AC2" s="223" t="s">
        <v>2074</v>
      </c>
      <c r="AD2" s="79">
        <v>44043</v>
      </c>
      <c r="AE2" s="218" t="str">
        <f>CHOOSE(WEEKDAY(AD2,2),"Monday","Tuesday","Wednesday","Thursday","Friday","Saturday","Sunday")</f>
        <v>Friday</v>
      </c>
      <c r="AF2" s="223" t="s">
        <v>2074</v>
      </c>
      <c r="AG2" s="79">
        <v>43812</v>
      </c>
      <c r="AH2" s="218" t="str">
        <f t="shared" ref="AH2:AH4" si="2">CHOOSE(WEEKDAY(AG2,2),"Monday","Tuesday","Wednesday","Thursday","Friday","Saturday","Sunday")</f>
        <v>Friday</v>
      </c>
      <c r="AI2" s="223" t="s">
        <v>2074</v>
      </c>
      <c r="AJ2" s="79">
        <v>43672</v>
      </c>
      <c r="AK2" s="218" t="str">
        <f>CHOOSE(WEEKDAY(AJ2,2),"Monday","Tuesday","Wednesday","Thursday","Friday","Saturday","Sunday")</f>
        <v>Friday</v>
      </c>
      <c r="AL2" s="223" t="s">
        <v>2074</v>
      </c>
      <c r="AM2" s="79">
        <v>43455</v>
      </c>
      <c r="AN2" s="218" t="str">
        <f t="shared" ref="AN2:AN4" si="3">CHOOSE(WEEKDAY(AM2,2),"Monday","Tuesday","Wednesday","Thursday","Friday","Saturday","Sunday")</f>
        <v>Friday</v>
      </c>
      <c r="AO2" s="223" t="s">
        <v>2074</v>
      </c>
      <c r="AP2" s="79">
        <v>43327</v>
      </c>
      <c r="AQ2" s="218" t="str">
        <f>CHOOSE(WEEKDAY(AP2,2),"Monday","Tuesday","Wednesday","Thursday","Friday","Saturday","Sunday")</f>
        <v>Wednesday</v>
      </c>
      <c r="AR2" s="223" t="s">
        <v>2074</v>
      </c>
      <c r="AS2" s="79">
        <v>43301</v>
      </c>
      <c r="AT2" s="218" t="str">
        <f t="shared" ref="AT2:AT4" si="4">CHOOSE(WEEKDAY(AS2,2),"Monday","Tuesday","Wednesday","Thursday","Friday","Saturday","Sunday")</f>
        <v>Friday</v>
      </c>
      <c r="AU2" s="223" t="s">
        <v>2074</v>
      </c>
      <c r="AV2" s="79">
        <v>43091</v>
      </c>
      <c r="AW2" s="218" t="str">
        <f>CHOOSE(WEEKDAY(AV2,2),"Monday","Tuesday","Wednesday","Thursday","Friday","Saturday","Sunday")</f>
        <v>Friday</v>
      </c>
      <c r="AX2" s="223" t="s">
        <v>2074</v>
      </c>
      <c r="AY2" s="79">
        <v>42944</v>
      </c>
      <c r="AZ2" s="218" t="str">
        <f>CHOOSE(WEEKDAY(AY2,2),"Monday","Tuesday","Wednesday","Thursday","Friday","Saturday","Sunday")</f>
        <v>Friday</v>
      </c>
      <c r="BA2" s="223" t="s">
        <v>2074</v>
      </c>
      <c r="BB2" s="79">
        <v>42727</v>
      </c>
      <c r="BC2" s="218" t="str">
        <f>CHOOSE(WEEKDAY(BB2,2),"Monday","Tuesday","Wednesday","Thursday","Friday","Saturday","Sunday")</f>
        <v>Friday</v>
      </c>
      <c r="BD2" s="223" t="s">
        <v>2074</v>
      </c>
      <c r="BE2" s="79">
        <v>42573</v>
      </c>
      <c r="BF2" s="218" t="str">
        <f>CHOOSE(WEEKDAY(BE2,2),"Monday","Tuesday","Wednesday","Thursday","Friday","Saturday","Sunday")</f>
        <v>Friday</v>
      </c>
      <c r="BG2" s="223" t="s">
        <v>2074</v>
      </c>
      <c r="BH2" s="79">
        <v>42361</v>
      </c>
      <c r="BI2" s="218" t="str">
        <f>CHOOSE(WEEKDAY(BH2,2),"Monday","Tuesday","Wednesday","Thursday","Friday","Saturday","Sunday")</f>
        <v>Wednesday</v>
      </c>
      <c r="BJ2" s="223" t="s">
        <v>2074</v>
      </c>
      <c r="BK2" s="79">
        <v>42222</v>
      </c>
      <c r="BL2" s="218" t="str">
        <f>CHOOSE(WEEKDAY(BK2,2),"Monday","Tuesday","Wednesday","Thursday","Friday","Saturday","Sunday")</f>
        <v>Thursday</v>
      </c>
      <c r="BM2" s="223" t="s">
        <v>2074</v>
      </c>
      <c r="BN2" s="79">
        <v>41997</v>
      </c>
      <c r="BO2" s="218" t="str">
        <f t="shared" ref="BO2:BO3" si="5">CHOOSE(WEEKDAY(BN2,2),"Monday","Tuesday","Wednesday","Thursday","Friday","Saturday","Sunday")</f>
        <v>Wednesday</v>
      </c>
      <c r="BP2" s="223" t="s">
        <v>2074</v>
      </c>
      <c r="BQ2" s="79">
        <v>41855</v>
      </c>
      <c r="BR2" s="218" t="str">
        <f>CHOOSE(WEEKDAY(BQ2,2),"Monday","Tuesday","Wednesday","Thursday","Friday","Saturday","Sunday")</f>
        <v>Monday</v>
      </c>
      <c r="BS2" s="223" t="s">
        <v>2074</v>
      </c>
      <c r="BT2" s="79">
        <v>41651</v>
      </c>
      <c r="BU2" s="218" t="str">
        <f>CHOOSE(WEEKDAY(BT2,2),"Monday","Tuesday","Wednesday","Thursday","Friday","Saturday","Sunday")</f>
        <v>Sunday</v>
      </c>
    </row>
    <row r="3" spans="1:73" ht="15.75" customHeight="1" x14ac:dyDescent="0.2">
      <c r="A3" s="396"/>
      <c r="B3" s="397"/>
      <c r="C3" s="398"/>
      <c r="D3" s="216"/>
      <c r="E3" s="79"/>
      <c r="F3" s="79"/>
      <c r="G3" s="74"/>
      <c r="H3" s="79"/>
      <c r="I3" s="79"/>
      <c r="J3" s="74"/>
      <c r="K3" s="79"/>
      <c r="L3" s="79"/>
      <c r="M3" s="74"/>
      <c r="N3" s="223" t="s">
        <v>2112</v>
      </c>
      <c r="O3" s="79">
        <v>44902</v>
      </c>
      <c r="P3" s="218" t="str">
        <f t="shared" si="0"/>
        <v>Wednesday</v>
      </c>
      <c r="Q3" s="79"/>
      <c r="R3" s="79"/>
      <c r="S3" s="74"/>
      <c r="T3" s="79"/>
      <c r="U3" s="79"/>
      <c r="V3" s="74"/>
      <c r="W3" s="79"/>
      <c r="X3" s="79"/>
      <c r="Y3" s="74"/>
      <c r="Z3" s="223" t="s">
        <v>2113</v>
      </c>
      <c r="AA3" s="79">
        <v>44181</v>
      </c>
      <c r="AB3" s="218" t="str">
        <f t="shared" si="1"/>
        <v>Wednesday</v>
      </c>
      <c r="AC3" s="79"/>
      <c r="AD3" s="79"/>
      <c r="AE3" s="74"/>
      <c r="AF3" s="223" t="s">
        <v>2074</v>
      </c>
      <c r="AG3" s="79">
        <v>43819</v>
      </c>
      <c r="AH3" s="218" t="str">
        <f t="shared" si="2"/>
        <v>Friday</v>
      </c>
      <c r="AI3" s="74"/>
      <c r="AJ3" s="79"/>
      <c r="AK3" s="74"/>
      <c r="AL3" s="223" t="s">
        <v>2074</v>
      </c>
      <c r="AM3" s="79">
        <v>43455</v>
      </c>
      <c r="AN3" s="218" t="str">
        <f t="shared" si="3"/>
        <v>Friday</v>
      </c>
      <c r="AO3" s="349"/>
      <c r="AP3" s="79"/>
      <c r="AQ3" s="74"/>
      <c r="AR3" s="223" t="s">
        <v>2114</v>
      </c>
      <c r="AS3" s="79">
        <v>43306</v>
      </c>
      <c r="AT3" s="218" t="str">
        <f t="shared" si="4"/>
        <v>Wednesday</v>
      </c>
      <c r="AU3" s="220"/>
      <c r="AV3" s="79"/>
      <c r="AW3" s="74"/>
      <c r="AX3" s="79"/>
      <c r="AY3" s="79"/>
      <c r="AZ3" s="74"/>
      <c r="BA3" s="79"/>
      <c r="BB3" s="79"/>
      <c r="BC3" s="74"/>
      <c r="BD3" s="79"/>
      <c r="BE3" s="79"/>
      <c r="BF3" s="74"/>
      <c r="BG3" s="74"/>
      <c r="BH3" s="79"/>
      <c r="BI3" s="74"/>
      <c r="BJ3" s="74"/>
      <c r="BK3" s="79"/>
      <c r="BL3" s="74"/>
      <c r="BM3" s="223" t="s">
        <v>2074</v>
      </c>
      <c r="BN3" s="79">
        <v>41997</v>
      </c>
      <c r="BO3" s="218" t="str">
        <f t="shared" si="5"/>
        <v>Wednesday</v>
      </c>
      <c r="BP3" s="74"/>
      <c r="BQ3" s="79"/>
      <c r="BR3" s="74"/>
      <c r="BS3" s="74"/>
      <c r="BT3" s="79"/>
      <c r="BU3" s="74"/>
    </row>
    <row r="4" spans="1:73" ht="15.75" customHeight="1" x14ac:dyDescent="0.2">
      <c r="A4" s="74"/>
      <c r="B4" s="216"/>
      <c r="C4" s="216"/>
      <c r="D4" s="74"/>
      <c r="E4" s="79"/>
      <c r="F4" s="79"/>
      <c r="G4" s="74"/>
      <c r="H4" s="79"/>
      <c r="I4" s="79"/>
      <c r="J4" s="74"/>
      <c r="K4" s="79"/>
      <c r="L4" s="79"/>
      <c r="M4" s="74"/>
      <c r="N4" s="223" t="s">
        <v>2074</v>
      </c>
      <c r="O4" s="79">
        <v>44911</v>
      </c>
      <c r="P4" s="218" t="str">
        <f t="shared" si="0"/>
        <v>Friday</v>
      </c>
      <c r="Q4" s="79"/>
      <c r="R4" s="79"/>
      <c r="S4" s="74"/>
      <c r="T4" s="79"/>
      <c r="U4" s="79"/>
      <c r="V4" s="74"/>
      <c r="W4" s="79"/>
      <c r="X4" s="79"/>
      <c r="Y4" s="74"/>
      <c r="Z4" s="223" t="s">
        <v>2115</v>
      </c>
      <c r="AA4" s="79">
        <v>44182</v>
      </c>
      <c r="AB4" s="218" t="str">
        <f t="shared" si="1"/>
        <v>Thursday</v>
      </c>
      <c r="AC4" s="79"/>
      <c r="AD4" s="79"/>
      <c r="AE4" s="74"/>
      <c r="AF4" s="223" t="s">
        <v>2074</v>
      </c>
      <c r="AG4" s="79">
        <v>43827</v>
      </c>
      <c r="AH4" s="218" t="str">
        <f t="shared" si="2"/>
        <v>Saturday</v>
      </c>
      <c r="AI4" s="74"/>
      <c r="AJ4" s="79"/>
      <c r="AK4" s="74"/>
      <c r="AL4" s="223" t="s">
        <v>2074</v>
      </c>
      <c r="AM4" s="79">
        <v>43462</v>
      </c>
      <c r="AN4" s="218" t="str">
        <f t="shared" si="3"/>
        <v>Friday</v>
      </c>
      <c r="AO4" s="349"/>
      <c r="AP4" s="79"/>
      <c r="AQ4" s="74"/>
      <c r="AR4" s="223" t="s">
        <v>2116</v>
      </c>
      <c r="AS4" s="79">
        <v>43315</v>
      </c>
      <c r="AT4" s="218" t="str">
        <f t="shared" si="4"/>
        <v>Friday</v>
      </c>
      <c r="AU4" s="234"/>
      <c r="AV4" s="79"/>
      <c r="AW4" s="74"/>
      <c r="AX4" s="79"/>
      <c r="AY4" s="79"/>
      <c r="AZ4" s="74"/>
      <c r="BA4" s="79"/>
      <c r="BB4" s="79"/>
      <c r="BC4" s="74"/>
      <c r="BD4" s="79"/>
      <c r="BE4" s="79"/>
      <c r="BF4" s="74"/>
      <c r="BG4" s="74"/>
      <c r="BH4" s="79"/>
      <c r="BI4" s="74"/>
      <c r="BJ4" s="74"/>
      <c r="BK4" s="79"/>
      <c r="BL4" s="74"/>
      <c r="BM4" s="74"/>
      <c r="BN4" s="79"/>
      <c r="BO4" s="74"/>
      <c r="BP4" s="74"/>
      <c r="BQ4" s="79"/>
      <c r="BR4" s="74"/>
      <c r="BS4" s="74"/>
      <c r="BT4" s="79"/>
      <c r="BU4" s="74"/>
    </row>
    <row r="5" spans="1:73" ht="15.75" customHeight="1" x14ac:dyDescent="0.2">
      <c r="A5" s="239" t="s">
        <v>124</v>
      </c>
      <c r="B5" s="211">
        <f>COUNTIF(D2:BU25,"Monday")</f>
        <v>1</v>
      </c>
      <c r="C5" s="240">
        <f t="shared" ref="C5:C11" si="6">B5/SUM($B$5:$B$11)</f>
        <v>2.5000000000000001E-2</v>
      </c>
      <c r="D5" s="74"/>
      <c r="E5" s="79"/>
      <c r="F5" s="79"/>
      <c r="G5" s="74"/>
      <c r="H5" s="79"/>
      <c r="I5" s="79"/>
      <c r="J5" s="74"/>
      <c r="K5" s="79"/>
      <c r="L5" s="79"/>
      <c r="M5" s="74"/>
      <c r="N5" s="223" t="s">
        <v>2117</v>
      </c>
      <c r="O5" s="79">
        <v>44911</v>
      </c>
      <c r="P5" s="218" t="str">
        <f t="shared" si="0"/>
        <v>Friday</v>
      </c>
      <c r="Q5" s="79"/>
      <c r="R5" s="79"/>
      <c r="S5" s="74"/>
      <c r="T5" s="79"/>
      <c r="U5" s="79"/>
      <c r="V5" s="74"/>
      <c r="W5" s="79"/>
      <c r="X5" s="79"/>
      <c r="Y5" s="74"/>
      <c r="Z5" s="223" t="s">
        <v>2118</v>
      </c>
      <c r="AA5" s="79">
        <v>44182</v>
      </c>
      <c r="AB5" s="218" t="str">
        <f t="shared" si="1"/>
        <v>Thursday</v>
      </c>
      <c r="AC5" s="79"/>
      <c r="AD5" s="79"/>
      <c r="AE5" s="74"/>
      <c r="AF5" s="79"/>
      <c r="AG5" s="79"/>
      <c r="AH5" s="74"/>
      <c r="AI5" s="74"/>
      <c r="AJ5" s="79"/>
      <c r="AK5" s="74"/>
      <c r="AL5" s="79"/>
      <c r="AM5" s="79"/>
      <c r="AN5" s="74"/>
      <c r="AO5" s="349"/>
      <c r="AP5" s="79"/>
      <c r="AQ5" s="74"/>
      <c r="AR5" s="79"/>
      <c r="AS5" s="79"/>
      <c r="AT5" s="74"/>
      <c r="AU5" s="79"/>
      <c r="AV5" s="79"/>
      <c r="AW5" s="74"/>
      <c r="AX5" s="79"/>
      <c r="AY5" s="79"/>
      <c r="AZ5" s="74"/>
      <c r="BA5" s="79"/>
      <c r="BB5" s="79"/>
      <c r="BC5" s="74"/>
      <c r="BD5" s="79"/>
      <c r="BE5" s="79"/>
      <c r="BF5" s="74"/>
      <c r="BG5" s="74"/>
      <c r="BH5" s="79"/>
      <c r="BI5" s="74"/>
      <c r="BJ5" s="74"/>
      <c r="BK5" s="79"/>
      <c r="BL5" s="74"/>
      <c r="BM5" s="74"/>
      <c r="BN5" s="79"/>
      <c r="BO5" s="74"/>
      <c r="BP5" s="74"/>
      <c r="BQ5" s="79"/>
      <c r="BR5" s="74"/>
      <c r="BS5" s="74"/>
      <c r="BT5" s="79"/>
      <c r="BU5" s="74"/>
    </row>
    <row r="6" spans="1:73" ht="15.75" customHeight="1" x14ac:dyDescent="0.2">
      <c r="A6" s="239" t="s">
        <v>125</v>
      </c>
      <c r="B6" s="242">
        <f>COUNTIF(D2:BU25,"Tuesday")</f>
        <v>0</v>
      </c>
      <c r="C6" s="240">
        <f t="shared" si="6"/>
        <v>0</v>
      </c>
      <c r="D6" s="74"/>
      <c r="E6" s="74"/>
      <c r="F6" s="79"/>
      <c r="G6" s="74"/>
      <c r="H6" s="74"/>
      <c r="I6" s="79"/>
      <c r="J6" s="74"/>
      <c r="K6" s="79"/>
      <c r="L6" s="79"/>
      <c r="M6" s="74"/>
      <c r="N6" s="223" t="s">
        <v>2119</v>
      </c>
      <c r="O6" s="79">
        <v>44916</v>
      </c>
      <c r="P6" s="218" t="str">
        <f t="shared" si="0"/>
        <v>Wednesday</v>
      </c>
      <c r="Q6" s="79"/>
      <c r="R6" s="79"/>
      <c r="S6" s="74"/>
      <c r="T6" s="74"/>
      <c r="U6" s="79"/>
      <c r="V6" s="74"/>
      <c r="W6" s="79"/>
      <c r="X6" s="79"/>
      <c r="Y6" s="74"/>
      <c r="Z6" s="223" t="s">
        <v>2120</v>
      </c>
      <c r="AA6" s="79">
        <v>44182</v>
      </c>
      <c r="AB6" s="218" t="str">
        <f t="shared" si="1"/>
        <v>Thursday</v>
      </c>
      <c r="AC6" s="79"/>
      <c r="AD6" s="79"/>
      <c r="AE6" s="74"/>
      <c r="AF6" s="74"/>
      <c r="AG6" s="79"/>
      <c r="AH6" s="74"/>
      <c r="AI6" s="74"/>
      <c r="AJ6" s="79"/>
      <c r="AK6" s="74"/>
      <c r="AL6" s="74"/>
      <c r="AM6" s="79"/>
      <c r="AN6" s="74"/>
      <c r="AO6" s="256"/>
      <c r="AP6" s="79"/>
      <c r="AQ6" s="74"/>
      <c r="AR6" s="79"/>
      <c r="AS6" s="79"/>
      <c r="AT6" s="74"/>
      <c r="AU6" s="79"/>
      <c r="AV6" s="79"/>
      <c r="AW6" s="74"/>
      <c r="AX6" s="79"/>
      <c r="AY6" s="79"/>
      <c r="AZ6" s="74"/>
      <c r="BA6" s="79"/>
      <c r="BB6" s="79"/>
      <c r="BC6" s="74"/>
      <c r="BD6" s="79"/>
      <c r="BE6" s="79"/>
      <c r="BF6" s="74"/>
      <c r="BG6" s="74"/>
      <c r="BH6" s="79"/>
      <c r="BI6" s="74"/>
      <c r="BJ6" s="74"/>
      <c r="BK6" s="79"/>
      <c r="BL6" s="74"/>
      <c r="BM6" s="74"/>
      <c r="BN6" s="79"/>
      <c r="BO6" s="74"/>
      <c r="BP6" s="74"/>
      <c r="BQ6" s="79"/>
      <c r="BR6" s="74"/>
      <c r="BS6" s="74"/>
      <c r="BT6" s="79"/>
      <c r="BU6" s="74"/>
    </row>
    <row r="7" spans="1:73" ht="15.75" customHeight="1" x14ac:dyDescent="0.2">
      <c r="A7" s="239" t="s">
        <v>128</v>
      </c>
      <c r="B7" s="242">
        <f>COUNTIF(D2:BU25,"Wednesday")</f>
        <v>10</v>
      </c>
      <c r="C7" s="240">
        <f t="shared" si="6"/>
        <v>0.25</v>
      </c>
      <c r="D7" s="74"/>
      <c r="E7" s="79"/>
      <c r="F7" s="79"/>
      <c r="G7" s="74"/>
      <c r="H7" s="79"/>
      <c r="I7" s="79"/>
      <c r="J7" s="74"/>
      <c r="K7" s="74"/>
      <c r="L7" s="79"/>
      <c r="M7" s="74"/>
      <c r="N7" s="74"/>
      <c r="O7" s="79"/>
      <c r="P7" s="74"/>
      <c r="Q7" s="74"/>
      <c r="R7" s="79"/>
      <c r="S7" s="74"/>
      <c r="T7" s="79"/>
      <c r="U7" s="79"/>
      <c r="V7" s="74"/>
      <c r="W7" s="74"/>
      <c r="X7" s="79"/>
      <c r="Y7" s="74"/>
      <c r="Z7" s="223" t="s">
        <v>2121</v>
      </c>
      <c r="AA7" s="79">
        <v>44182</v>
      </c>
      <c r="AB7" s="218" t="str">
        <f t="shared" si="1"/>
        <v>Thursday</v>
      </c>
      <c r="AC7" s="74"/>
      <c r="AD7" s="79"/>
      <c r="AE7" s="74"/>
      <c r="AF7" s="79"/>
      <c r="AG7" s="79"/>
      <c r="AH7" s="74"/>
      <c r="AI7" s="74"/>
      <c r="AJ7" s="79"/>
      <c r="AK7" s="74"/>
      <c r="AL7" s="79"/>
      <c r="AM7" s="79"/>
      <c r="AN7" s="74"/>
      <c r="AO7" s="74"/>
      <c r="AP7" s="79"/>
      <c r="AQ7" s="74"/>
      <c r="AR7" s="79"/>
      <c r="AS7" s="79"/>
      <c r="AT7" s="74"/>
      <c r="AU7" s="79"/>
      <c r="AV7" s="79"/>
      <c r="AW7" s="74"/>
      <c r="AX7" s="74"/>
      <c r="AY7" s="79"/>
      <c r="AZ7" s="74"/>
      <c r="BA7" s="74"/>
      <c r="BB7" s="79"/>
      <c r="BC7" s="74"/>
      <c r="BD7" s="74"/>
      <c r="BE7" s="79"/>
      <c r="BF7" s="74"/>
      <c r="BG7" s="74"/>
      <c r="BH7" s="79"/>
      <c r="BI7" s="74"/>
      <c r="BJ7" s="74"/>
      <c r="BK7" s="79"/>
      <c r="BL7" s="74"/>
      <c r="BM7" s="74"/>
      <c r="BN7" s="79"/>
      <c r="BO7" s="74"/>
      <c r="BP7" s="74"/>
      <c r="BQ7" s="79"/>
      <c r="BR7" s="74"/>
      <c r="BS7" s="74"/>
      <c r="BT7" s="79"/>
      <c r="BU7" s="74"/>
    </row>
    <row r="8" spans="1:73" ht="15.75" customHeight="1" x14ac:dyDescent="0.2">
      <c r="A8" s="239" t="s">
        <v>130</v>
      </c>
      <c r="B8" s="242">
        <f>COUNTIF(D2:BU25,"Thursday")</f>
        <v>6</v>
      </c>
      <c r="C8" s="240">
        <f t="shared" si="6"/>
        <v>0.15</v>
      </c>
      <c r="D8" s="74"/>
      <c r="E8" s="79"/>
      <c r="F8" s="79"/>
      <c r="G8" s="74"/>
      <c r="H8" s="79"/>
      <c r="I8" s="79"/>
      <c r="J8" s="74"/>
      <c r="K8" s="74"/>
      <c r="L8" s="79"/>
      <c r="M8" s="74"/>
      <c r="N8" s="74"/>
      <c r="O8" s="79"/>
      <c r="P8" s="74"/>
      <c r="Q8" s="74"/>
      <c r="R8" s="79"/>
      <c r="S8" s="74"/>
      <c r="T8" s="79"/>
      <c r="U8" s="79"/>
      <c r="V8" s="74"/>
      <c r="W8" s="74"/>
      <c r="X8" s="79"/>
      <c r="Y8" s="74"/>
      <c r="Z8" s="223" t="s">
        <v>2122</v>
      </c>
      <c r="AA8" s="79">
        <v>44183</v>
      </c>
      <c r="AB8" s="218" t="str">
        <f t="shared" si="1"/>
        <v>Friday</v>
      </c>
      <c r="AC8" s="74"/>
      <c r="AD8" s="79"/>
      <c r="AE8" s="74"/>
      <c r="AF8" s="79"/>
      <c r="AG8" s="79"/>
      <c r="AH8" s="74"/>
      <c r="AI8" s="74"/>
      <c r="AJ8" s="79"/>
      <c r="AK8" s="74"/>
      <c r="AL8" s="79"/>
      <c r="AM8" s="79"/>
      <c r="AN8" s="74"/>
      <c r="AO8" s="74"/>
      <c r="AP8" s="79"/>
      <c r="AQ8" s="74"/>
      <c r="AR8" s="79"/>
      <c r="AS8" s="79"/>
      <c r="AT8" s="74"/>
      <c r="AU8" s="79"/>
      <c r="AV8" s="79"/>
      <c r="AW8" s="74"/>
      <c r="AX8" s="74"/>
      <c r="AY8" s="79"/>
      <c r="AZ8" s="74"/>
      <c r="BA8" s="74"/>
      <c r="BB8" s="79"/>
      <c r="BC8" s="74"/>
      <c r="BD8" s="74"/>
      <c r="BE8" s="79"/>
      <c r="BF8" s="74"/>
      <c r="BG8" s="74"/>
      <c r="BH8" s="79"/>
      <c r="BI8" s="74"/>
      <c r="BJ8" s="74"/>
      <c r="BK8" s="79"/>
      <c r="BL8" s="74"/>
      <c r="BM8" s="74"/>
      <c r="BN8" s="79"/>
      <c r="BO8" s="74"/>
      <c r="BP8" s="74"/>
      <c r="BQ8" s="79"/>
      <c r="BR8" s="74"/>
      <c r="BS8" s="74"/>
      <c r="BT8" s="79"/>
      <c r="BU8" s="74"/>
    </row>
    <row r="9" spans="1:73" ht="15.75" customHeight="1" x14ac:dyDescent="0.2">
      <c r="A9" s="239" t="s">
        <v>132</v>
      </c>
      <c r="B9" s="242">
        <f>COUNTIF(D2:BU25,"Friday")</f>
        <v>21</v>
      </c>
      <c r="C9" s="240">
        <f t="shared" si="6"/>
        <v>0.52500000000000002</v>
      </c>
      <c r="D9" s="74"/>
      <c r="E9" s="74"/>
      <c r="F9" s="79"/>
      <c r="G9" s="74"/>
      <c r="H9" s="74"/>
      <c r="I9" s="79"/>
      <c r="J9" s="74"/>
      <c r="K9" s="74"/>
      <c r="L9" s="79"/>
      <c r="M9" s="74"/>
      <c r="N9" s="74"/>
      <c r="O9" s="79"/>
      <c r="P9" s="74"/>
      <c r="Q9" s="74"/>
      <c r="R9" s="79"/>
      <c r="S9" s="74"/>
      <c r="T9" s="74"/>
      <c r="U9" s="79"/>
      <c r="V9" s="74"/>
      <c r="W9" s="74"/>
      <c r="X9" s="79"/>
      <c r="Y9" s="74"/>
      <c r="Z9" s="74"/>
      <c r="AA9" s="79"/>
      <c r="AB9" s="74"/>
      <c r="AC9" s="74"/>
      <c r="AD9" s="79"/>
      <c r="AE9" s="74"/>
      <c r="AF9" s="74"/>
      <c r="AG9" s="79"/>
      <c r="AH9" s="74"/>
      <c r="AI9" s="74"/>
      <c r="AJ9" s="79"/>
      <c r="AK9" s="74"/>
      <c r="AL9" s="74"/>
      <c r="AM9" s="79"/>
      <c r="AN9" s="74"/>
      <c r="AO9" s="74"/>
      <c r="AP9" s="79"/>
      <c r="AQ9" s="74"/>
      <c r="AR9" s="74"/>
      <c r="AS9" s="79"/>
      <c r="AT9" s="74"/>
      <c r="AU9" s="74"/>
      <c r="AV9" s="79"/>
      <c r="AW9" s="74"/>
      <c r="AX9" s="74"/>
      <c r="AY9" s="79"/>
      <c r="AZ9" s="74"/>
      <c r="BA9" s="74"/>
      <c r="BB9" s="79"/>
      <c r="BC9" s="74"/>
      <c r="BD9" s="74"/>
      <c r="BE9" s="79"/>
      <c r="BF9" s="74"/>
      <c r="BG9" s="74"/>
      <c r="BH9" s="79"/>
      <c r="BI9" s="74"/>
      <c r="BJ9" s="74"/>
      <c r="BK9" s="79"/>
      <c r="BL9" s="74"/>
      <c r="BM9" s="74"/>
      <c r="BN9" s="79"/>
      <c r="BO9" s="74"/>
      <c r="BP9" s="74"/>
      <c r="BQ9" s="79"/>
      <c r="BR9" s="74"/>
      <c r="BS9" s="74"/>
      <c r="BT9" s="79"/>
      <c r="BU9" s="74"/>
    </row>
    <row r="10" spans="1:73" ht="15.75" customHeight="1" x14ac:dyDescent="0.2">
      <c r="A10" s="239" t="s">
        <v>134</v>
      </c>
      <c r="B10" s="242">
        <f>COUNTIF(D2:BU25,"Saturday")</f>
        <v>1</v>
      </c>
      <c r="C10" s="240">
        <f t="shared" si="6"/>
        <v>2.5000000000000001E-2</v>
      </c>
      <c r="D10" s="74"/>
      <c r="E10" s="74"/>
      <c r="F10" s="79"/>
      <c r="G10" s="74"/>
      <c r="H10" s="74"/>
      <c r="I10" s="79"/>
      <c r="J10" s="74"/>
      <c r="K10" s="74"/>
      <c r="L10" s="79"/>
      <c r="M10" s="74"/>
      <c r="N10" s="74"/>
      <c r="O10" s="79"/>
      <c r="P10" s="74"/>
      <c r="Q10" s="74"/>
      <c r="R10" s="79"/>
      <c r="S10" s="74"/>
      <c r="T10" s="74"/>
      <c r="U10" s="79"/>
      <c r="V10" s="74"/>
      <c r="W10" s="74"/>
      <c r="X10" s="79"/>
      <c r="Y10" s="74"/>
      <c r="Z10" s="74"/>
      <c r="AA10" s="79"/>
      <c r="AB10" s="74"/>
      <c r="AC10" s="74"/>
      <c r="AD10" s="79"/>
      <c r="AE10" s="74"/>
      <c r="AF10" s="74"/>
      <c r="AG10" s="79"/>
      <c r="AH10" s="74"/>
      <c r="AI10" s="74"/>
      <c r="AJ10" s="79"/>
      <c r="AK10" s="74"/>
      <c r="AL10" s="74"/>
      <c r="AM10" s="79"/>
      <c r="AN10" s="74"/>
      <c r="AO10" s="74"/>
      <c r="AP10" s="79"/>
      <c r="AQ10" s="74"/>
      <c r="AR10" s="74"/>
      <c r="AS10" s="79"/>
      <c r="AT10" s="74"/>
      <c r="AU10" s="74"/>
      <c r="AV10" s="79"/>
      <c r="AW10" s="74"/>
      <c r="AX10" s="74"/>
      <c r="AY10" s="79"/>
      <c r="AZ10" s="74"/>
      <c r="BA10" s="74"/>
      <c r="BB10" s="79"/>
      <c r="BC10" s="74"/>
      <c r="BD10" s="74"/>
      <c r="BE10" s="79"/>
      <c r="BF10" s="74"/>
      <c r="BG10" s="74"/>
      <c r="BH10" s="79"/>
      <c r="BI10" s="74"/>
      <c r="BJ10" s="74"/>
      <c r="BK10" s="79"/>
      <c r="BL10" s="74"/>
      <c r="BM10" s="74"/>
      <c r="BN10" s="79"/>
      <c r="BO10" s="74"/>
      <c r="BP10" s="74"/>
      <c r="BQ10" s="79"/>
      <c r="BR10" s="74"/>
      <c r="BS10" s="74"/>
      <c r="BT10" s="79"/>
      <c r="BU10" s="74"/>
    </row>
    <row r="11" spans="1:73" ht="15.75" customHeight="1" x14ac:dyDescent="0.2">
      <c r="A11" s="239" t="s">
        <v>136</v>
      </c>
      <c r="B11" s="242">
        <f>COUNTIF(D2:BU25,"Sunday")</f>
        <v>1</v>
      </c>
      <c r="C11" s="240">
        <f t="shared" si="6"/>
        <v>2.5000000000000001E-2</v>
      </c>
      <c r="D11" s="74"/>
      <c r="E11" s="74"/>
      <c r="F11" s="79"/>
      <c r="G11" s="74"/>
      <c r="H11" s="74"/>
      <c r="I11" s="79"/>
      <c r="J11" s="74"/>
      <c r="K11" s="74"/>
      <c r="L11" s="79"/>
      <c r="M11" s="74"/>
      <c r="N11" s="74"/>
      <c r="O11" s="79"/>
      <c r="P11" s="74"/>
      <c r="Q11" s="74"/>
      <c r="R11" s="79"/>
      <c r="S11" s="74"/>
      <c r="T11" s="74"/>
      <c r="U11" s="79"/>
      <c r="V11" s="74"/>
      <c r="W11" s="74"/>
      <c r="X11" s="79"/>
      <c r="Y11" s="74"/>
      <c r="Z11" s="74"/>
      <c r="AA11" s="79"/>
      <c r="AB11" s="74"/>
      <c r="AC11" s="74"/>
      <c r="AD11" s="79"/>
      <c r="AE11" s="74"/>
      <c r="AF11" s="74"/>
      <c r="AG11" s="79"/>
      <c r="AH11" s="74"/>
      <c r="AI11" s="74"/>
      <c r="AJ11" s="79"/>
      <c r="AK11" s="74"/>
      <c r="AL11" s="74"/>
      <c r="AM11" s="79"/>
      <c r="AN11" s="74"/>
      <c r="AO11" s="74"/>
      <c r="AP11" s="79"/>
      <c r="AQ11" s="74"/>
      <c r="AR11" s="74"/>
      <c r="AS11" s="79"/>
      <c r="AT11" s="74"/>
      <c r="AU11" s="74"/>
      <c r="AV11" s="79"/>
      <c r="AW11" s="74"/>
      <c r="AX11" s="74"/>
      <c r="AY11" s="79"/>
      <c r="AZ11" s="74"/>
      <c r="BA11" s="74"/>
      <c r="BB11" s="79"/>
      <c r="BC11" s="74"/>
      <c r="BD11" s="74"/>
      <c r="BE11" s="79"/>
      <c r="BF11" s="74"/>
      <c r="BG11" s="74"/>
      <c r="BH11" s="79"/>
      <c r="BI11" s="74"/>
      <c r="BJ11" s="74"/>
      <c r="BK11" s="79"/>
      <c r="BL11" s="74"/>
      <c r="BM11" s="74"/>
      <c r="BN11" s="79"/>
      <c r="BO11" s="74"/>
      <c r="BP11" s="74"/>
      <c r="BQ11" s="79"/>
      <c r="BR11" s="74"/>
      <c r="BS11" s="74"/>
      <c r="BT11" s="79"/>
      <c r="BU11" s="74"/>
    </row>
    <row r="12" spans="1:73" ht="15.75" customHeight="1" x14ac:dyDescent="0.2">
      <c r="A12" s="74"/>
      <c r="B12" s="74"/>
      <c r="C12" s="74"/>
      <c r="D12" s="74"/>
      <c r="E12" s="74"/>
      <c r="F12" s="79"/>
      <c r="G12" s="74"/>
      <c r="H12" s="74"/>
      <c r="I12" s="79"/>
      <c r="J12" s="74"/>
      <c r="K12" s="74"/>
      <c r="L12" s="79"/>
      <c r="M12" s="74"/>
      <c r="N12" s="74"/>
      <c r="O12" s="79"/>
      <c r="P12" s="74"/>
      <c r="Q12" s="74"/>
      <c r="R12" s="79"/>
      <c r="S12" s="74"/>
      <c r="T12" s="74"/>
      <c r="U12" s="79"/>
      <c r="V12" s="74"/>
      <c r="W12" s="74"/>
      <c r="X12" s="79"/>
      <c r="Y12" s="74"/>
      <c r="Z12" s="74"/>
      <c r="AA12" s="79"/>
      <c r="AB12" s="74"/>
      <c r="AC12" s="74"/>
      <c r="AD12" s="79"/>
      <c r="AE12" s="74"/>
      <c r="AF12" s="74"/>
      <c r="AG12" s="79"/>
      <c r="AH12" s="74"/>
      <c r="AI12" s="74"/>
      <c r="AJ12" s="79"/>
      <c r="AK12" s="74"/>
      <c r="AL12" s="74"/>
      <c r="AM12" s="79"/>
      <c r="AN12" s="74"/>
      <c r="AO12" s="74"/>
      <c r="AP12" s="79"/>
      <c r="AQ12" s="74"/>
      <c r="AR12" s="74"/>
      <c r="AS12" s="79"/>
      <c r="AT12" s="74"/>
      <c r="AU12" s="74"/>
      <c r="AV12" s="79"/>
      <c r="AW12" s="74"/>
      <c r="AX12" s="74"/>
      <c r="AY12" s="79"/>
      <c r="AZ12" s="74"/>
      <c r="BA12" s="74"/>
      <c r="BB12" s="79"/>
      <c r="BC12" s="74"/>
      <c r="BD12" s="74"/>
      <c r="BE12" s="79"/>
      <c r="BF12" s="74"/>
      <c r="BG12" s="74"/>
      <c r="BH12" s="79"/>
      <c r="BI12" s="74"/>
      <c r="BJ12" s="74"/>
      <c r="BK12" s="79"/>
      <c r="BL12" s="74"/>
      <c r="BM12" s="74"/>
      <c r="BN12" s="79"/>
      <c r="BO12" s="74"/>
      <c r="BP12" s="74"/>
      <c r="BQ12" s="79"/>
      <c r="BR12" s="74"/>
      <c r="BS12" s="74"/>
      <c r="BT12" s="79"/>
      <c r="BU12" s="74"/>
    </row>
    <row r="13" spans="1:73" ht="15.75" customHeight="1" x14ac:dyDescent="0.2">
      <c r="A13" s="453" t="s">
        <v>1218</v>
      </c>
      <c r="B13" s="394"/>
      <c r="C13" s="395"/>
      <c r="D13" s="74"/>
      <c r="E13" s="74"/>
      <c r="F13" s="79"/>
      <c r="G13" s="74"/>
      <c r="H13" s="74"/>
      <c r="I13" s="79"/>
      <c r="J13" s="74"/>
      <c r="K13" s="74"/>
      <c r="L13" s="79"/>
      <c r="M13" s="74"/>
      <c r="N13" s="74"/>
      <c r="O13" s="79"/>
      <c r="P13" s="74"/>
      <c r="Q13" s="74"/>
      <c r="R13" s="79"/>
      <c r="S13" s="74"/>
      <c r="T13" s="74"/>
      <c r="U13" s="79"/>
      <c r="V13" s="74"/>
      <c r="W13" s="74"/>
      <c r="X13" s="79"/>
      <c r="Y13" s="74"/>
      <c r="Z13" s="74"/>
      <c r="AA13" s="79"/>
      <c r="AB13" s="74"/>
      <c r="AC13" s="74"/>
      <c r="AD13" s="79"/>
      <c r="AE13" s="74"/>
      <c r="AF13" s="74"/>
      <c r="AG13" s="79"/>
      <c r="AH13" s="74"/>
      <c r="AI13" s="74"/>
      <c r="AJ13" s="79"/>
      <c r="AK13" s="74"/>
      <c r="AL13" s="74"/>
      <c r="AM13" s="79"/>
      <c r="AN13" s="74"/>
      <c r="AO13" s="74"/>
      <c r="AP13" s="79"/>
      <c r="AQ13" s="74"/>
      <c r="AR13" s="74"/>
      <c r="AS13" s="79"/>
      <c r="AT13" s="74"/>
      <c r="AU13" s="74"/>
      <c r="AV13" s="79"/>
      <c r="AW13" s="74"/>
      <c r="AX13" s="74"/>
      <c r="AY13" s="79"/>
      <c r="AZ13" s="74"/>
      <c r="BA13" s="74"/>
      <c r="BB13" s="79"/>
      <c r="BC13" s="74"/>
      <c r="BD13" s="74"/>
      <c r="BE13" s="79"/>
      <c r="BF13" s="74"/>
      <c r="BG13" s="74"/>
      <c r="BH13" s="79"/>
      <c r="BI13" s="74"/>
      <c r="BJ13" s="74"/>
      <c r="BK13" s="79"/>
      <c r="BL13" s="74"/>
      <c r="BM13" s="74"/>
      <c r="BN13" s="79"/>
      <c r="BO13" s="74"/>
      <c r="BP13" s="74"/>
      <c r="BQ13" s="79"/>
      <c r="BR13" s="74"/>
      <c r="BS13" s="74"/>
      <c r="BT13" s="79"/>
      <c r="BU13" s="74"/>
    </row>
    <row r="14" spans="1:73" ht="15.75" customHeight="1" x14ac:dyDescent="0.2">
      <c r="A14" s="239" t="s">
        <v>124</v>
      </c>
      <c r="B14" s="211">
        <f>COUNTIF(D2:BU2,"Monday")</f>
        <v>1</v>
      </c>
      <c r="C14" s="240">
        <f t="shared" ref="C14:C19" si="7">B14/SUM($B$14:$B$20)</f>
        <v>4.3478260869565216E-2</v>
      </c>
      <c r="D14" s="74"/>
      <c r="E14" s="74"/>
      <c r="F14" s="79"/>
      <c r="G14" s="74"/>
      <c r="H14" s="74"/>
      <c r="I14" s="79"/>
      <c r="J14" s="74"/>
      <c r="K14" s="74"/>
      <c r="L14" s="79"/>
      <c r="M14" s="74"/>
      <c r="N14" s="74"/>
      <c r="O14" s="79"/>
      <c r="P14" s="74"/>
      <c r="Q14" s="74"/>
      <c r="R14" s="79"/>
      <c r="S14" s="74"/>
      <c r="T14" s="74"/>
      <c r="U14" s="79"/>
      <c r="V14" s="74"/>
      <c r="W14" s="74"/>
      <c r="X14" s="79"/>
      <c r="Y14" s="74"/>
      <c r="Z14" s="74"/>
      <c r="AA14" s="79"/>
      <c r="AB14" s="74"/>
      <c r="AC14" s="74"/>
      <c r="AD14" s="79"/>
      <c r="AE14" s="74"/>
      <c r="AF14" s="74"/>
      <c r="AG14" s="79"/>
      <c r="AH14" s="74"/>
      <c r="AI14" s="74"/>
      <c r="AJ14" s="79"/>
      <c r="AK14" s="74"/>
      <c r="AL14" s="74"/>
      <c r="AM14" s="79"/>
      <c r="AN14" s="74"/>
      <c r="AO14" s="74"/>
      <c r="AP14" s="79"/>
      <c r="AQ14" s="74"/>
      <c r="AR14" s="74"/>
      <c r="AS14" s="79"/>
      <c r="AT14" s="74"/>
      <c r="AU14" s="74"/>
      <c r="AV14" s="79"/>
      <c r="AW14" s="74"/>
      <c r="AX14" s="74"/>
      <c r="AY14" s="79"/>
      <c r="AZ14" s="74"/>
      <c r="BA14" s="74"/>
      <c r="BB14" s="79"/>
      <c r="BC14" s="74"/>
      <c r="BD14" s="74"/>
      <c r="BE14" s="79"/>
      <c r="BF14" s="74"/>
      <c r="BG14" s="74"/>
      <c r="BH14" s="79"/>
      <c r="BI14" s="74"/>
      <c r="BJ14" s="74"/>
      <c r="BK14" s="79"/>
      <c r="BL14" s="74"/>
      <c r="BM14" s="74"/>
      <c r="BN14" s="79"/>
      <c r="BO14" s="74"/>
      <c r="BP14" s="74"/>
      <c r="BQ14" s="79"/>
      <c r="BR14" s="74"/>
      <c r="BS14" s="74"/>
      <c r="BT14" s="79"/>
      <c r="BU14" s="74"/>
    </row>
    <row r="15" spans="1:73" ht="15.75" customHeight="1" x14ac:dyDescent="0.2">
      <c r="A15" s="239" t="s">
        <v>125</v>
      </c>
      <c r="B15" s="242">
        <f>COUNTIF(D2:BU2,"Tuesday")</f>
        <v>0</v>
      </c>
      <c r="C15" s="240">
        <f t="shared" si="7"/>
        <v>0</v>
      </c>
      <c r="D15" s="74"/>
      <c r="E15" s="74"/>
      <c r="F15" s="79"/>
      <c r="G15" s="74"/>
      <c r="H15" s="74"/>
      <c r="I15" s="79"/>
      <c r="J15" s="74"/>
      <c r="K15" s="74"/>
      <c r="L15" s="79"/>
      <c r="M15" s="74"/>
      <c r="N15" s="74"/>
      <c r="O15" s="79"/>
      <c r="P15" s="74"/>
      <c r="Q15" s="74"/>
      <c r="R15" s="79"/>
      <c r="S15" s="74"/>
      <c r="T15" s="74"/>
      <c r="U15" s="79"/>
      <c r="V15" s="74"/>
      <c r="W15" s="74"/>
      <c r="X15" s="79"/>
      <c r="Y15" s="74"/>
      <c r="Z15" s="74"/>
      <c r="AA15" s="79"/>
      <c r="AB15" s="74"/>
      <c r="AC15" s="74"/>
      <c r="AD15" s="79"/>
      <c r="AE15" s="74"/>
      <c r="AF15" s="74"/>
      <c r="AG15" s="79"/>
      <c r="AH15" s="74"/>
      <c r="AI15" s="74"/>
      <c r="AJ15" s="79"/>
      <c r="AK15" s="74"/>
      <c r="AL15" s="74"/>
      <c r="AM15" s="79"/>
      <c r="AN15" s="74"/>
      <c r="AO15" s="74"/>
      <c r="AP15" s="79"/>
      <c r="AQ15" s="74"/>
      <c r="AR15" s="74"/>
      <c r="AS15" s="79"/>
      <c r="AT15" s="74"/>
      <c r="AU15" s="74"/>
      <c r="AV15" s="79"/>
      <c r="AW15" s="74"/>
      <c r="AX15" s="74"/>
      <c r="AY15" s="79"/>
      <c r="AZ15" s="74"/>
      <c r="BA15" s="74"/>
      <c r="BB15" s="79"/>
      <c r="BC15" s="74"/>
      <c r="BD15" s="74"/>
      <c r="BE15" s="79"/>
      <c r="BF15" s="74"/>
      <c r="BG15" s="74"/>
      <c r="BH15" s="79"/>
      <c r="BI15" s="74"/>
      <c r="BJ15" s="74"/>
      <c r="BK15" s="79"/>
      <c r="BL15" s="74"/>
      <c r="BM15" s="74"/>
      <c r="BN15" s="79"/>
      <c r="BO15" s="74"/>
      <c r="BP15" s="74"/>
      <c r="BQ15" s="79"/>
      <c r="BR15" s="74"/>
      <c r="BS15" s="74"/>
      <c r="BT15" s="79"/>
      <c r="BU15" s="74"/>
    </row>
    <row r="16" spans="1:73" ht="15.75" customHeight="1" x14ac:dyDescent="0.2">
      <c r="A16" s="239" t="s">
        <v>128</v>
      </c>
      <c r="B16" s="242">
        <f>COUNTIF(D2:BU2,"Wednesday")</f>
        <v>5</v>
      </c>
      <c r="C16" s="240">
        <f t="shared" si="7"/>
        <v>0.21739130434782608</v>
      </c>
      <c r="D16" s="74"/>
      <c r="E16" s="74"/>
      <c r="F16" s="79"/>
      <c r="G16" s="74"/>
      <c r="H16" s="74"/>
      <c r="I16" s="79"/>
      <c r="J16" s="74"/>
      <c r="K16" s="74"/>
      <c r="L16" s="79"/>
      <c r="M16" s="74"/>
      <c r="N16" s="74"/>
      <c r="O16" s="79"/>
      <c r="P16" s="74"/>
      <c r="Q16" s="74"/>
      <c r="R16" s="79"/>
      <c r="S16" s="74"/>
      <c r="T16" s="74"/>
      <c r="U16" s="79"/>
      <c r="V16" s="74"/>
      <c r="W16" s="74"/>
      <c r="X16" s="79"/>
      <c r="Y16" s="74"/>
      <c r="Z16" s="74"/>
      <c r="AA16" s="79"/>
      <c r="AB16" s="74"/>
      <c r="AC16" s="74"/>
      <c r="AD16" s="79"/>
      <c r="AE16" s="74"/>
      <c r="AF16" s="74"/>
      <c r="AG16" s="79"/>
      <c r="AH16" s="74"/>
      <c r="AI16" s="74"/>
      <c r="AJ16" s="79"/>
      <c r="AK16" s="74"/>
      <c r="AL16" s="74"/>
      <c r="AM16" s="79"/>
      <c r="AN16" s="74"/>
      <c r="AO16" s="74"/>
      <c r="AP16" s="79"/>
      <c r="AQ16" s="74"/>
      <c r="AR16" s="74"/>
      <c r="AS16" s="79"/>
      <c r="AT16" s="74"/>
      <c r="AU16" s="74"/>
      <c r="AV16" s="79"/>
      <c r="AW16" s="74"/>
      <c r="AX16" s="74"/>
      <c r="AY16" s="79"/>
      <c r="AZ16" s="74"/>
      <c r="BA16" s="74"/>
      <c r="BB16" s="79"/>
      <c r="BC16" s="74"/>
      <c r="BD16" s="74"/>
      <c r="BE16" s="79"/>
      <c r="BF16" s="74"/>
      <c r="BG16" s="74"/>
      <c r="BH16" s="79"/>
      <c r="BI16" s="74"/>
      <c r="BJ16" s="74"/>
      <c r="BK16" s="79"/>
      <c r="BL16" s="74"/>
      <c r="BM16" s="74"/>
      <c r="BN16" s="79"/>
      <c r="BO16" s="74"/>
      <c r="BP16" s="74"/>
      <c r="BQ16" s="79"/>
      <c r="BR16" s="74"/>
      <c r="BS16" s="74"/>
      <c r="BT16" s="79"/>
      <c r="BU16" s="74"/>
    </row>
    <row r="17" spans="1:73" ht="15.75" customHeight="1" x14ac:dyDescent="0.2">
      <c r="A17" s="239" t="s">
        <v>130</v>
      </c>
      <c r="B17" s="242">
        <f>COUNTIF(D2:BU2,"Thursday")</f>
        <v>2</v>
      </c>
      <c r="C17" s="240">
        <f t="shared" si="7"/>
        <v>8.6956521739130432E-2</v>
      </c>
      <c r="D17" s="74"/>
      <c r="E17" s="74"/>
      <c r="F17" s="79"/>
      <c r="G17" s="74"/>
      <c r="H17" s="74"/>
      <c r="I17" s="79"/>
      <c r="J17" s="74"/>
      <c r="K17" s="74"/>
      <c r="L17" s="79"/>
      <c r="M17" s="74"/>
      <c r="N17" s="74"/>
      <c r="O17" s="79"/>
      <c r="P17" s="74"/>
      <c r="Q17" s="74"/>
      <c r="R17" s="79"/>
      <c r="S17" s="74"/>
      <c r="T17" s="74"/>
      <c r="U17" s="79"/>
      <c r="V17" s="74"/>
      <c r="W17" s="74"/>
      <c r="X17" s="79"/>
      <c r="Y17" s="74"/>
      <c r="Z17" s="74"/>
      <c r="AA17" s="79"/>
      <c r="AB17" s="74"/>
      <c r="AC17" s="74"/>
      <c r="AD17" s="79"/>
      <c r="AE17" s="74"/>
      <c r="AF17" s="74"/>
      <c r="AG17" s="79"/>
      <c r="AH17" s="74"/>
      <c r="AI17" s="74"/>
      <c r="AJ17" s="79"/>
      <c r="AK17" s="74"/>
      <c r="AL17" s="74"/>
      <c r="AM17" s="79"/>
      <c r="AN17" s="74"/>
      <c r="AO17" s="74"/>
      <c r="AP17" s="79"/>
      <c r="AQ17" s="74"/>
      <c r="AR17" s="74"/>
      <c r="AS17" s="79"/>
      <c r="AT17" s="74"/>
      <c r="AU17" s="74"/>
      <c r="AV17" s="79"/>
      <c r="AW17" s="74"/>
      <c r="AX17" s="74"/>
      <c r="AY17" s="79"/>
      <c r="AZ17" s="74"/>
      <c r="BA17" s="74"/>
      <c r="BB17" s="79"/>
      <c r="BC17" s="74"/>
      <c r="BD17" s="74"/>
      <c r="BE17" s="79"/>
      <c r="BF17" s="74"/>
      <c r="BG17" s="74"/>
      <c r="BH17" s="79"/>
      <c r="BI17" s="74"/>
      <c r="BJ17" s="74"/>
      <c r="BK17" s="79"/>
      <c r="BL17" s="74"/>
      <c r="BM17" s="74"/>
      <c r="BN17" s="79"/>
      <c r="BO17" s="74"/>
      <c r="BP17" s="74"/>
      <c r="BQ17" s="79"/>
      <c r="BR17" s="74"/>
      <c r="BS17" s="74"/>
      <c r="BT17" s="79"/>
      <c r="BU17" s="74"/>
    </row>
    <row r="18" spans="1:73" ht="15.75" customHeight="1" x14ac:dyDescent="0.2">
      <c r="A18" s="239" t="s">
        <v>132</v>
      </c>
      <c r="B18" s="242">
        <f>COUNTIF(D2:BU2,"Friday")</f>
        <v>14</v>
      </c>
      <c r="C18" s="240">
        <f t="shared" si="7"/>
        <v>0.60869565217391308</v>
      </c>
      <c r="D18" s="74"/>
      <c r="E18" s="74"/>
      <c r="F18" s="79"/>
      <c r="G18" s="74"/>
      <c r="H18" s="74"/>
      <c r="I18" s="79"/>
      <c r="J18" s="74"/>
      <c r="K18" s="74"/>
      <c r="L18" s="79"/>
      <c r="M18" s="74"/>
      <c r="N18" s="74"/>
      <c r="O18" s="79"/>
      <c r="P18" s="74"/>
      <c r="Q18" s="74"/>
      <c r="R18" s="79"/>
      <c r="S18" s="74"/>
      <c r="T18" s="74"/>
      <c r="U18" s="79"/>
      <c r="V18" s="74"/>
      <c r="W18" s="74"/>
      <c r="X18" s="79"/>
      <c r="Y18" s="74"/>
      <c r="Z18" s="74"/>
      <c r="AA18" s="79"/>
      <c r="AB18" s="74"/>
      <c r="AC18" s="74"/>
      <c r="AD18" s="79"/>
      <c r="AE18" s="74"/>
      <c r="AF18" s="74"/>
      <c r="AG18" s="79"/>
      <c r="AH18" s="74"/>
      <c r="AI18" s="74"/>
      <c r="AJ18" s="79"/>
      <c r="AK18" s="74"/>
      <c r="AL18" s="74"/>
      <c r="AM18" s="79"/>
      <c r="AN18" s="74"/>
      <c r="AO18" s="74"/>
      <c r="AP18" s="79"/>
      <c r="AQ18" s="74"/>
      <c r="AR18" s="74"/>
      <c r="AS18" s="79"/>
      <c r="AT18" s="74"/>
      <c r="AU18" s="74"/>
      <c r="AV18" s="79"/>
      <c r="AW18" s="74"/>
      <c r="AX18" s="74"/>
      <c r="AY18" s="79"/>
      <c r="AZ18" s="74"/>
      <c r="BA18" s="74"/>
      <c r="BB18" s="79"/>
      <c r="BC18" s="74"/>
      <c r="BD18" s="74"/>
      <c r="BE18" s="79"/>
      <c r="BF18" s="74"/>
      <c r="BG18" s="74"/>
      <c r="BH18" s="79"/>
      <c r="BI18" s="74"/>
      <c r="BJ18" s="74"/>
      <c r="BK18" s="79"/>
      <c r="BL18" s="74"/>
      <c r="BM18" s="74"/>
      <c r="BN18" s="79"/>
      <c r="BO18" s="74"/>
      <c r="BP18" s="74"/>
      <c r="BQ18" s="79"/>
      <c r="BR18" s="74"/>
      <c r="BS18" s="74"/>
      <c r="BT18" s="79"/>
      <c r="BU18" s="74"/>
    </row>
    <row r="19" spans="1:73" ht="15.75" customHeight="1" x14ac:dyDescent="0.2">
      <c r="A19" s="239" t="s">
        <v>134</v>
      </c>
      <c r="B19" s="242">
        <f>COUNTIF(D2:BU2,"Saturday")</f>
        <v>0</v>
      </c>
      <c r="C19" s="240">
        <f t="shared" si="7"/>
        <v>0</v>
      </c>
      <c r="D19" s="74"/>
      <c r="E19" s="74"/>
      <c r="F19" s="79"/>
      <c r="G19" s="74"/>
      <c r="H19" s="74"/>
      <c r="I19" s="79"/>
      <c r="J19" s="74"/>
      <c r="K19" s="74"/>
      <c r="L19" s="79"/>
      <c r="M19" s="74"/>
      <c r="N19" s="74"/>
      <c r="O19" s="79"/>
      <c r="P19" s="74"/>
      <c r="Q19" s="74"/>
      <c r="R19" s="79"/>
      <c r="S19" s="74"/>
      <c r="T19" s="74"/>
      <c r="U19" s="79"/>
      <c r="V19" s="74"/>
      <c r="W19" s="74"/>
      <c r="X19" s="79"/>
      <c r="Y19" s="74"/>
      <c r="Z19" s="74"/>
      <c r="AA19" s="79"/>
      <c r="AB19" s="74"/>
      <c r="AC19" s="74"/>
      <c r="AD19" s="79"/>
      <c r="AE19" s="74"/>
      <c r="AF19" s="74"/>
      <c r="AG19" s="79"/>
      <c r="AH19" s="74"/>
      <c r="AI19" s="74"/>
      <c r="AJ19" s="79"/>
      <c r="AK19" s="74"/>
      <c r="AL19" s="74"/>
      <c r="AM19" s="79"/>
      <c r="AN19" s="74"/>
      <c r="AO19" s="74"/>
      <c r="AP19" s="79"/>
      <c r="AQ19" s="74"/>
      <c r="AR19" s="74"/>
      <c r="AS19" s="79"/>
      <c r="AT19" s="74"/>
      <c r="AU19" s="74"/>
      <c r="AV19" s="79"/>
      <c r="AW19" s="74"/>
      <c r="AX19" s="74"/>
      <c r="AY19" s="79"/>
      <c r="AZ19" s="74"/>
      <c r="BA19" s="74"/>
      <c r="BB19" s="79"/>
      <c r="BC19" s="74"/>
      <c r="BD19" s="74"/>
      <c r="BE19" s="79"/>
      <c r="BF19" s="74"/>
      <c r="BG19" s="74"/>
      <c r="BH19" s="79"/>
      <c r="BI19" s="74"/>
      <c r="BJ19" s="74"/>
      <c r="BK19" s="79"/>
      <c r="BL19" s="74"/>
      <c r="BM19" s="74"/>
      <c r="BN19" s="79"/>
      <c r="BO19" s="74"/>
      <c r="BP19" s="74"/>
      <c r="BQ19" s="79"/>
      <c r="BR19" s="74"/>
      <c r="BS19" s="74"/>
      <c r="BT19" s="79"/>
      <c r="BU19" s="74"/>
    </row>
    <row r="20" spans="1:73" ht="15.75" customHeight="1" x14ac:dyDescent="0.2">
      <c r="A20" s="239" t="s">
        <v>136</v>
      </c>
      <c r="B20" s="242">
        <f>COUNTIF(D2:BU2,"Sunday")</f>
        <v>1</v>
      </c>
      <c r="C20" s="240">
        <f>B20/SUM($B$5:$B$11)</f>
        <v>2.5000000000000001E-2</v>
      </c>
      <c r="D20" s="74"/>
      <c r="E20" s="74"/>
      <c r="F20" s="79"/>
      <c r="G20" s="74"/>
      <c r="H20" s="74"/>
      <c r="I20" s="79"/>
      <c r="J20" s="74"/>
      <c r="K20" s="74"/>
      <c r="L20" s="79"/>
      <c r="M20" s="74"/>
      <c r="N20" s="74"/>
      <c r="O20" s="79"/>
      <c r="P20" s="74"/>
      <c r="Q20" s="74"/>
      <c r="R20" s="79"/>
      <c r="S20" s="74"/>
      <c r="T20" s="74"/>
      <c r="U20" s="79"/>
      <c r="V20" s="74"/>
      <c r="W20" s="74"/>
      <c r="X20" s="79"/>
      <c r="Y20" s="74"/>
      <c r="Z20" s="74"/>
      <c r="AA20" s="79"/>
      <c r="AB20" s="74"/>
      <c r="AC20" s="74"/>
      <c r="AD20" s="79"/>
      <c r="AE20" s="74"/>
      <c r="AF20" s="74"/>
      <c r="AG20" s="79"/>
      <c r="AH20" s="74"/>
      <c r="AI20" s="74"/>
      <c r="AJ20" s="79"/>
      <c r="AK20" s="74"/>
      <c r="AL20" s="74"/>
      <c r="AM20" s="79"/>
      <c r="AN20" s="74"/>
      <c r="AO20" s="74"/>
      <c r="AP20" s="79"/>
      <c r="AQ20" s="74"/>
      <c r="AR20" s="74"/>
      <c r="AS20" s="79"/>
      <c r="AT20" s="74"/>
      <c r="AU20" s="74"/>
      <c r="AV20" s="79"/>
      <c r="AW20" s="74"/>
      <c r="AX20" s="74"/>
      <c r="AY20" s="79"/>
      <c r="AZ20" s="74"/>
      <c r="BA20" s="74"/>
      <c r="BB20" s="79"/>
      <c r="BC20" s="74"/>
      <c r="BD20" s="74"/>
      <c r="BE20" s="79"/>
      <c r="BF20" s="74"/>
      <c r="BG20" s="74"/>
      <c r="BH20" s="79"/>
      <c r="BI20" s="74"/>
      <c r="BJ20" s="74"/>
      <c r="BK20" s="79"/>
      <c r="BL20" s="74"/>
      <c r="BM20" s="74"/>
      <c r="BN20" s="79"/>
      <c r="BO20" s="74"/>
      <c r="BP20" s="74"/>
      <c r="BQ20" s="79"/>
      <c r="BR20" s="74"/>
      <c r="BS20" s="74"/>
      <c r="BT20" s="79"/>
      <c r="BU20" s="74"/>
    </row>
    <row r="21" spans="1:73" ht="15.75" customHeight="1" x14ac:dyDescent="0.2">
      <c r="A21" s="74"/>
      <c r="B21" s="79"/>
      <c r="C21" s="74"/>
      <c r="D21" s="74"/>
      <c r="E21" s="74"/>
      <c r="F21" s="79"/>
      <c r="G21" s="74"/>
      <c r="H21" s="74"/>
      <c r="I21" s="79"/>
      <c r="J21" s="74"/>
      <c r="K21" s="74"/>
      <c r="L21" s="79"/>
      <c r="M21" s="74"/>
      <c r="N21" s="74"/>
      <c r="O21" s="79"/>
      <c r="P21" s="74"/>
      <c r="Q21" s="74"/>
      <c r="R21" s="79"/>
      <c r="S21" s="74"/>
      <c r="T21" s="74"/>
      <c r="U21" s="79"/>
      <c r="V21" s="74"/>
      <c r="W21" s="74"/>
      <c r="X21" s="79"/>
      <c r="Y21" s="74"/>
      <c r="Z21" s="74"/>
      <c r="AA21" s="79"/>
      <c r="AB21" s="74"/>
      <c r="AC21" s="74"/>
      <c r="AD21" s="79"/>
      <c r="AE21" s="74"/>
      <c r="AF21" s="74"/>
      <c r="AG21" s="79"/>
      <c r="AH21" s="74"/>
      <c r="AI21" s="74"/>
      <c r="AJ21" s="79"/>
      <c r="AK21" s="74"/>
      <c r="AL21" s="74"/>
      <c r="AM21" s="79"/>
      <c r="AN21" s="74"/>
      <c r="AO21" s="74"/>
      <c r="AP21" s="79"/>
      <c r="AQ21" s="74"/>
      <c r="AR21" s="74"/>
      <c r="AS21" s="79"/>
      <c r="AT21" s="74"/>
      <c r="AU21" s="74"/>
      <c r="AV21" s="79"/>
      <c r="AW21" s="74"/>
      <c r="AX21" s="74"/>
      <c r="AY21" s="79"/>
      <c r="AZ21" s="74"/>
      <c r="BA21" s="74"/>
      <c r="BB21" s="79"/>
      <c r="BC21" s="74"/>
      <c r="BD21" s="74"/>
      <c r="BE21" s="79"/>
      <c r="BF21" s="74"/>
      <c r="BG21" s="74"/>
      <c r="BH21" s="79"/>
      <c r="BI21" s="74"/>
      <c r="BJ21" s="74"/>
      <c r="BK21" s="79"/>
      <c r="BL21" s="74"/>
      <c r="BM21" s="74"/>
      <c r="BN21" s="79"/>
      <c r="BO21" s="74"/>
      <c r="BP21" s="74"/>
      <c r="BQ21" s="79"/>
      <c r="BR21" s="74"/>
      <c r="BS21" s="74"/>
      <c r="BT21" s="79"/>
      <c r="BU21" s="74"/>
    </row>
    <row r="22" spans="1:73" ht="15.75" customHeight="1" x14ac:dyDescent="0.2">
      <c r="A22" s="74"/>
      <c r="B22" s="79"/>
      <c r="C22" s="74"/>
      <c r="D22" s="74"/>
      <c r="E22" s="74"/>
      <c r="F22" s="79"/>
      <c r="G22" s="74"/>
      <c r="H22" s="74"/>
      <c r="I22" s="79"/>
      <c r="J22" s="74"/>
      <c r="K22" s="74"/>
      <c r="L22" s="79"/>
      <c r="M22" s="74"/>
      <c r="N22" s="74"/>
      <c r="O22" s="79"/>
      <c r="P22" s="74"/>
      <c r="Q22" s="74"/>
      <c r="R22" s="79"/>
      <c r="S22" s="74"/>
      <c r="T22" s="74"/>
      <c r="U22" s="79"/>
      <c r="V22" s="74"/>
      <c r="W22" s="74"/>
      <c r="X22" s="79"/>
      <c r="Y22" s="74"/>
      <c r="Z22" s="74"/>
      <c r="AA22" s="79"/>
      <c r="AB22" s="74"/>
      <c r="AC22" s="74"/>
      <c r="AD22" s="79"/>
      <c r="AE22" s="74"/>
      <c r="AF22" s="74"/>
      <c r="AG22" s="79"/>
      <c r="AH22" s="74"/>
      <c r="AI22" s="74"/>
      <c r="AJ22" s="79"/>
      <c r="AK22" s="74"/>
      <c r="AL22" s="74"/>
      <c r="AM22" s="79"/>
      <c r="AN22" s="74"/>
      <c r="AO22" s="74"/>
      <c r="AP22" s="79"/>
      <c r="AQ22" s="74"/>
      <c r="AR22" s="74"/>
      <c r="AS22" s="79"/>
      <c r="AT22" s="74"/>
      <c r="AU22" s="74"/>
      <c r="AV22" s="79"/>
      <c r="AW22" s="74"/>
      <c r="AX22" s="74"/>
      <c r="AY22" s="79"/>
      <c r="AZ22" s="74"/>
      <c r="BA22" s="74"/>
      <c r="BB22" s="79"/>
      <c r="BC22" s="74"/>
      <c r="BD22" s="74"/>
      <c r="BE22" s="79"/>
      <c r="BF22" s="74"/>
      <c r="BG22" s="74"/>
      <c r="BH22" s="79"/>
      <c r="BI22" s="74"/>
      <c r="BJ22" s="74"/>
      <c r="BK22" s="79"/>
      <c r="BL22" s="74"/>
      <c r="BM22" s="74"/>
      <c r="BN22" s="79"/>
      <c r="BO22" s="74"/>
      <c r="BP22" s="74"/>
      <c r="BQ22" s="79"/>
      <c r="BR22" s="74"/>
      <c r="BS22" s="74"/>
      <c r="BT22" s="79"/>
      <c r="BU22" s="74"/>
    </row>
    <row r="23" spans="1:73" ht="15.75" customHeight="1" x14ac:dyDescent="0.2">
      <c r="A23" s="74"/>
      <c r="B23" s="79"/>
      <c r="C23" s="74"/>
      <c r="D23" s="74"/>
      <c r="E23" s="74"/>
      <c r="F23" s="79"/>
      <c r="G23" s="74"/>
      <c r="H23" s="74"/>
      <c r="I23" s="79"/>
      <c r="J23" s="74"/>
      <c r="K23" s="74"/>
      <c r="L23" s="79"/>
      <c r="M23" s="74"/>
      <c r="N23" s="74"/>
      <c r="O23" s="79"/>
      <c r="P23" s="74"/>
      <c r="Q23" s="74"/>
      <c r="R23" s="79"/>
      <c r="S23" s="74"/>
      <c r="T23" s="74"/>
      <c r="U23" s="79"/>
      <c r="V23" s="74"/>
      <c r="W23" s="74"/>
      <c r="X23" s="79"/>
      <c r="Y23" s="74"/>
      <c r="Z23" s="74"/>
      <c r="AA23" s="79"/>
      <c r="AB23" s="74"/>
      <c r="AC23" s="74"/>
      <c r="AD23" s="79"/>
      <c r="AE23" s="74"/>
      <c r="AF23" s="74"/>
      <c r="AG23" s="79"/>
      <c r="AH23" s="74"/>
      <c r="AI23" s="74"/>
      <c r="AJ23" s="79"/>
      <c r="AK23" s="74"/>
      <c r="AL23" s="74"/>
      <c r="AM23" s="79"/>
      <c r="AN23" s="74"/>
      <c r="AO23" s="74"/>
      <c r="AP23" s="79"/>
      <c r="AQ23" s="74"/>
      <c r="AR23" s="74"/>
      <c r="AS23" s="79"/>
      <c r="AT23" s="74"/>
      <c r="AU23" s="74"/>
      <c r="AV23" s="79"/>
      <c r="AW23" s="74"/>
      <c r="AX23" s="74"/>
      <c r="AY23" s="79"/>
      <c r="AZ23" s="74"/>
      <c r="BA23" s="74"/>
      <c r="BB23" s="79"/>
      <c r="BC23" s="74"/>
      <c r="BD23" s="74"/>
      <c r="BE23" s="79"/>
      <c r="BF23" s="74"/>
      <c r="BG23" s="74"/>
      <c r="BH23" s="79"/>
      <c r="BI23" s="74"/>
      <c r="BJ23" s="74"/>
      <c r="BK23" s="79"/>
      <c r="BL23" s="74"/>
      <c r="BM23" s="74"/>
      <c r="BN23" s="79"/>
      <c r="BO23" s="74"/>
      <c r="BP23" s="74"/>
      <c r="BQ23" s="79"/>
      <c r="BR23" s="74"/>
      <c r="BS23" s="74"/>
      <c r="BT23" s="79"/>
      <c r="BU23" s="74"/>
    </row>
    <row r="24" spans="1:73" ht="15.75" customHeight="1" x14ac:dyDescent="0.2">
      <c r="A24" s="74"/>
      <c r="B24" s="79"/>
      <c r="C24" s="74"/>
      <c r="D24" s="74"/>
      <c r="E24" s="74"/>
      <c r="F24" s="79"/>
      <c r="G24" s="74"/>
      <c r="H24" s="74"/>
      <c r="I24" s="79"/>
      <c r="J24" s="74"/>
      <c r="K24" s="74"/>
      <c r="L24" s="79"/>
      <c r="M24" s="74"/>
      <c r="N24" s="74"/>
      <c r="O24" s="79"/>
      <c r="P24" s="74"/>
      <c r="Q24" s="74"/>
      <c r="R24" s="79"/>
      <c r="S24" s="74"/>
      <c r="T24" s="74"/>
      <c r="U24" s="79"/>
      <c r="V24" s="74"/>
      <c r="W24" s="74"/>
      <c r="X24" s="79"/>
      <c r="Y24" s="74"/>
      <c r="Z24" s="74"/>
      <c r="AA24" s="79"/>
      <c r="AB24" s="74"/>
      <c r="AC24" s="74"/>
      <c r="AD24" s="79"/>
      <c r="AE24" s="74"/>
      <c r="AF24" s="74"/>
      <c r="AG24" s="79"/>
      <c r="AH24" s="74"/>
      <c r="AI24" s="74"/>
      <c r="AJ24" s="79"/>
      <c r="AK24" s="74"/>
      <c r="AL24" s="74"/>
      <c r="AM24" s="79"/>
      <c r="AN24" s="74"/>
      <c r="AO24" s="74"/>
      <c r="AP24" s="79"/>
      <c r="AQ24" s="74"/>
      <c r="AR24" s="74"/>
      <c r="AS24" s="79"/>
      <c r="AT24" s="74"/>
      <c r="AU24" s="74"/>
      <c r="AV24" s="79"/>
      <c r="AW24" s="74"/>
      <c r="AX24" s="74"/>
      <c r="AY24" s="79"/>
      <c r="AZ24" s="74"/>
      <c r="BA24" s="74"/>
      <c r="BB24" s="79"/>
      <c r="BC24" s="74"/>
      <c r="BD24" s="74"/>
      <c r="BE24" s="79"/>
      <c r="BF24" s="74"/>
      <c r="BG24" s="74"/>
      <c r="BH24" s="79"/>
      <c r="BI24" s="74"/>
      <c r="BJ24" s="74"/>
      <c r="BK24" s="79"/>
      <c r="BL24" s="74"/>
      <c r="BM24" s="74"/>
      <c r="BN24" s="79"/>
      <c r="BO24" s="74"/>
      <c r="BP24" s="74"/>
      <c r="BQ24" s="79"/>
      <c r="BR24" s="74"/>
      <c r="BS24" s="74"/>
      <c r="BT24" s="79"/>
      <c r="BU24" s="74"/>
    </row>
    <row r="25" spans="1:73" ht="15.75" customHeight="1" x14ac:dyDescent="0.2">
      <c r="A25" s="74"/>
      <c r="B25" s="79"/>
      <c r="C25" s="74"/>
      <c r="D25" s="74"/>
      <c r="E25" s="74"/>
      <c r="F25" s="79"/>
      <c r="G25" s="74"/>
      <c r="H25" s="74"/>
      <c r="I25" s="79"/>
      <c r="J25" s="74"/>
      <c r="K25" s="74"/>
      <c r="L25" s="79"/>
      <c r="M25" s="74"/>
      <c r="N25" s="74"/>
      <c r="O25" s="79"/>
      <c r="P25" s="74"/>
      <c r="Q25" s="74"/>
      <c r="R25" s="79"/>
      <c r="S25" s="74"/>
      <c r="T25" s="74"/>
      <c r="U25" s="79"/>
      <c r="V25" s="74"/>
      <c r="W25" s="74"/>
      <c r="X25" s="79"/>
      <c r="Y25" s="74"/>
      <c r="Z25" s="74"/>
      <c r="AA25" s="79"/>
      <c r="AB25" s="74"/>
      <c r="AC25" s="74"/>
      <c r="AD25" s="79"/>
      <c r="AE25" s="74"/>
      <c r="AF25" s="74"/>
      <c r="AG25" s="79"/>
      <c r="AH25" s="74"/>
      <c r="AI25" s="74"/>
      <c r="AJ25" s="79"/>
      <c r="AK25" s="74"/>
      <c r="AL25" s="74"/>
      <c r="AM25" s="79"/>
      <c r="AN25" s="74"/>
      <c r="AO25" s="74"/>
      <c r="AP25" s="79"/>
      <c r="AQ25" s="74"/>
      <c r="AR25" s="74"/>
      <c r="AS25" s="79"/>
      <c r="AT25" s="74"/>
      <c r="AU25" s="74"/>
      <c r="AV25" s="79"/>
      <c r="AW25" s="74"/>
      <c r="AX25" s="74"/>
      <c r="AY25" s="79"/>
      <c r="AZ25" s="74"/>
      <c r="BA25" s="74"/>
      <c r="BB25" s="79"/>
      <c r="BC25" s="74"/>
      <c r="BD25" s="74"/>
      <c r="BE25" s="79"/>
      <c r="BF25" s="74"/>
      <c r="BG25" s="74"/>
      <c r="BH25" s="79"/>
      <c r="BI25" s="74"/>
      <c r="BJ25" s="74"/>
      <c r="BK25" s="79"/>
      <c r="BL25" s="74"/>
      <c r="BM25" s="74"/>
      <c r="BN25" s="79"/>
      <c r="BO25" s="74"/>
      <c r="BP25" s="74"/>
      <c r="BQ25" s="79"/>
      <c r="BR25" s="74"/>
      <c r="BS25" s="74"/>
      <c r="BT25" s="79"/>
      <c r="BU25" s="74"/>
    </row>
  </sheetData>
  <mergeCells count="25">
    <mergeCell ref="N1:P1"/>
    <mergeCell ref="Q1:S1"/>
    <mergeCell ref="T1:V1"/>
    <mergeCell ref="W1:Y1"/>
    <mergeCell ref="A2:C3"/>
    <mergeCell ref="A13:C13"/>
    <mergeCell ref="E1:G1"/>
    <mergeCell ref="H1:J1"/>
    <mergeCell ref="K1:M1"/>
    <mergeCell ref="AO1:AQ1"/>
    <mergeCell ref="AR1:AT1"/>
    <mergeCell ref="BP1:BR1"/>
    <mergeCell ref="BS1:BU1"/>
    <mergeCell ref="AU1:AW1"/>
    <mergeCell ref="AX1:AZ1"/>
    <mergeCell ref="BA1:BC1"/>
    <mergeCell ref="BD1:BF1"/>
    <mergeCell ref="BG1:BI1"/>
    <mergeCell ref="BJ1:BL1"/>
    <mergeCell ref="BM1:BO1"/>
    <mergeCell ref="Z1:AB1"/>
    <mergeCell ref="AC1:AE1"/>
    <mergeCell ref="AF1:AH1"/>
    <mergeCell ref="AI1:AK1"/>
    <mergeCell ref="AL1:AN1"/>
  </mergeCells>
  <conditionalFormatting sqref="A1:BU25">
    <cfRule type="cellIs" dxfId="11" priority="1" operator="equal">
      <formula>"Monday"</formula>
    </cfRule>
    <cfRule type="cellIs" dxfId="10" priority="2" operator="equal">
      <formula>"Tuesday"</formula>
    </cfRule>
    <cfRule type="cellIs" dxfId="9" priority="3" operator="equal">
      <formula>"Wednesday"</formula>
    </cfRule>
    <cfRule type="cellIs" dxfId="8" priority="4" operator="equal">
      <formula>"Thursday"</formula>
    </cfRule>
    <cfRule type="cellIs" dxfId="7" priority="5" operator="equal">
      <formula>"Friday"</formula>
    </cfRule>
    <cfRule type="cellIs" dxfId="6" priority="6" operator="equal">
      <formula>"Saturday"</formula>
    </cfRule>
  </conditionalFormatting>
  <hyperlinks>
    <hyperlink ref="E2" r:id="rId1" xr:uid="{00000000-0004-0000-0D00-000000000000}"/>
    <hyperlink ref="H2" r:id="rId2" xr:uid="{00000000-0004-0000-0D00-000001000000}"/>
    <hyperlink ref="K2" r:id="rId3" xr:uid="{00000000-0004-0000-0D00-000002000000}"/>
    <hyperlink ref="N2" r:id="rId4" xr:uid="{00000000-0004-0000-0D00-000003000000}"/>
    <hyperlink ref="Q2" r:id="rId5" xr:uid="{00000000-0004-0000-0D00-000004000000}"/>
    <hyperlink ref="T2" r:id="rId6" xr:uid="{00000000-0004-0000-0D00-000005000000}"/>
    <hyperlink ref="W2" r:id="rId7" xr:uid="{00000000-0004-0000-0D00-000006000000}"/>
    <hyperlink ref="Z2" r:id="rId8" xr:uid="{00000000-0004-0000-0D00-000007000000}"/>
    <hyperlink ref="AC2" r:id="rId9" xr:uid="{00000000-0004-0000-0D00-000008000000}"/>
    <hyperlink ref="AF2" r:id="rId10" xr:uid="{00000000-0004-0000-0D00-000009000000}"/>
    <hyperlink ref="AI2" r:id="rId11" xr:uid="{00000000-0004-0000-0D00-00000A000000}"/>
    <hyperlink ref="AL2" r:id="rId12" xr:uid="{00000000-0004-0000-0D00-00000B000000}"/>
    <hyperlink ref="AO2" r:id="rId13" xr:uid="{00000000-0004-0000-0D00-00000C000000}"/>
    <hyperlink ref="AR2" r:id="rId14" xr:uid="{00000000-0004-0000-0D00-00000D000000}"/>
    <hyperlink ref="AU2" r:id="rId15" xr:uid="{00000000-0004-0000-0D00-00000E000000}"/>
    <hyperlink ref="AX2" r:id="rId16" xr:uid="{00000000-0004-0000-0D00-00000F000000}"/>
    <hyperlink ref="BA2" r:id="rId17" xr:uid="{00000000-0004-0000-0D00-000010000000}"/>
    <hyperlink ref="BD2" r:id="rId18" xr:uid="{00000000-0004-0000-0D00-000011000000}"/>
    <hyperlink ref="BG2" r:id="rId19" xr:uid="{00000000-0004-0000-0D00-000012000000}"/>
    <hyperlink ref="BJ2" r:id="rId20" xr:uid="{00000000-0004-0000-0D00-000013000000}"/>
    <hyperlink ref="BM2" r:id="rId21" xr:uid="{00000000-0004-0000-0D00-000014000000}"/>
    <hyperlink ref="BP2" r:id="rId22" xr:uid="{00000000-0004-0000-0D00-000015000000}"/>
    <hyperlink ref="BS2" r:id="rId23" xr:uid="{00000000-0004-0000-0D00-000016000000}"/>
    <hyperlink ref="N3" r:id="rId24" xr:uid="{00000000-0004-0000-0D00-000017000000}"/>
    <hyperlink ref="Z3" r:id="rId25" xr:uid="{00000000-0004-0000-0D00-000018000000}"/>
    <hyperlink ref="AF3" r:id="rId26" xr:uid="{00000000-0004-0000-0D00-000019000000}"/>
    <hyperlink ref="AL3" r:id="rId27" xr:uid="{00000000-0004-0000-0D00-00001A000000}"/>
    <hyperlink ref="AR3" r:id="rId28" xr:uid="{00000000-0004-0000-0D00-00001B000000}"/>
    <hyperlink ref="BM3" r:id="rId29" xr:uid="{00000000-0004-0000-0D00-00001C000000}"/>
    <hyperlink ref="N4" r:id="rId30" xr:uid="{00000000-0004-0000-0D00-00001D000000}"/>
    <hyperlink ref="Z4" r:id="rId31" xr:uid="{00000000-0004-0000-0D00-00001E000000}"/>
    <hyperlink ref="AF4" r:id="rId32" xr:uid="{00000000-0004-0000-0D00-00001F000000}"/>
    <hyperlink ref="AL4" r:id="rId33" xr:uid="{00000000-0004-0000-0D00-000020000000}"/>
    <hyperlink ref="AR4" r:id="rId34" xr:uid="{00000000-0004-0000-0D00-000021000000}"/>
    <hyperlink ref="N5" r:id="rId35" xr:uid="{00000000-0004-0000-0D00-000022000000}"/>
    <hyperlink ref="Z5" r:id="rId36" xr:uid="{00000000-0004-0000-0D00-000023000000}"/>
    <hyperlink ref="N6" r:id="rId37" xr:uid="{00000000-0004-0000-0D00-000024000000}"/>
    <hyperlink ref="Z6" r:id="rId38" xr:uid="{00000000-0004-0000-0D00-000025000000}"/>
    <hyperlink ref="Z7" r:id="rId39" xr:uid="{00000000-0004-0000-0D00-000026000000}"/>
    <hyperlink ref="Z8" r:id="rId40" xr:uid="{00000000-0004-0000-0D00-000027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K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4" max="4" width="4.28515625" customWidth="1"/>
    <col min="5" max="5" width="33.7109375" customWidth="1"/>
    <col min="8" max="8" width="33.7109375" customWidth="1"/>
    <col min="11" max="11" width="33.7109375" customWidth="1"/>
    <col min="14" max="14" width="33.7109375" customWidth="1"/>
    <col min="17" max="17" width="33.7109375" customWidth="1"/>
    <col min="20" max="20" width="33.7109375" customWidth="1"/>
    <col min="23" max="23" width="20.42578125" customWidth="1"/>
    <col min="26" max="26" width="12.5703125" customWidth="1"/>
    <col min="29" max="29" width="33.7109375" customWidth="1"/>
    <col min="32" max="32" width="17.42578125" customWidth="1"/>
    <col min="35" max="35" width="12.5703125" customWidth="1"/>
  </cols>
  <sheetData>
    <row r="1" spans="1:37" ht="15.75" customHeight="1" x14ac:dyDescent="0.2">
      <c r="A1" s="65"/>
      <c r="B1" s="65"/>
      <c r="C1" s="65"/>
      <c r="D1" s="215"/>
      <c r="E1" s="449" t="s">
        <v>2123</v>
      </c>
      <c r="F1" s="397"/>
      <c r="G1" s="450"/>
      <c r="H1" s="449" t="s">
        <v>2124</v>
      </c>
      <c r="I1" s="397"/>
      <c r="J1" s="450"/>
      <c r="K1" s="449" t="s">
        <v>2125</v>
      </c>
      <c r="L1" s="397"/>
      <c r="M1" s="450"/>
      <c r="N1" s="449" t="s">
        <v>2126</v>
      </c>
      <c r="O1" s="397"/>
      <c r="P1" s="450"/>
      <c r="Q1" s="449" t="s">
        <v>2127</v>
      </c>
      <c r="R1" s="397"/>
      <c r="S1" s="450"/>
      <c r="T1" s="449" t="s">
        <v>2128</v>
      </c>
      <c r="U1" s="397"/>
      <c r="V1" s="450"/>
      <c r="W1" s="449" t="s">
        <v>2129</v>
      </c>
      <c r="X1" s="397"/>
      <c r="Y1" s="450"/>
      <c r="Z1" s="449" t="s">
        <v>2130</v>
      </c>
      <c r="AA1" s="397"/>
      <c r="AB1" s="450"/>
      <c r="AC1" s="449" t="s">
        <v>2131</v>
      </c>
      <c r="AD1" s="397"/>
      <c r="AE1" s="450"/>
      <c r="AF1" s="449" t="s">
        <v>2132</v>
      </c>
      <c r="AG1" s="397"/>
      <c r="AH1" s="450"/>
      <c r="AI1" s="449" t="s">
        <v>2133</v>
      </c>
      <c r="AJ1" s="397"/>
      <c r="AK1" s="450"/>
    </row>
    <row r="2" spans="1:37" ht="15.75" customHeight="1" x14ac:dyDescent="0.2">
      <c r="A2" s="454" t="s">
        <v>2134</v>
      </c>
      <c r="B2" s="412"/>
      <c r="C2" s="215"/>
      <c r="D2" s="216"/>
      <c r="E2" s="223" t="s">
        <v>2135</v>
      </c>
      <c r="F2" s="79">
        <v>45189</v>
      </c>
      <c r="G2" s="218" t="str">
        <f t="shared" ref="G2:G6" si="0">CHOOSE(WEEKDAY(F2,2),"Monday","Tuesday","Wednesday","Thursday","Friday","Saturday","Sunday")</f>
        <v>Wednesday</v>
      </c>
      <c r="H2" s="223" t="s">
        <v>2136</v>
      </c>
      <c r="I2" s="79">
        <v>45019</v>
      </c>
      <c r="J2" s="218" t="str">
        <f t="shared" ref="J2:J6" si="1">CHOOSE(WEEKDAY(I2,2),"Monday","Tuesday","Wednesday","Thursday","Friday","Saturday","Sunday")</f>
        <v>Monday</v>
      </c>
      <c r="K2" s="223" t="s">
        <v>2137</v>
      </c>
      <c r="L2" s="79">
        <v>44819</v>
      </c>
      <c r="M2" s="218" t="str">
        <f t="shared" ref="M2:M6" si="2">CHOOSE(WEEKDAY(L2,2),"Monday","Tuesday","Wednesday","Thursday","Friday","Saturday","Sunday")</f>
        <v>Thursday</v>
      </c>
      <c r="N2" s="223" t="s">
        <v>2138</v>
      </c>
      <c r="O2" s="79">
        <v>44286</v>
      </c>
      <c r="P2" s="218" t="str">
        <f t="shared" ref="P2:P6" si="3">CHOOSE(WEEKDAY(O2,2),"Monday","Tuesday","Wednesday","Thursday","Friday","Saturday","Sunday")</f>
        <v>Wednesday</v>
      </c>
      <c r="Q2" s="223" t="s">
        <v>2139</v>
      </c>
      <c r="R2" s="79">
        <v>44455</v>
      </c>
      <c r="S2" s="218" t="str">
        <f t="shared" ref="S2:S6" si="4">CHOOSE(WEEKDAY(R2,2),"Monday","Tuesday","Wednesday","Thursday","Friday","Saturday","Sunday")</f>
        <v>Thursday</v>
      </c>
      <c r="T2" s="223" t="s">
        <v>2140</v>
      </c>
      <c r="U2" s="79">
        <v>44280</v>
      </c>
      <c r="V2" s="218" t="str">
        <f t="shared" ref="V2:V6" si="5">CHOOSE(WEEKDAY(U2,2),"Monday","Tuesday","Wednesday","Thursday","Friday","Saturday","Sunday")</f>
        <v>Thursday</v>
      </c>
      <c r="W2" s="223" t="s">
        <v>2141</v>
      </c>
      <c r="X2" s="79">
        <v>44091</v>
      </c>
      <c r="Y2" s="218" t="str">
        <f t="shared" ref="Y2:Y6" si="6">CHOOSE(WEEKDAY(X2,2),"Monday","Tuesday","Wednesday","Thursday","Friday","Saturday","Sunday")</f>
        <v>Thursday</v>
      </c>
      <c r="Z2" s="223" t="s">
        <v>2074</v>
      </c>
      <c r="AA2" s="79">
        <v>43922</v>
      </c>
      <c r="AB2" s="218" t="str">
        <f>CHOOSE(WEEKDAY(AA2,2),"Monday","Tuesday","Wednesday","Thursday","Friday","Saturday","Sunday")</f>
        <v>Wednesday</v>
      </c>
      <c r="AC2" s="223" t="s">
        <v>396</v>
      </c>
      <c r="AD2" s="79">
        <v>43733</v>
      </c>
      <c r="AE2" s="218" t="str">
        <f t="shared" ref="AE2:AE6" si="7">CHOOSE(WEEKDAY(AD2,2),"Monday","Tuesday","Wednesday","Thursday","Friday","Saturday","Sunday")</f>
        <v>Wednesday</v>
      </c>
      <c r="AF2" s="223" t="s">
        <v>396</v>
      </c>
      <c r="AG2" s="79">
        <v>43558</v>
      </c>
      <c r="AH2" s="218" t="str">
        <f t="shared" ref="AH2:AH9" si="8">CHOOSE(WEEKDAY(AG2,2),"Monday","Tuesday","Wednesday","Thursday","Friday","Saturday","Sunday")</f>
        <v>Wednesday</v>
      </c>
      <c r="AI2" s="223" t="s">
        <v>2074</v>
      </c>
      <c r="AJ2" s="79">
        <v>43190</v>
      </c>
      <c r="AK2" s="218" t="str">
        <f>CHOOSE(WEEKDAY(AJ2,2),"Monday","Tuesday","Wednesday","Thursday","Friday","Saturday","Sunday")</f>
        <v>Saturday</v>
      </c>
    </row>
    <row r="3" spans="1:37" ht="15.75" customHeight="1" x14ac:dyDescent="0.2">
      <c r="A3" s="396"/>
      <c r="B3" s="398"/>
      <c r="C3" s="216"/>
      <c r="D3" s="216"/>
      <c r="E3" s="223" t="s">
        <v>2142</v>
      </c>
      <c r="F3" s="79">
        <v>45190</v>
      </c>
      <c r="G3" s="350" t="str">
        <f t="shared" si="0"/>
        <v>Thursday</v>
      </c>
      <c r="H3" s="223" t="s">
        <v>2143</v>
      </c>
      <c r="I3" s="79">
        <v>45019</v>
      </c>
      <c r="J3" s="350" t="str">
        <f t="shared" si="1"/>
        <v>Monday</v>
      </c>
      <c r="K3" s="223" t="s">
        <v>2144</v>
      </c>
      <c r="L3" s="79">
        <v>44820</v>
      </c>
      <c r="M3" s="350" t="str">
        <f t="shared" si="2"/>
        <v>Friday</v>
      </c>
      <c r="N3" s="223" t="s">
        <v>2145</v>
      </c>
      <c r="O3" s="79">
        <v>44290</v>
      </c>
      <c r="P3" s="350" t="str">
        <f t="shared" si="3"/>
        <v>Sunday</v>
      </c>
      <c r="Q3" s="223" t="s">
        <v>2146</v>
      </c>
      <c r="R3" s="79">
        <v>44456</v>
      </c>
      <c r="S3" s="218" t="str">
        <f t="shared" si="4"/>
        <v>Friday</v>
      </c>
      <c r="T3" s="223" t="s">
        <v>2147</v>
      </c>
      <c r="U3" s="79">
        <v>44281</v>
      </c>
      <c r="V3" s="218" t="str">
        <f t="shared" si="5"/>
        <v>Friday</v>
      </c>
      <c r="W3" s="223" t="s">
        <v>2148</v>
      </c>
      <c r="X3" s="79">
        <v>44092</v>
      </c>
      <c r="Y3" s="218" t="str">
        <f t="shared" si="6"/>
        <v>Friday</v>
      </c>
      <c r="Z3" s="74"/>
      <c r="AA3" s="79"/>
      <c r="AB3" s="74"/>
      <c r="AC3" s="223" t="s">
        <v>2149</v>
      </c>
      <c r="AD3" s="79">
        <v>43735</v>
      </c>
      <c r="AE3" s="218" t="str">
        <f t="shared" si="7"/>
        <v>Friday</v>
      </c>
      <c r="AF3" s="223" t="s">
        <v>2150</v>
      </c>
      <c r="AG3" s="79">
        <v>43559</v>
      </c>
      <c r="AH3" s="218" t="str">
        <f t="shared" si="8"/>
        <v>Thursday</v>
      </c>
      <c r="AI3" s="220"/>
      <c r="AJ3" s="79"/>
      <c r="AK3" s="74"/>
    </row>
    <row r="4" spans="1:37" ht="15.75" customHeight="1" x14ac:dyDescent="0.2">
      <c r="A4" s="74"/>
      <c r="B4" s="216"/>
      <c r="C4" s="216"/>
      <c r="D4" s="74"/>
      <c r="E4" s="223" t="s">
        <v>2151</v>
      </c>
      <c r="F4" s="79">
        <v>45191</v>
      </c>
      <c r="G4" s="218" t="str">
        <f t="shared" si="0"/>
        <v>Friday</v>
      </c>
      <c r="H4" s="223" t="s">
        <v>2152</v>
      </c>
      <c r="I4" s="79">
        <v>45020</v>
      </c>
      <c r="J4" s="218" t="str">
        <f t="shared" si="1"/>
        <v>Tuesday</v>
      </c>
      <c r="K4" s="223" t="s">
        <v>2153</v>
      </c>
      <c r="L4" s="79">
        <v>44823</v>
      </c>
      <c r="M4" s="218" t="str">
        <f t="shared" si="2"/>
        <v>Monday</v>
      </c>
      <c r="N4" s="223" t="s">
        <v>2154</v>
      </c>
      <c r="O4" s="79">
        <v>44291</v>
      </c>
      <c r="P4" s="218" t="str">
        <f t="shared" si="3"/>
        <v>Monday</v>
      </c>
      <c r="Q4" s="223" t="s">
        <v>2155</v>
      </c>
      <c r="R4" s="79">
        <v>44459</v>
      </c>
      <c r="S4" s="218" t="str">
        <f t="shared" si="4"/>
        <v>Monday</v>
      </c>
      <c r="T4" s="223" t="s">
        <v>2156</v>
      </c>
      <c r="U4" s="79">
        <v>44284</v>
      </c>
      <c r="V4" s="218" t="str">
        <f t="shared" si="5"/>
        <v>Monday</v>
      </c>
      <c r="W4" s="223" t="s">
        <v>2157</v>
      </c>
      <c r="X4" s="79">
        <v>44095</v>
      </c>
      <c r="Y4" s="218" t="str">
        <f t="shared" si="6"/>
        <v>Monday</v>
      </c>
      <c r="Z4" s="74"/>
      <c r="AA4" s="79"/>
      <c r="AB4" s="74"/>
      <c r="AC4" s="223" t="s">
        <v>2158</v>
      </c>
      <c r="AD4" s="79">
        <v>43735</v>
      </c>
      <c r="AE4" s="218" t="str">
        <f t="shared" si="7"/>
        <v>Friday</v>
      </c>
      <c r="AF4" s="223" t="s">
        <v>2159</v>
      </c>
      <c r="AG4" s="79">
        <v>43559</v>
      </c>
      <c r="AH4" s="218" t="str">
        <f t="shared" si="8"/>
        <v>Thursday</v>
      </c>
      <c r="AI4" s="234"/>
      <c r="AJ4" s="79"/>
      <c r="AK4" s="74"/>
    </row>
    <row r="5" spans="1:37" ht="15.75" customHeight="1" x14ac:dyDescent="0.2">
      <c r="A5" s="239" t="s">
        <v>124</v>
      </c>
      <c r="B5" s="211">
        <f>COUNTIF(D2:AK25,"Monday")</f>
        <v>11</v>
      </c>
      <c r="C5" s="240">
        <f t="shared" ref="C5:C11" si="9">B5/SUM($B$5:$B$11)</f>
        <v>0.22</v>
      </c>
      <c r="D5" s="74"/>
      <c r="E5" s="223" t="s">
        <v>2160</v>
      </c>
      <c r="F5" s="79">
        <v>45191</v>
      </c>
      <c r="G5" s="218" t="str">
        <f t="shared" si="0"/>
        <v>Friday</v>
      </c>
      <c r="H5" s="223" t="s">
        <v>2161</v>
      </c>
      <c r="I5" s="79">
        <v>45020</v>
      </c>
      <c r="J5" s="218" t="str">
        <f t="shared" si="1"/>
        <v>Tuesday</v>
      </c>
      <c r="K5" s="223" t="s">
        <v>2162</v>
      </c>
      <c r="L5" s="79">
        <v>44824</v>
      </c>
      <c r="M5" s="218" t="str">
        <f t="shared" si="2"/>
        <v>Tuesday</v>
      </c>
      <c r="N5" s="223" t="s">
        <v>2163</v>
      </c>
      <c r="O5" s="79">
        <v>44292</v>
      </c>
      <c r="P5" s="218" t="str">
        <f t="shared" si="3"/>
        <v>Tuesday</v>
      </c>
      <c r="Q5" s="223" t="s">
        <v>2164</v>
      </c>
      <c r="R5" s="79">
        <v>44460</v>
      </c>
      <c r="S5" s="218" t="str">
        <f t="shared" si="4"/>
        <v>Tuesday</v>
      </c>
      <c r="T5" s="223" t="s">
        <v>2165</v>
      </c>
      <c r="U5" s="79">
        <v>44285</v>
      </c>
      <c r="V5" s="218" t="str">
        <f t="shared" si="5"/>
        <v>Tuesday</v>
      </c>
      <c r="W5" s="223" t="s">
        <v>2166</v>
      </c>
      <c r="X5" s="79">
        <v>44095</v>
      </c>
      <c r="Y5" s="218" t="str">
        <f t="shared" si="6"/>
        <v>Monday</v>
      </c>
      <c r="Z5" s="74"/>
      <c r="AA5" s="79"/>
      <c r="AB5" s="74"/>
      <c r="AC5" s="223" t="s">
        <v>2167</v>
      </c>
      <c r="AD5" s="79">
        <v>43738</v>
      </c>
      <c r="AE5" s="218" t="str">
        <f t="shared" si="7"/>
        <v>Monday</v>
      </c>
      <c r="AF5" s="223" t="s">
        <v>2168</v>
      </c>
      <c r="AG5" s="79">
        <v>43560</v>
      </c>
      <c r="AH5" s="218" t="str">
        <f t="shared" si="8"/>
        <v>Friday</v>
      </c>
      <c r="AI5" s="234"/>
      <c r="AJ5" s="79"/>
      <c r="AK5" s="74"/>
    </row>
    <row r="6" spans="1:37" ht="15.75" customHeight="1" x14ac:dyDescent="0.2">
      <c r="A6" s="239" t="s">
        <v>125</v>
      </c>
      <c r="B6" s="242">
        <f>COUNTIF(D2:AK25,"Tuesday")</f>
        <v>7</v>
      </c>
      <c r="C6" s="240">
        <f t="shared" si="9"/>
        <v>0.14000000000000001</v>
      </c>
      <c r="D6" s="74"/>
      <c r="E6" s="223" t="s">
        <v>2074</v>
      </c>
      <c r="F6" s="79">
        <v>45194</v>
      </c>
      <c r="G6" s="218" t="str">
        <f t="shared" si="0"/>
        <v>Monday</v>
      </c>
      <c r="H6" s="223" t="s">
        <v>2074</v>
      </c>
      <c r="I6" s="79">
        <v>45021</v>
      </c>
      <c r="J6" s="218" t="str">
        <f t="shared" si="1"/>
        <v>Wednesday</v>
      </c>
      <c r="K6" s="223" t="s">
        <v>2074</v>
      </c>
      <c r="L6" s="79">
        <v>44825</v>
      </c>
      <c r="M6" s="218" t="str">
        <f t="shared" si="2"/>
        <v>Wednesday</v>
      </c>
      <c r="N6" s="223" t="s">
        <v>2074</v>
      </c>
      <c r="O6" s="79">
        <v>44292</v>
      </c>
      <c r="P6" s="218" t="str">
        <f t="shared" si="3"/>
        <v>Tuesday</v>
      </c>
      <c r="Q6" s="223" t="s">
        <v>2074</v>
      </c>
      <c r="R6" s="79">
        <v>44461</v>
      </c>
      <c r="S6" s="218" t="str">
        <f t="shared" si="4"/>
        <v>Wednesday</v>
      </c>
      <c r="T6" s="223" t="s">
        <v>2074</v>
      </c>
      <c r="U6" s="79">
        <v>44287</v>
      </c>
      <c r="V6" s="218" t="str">
        <f t="shared" si="5"/>
        <v>Thursday</v>
      </c>
      <c r="W6" s="223" t="s">
        <v>2074</v>
      </c>
      <c r="X6" s="79">
        <v>44097</v>
      </c>
      <c r="Y6" s="218" t="str">
        <f t="shared" si="6"/>
        <v>Wednesday</v>
      </c>
      <c r="Z6" s="74"/>
      <c r="AA6" s="79"/>
      <c r="AB6" s="74"/>
      <c r="AC6" s="223" t="s">
        <v>2074</v>
      </c>
      <c r="AD6" s="79">
        <v>43740</v>
      </c>
      <c r="AE6" s="218" t="str">
        <f t="shared" si="7"/>
        <v>Wednesday</v>
      </c>
      <c r="AF6" s="223" t="s">
        <v>2169</v>
      </c>
      <c r="AG6" s="79">
        <v>43561</v>
      </c>
      <c r="AH6" s="218" t="str">
        <f t="shared" si="8"/>
        <v>Saturday</v>
      </c>
      <c r="AI6" s="234"/>
      <c r="AJ6" s="79"/>
      <c r="AK6" s="74"/>
    </row>
    <row r="7" spans="1:37" ht="15.75" customHeight="1" x14ac:dyDescent="0.2">
      <c r="A7" s="239" t="s">
        <v>128</v>
      </c>
      <c r="B7" s="242">
        <f>COUNTIF(D2:AK25,"Wednesday")</f>
        <v>10</v>
      </c>
      <c r="C7" s="240">
        <f t="shared" si="9"/>
        <v>0.2</v>
      </c>
      <c r="D7" s="74"/>
      <c r="E7" s="74"/>
      <c r="F7" s="79"/>
      <c r="G7" s="74"/>
      <c r="H7" s="74"/>
      <c r="I7" s="79"/>
      <c r="J7" s="74"/>
      <c r="K7" s="74"/>
      <c r="L7" s="79"/>
      <c r="M7" s="74"/>
      <c r="N7" s="74"/>
      <c r="O7" s="79"/>
      <c r="P7" s="74"/>
      <c r="Q7" s="74"/>
      <c r="R7" s="79"/>
      <c r="S7" s="74"/>
      <c r="T7" s="74"/>
      <c r="U7" s="79"/>
      <c r="V7" s="74"/>
      <c r="W7" s="74"/>
      <c r="X7" s="79"/>
      <c r="Y7" s="74"/>
      <c r="Z7" s="74"/>
      <c r="AA7" s="79"/>
      <c r="AB7" s="74"/>
      <c r="AC7" s="74"/>
      <c r="AD7" s="79"/>
      <c r="AE7" s="74"/>
      <c r="AF7" s="223" t="s">
        <v>2170</v>
      </c>
      <c r="AG7" s="79">
        <v>43562</v>
      </c>
      <c r="AH7" s="218" t="str">
        <f t="shared" si="8"/>
        <v>Sunday</v>
      </c>
      <c r="AI7" s="74"/>
      <c r="AJ7" s="79"/>
      <c r="AK7" s="74"/>
    </row>
    <row r="8" spans="1:37" ht="15.75" customHeight="1" x14ac:dyDescent="0.2">
      <c r="A8" s="239" t="s">
        <v>130</v>
      </c>
      <c r="B8" s="242">
        <f>COUNTIF(D2:AK25,"Thursday")</f>
        <v>9</v>
      </c>
      <c r="C8" s="240">
        <f t="shared" si="9"/>
        <v>0.18</v>
      </c>
      <c r="D8" s="74"/>
      <c r="E8" s="74"/>
      <c r="F8" s="79"/>
      <c r="G8" s="74"/>
      <c r="H8" s="74"/>
      <c r="I8" s="79"/>
      <c r="J8" s="74"/>
      <c r="K8" s="74"/>
      <c r="L8" s="79"/>
      <c r="M8" s="74"/>
      <c r="N8" s="74"/>
      <c r="O8" s="79"/>
      <c r="P8" s="74"/>
      <c r="Q8" s="74"/>
      <c r="R8" s="79"/>
      <c r="S8" s="74"/>
      <c r="T8" s="74"/>
      <c r="U8" s="79"/>
      <c r="V8" s="74"/>
      <c r="W8" s="74"/>
      <c r="X8" s="79"/>
      <c r="Y8" s="74"/>
      <c r="Z8" s="74"/>
      <c r="AA8" s="79"/>
      <c r="AB8" s="74"/>
      <c r="AC8" s="74"/>
      <c r="AD8" s="79"/>
      <c r="AE8" s="74"/>
      <c r="AF8" s="223" t="s">
        <v>2171</v>
      </c>
      <c r="AG8" s="79">
        <v>43563</v>
      </c>
      <c r="AH8" s="218" t="str">
        <f t="shared" si="8"/>
        <v>Monday</v>
      </c>
      <c r="AI8" s="74"/>
      <c r="AJ8" s="79"/>
      <c r="AK8" s="74"/>
    </row>
    <row r="9" spans="1:37" ht="15.75" customHeight="1" x14ac:dyDescent="0.2">
      <c r="A9" s="239" t="s">
        <v>132</v>
      </c>
      <c r="B9" s="242">
        <f>COUNTIF(D2:AK25,"Friday")</f>
        <v>9</v>
      </c>
      <c r="C9" s="240">
        <f t="shared" si="9"/>
        <v>0.18</v>
      </c>
      <c r="D9" s="74"/>
      <c r="E9" s="74"/>
      <c r="F9" s="79"/>
      <c r="G9" s="74"/>
      <c r="H9" s="74"/>
      <c r="I9" s="79"/>
      <c r="J9" s="74"/>
      <c r="K9" s="74"/>
      <c r="L9" s="79"/>
      <c r="M9" s="74"/>
      <c r="N9" s="74"/>
      <c r="O9" s="79"/>
      <c r="P9" s="74"/>
      <c r="Q9" s="74"/>
      <c r="R9" s="79"/>
      <c r="S9" s="74"/>
      <c r="T9" s="74"/>
      <c r="U9" s="79"/>
      <c r="V9" s="74"/>
      <c r="W9" s="74"/>
      <c r="X9" s="79"/>
      <c r="Y9" s="74"/>
      <c r="Z9" s="74"/>
      <c r="AA9" s="79"/>
      <c r="AB9" s="74"/>
      <c r="AC9" s="74"/>
      <c r="AD9" s="79"/>
      <c r="AE9" s="74"/>
      <c r="AF9" s="223" t="s">
        <v>2074</v>
      </c>
      <c r="AG9" s="79">
        <v>43566</v>
      </c>
      <c r="AH9" s="218" t="str">
        <f t="shared" si="8"/>
        <v>Thursday</v>
      </c>
      <c r="AI9" s="74"/>
      <c r="AJ9" s="79"/>
      <c r="AK9" s="74"/>
    </row>
    <row r="10" spans="1:37" ht="15.75" customHeight="1" x14ac:dyDescent="0.2">
      <c r="A10" s="239" t="s">
        <v>134</v>
      </c>
      <c r="B10" s="242">
        <f>COUNTIF(D2:AK25,"Saturday")</f>
        <v>2</v>
      </c>
      <c r="C10" s="240">
        <f t="shared" si="9"/>
        <v>0.04</v>
      </c>
      <c r="D10" s="74"/>
      <c r="E10" s="74"/>
      <c r="F10" s="79"/>
      <c r="G10" s="74"/>
      <c r="H10" s="74"/>
      <c r="I10" s="79"/>
      <c r="J10" s="74"/>
      <c r="K10" s="74"/>
      <c r="L10" s="79"/>
      <c r="M10" s="74"/>
      <c r="N10" s="74"/>
      <c r="O10" s="79"/>
      <c r="P10" s="74"/>
      <c r="Q10" s="74"/>
      <c r="R10" s="79"/>
      <c r="S10" s="74"/>
      <c r="T10" s="74"/>
      <c r="U10" s="79"/>
      <c r="V10" s="74"/>
      <c r="W10" s="74"/>
      <c r="X10" s="79"/>
      <c r="Y10" s="74"/>
      <c r="Z10" s="74"/>
      <c r="AA10" s="79"/>
      <c r="AB10" s="74"/>
      <c r="AC10" s="74"/>
      <c r="AD10" s="79"/>
      <c r="AE10" s="74"/>
      <c r="AF10" s="74"/>
      <c r="AG10" s="79"/>
      <c r="AH10" s="74"/>
      <c r="AI10" s="74"/>
      <c r="AJ10" s="79"/>
      <c r="AK10" s="74"/>
    </row>
    <row r="11" spans="1:37" ht="15.75" customHeight="1" x14ac:dyDescent="0.2">
      <c r="A11" s="239" t="s">
        <v>136</v>
      </c>
      <c r="B11" s="242">
        <f>COUNTIF(D2:AK25,"Sunday")</f>
        <v>2</v>
      </c>
      <c r="C11" s="240">
        <f t="shared" si="9"/>
        <v>0.04</v>
      </c>
      <c r="D11" s="74"/>
      <c r="E11" s="74"/>
      <c r="F11" s="79"/>
      <c r="G11" s="74"/>
      <c r="H11" s="74"/>
      <c r="I11" s="79"/>
      <c r="J11" s="74"/>
      <c r="K11" s="74"/>
      <c r="L11" s="79"/>
      <c r="M11" s="74"/>
      <c r="N11" s="74"/>
      <c r="O11" s="79"/>
      <c r="P11" s="74"/>
      <c r="Q11" s="74"/>
      <c r="R11" s="79"/>
      <c r="S11" s="74"/>
      <c r="T11" s="74"/>
      <c r="U11" s="79"/>
      <c r="V11" s="74"/>
      <c r="W11" s="74"/>
      <c r="X11" s="79"/>
      <c r="Y11" s="74"/>
      <c r="Z11" s="74"/>
      <c r="AA11" s="79"/>
      <c r="AB11" s="74"/>
      <c r="AC11" s="74"/>
      <c r="AD11" s="79"/>
      <c r="AE11" s="74"/>
      <c r="AF11" s="74"/>
      <c r="AG11" s="79"/>
      <c r="AH11" s="74"/>
      <c r="AI11" s="74"/>
      <c r="AJ11" s="79"/>
      <c r="AK11" s="74"/>
    </row>
    <row r="12" spans="1:37" ht="15.75" customHeight="1" x14ac:dyDescent="0.2">
      <c r="A12" s="74"/>
      <c r="B12" s="74"/>
      <c r="C12" s="74"/>
      <c r="D12" s="74"/>
      <c r="E12" s="74"/>
      <c r="F12" s="79"/>
      <c r="G12" s="74"/>
      <c r="H12" s="74"/>
      <c r="I12" s="79"/>
      <c r="J12" s="74"/>
      <c r="K12" s="74"/>
      <c r="L12" s="79"/>
      <c r="M12" s="74"/>
      <c r="N12" s="74"/>
      <c r="O12" s="79"/>
      <c r="P12" s="74"/>
      <c r="Q12" s="74"/>
      <c r="R12" s="79"/>
      <c r="S12" s="74"/>
      <c r="T12" s="74"/>
      <c r="U12" s="79"/>
      <c r="V12" s="74"/>
      <c r="W12" s="74"/>
      <c r="X12" s="79"/>
      <c r="Y12" s="74"/>
      <c r="Z12" s="74"/>
      <c r="AA12" s="79"/>
      <c r="AB12" s="74"/>
      <c r="AC12" s="74"/>
      <c r="AD12" s="79"/>
      <c r="AE12" s="74"/>
      <c r="AF12" s="74"/>
      <c r="AG12" s="79"/>
      <c r="AH12" s="74"/>
      <c r="AI12" s="74"/>
      <c r="AJ12" s="79"/>
      <c r="AK12" s="74"/>
    </row>
    <row r="13" spans="1:37" ht="15.75" customHeight="1" x14ac:dyDescent="0.2">
      <c r="A13" s="453" t="s">
        <v>1218</v>
      </c>
      <c r="B13" s="394"/>
      <c r="C13" s="395"/>
      <c r="D13" s="74"/>
      <c r="E13" s="74"/>
      <c r="F13" s="79"/>
      <c r="G13" s="74"/>
      <c r="H13" s="74"/>
      <c r="I13" s="79"/>
      <c r="J13" s="74"/>
      <c r="K13" s="74"/>
      <c r="L13" s="79"/>
      <c r="M13" s="74"/>
      <c r="N13" s="74"/>
      <c r="O13" s="79"/>
      <c r="P13" s="74"/>
      <c r="Q13" s="74"/>
      <c r="R13" s="79"/>
      <c r="S13" s="74"/>
      <c r="T13" s="74"/>
      <c r="U13" s="79"/>
      <c r="V13" s="74"/>
      <c r="W13" s="74"/>
      <c r="X13" s="79"/>
      <c r="Y13" s="74"/>
      <c r="Z13" s="74"/>
      <c r="AA13" s="79"/>
      <c r="AB13" s="74"/>
      <c r="AC13" s="74"/>
      <c r="AD13" s="79"/>
      <c r="AE13" s="74"/>
      <c r="AF13" s="74"/>
      <c r="AG13" s="79"/>
      <c r="AH13" s="74"/>
      <c r="AI13" s="74"/>
      <c r="AJ13" s="79"/>
      <c r="AK13" s="74"/>
    </row>
    <row r="14" spans="1:37" ht="15.75" customHeight="1" x14ac:dyDescent="0.2">
      <c r="A14" s="239" t="s">
        <v>124</v>
      </c>
      <c r="B14" s="211">
        <f>COUNTIF(D2:AK2,"Monday")</f>
        <v>1</v>
      </c>
      <c r="C14" s="240">
        <f t="shared" ref="C14:C19" si="10">B14/SUM($B$14:$B$20)</f>
        <v>9.0909090909090912E-2</v>
      </c>
      <c r="D14" s="74"/>
      <c r="E14" s="74"/>
      <c r="F14" s="79"/>
      <c r="G14" s="74"/>
      <c r="H14" s="74"/>
      <c r="I14" s="79"/>
      <c r="J14" s="74"/>
      <c r="K14" s="74"/>
      <c r="L14" s="79"/>
      <c r="M14" s="74"/>
      <c r="N14" s="74"/>
      <c r="O14" s="79"/>
      <c r="P14" s="74"/>
      <c r="Q14" s="74"/>
      <c r="R14" s="79"/>
      <c r="S14" s="74"/>
      <c r="T14" s="74"/>
      <c r="U14" s="79"/>
      <c r="V14" s="74"/>
      <c r="W14" s="74"/>
      <c r="X14" s="79"/>
      <c r="Y14" s="74"/>
      <c r="Z14" s="74"/>
      <c r="AA14" s="79"/>
      <c r="AB14" s="74"/>
      <c r="AC14" s="74"/>
      <c r="AD14" s="79"/>
      <c r="AE14" s="74"/>
      <c r="AF14" s="74"/>
      <c r="AG14" s="79"/>
      <c r="AH14" s="74"/>
      <c r="AI14" s="74"/>
      <c r="AJ14" s="79"/>
      <c r="AK14" s="74"/>
    </row>
    <row r="15" spans="1:37" ht="15.75" customHeight="1" x14ac:dyDescent="0.2">
      <c r="A15" s="239" t="s">
        <v>125</v>
      </c>
      <c r="B15" s="242">
        <f>COUNTIF(D2:AK2,"Tuesday")</f>
        <v>0</v>
      </c>
      <c r="C15" s="240">
        <f t="shared" si="10"/>
        <v>0</v>
      </c>
      <c r="D15" s="74"/>
      <c r="E15" s="74"/>
      <c r="F15" s="79"/>
      <c r="G15" s="74"/>
      <c r="H15" s="74"/>
      <c r="I15" s="79"/>
      <c r="J15" s="74"/>
      <c r="K15" s="74"/>
      <c r="L15" s="79"/>
      <c r="M15" s="74"/>
      <c r="N15" s="74"/>
      <c r="O15" s="79"/>
      <c r="P15" s="74"/>
      <c r="Q15" s="74"/>
      <c r="R15" s="79"/>
      <c r="S15" s="74"/>
      <c r="T15" s="74"/>
      <c r="U15" s="79"/>
      <c r="V15" s="74"/>
      <c r="W15" s="74"/>
      <c r="X15" s="79"/>
      <c r="Y15" s="74"/>
      <c r="Z15" s="74"/>
      <c r="AA15" s="79"/>
      <c r="AB15" s="74"/>
      <c r="AC15" s="74"/>
      <c r="AD15" s="79"/>
      <c r="AE15" s="74"/>
      <c r="AF15" s="74"/>
      <c r="AG15" s="79"/>
      <c r="AH15" s="74"/>
      <c r="AI15" s="74"/>
      <c r="AJ15" s="79"/>
      <c r="AK15" s="74"/>
    </row>
    <row r="16" spans="1:37" ht="15.75" customHeight="1" x14ac:dyDescent="0.2">
      <c r="A16" s="239" t="s">
        <v>128</v>
      </c>
      <c r="B16" s="242">
        <f>COUNTIF(D2:AK2,"Wednesday")</f>
        <v>5</v>
      </c>
      <c r="C16" s="240">
        <f t="shared" si="10"/>
        <v>0.45454545454545453</v>
      </c>
      <c r="D16" s="74"/>
      <c r="E16" s="74"/>
      <c r="F16" s="79"/>
      <c r="G16" s="74"/>
      <c r="H16" s="74"/>
      <c r="I16" s="79"/>
      <c r="J16" s="74"/>
      <c r="K16" s="74"/>
      <c r="L16" s="79"/>
      <c r="M16" s="74"/>
      <c r="N16" s="74"/>
      <c r="O16" s="79"/>
      <c r="P16" s="74"/>
      <c r="Q16" s="74"/>
      <c r="R16" s="79"/>
      <c r="S16" s="74"/>
      <c r="T16" s="74"/>
      <c r="U16" s="79"/>
      <c r="V16" s="74"/>
      <c r="W16" s="74"/>
      <c r="X16" s="79"/>
      <c r="Y16" s="74"/>
      <c r="Z16" s="74"/>
      <c r="AA16" s="79"/>
      <c r="AB16" s="74"/>
      <c r="AC16" s="74"/>
      <c r="AD16" s="79"/>
      <c r="AE16" s="74"/>
      <c r="AF16" s="74"/>
      <c r="AG16" s="79"/>
      <c r="AH16" s="74"/>
      <c r="AI16" s="74"/>
      <c r="AJ16" s="79"/>
      <c r="AK16" s="74"/>
    </row>
    <row r="17" spans="1:37" ht="15.75" customHeight="1" x14ac:dyDescent="0.2">
      <c r="A17" s="239" t="s">
        <v>130</v>
      </c>
      <c r="B17" s="242">
        <f>COUNTIF(D2:AK2,"Thursday")</f>
        <v>4</v>
      </c>
      <c r="C17" s="240">
        <f t="shared" si="10"/>
        <v>0.36363636363636365</v>
      </c>
      <c r="D17" s="74"/>
      <c r="E17" s="74"/>
      <c r="F17" s="79"/>
      <c r="G17" s="74"/>
      <c r="H17" s="74"/>
      <c r="I17" s="79"/>
      <c r="J17" s="74"/>
      <c r="K17" s="74"/>
      <c r="L17" s="79"/>
      <c r="M17" s="74"/>
      <c r="N17" s="74"/>
      <c r="O17" s="79"/>
      <c r="P17" s="74"/>
      <c r="Q17" s="74"/>
      <c r="R17" s="79"/>
      <c r="S17" s="74"/>
      <c r="T17" s="74"/>
      <c r="U17" s="79"/>
      <c r="V17" s="74"/>
      <c r="W17" s="74"/>
      <c r="X17" s="79"/>
      <c r="Y17" s="74"/>
      <c r="Z17" s="74"/>
      <c r="AA17" s="79"/>
      <c r="AB17" s="74"/>
      <c r="AC17" s="74"/>
      <c r="AD17" s="79"/>
      <c r="AE17" s="74"/>
      <c r="AF17" s="74"/>
      <c r="AG17" s="79"/>
      <c r="AH17" s="74"/>
      <c r="AI17" s="74"/>
      <c r="AJ17" s="79"/>
      <c r="AK17" s="74"/>
    </row>
    <row r="18" spans="1:37" ht="15.75" customHeight="1" x14ac:dyDescent="0.2">
      <c r="A18" s="239" t="s">
        <v>132</v>
      </c>
      <c r="B18" s="242">
        <f>COUNTIF(D2:AK2,"Friday")</f>
        <v>0</v>
      </c>
      <c r="C18" s="240">
        <f t="shared" si="10"/>
        <v>0</v>
      </c>
      <c r="D18" s="74"/>
      <c r="E18" s="74"/>
      <c r="F18" s="79"/>
      <c r="G18" s="74"/>
      <c r="H18" s="74"/>
      <c r="I18" s="79"/>
      <c r="J18" s="74"/>
      <c r="K18" s="74"/>
      <c r="L18" s="79"/>
      <c r="M18" s="74"/>
      <c r="N18" s="74"/>
      <c r="O18" s="79"/>
      <c r="P18" s="74"/>
      <c r="Q18" s="74"/>
      <c r="R18" s="79"/>
      <c r="S18" s="74"/>
      <c r="T18" s="74"/>
      <c r="U18" s="79"/>
      <c r="V18" s="74"/>
      <c r="W18" s="74"/>
      <c r="X18" s="79"/>
      <c r="Y18" s="74"/>
      <c r="Z18" s="74"/>
      <c r="AA18" s="79"/>
      <c r="AB18" s="74"/>
      <c r="AC18" s="74"/>
      <c r="AD18" s="79"/>
      <c r="AE18" s="74"/>
      <c r="AF18" s="74"/>
      <c r="AG18" s="79"/>
      <c r="AH18" s="74"/>
      <c r="AI18" s="74"/>
      <c r="AJ18" s="79"/>
      <c r="AK18" s="74"/>
    </row>
    <row r="19" spans="1:37" ht="15.75" customHeight="1" x14ac:dyDescent="0.2">
      <c r="A19" s="239" t="s">
        <v>134</v>
      </c>
      <c r="B19" s="242">
        <f>COUNTIF(D2:AK2,"Saturday")</f>
        <v>1</v>
      </c>
      <c r="C19" s="240">
        <f t="shared" si="10"/>
        <v>9.0909090909090912E-2</v>
      </c>
      <c r="D19" s="74"/>
      <c r="E19" s="74"/>
      <c r="F19" s="79"/>
      <c r="G19" s="74"/>
      <c r="H19" s="74"/>
      <c r="I19" s="79"/>
      <c r="J19" s="74"/>
      <c r="K19" s="74"/>
      <c r="L19" s="79"/>
      <c r="M19" s="74"/>
      <c r="N19" s="74"/>
      <c r="O19" s="79"/>
      <c r="P19" s="74"/>
      <c r="Q19" s="74"/>
      <c r="R19" s="79"/>
      <c r="S19" s="74"/>
      <c r="T19" s="74"/>
      <c r="U19" s="79"/>
      <c r="V19" s="74"/>
      <c r="W19" s="74"/>
      <c r="X19" s="79"/>
      <c r="Y19" s="74"/>
      <c r="Z19" s="74"/>
      <c r="AA19" s="79"/>
      <c r="AB19" s="74"/>
      <c r="AC19" s="74"/>
      <c r="AD19" s="79"/>
      <c r="AE19" s="74"/>
      <c r="AF19" s="74"/>
      <c r="AG19" s="79"/>
      <c r="AH19" s="74"/>
      <c r="AI19" s="74"/>
      <c r="AJ19" s="79"/>
      <c r="AK19" s="74"/>
    </row>
    <row r="20" spans="1:37" ht="15.75" customHeight="1" x14ac:dyDescent="0.2">
      <c r="A20" s="239" t="s">
        <v>136</v>
      </c>
      <c r="B20" s="242">
        <f>COUNTIF(D2:AK2,"Sunday")</f>
        <v>0</v>
      </c>
      <c r="C20" s="240">
        <f>B20/SUM($B$5:$B$11)</f>
        <v>0</v>
      </c>
      <c r="D20" s="74"/>
      <c r="E20" s="74"/>
      <c r="F20" s="79"/>
      <c r="G20" s="74"/>
      <c r="H20" s="74"/>
      <c r="I20" s="79"/>
      <c r="J20" s="74"/>
      <c r="K20" s="74"/>
      <c r="L20" s="79"/>
      <c r="M20" s="74"/>
      <c r="N20" s="74"/>
      <c r="O20" s="79"/>
      <c r="P20" s="74"/>
      <c r="Q20" s="74"/>
      <c r="R20" s="79"/>
      <c r="S20" s="74"/>
      <c r="T20" s="74"/>
      <c r="U20" s="79"/>
      <c r="V20" s="74"/>
      <c r="W20" s="74"/>
      <c r="X20" s="79"/>
      <c r="Y20" s="74"/>
      <c r="Z20" s="74"/>
      <c r="AA20" s="79"/>
      <c r="AB20" s="74"/>
      <c r="AC20" s="74"/>
      <c r="AD20" s="79"/>
      <c r="AE20" s="74"/>
      <c r="AF20" s="74"/>
      <c r="AG20" s="79"/>
      <c r="AH20" s="74"/>
      <c r="AI20" s="74"/>
      <c r="AJ20" s="79"/>
      <c r="AK20" s="74"/>
    </row>
    <row r="21" spans="1:37" ht="15.75" customHeight="1" x14ac:dyDescent="0.2">
      <c r="A21" s="74"/>
      <c r="B21" s="79"/>
      <c r="C21" s="74"/>
      <c r="D21" s="74"/>
      <c r="E21" s="74"/>
      <c r="F21" s="79"/>
      <c r="G21" s="74"/>
      <c r="H21" s="74"/>
      <c r="I21" s="79"/>
      <c r="J21" s="74"/>
      <c r="K21" s="74"/>
      <c r="L21" s="79"/>
      <c r="M21" s="74"/>
      <c r="N21" s="74"/>
      <c r="O21" s="79"/>
      <c r="P21" s="74"/>
      <c r="Q21" s="74"/>
      <c r="R21" s="79"/>
      <c r="S21" s="74"/>
      <c r="T21" s="74"/>
      <c r="U21" s="79"/>
      <c r="V21" s="74"/>
      <c r="W21" s="74"/>
      <c r="X21" s="79"/>
      <c r="Y21" s="74"/>
      <c r="Z21" s="74"/>
      <c r="AA21" s="79"/>
      <c r="AB21" s="74"/>
      <c r="AC21" s="74"/>
      <c r="AD21" s="79"/>
      <c r="AE21" s="74"/>
      <c r="AF21" s="74"/>
      <c r="AG21" s="79"/>
      <c r="AH21" s="74"/>
      <c r="AI21" s="74"/>
      <c r="AJ21" s="79"/>
      <c r="AK21" s="74"/>
    </row>
    <row r="22" spans="1:37" ht="15.75" customHeight="1" x14ac:dyDescent="0.2">
      <c r="A22" s="74"/>
      <c r="B22" s="79"/>
      <c r="C22" s="74"/>
      <c r="D22" s="74"/>
      <c r="E22" s="74"/>
      <c r="F22" s="79"/>
      <c r="G22" s="74"/>
      <c r="H22" s="74"/>
      <c r="I22" s="79"/>
      <c r="J22" s="74"/>
      <c r="K22" s="74"/>
      <c r="L22" s="79"/>
      <c r="M22" s="74"/>
      <c r="N22" s="74"/>
      <c r="O22" s="79"/>
      <c r="P22" s="74"/>
      <c r="Q22" s="74"/>
      <c r="R22" s="79"/>
      <c r="S22" s="74"/>
      <c r="T22" s="74"/>
      <c r="U22" s="79"/>
      <c r="V22" s="74"/>
      <c r="W22" s="74"/>
      <c r="X22" s="79"/>
      <c r="Y22" s="74"/>
      <c r="Z22" s="74"/>
      <c r="AA22" s="79"/>
      <c r="AB22" s="74"/>
      <c r="AC22" s="74"/>
      <c r="AD22" s="79"/>
      <c r="AE22" s="74"/>
      <c r="AF22" s="74"/>
      <c r="AG22" s="79"/>
      <c r="AH22" s="74"/>
      <c r="AI22" s="74"/>
      <c r="AJ22" s="79"/>
      <c r="AK22" s="74"/>
    </row>
    <row r="23" spans="1:37" ht="15.75" customHeight="1" x14ac:dyDescent="0.2">
      <c r="A23" s="74"/>
      <c r="B23" s="79"/>
      <c r="C23" s="74"/>
      <c r="D23" s="74"/>
      <c r="E23" s="74"/>
      <c r="F23" s="79"/>
      <c r="G23" s="74"/>
      <c r="H23" s="74"/>
      <c r="I23" s="79"/>
      <c r="J23" s="74"/>
      <c r="K23" s="74"/>
      <c r="L23" s="79"/>
      <c r="M23" s="74"/>
      <c r="N23" s="74"/>
      <c r="O23" s="79"/>
      <c r="P23" s="74"/>
      <c r="Q23" s="74"/>
      <c r="R23" s="79"/>
      <c r="S23" s="74"/>
      <c r="T23" s="74"/>
      <c r="U23" s="79"/>
      <c r="V23" s="74"/>
      <c r="W23" s="74"/>
      <c r="X23" s="79"/>
      <c r="Y23" s="74"/>
      <c r="Z23" s="74"/>
      <c r="AA23" s="79"/>
      <c r="AB23" s="74"/>
      <c r="AC23" s="74"/>
      <c r="AD23" s="79"/>
      <c r="AE23" s="74"/>
      <c r="AF23" s="74"/>
      <c r="AG23" s="79"/>
      <c r="AH23" s="74"/>
      <c r="AI23" s="74"/>
      <c r="AJ23" s="79"/>
      <c r="AK23" s="74"/>
    </row>
    <row r="24" spans="1:37" ht="15.75" customHeight="1" x14ac:dyDescent="0.2">
      <c r="A24" s="74"/>
      <c r="B24" s="79"/>
      <c r="C24" s="74"/>
      <c r="D24" s="74"/>
      <c r="E24" s="74"/>
      <c r="F24" s="79"/>
      <c r="G24" s="74"/>
      <c r="H24" s="74"/>
      <c r="I24" s="79"/>
      <c r="J24" s="74"/>
      <c r="K24" s="74"/>
      <c r="L24" s="79"/>
      <c r="M24" s="74"/>
      <c r="N24" s="74"/>
      <c r="O24" s="79"/>
      <c r="P24" s="74"/>
      <c r="Q24" s="74"/>
      <c r="R24" s="79"/>
      <c r="S24" s="74"/>
      <c r="T24" s="74"/>
      <c r="U24" s="79"/>
      <c r="V24" s="74"/>
      <c r="W24" s="74"/>
      <c r="X24" s="79"/>
      <c r="Y24" s="74"/>
      <c r="Z24" s="74"/>
      <c r="AA24" s="79"/>
      <c r="AB24" s="74"/>
      <c r="AC24" s="74"/>
      <c r="AD24" s="79"/>
      <c r="AE24" s="74"/>
      <c r="AF24" s="74"/>
      <c r="AG24" s="79"/>
      <c r="AH24" s="74"/>
      <c r="AI24" s="74"/>
      <c r="AJ24" s="79"/>
      <c r="AK24" s="74"/>
    </row>
    <row r="25" spans="1:37" ht="15.75" customHeight="1" x14ac:dyDescent="0.2">
      <c r="A25" s="74"/>
      <c r="B25" s="79"/>
      <c r="C25" s="74"/>
      <c r="D25" s="74"/>
      <c r="E25" s="74"/>
      <c r="F25" s="79"/>
      <c r="G25" s="74"/>
      <c r="H25" s="74"/>
      <c r="I25" s="79"/>
      <c r="J25" s="74"/>
      <c r="K25" s="74"/>
      <c r="L25" s="79"/>
      <c r="M25" s="74"/>
      <c r="N25" s="74"/>
      <c r="O25" s="79"/>
      <c r="P25" s="74"/>
      <c r="Q25" s="74"/>
      <c r="R25" s="79"/>
      <c r="S25" s="74"/>
      <c r="T25" s="74"/>
      <c r="U25" s="79"/>
      <c r="V25" s="74"/>
      <c r="W25" s="74"/>
      <c r="X25" s="79"/>
      <c r="Y25" s="74"/>
      <c r="Z25" s="74"/>
      <c r="AA25" s="79"/>
      <c r="AB25" s="74"/>
      <c r="AC25" s="74"/>
      <c r="AD25" s="79"/>
      <c r="AE25" s="74"/>
      <c r="AF25" s="74"/>
      <c r="AG25" s="79"/>
      <c r="AH25" s="74"/>
      <c r="AI25" s="74"/>
      <c r="AJ25" s="79"/>
      <c r="AK25" s="74"/>
    </row>
  </sheetData>
  <mergeCells count="13">
    <mergeCell ref="A13:C13"/>
    <mergeCell ref="E1:G1"/>
    <mergeCell ref="H1:J1"/>
    <mergeCell ref="K1:M1"/>
    <mergeCell ref="N1:P1"/>
    <mergeCell ref="Z1:AB1"/>
    <mergeCell ref="AC1:AE1"/>
    <mergeCell ref="AF1:AH1"/>
    <mergeCell ref="AI1:AK1"/>
    <mergeCell ref="A2:B3"/>
    <mergeCell ref="Q1:S1"/>
    <mergeCell ref="T1:V1"/>
    <mergeCell ref="W1:Y1"/>
  </mergeCells>
  <conditionalFormatting sqref="A1:AK25">
    <cfRule type="cellIs" dxfId="5" priority="1" operator="equal">
      <formula>"Monday"</formula>
    </cfRule>
    <cfRule type="cellIs" dxfId="4" priority="2" operator="equal">
      <formula>"Tuesday"</formula>
    </cfRule>
    <cfRule type="cellIs" dxfId="3" priority="3" operator="equal">
      <formula>"Wednesday"</formula>
    </cfRule>
    <cfRule type="cellIs" dxfId="2" priority="4" operator="equal">
      <formula>"Thursday"</formula>
    </cfRule>
    <cfRule type="cellIs" dxfId="1" priority="5" operator="equal">
      <formula>"Friday"</formula>
    </cfRule>
    <cfRule type="cellIs" dxfId="0" priority="6" operator="equal">
      <formula>"Saturday"</formula>
    </cfRule>
  </conditionalFormatting>
  <hyperlinks>
    <hyperlink ref="E2" r:id="rId1" xr:uid="{00000000-0004-0000-0E00-000000000000}"/>
    <hyperlink ref="H2" r:id="rId2" xr:uid="{00000000-0004-0000-0E00-000001000000}"/>
    <hyperlink ref="K2" r:id="rId3" xr:uid="{00000000-0004-0000-0E00-000002000000}"/>
    <hyperlink ref="N2" r:id="rId4" xr:uid="{00000000-0004-0000-0E00-000003000000}"/>
    <hyperlink ref="Q2" r:id="rId5" xr:uid="{00000000-0004-0000-0E00-000004000000}"/>
    <hyperlink ref="T2" r:id="rId6" xr:uid="{00000000-0004-0000-0E00-000005000000}"/>
    <hyperlink ref="W2" r:id="rId7" xr:uid="{00000000-0004-0000-0E00-000006000000}"/>
    <hyperlink ref="Z2" r:id="rId8" xr:uid="{00000000-0004-0000-0E00-000007000000}"/>
    <hyperlink ref="AC2" r:id="rId9" xr:uid="{00000000-0004-0000-0E00-000008000000}"/>
    <hyperlink ref="AF2" r:id="rId10" xr:uid="{00000000-0004-0000-0E00-000009000000}"/>
    <hyperlink ref="AI2" r:id="rId11" xr:uid="{00000000-0004-0000-0E00-00000A000000}"/>
    <hyperlink ref="E3" r:id="rId12" xr:uid="{00000000-0004-0000-0E00-00000B000000}"/>
    <hyperlink ref="H3" r:id="rId13" xr:uid="{00000000-0004-0000-0E00-00000C000000}"/>
    <hyperlink ref="K3" r:id="rId14" xr:uid="{00000000-0004-0000-0E00-00000D000000}"/>
    <hyperlink ref="N3" r:id="rId15" xr:uid="{00000000-0004-0000-0E00-00000E000000}"/>
    <hyperlink ref="Q3" r:id="rId16" xr:uid="{00000000-0004-0000-0E00-00000F000000}"/>
    <hyperlink ref="T3" r:id="rId17" xr:uid="{00000000-0004-0000-0E00-000010000000}"/>
    <hyperlink ref="W3" r:id="rId18" xr:uid="{00000000-0004-0000-0E00-000011000000}"/>
    <hyperlink ref="AC3" r:id="rId19" xr:uid="{00000000-0004-0000-0E00-000012000000}"/>
    <hyperlink ref="AF3" r:id="rId20" xr:uid="{00000000-0004-0000-0E00-000013000000}"/>
    <hyperlink ref="E4" r:id="rId21" xr:uid="{00000000-0004-0000-0E00-000014000000}"/>
    <hyperlink ref="H4" r:id="rId22" xr:uid="{00000000-0004-0000-0E00-000015000000}"/>
    <hyperlink ref="K4" r:id="rId23" xr:uid="{00000000-0004-0000-0E00-000016000000}"/>
    <hyperlink ref="N4" r:id="rId24" xr:uid="{00000000-0004-0000-0E00-000017000000}"/>
    <hyperlink ref="Q4" r:id="rId25" xr:uid="{00000000-0004-0000-0E00-000018000000}"/>
    <hyperlink ref="T4" r:id="rId26" xr:uid="{00000000-0004-0000-0E00-000019000000}"/>
    <hyperlink ref="W4" r:id="rId27" xr:uid="{00000000-0004-0000-0E00-00001A000000}"/>
    <hyperlink ref="AC4" r:id="rId28" xr:uid="{00000000-0004-0000-0E00-00001B000000}"/>
    <hyperlink ref="AF4" r:id="rId29" xr:uid="{00000000-0004-0000-0E00-00001C000000}"/>
    <hyperlink ref="E5" r:id="rId30" xr:uid="{00000000-0004-0000-0E00-00001D000000}"/>
    <hyperlink ref="H5" r:id="rId31" xr:uid="{00000000-0004-0000-0E00-00001E000000}"/>
    <hyperlink ref="K5" r:id="rId32" xr:uid="{00000000-0004-0000-0E00-00001F000000}"/>
    <hyperlink ref="N5" r:id="rId33" xr:uid="{00000000-0004-0000-0E00-000020000000}"/>
    <hyperlink ref="Q5" r:id="rId34" xr:uid="{00000000-0004-0000-0E00-000021000000}"/>
    <hyperlink ref="T5" r:id="rId35" xr:uid="{00000000-0004-0000-0E00-000022000000}"/>
    <hyperlink ref="W5" r:id="rId36" xr:uid="{00000000-0004-0000-0E00-000023000000}"/>
    <hyperlink ref="AC5" r:id="rId37" xr:uid="{00000000-0004-0000-0E00-000024000000}"/>
    <hyperlink ref="AF5" r:id="rId38" xr:uid="{00000000-0004-0000-0E00-000025000000}"/>
    <hyperlink ref="E6" r:id="rId39" xr:uid="{00000000-0004-0000-0E00-000026000000}"/>
    <hyperlink ref="H6" r:id="rId40" xr:uid="{00000000-0004-0000-0E00-000027000000}"/>
    <hyperlink ref="K6" r:id="rId41" xr:uid="{00000000-0004-0000-0E00-000028000000}"/>
    <hyperlink ref="N6" r:id="rId42" xr:uid="{00000000-0004-0000-0E00-000029000000}"/>
    <hyperlink ref="Q6" r:id="rId43" xr:uid="{00000000-0004-0000-0E00-00002A000000}"/>
    <hyperlink ref="T6" r:id="rId44" xr:uid="{00000000-0004-0000-0E00-00002B000000}"/>
    <hyperlink ref="W6" r:id="rId45" xr:uid="{00000000-0004-0000-0E00-00002C000000}"/>
    <hyperlink ref="AC6" r:id="rId46" xr:uid="{00000000-0004-0000-0E00-00002D000000}"/>
    <hyperlink ref="AF6" r:id="rId47" xr:uid="{00000000-0004-0000-0E00-00002E000000}"/>
    <hyperlink ref="AF7" r:id="rId48" xr:uid="{00000000-0004-0000-0E00-00002F000000}"/>
    <hyperlink ref="AF8" r:id="rId49" xr:uid="{00000000-0004-0000-0E00-000030000000}"/>
    <hyperlink ref="AF9" r:id="rId50" xr:uid="{00000000-0004-0000-0E00-00003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3"/>
  <sheetViews>
    <sheetView workbookViewId="0"/>
  </sheetViews>
  <sheetFormatPr defaultColWidth="12.5703125" defaultRowHeight="15.75" customHeight="1" x14ac:dyDescent="0.2"/>
  <sheetData>
    <row r="1" spans="1:14" ht="15.75" customHeight="1" x14ac:dyDescent="0.2">
      <c r="A1" s="351" t="s">
        <v>2172</v>
      </c>
      <c r="B1" s="352" t="s">
        <v>2173</v>
      </c>
      <c r="C1" s="352" t="s">
        <v>2174</v>
      </c>
      <c r="D1" s="352" t="s">
        <v>2175</v>
      </c>
      <c r="E1" s="352" t="s">
        <v>2176</v>
      </c>
      <c r="F1" s="352" t="s">
        <v>2177</v>
      </c>
      <c r="G1" s="352" t="s">
        <v>2178</v>
      </c>
      <c r="H1" s="554" t="s">
        <v>2179</v>
      </c>
      <c r="I1" s="402"/>
      <c r="J1" s="352" t="s">
        <v>2180</v>
      </c>
      <c r="K1" s="352" t="s">
        <v>2181</v>
      </c>
      <c r="L1" s="352" t="s">
        <v>2182</v>
      </c>
      <c r="M1" s="352" t="s">
        <v>2183</v>
      </c>
      <c r="N1" s="354" t="s">
        <v>2184</v>
      </c>
    </row>
    <row r="2" spans="1:14" ht="15.75" customHeight="1" x14ac:dyDescent="0.2">
      <c r="A2" s="355">
        <v>2014</v>
      </c>
      <c r="B2" s="15" t="s">
        <v>22</v>
      </c>
      <c r="C2" s="15" t="s">
        <v>22</v>
      </c>
      <c r="D2" s="15" t="s">
        <v>22</v>
      </c>
      <c r="E2" s="15" t="s">
        <v>22</v>
      </c>
      <c r="F2" s="15" t="s">
        <v>22</v>
      </c>
      <c r="G2" s="15" t="s">
        <v>22</v>
      </c>
      <c r="H2" s="326" t="s">
        <v>2185</v>
      </c>
      <c r="I2" s="318" t="s">
        <v>2185</v>
      </c>
      <c r="J2" s="15" t="s">
        <v>22</v>
      </c>
      <c r="K2" s="15" t="s">
        <v>22</v>
      </c>
      <c r="L2" s="318" t="s">
        <v>2186</v>
      </c>
      <c r="M2" s="15" t="s">
        <v>22</v>
      </c>
      <c r="N2" s="143" t="s">
        <v>22</v>
      </c>
    </row>
    <row r="3" spans="1:14" ht="15.75" customHeight="1" x14ac:dyDescent="0.2">
      <c r="A3" s="356">
        <v>2015</v>
      </c>
      <c r="B3" s="9" t="s">
        <v>22</v>
      </c>
      <c r="C3" s="9" t="s">
        <v>22</v>
      </c>
      <c r="D3" s="9" t="s">
        <v>22</v>
      </c>
      <c r="E3" s="357" t="s">
        <v>2187</v>
      </c>
      <c r="F3" s="9" t="s">
        <v>22</v>
      </c>
      <c r="G3" s="357" t="s">
        <v>2188</v>
      </c>
      <c r="H3" s="409" t="s">
        <v>22</v>
      </c>
      <c r="I3" s="404"/>
      <c r="J3" s="9" t="s">
        <v>22</v>
      </c>
      <c r="K3" s="357" t="s">
        <v>2189</v>
      </c>
      <c r="L3" s="274" t="s">
        <v>22</v>
      </c>
      <c r="M3" s="9" t="s">
        <v>22</v>
      </c>
      <c r="N3" s="101" t="s">
        <v>22</v>
      </c>
    </row>
    <row r="4" spans="1:14" ht="15.75" customHeight="1" x14ac:dyDescent="0.2">
      <c r="A4" s="355">
        <v>2016</v>
      </c>
      <c r="B4" s="318" t="s">
        <v>2190</v>
      </c>
      <c r="C4" s="15" t="s">
        <v>22</v>
      </c>
      <c r="D4" s="15" t="s">
        <v>22</v>
      </c>
      <c r="E4" s="15" t="s">
        <v>22</v>
      </c>
      <c r="F4" s="15" t="s">
        <v>22</v>
      </c>
      <c r="G4" s="318" t="s">
        <v>2191</v>
      </c>
      <c r="H4" s="553" t="s">
        <v>22</v>
      </c>
      <c r="I4" s="404"/>
      <c r="J4" s="15" t="s">
        <v>22</v>
      </c>
      <c r="K4" s="15" t="s">
        <v>22</v>
      </c>
      <c r="L4" s="318" t="s">
        <v>2192</v>
      </c>
      <c r="M4" s="15" t="s">
        <v>22</v>
      </c>
      <c r="N4" s="358" t="s">
        <v>2193</v>
      </c>
    </row>
    <row r="5" spans="1:14" ht="15.75" customHeight="1" x14ac:dyDescent="0.2">
      <c r="A5" s="356">
        <v>2017</v>
      </c>
      <c r="B5" s="9" t="s">
        <v>22</v>
      </c>
      <c r="C5" s="357" t="s">
        <v>2194</v>
      </c>
      <c r="D5" s="9" t="s">
        <v>22</v>
      </c>
      <c r="E5" s="9" t="s">
        <v>22</v>
      </c>
      <c r="F5" s="9" t="s">
        <v>22</v>
      </c>
      <c r="G5" s="357" t="s">
        <v>2195</v>
      </c>
      <c r="H5" s="409" t="s">
        <v>22</v>
      </c>
      <c r="I5" s="404"/>
      <c r="J5" s="9" t="s">
        <v>22</v>
      </c>
      <c r="K5" s="9" t="s">
        <v>22</v>
      </c>
      <c r="L5" s="357" t="s">
        <v>2196</v>
      </c>
      <c r="M5" s="9" t="s">
        <v>22</v>
      </c>
      <c r="N5" s="101" t="s">
        <v>22</v>
      </c>
    </row>
    <row r="6" spans="1:14" ht="15.75" customHeight="1" x14ac:dyDescent="0.2">
      <c r="A6" s="355">
        <v>2018</v>
      </c>
      <c r="B6" s="15" t="s">
        <v>22</v>
      </c>
      <c r="C6" s="15" t="s">
        <v>22</v>
      </c>
      <c r="D6" s="15" t="s">
        <v>22</v>
      </c>
      <c r="E6" s="318" t="s">
        <v>2197</v>
      </c>
      <c r="F6" s="15" t="s">
        <v>22</v>
      </c>
      <c r="G6" s="15" t="s">
        <v>22</v>
      </c>
      <c r="H6" s="555" t="s">
        <v>2198</v>
      </c>
      <c r="I6" s="404"/>
      <c r="J6" s="15" t="s">
        <v>22</v>
      </c>
      <c r="K6" s="15" t="s">
        <v>22</v>
      </c>
      <c r="L6" s="15" t="s">
        <v>22</v>
      </c>
      <c r="M6" s="318" t="s">
        <v>2199</v>
      </c>
      <c r="N6" s="143" t="s">
        <v>22</v>
      </c>
    </row>
    <row r="7" spans="1:14" ht="15.75" customHeight="1" x14ac:dyDescent="0.2">
      <c r="A7" s="356">
        <v>2019</v>
      </c>
      <c r="B7" s="9" t="s">
        <v>22</v>
      </c>
      <c r="C7" s="357" t="s">
        <v>2200</v>
      </c>
      <c r="D7" s="9" t="s">
        <v>22</v>
      </c>
      <c r="E7" s="9" t="s">
        <v>22</v>
      </c>
      <c r="F7" s="9" t="s">
        <v>22</v>
      </c>
      <c r="G7" s="9" t="s">
        <v>22</v>
      </c>
      <c r="H7" s="552" t="s">
        <v>2201</v>
      </c>
      <c r="I7" s="404"/>
      <c r="J7" s="9" t="s">
        <v>22</v>
      </c>
      <c r="K7" s="9" t="s">
        <v>22</v>
      </c>
      <c r="L7" s="357" t="s">
        <v>2202</v>
      </c>
      <c r="M7" s="9" t="s">
        <v>22</v>
      </c>
      <c r="N7" s="101" t="s">
        <v>22</v>
      </c>
    </row>
    <row r="8" spans="1:14" ht="15.75" customHeight="1" x14ac:dyDescent="0.2">
      <c r="A8" s="355">
        <v>2020</v>
      </c>
      <c r="B8" s="318" t="s">
        <v>2203</v>
      </c>
      <c r="C8" s="15" t="s">
        <v>22</v>
      </c>
      <c r="D8" s="15" t="s">
        <v>22</v>
      </c>
      <c r="E8" s="318" t="s">
        <v>2204</v>
      </c>
      <c r="F8" s="15" t="s">
        <v>22</v>
      </c>
      <c r="G8" s="318" t="s">
        <v>2205</v>
      </c>
      <c r="H8" s="553" t="s">
        <v>22</v>
      </c>
      <c r="I8" s="404"/>
      <c r="J8" s="318" t="s">
        <v>2206</v>
      </c>
      <c r="K8" s="15" t="s">
        <v>22</v>
      </c>
      <c r="L8" s="318" t="s">
        <v>2202</v>
      </c>
      <c r="M8" s="15" t="s">
        <v>22</v>
      </c>
      <c r="N8" s="358" t="s">
        <v>2207</v>
      </c>
    </row>
    <row r="9" spans="1:14" ht="15.75" customHeight="1" x14ac:dyDescent="0.2">
      <c r="A9" s="356">
        <v>2021</v>
      </c>
      <c r="B9" s="357" t="s">
        <v>2208</v>
      </c>
      <c r="C9" s="9" t="s">
        <v>22</v>
      </c>
      <c r="D9" s="9" t="s">
        <v>22</v>
      </c>
      <c r="E9" s="9" t="s">
        <v>22</v>
      </c>
      <c r="F9" s="357" t="s">
        <v>2209</v>
      </c>
      <c r="G9" s="9" t="s">
        <v>22</v>
      </c>
      <c r="H9" s="552" t="s">
        <v>2210</v>
      </c>
      <c r="I9" s="404"/>
      <c r="J9" s="357" t="s">
        <v>2211</v>
      </c>
      <c r="K9" s="357" t="s">
        <v>2212</v>
      </c>
      <c r="L9" s="9" t="s">
        <v>22</v>
      </c>
      <c r="M9" s="357" t="s">
        <v>2213</v>
      </c>
      <c r="N9" s="101" t="s">
        <v>22</v>
      </c>
    </row>
    <row r="10" spans="1:14" ht="15.75" customHeight="1" x14ac:dyDescent="0.2">
      <c r="A10" s="359">
        <v>2022</v>
      </c>
      <c r="B10" s="17" t="s">
        <v>22</v>
      </c>
      <c r="C10" s="360">
        <v>44600</v>
      </c>
      <c r="D10" s="15" t="s">
        <v>22</v>
      </c>
      <c r="E10" s="15" t="s">
        <v>22</v>
      </c>
      <c r="F10" s="361" t="s">
        <v>2214</v>
      </c>
      <c r="G10" s="15" t="s">
        <v>22</v>
      </c>
      <c r="H10" s="553" t="s">
        <v>22</v>
      </c>
      <c r="I10" s="404"/>
      <c r="J10" s="15" t="s">
        <v>22</v>
      </c>
      <c r="K10" s="362" t="s">
        <v>2215</v>
      </c>
      <c r="L10" s="15" t="s">
        <v>22</v>
      </c>
      <c r="M10" s="362" t="s">
        <v>2216</v>
      </c>
      <c r="N10" s="143" t="s">
        <v>22</v>
      </c>
    </row>
    <row r="11" spans="1:14" ht="15.75" customHeight="1" x14ac:dyDescent="0.2">
      <c r="A11" s="356">
        <v>2023</v>
      </c>
      <c r="B11" s="363" t="s">
        <v>2217</v>
      </c>
      <c r="C11" s="9" t="s">
        <v>22</v>
      </c>
      <c r="D11" s="9" t="s">
        <v>22</v>
      </c>
      <c r="E11" s="363" t="s">
        <v>2218</v>
      </c>
      <c r="F11" s="9" t="s">
        <v>22</v>
      </c>
      <c r="G11" s="9" t="s">
        <v>22</v>
      </c>
      <c r="H11" s="409" t="s">
        <v>22</v>
      </c>
      <c r="I11" s="404"/>
      <c r="J11" s="363" t="s">
        <v>2219</v>
      </c>
      <c r="K11" s="9" t="s">
        <v>22</v>
      </c>
      <c r="L11" s="363" t="s">
        <v>2220</v>
      </c>
      <c r="M11" s="9" t="s">
        <v>22</v>
      </c>
      <c r="N11" s="101" t="s">
        <v>22</v>
      </c>
    </row>
    <row r="12" spans="1:14" ht="15.75" customHeight="1" x14ac:dyDescent="0.2">
      <c r="A12" s="359">
        <v>2024</v>
      </c>
      <c r="B12" s="364" t="s">
        <v>2221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553" t="s">
        <v>22</v>
      </c>
      <c r="I12" s="404"/>
      <c r="J12" s="15" t="s">
        <v>22</v>
      </c>
      <c r="K12" s="15" t="s">
        <v>22</v>
      </c>
      <c r="L12" s="362" t="s">
        <v>2222</v>
      </c>
      <c r="M12" s="15" t="s">
        <v>22</v>
      </c>
      <c r="N12" s="15" t="s">
        <v>22</v>
      </c>
    </row>
    <row r="13" spans="1:14" ht="15.75" customHeight="1" x14ac:dyDescent="0.2">
      <c r="A13" s="356">
        <v>2025</v>
      </c>
      <c r="B13" s="9"/>
      <c r="C13" s="9"/>
      <c r="D13" s="9"/>
      <c r="E13" s="9"/>
      <c r="F13" s="9"/>
      <c r="G13" s="9"/>
      <c r="H13" s="409"/>
      <c r="I13" s="404"/>
      <c r="J13" s="9"/>
      <c r="K13" s="9"/>
      <c r="L13" s="9"/>
      <c r="M13" s="9"/>
      <c r="N13" s="101"/>
    </row>
  </sheetData>
  <mergeCells count="12">
    <mergeCell ref="H7:I7"/>
    <mergeCell ref="H8:I8"/>
    <mergeCell ref="H1:I1"/>
    <mergeCell ref="H3:I3"/>
    <mergeCell ref="H4:I4"/>
    <mergeCell ref="H5:I5"/>
    <mergeCell ref="H6:I6"/>
    <mergeCell ref="H9:I9"/>
    <mergeCell ref="H10:I10"/>
    <mergeCell ref="H11:I11"/>
    <mergeCell ref="H12:I12"/>
    <mergeCell ref="H13:I13"/>
  </mergeCells>
  <hyperlinks>
    <hyperlink ref="H2" r:id="rId1" xr:uid="{00000000-0004-0000-0F00-000000000000}"/>
    <hyperlink ref="I2" r:id="rId2" xr:uid="{00000000-0004-0000-0F00-000001000000}"/>
    <hyperlink ref="L2" r:id="rId3" xr:uid="{00000000-0004-0000-0F00-000002000000}"/>
    <hyperlink ref="E3" r:id="rId4" xr:uid="{00000000-0004-0000-0F00-000003000000}"/>
    <hyperlink ref="G3" r:id="rId5" xr:uid="{00000000-0004-0000-0F00-000004000000}"/>
    <hyperlink ref="K3" r:id="rId6" xr:uid="{00000000-0004-0000-0F00-000005000000}"/>
    <hyperlink ref="B4" r:id="rId7" xr:uid="{00000000-0004-0000-0F00-000006000000}"/>
    <hyperlink ref="G4" r:id="rId8" xr:uid="{00000000-0004-0000-0F00-000007000000}"/>
    <hyperlink ref="L4" r:id="rId9" xr:uid="{00000000-0004-0000-0F00-000008000000}"/>
    <hyperlink ref="N4" r:id="rId10" xr:uid="{00000000-0004-0000-0F00-000009000000}"/>
    <hyperlink ref="C5" r:id="rId11" xr:uid="{00000000-0004-0000-0F00-00000A000000}"/>
    <hyperlink ref="G5" r:id="rId12" xr:uid="{00000000-0004-0000-0F00-00000B000000}"/>
    <hyperlink ref="L5" r:id="rId13" xr:uid="{00000000-0004-0000-0F00-00000C000000}"/>
    <hyperlink ref="E6" r:id="rId14" xr:uid="{00000000-0004-0000-0F00-00000D000000}"/>
    <hyperlink ref="H6" r:id="rId15" xr:uid="{00000000-0004-0000-0F00-00000E000000}"/>
    <hyperlink ref="M6" r:id="rId16" xr:uid="{00000000-0004-0000-0F00-00000F000000}"/>
    <hyperlink ref="C7" r:id="rId17" xr:uid="{00000000-0004-0000-0F00-000010000000}"/>
    <hyperlink ref="H7" r:id="rId18" xr:uid="{00000000-0004-0000-0F00-000011000000}"/>
    <hyperlink ref="L7" r:id="rId19" xr:uid="{00000000-0004-0000-0F00-000012000000}"/>
    <hyperlink ref="B8" r:id="rId20" xr:uid="{00000000-0004-0000-0F00-000013000000}"/>
    <hyperlink ref="E8" r:id="rId21" xr:uid="{00000000-0004-0000-0F00-000014000000}"/>
    <hyperlink ref="G8" r:id="rId22" xr:uid="{00000000-0004-0000-0F00-000015000000}"/>
    <hyperlink ref="J8" r:id="rId23" xr:uid="{00000000-0004-0000-0F00-000016000000}"/>
    <hyperlink ref="L8" r:id="rId24" xr:uid="{00000000-0004-0000-0F00-000017000000}"/>
    <hyperlink ref="N8" r:id="rId25" xr:uid="{00000000-0004-0000-0F00-000018000000}"/>
    <hyperlink ref="B9" r:id="rId26" xr:uid="{00000000-0004-0000-0F00-000019000000}"/>
    <hyperlink ref="F9" r:id="rId27" xr:uid="{00000000-0004-0000-0F00-00001A000000}"/>
    <hyperlink ref="H9" r:id="rId28" xr:uid="{00000000-0004-0000-0F00-00001B000000}"/>
    <hyperlink ref="J9" r:id="rId29" xr:uid="{00000000-0004-0000-0F00-00001C000000}"/>
    <hyperlink ref="K9" r:id="rId30" xr:uid="{00000000-0004-0000-0F00-00001D000000}"/>
    <hyperlink ref="M9" r:id="rId31" xr:uid="{00000000-0004-0000-0F00-00001E000000}"/>
    <hyperlink ref="C10" r:id="rId32" display="https://warthunder.com/en/news/7547-development-battle-rating-update-and-important-changes-to-the-top-tier-air-battles-en" xr:uid="{00000000-0004-0000-0F00-00001F000000}"/>
    <hyperlink ref="F10" r:id="rId33" xr:uid="{00000000-0004-0000-0F00-000020000000}"/>
    <hyperlink ref="K10" r:id="rId34" xr:uid="{00000000-0004-0000-0F00-000021000000}"/>
    <hyperlink ref="M10" r:id="rId35" xr:uid="{00000000-0004-0000-0F00-000022000000}"/>
    <hyperlink ref="B11" r:id="rId36" xr:uid="{00000000-0004-0000-0F00-000023000000}"/>
    <hyperlink ref="E11" r:id="rId37" xr:uid="{00000000-0004-0000-0F00-000024000000}"/>
    <hyperlink ref="J11" r:id="rId38" xr:uid="{00000000-0004-0000-0F00-000025000000}"/>
    <hyperlink ref="L11" r:id="rId39" xr:uid="{00000000-0004-0000-0F00-000026000000}"/>
    <hyperlink ref="B12" r:id="rId40" xr:uid="{00000000-0004-0000-0F00-000027000000}"/>
    <hyperlink ref="L12" r:id="rId41" xr:uid="{00000000-0004-0000-0F00-000028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0"/>
  <sheetViews>
    <sheetView workbookViewId="0"/>
  </sheetViews>
  <sheetFormatPr defaultColWidth="12.5703125" defaultRowHeight="15.75" customHeight="1" x14ac:dyDescent="0.2"/>
  <sheetData>
    <row r="1" spans="1:14" ht="15.75" customHeight="1" x14ac:dyDescent="0.2">
      <c r="A1" s="351" t="s">
        <v>2223</v>
      </c>
      <c r="B1" s="352" t="s">
        <v>2173</v>
      </c>
      <c r="C1" s="352" t="s">
        <v>2174</v>
      </c>
      <c r="D1" s="352" t="s">
        <v>2175</v>
      </c>
      <c r="E1" s="352" t="s">
        <v>2176</v>
      </c>
      <c r="F1" s="352" t="s">
        <v>2177</v>
      </c>
      <c r="G1" s="352" t="s">
        <v>2178</v>
      </c>
      <c r="H1" s="556" t="s">
        <v>2179</v>
      </c>
      <c r="I1" s="397"/>
      <c r="J1" s="352" t="s">
        <v>2180</v>
      </c>
      <c r="K1" s="352" t="s">
        <v>2181</v>
      </c>
      <c r="L1" s="352" t="s">
        <v>2182</v>
      </c>
      <c r="M1" s="352" t="s">
        <v>2183</v>
      </c>
      <c r="N1" s="354" t="s">
        <v>2184</v>
      </c>
    </row>
    <row r="2" spans="1:14" ht="15.75" customHeight="1" x14ac:dyDescent="0.2">
      <c r="A2" s="355">
        <v>2015</v>
      </c>
      <c r="B2" s="15" t="s">
        <v>22</v>
      </c>
      <c r="C2" s="15" t="s">
        <v>22</v>
      </c>
      <c r="D2" s="15" t="s">
        <v>22</v>
      </c>
      <c r="E2" s="318" t="s">
        <v>2187</v>
      </c>
      <c r="F2" s="15" t="s">
        <v>22</v>
      </c>
      <c r="G2" s="318" t="s">
        <v>2224</v>
      </c>
      <c r="H2" s="553" t="s">
        <v>22</v>
      </c>
      <c r="I2" s="404"/>
      <c r="J2" s="15" t="s">
        <v>22</v>
      </c>
      <c r="K2" s="318" t="s">
        <v>2189</v>
      </c>
      <c r="L2" s="15" t="s">
        <v>22</v>
      </c>
      <c r="M2" s="318" t="s">
        <v>2225</v>
      </c>
      <c r="N2" s="143" t="s">
        <v>22</v>
      </c>
    </row>
    <row r="3" spans="1:14" ht="15.75" customHeight="1" x14ac:dyDescent="0.2">
      <c r="A3" s="356">
        <v>2016</v>
      </c>
      <c r="B3" s="357" t="s">
        <v>2190</v>
      </c>
      <c r="C3" s="9" t="s">
        <v>22</v>
      </c>
      <c r="D3" s="9" t="s">
        <v>22</v>
      </c>
      <c r="E3" s="9" t="s">
        <v>22</v>
      </c>
      <c r="F3" s="9" t="s">
        <v>22</v>
      </c>
      <c r="G3" s="9" t="s">
        <v>22</v>
      </c>
      <c r="H3" s="409" t="s">
        <v>22</v>
      </c>
      <c r="I3" s="404"/>
      <c r="J3" s="9" t="s">
        <v>22</v>
      </c>
      <c r="K3" s="9" t="s">
        <v>22</v>
      </c>
      <c r="L3" s="9" t="s">
        <v>22</v>
      </c>
      <c r="M3" s="9" t="s">
        <v>22</v>
      </c>
      <c r="N3" s="101" t="s">
        <v>22</v>
      </c>
    </row>
    <row r="4" spans="1:14" ht="15.75" customHeight="1" x14ac:dyDescent="0.2">
      <c r="A4" s="355">
        <v>2017</v>
      </c>
      <c r="B4" s="15" t="s">
        <v>22</v>
      </c>
      <c r="C4" s="318" t="s">
        <v>2226</v>
      </c>
      <c r="D4" s="15" t="s">
        <v>22</v>
      </c>
      <c r="E4" s="318" t="s">
        <v>2227</v>
      </c>
      <c r="F4" s="15" t="s">
        <v>22</v>
      </c>
      <c r="G4" s="15" t="s">
        <v>22</v>
      </c>
      <c r="H4" s="553" t="s">
        <v>22</v>
      </c>
      <c r="I4" s="404"/>
      <c r="J4" s="15" t="s">
        <v>22</v>
      </c>
      <c r="K4" s="15" t="s">
        <v>22</v>
      </c>
      <c r="L4" s="318" t="s">
        <v>2196</v>
      </c>
      <c r="M4" s="15" t="s">
        <v>22</v>
      </c>
      <c r="N4" s="143" t="s">
        <v>22</v>
      </c>
    </row>
    <row r="5" spans="1:14" ht="15.75" customHeight="1" x14ac:dyDescent="0.2">
      <c r="A5" s="356">
        <v>2018</v>
      </c>
      <c r="B5" s="9" t="s">
        <v>22</v>
      </c>
      <c r="C5" s="9" t="s">
        <v>22</v>
      </c>
      <c r="D5" s="9" t="s">
        <v>22</v>
      </c>
      <c r="E5" s="357" t="s">
        <v>2228</v>
      </c>
      <c r="F5" s="9" t="s">
        <v>22</v>
      </c>
      <c r="G5" s="9" t="s">
        <v>22</v>
      </c>
      <c r="H5" s="425" t="s">
        <v>22</v>
      </c>
      <c r="I5" s="394"/>
      <c r="J5" s="9" t="s">
        <v>22</v>
      </c>
      <c r="K5" s="9" t="s">
        <v>22</v>
      </c>
      <c r="L5" s="357" t="s">
        <v>2196</v>
      </c>
      <c r="M5" s="9" t="s">
        <v>22</v>
      </c>
      <c r="N5" s="101" t="s">
        <v>22</v>
      </c>
    </row>
    <row r="6" spans="1:14" ht="15.75" customHeight="1" x14ac:dyDescent="0.2">
      <c r="A6" s="355">
        <v>2019</v>
      </c>
      <c r="B6" s="15" t="s">
        <v>22</v>
      </c>
      <c r="C6" s="318" t="s">
        <v>2229</v>
      </c>
      <c r="D6" s="15" t="s">
        <v>22</v>
      </c>
      <c r="E6" s="318" t="s">
        <v>2230</v>
      </c>
      <c r="F6" s="15" t="s">
        <v>22</v>
      </c>
      <c r="G6" s="15" t="s">
        <v>22</v>
      </c>
      <c r="H6" s="326" t="s">
        <v>2201</v>
      </c>
      <c r="I6" s="318" t="s">
        <v>2231</v>
      </c>
      <c r="J6" s="15" t="s">
        <v>22</v>
      </c>
      <c r="K6" s="15" t="s">
        <v>22</v>
      </c>
      <c r="L6" s="318" t="s">
        <v>2232</v>
      </c>
      <c r="M6" s="15" t="s">
        <v>22</v>
      </c>
      <c r="N6" s="358" t="s">
        <v>2207</v>
      </c>
    </row>
    <row r="7" spans="1:14" ht="15.75" customHeight="1" x14ac:dyDescent="0.2">
      <c r="A7" s="356">
        <v>2020</v>
      </c>
      <c r="B7" s="357" t="s">
        <v>2203</v>
      </c>
      <c r="C7" s="9" t="s">
        <v>22</v>
      </c>
      <c r="D7" s="9" t="s">
        <v>22</v>
      </c>
      <c r="E7" s="357" t="s">
        <v>2233</v>
      </c>
      <c r="F7" s="9" t="s">
        <v>22</v>
      </c>
      <c r="G7" s="357" t="s">
        <v>2234</v>
      </c>
      <c r="H7" s="409" t="s">
        <v>22</v>
      </c>
      <c r="I7" s="404"/>
      <c r="J7" s="357" t="s">
        <v>2206</v>
      </c>
      <c r="K7" s="9" t="s">
        <v>22</v>
      </c>
      <c r="L7" s="357" t="s">
        <v>2235</v>
      </c>
      <c r="M7" s="9" t="s">
        <v>22</v>
      </c>
      <c r="N7" s="365" t="s">
        <v>2236</v>
      </c>
    </row>
    <row r="8" spans="1:14" ht="15.75" customHeight="1" x14ac:dyDescent="0.2">
      <c r="A8" s="355">
        <v>2021</v>
      </c>
      <c r="B8" s="15" t="s">
        <v>22</v>
      </c>
      <c r="C8" s="318" t="s">
        <v>2237</v>
      </c>
      <c r="D8" s="15" t="s">
        <v>22</v>
      </c>
      <c r="E8" s="318" t="s">
        <v>2238</v>
      </c>
      <c r="F8" s="15" t="s">
        <v>22</v>
      </c>
      <c r="G8" s="15" t="s">
        <v>22</v>
      </c>
      <c r="H8" s="555" t="s">
        <v>2239</v>
      </c>
      <c r="I8" s="404"/>
      <c r="J8" s="318" t="s">
        <v>2240</v>
      </c>
      <c r="K8" s="15" t="s">
        <v>22</v>
      </c>
      <c r="L8" s="15" t="s">
        <v>22</v>
      </c>
      <c r="M8" s="15" t="s">
        <v>22</v>
      </c>
      <c r="N8" s="143" t="s">
        <v>22</v>
      </c>
    </row>
    <row r="9" spans="1:14" ht="15.75" customHeight="1" x14ac:dyDescent="0.2">
      <c r="A9" s="354">
        <v>2022</v>
      </c>
      <c r="B9" s="366">
        <v>44588</v>
      </c>
      <c r="C9" s="9" t="s">
        <v>22</v>
      </c>
      <c r="D9" s="9" t="s">
        <v>22</v>
      </c>
      <c r="E9" s="9" t="s">
        <v>22</v>
      </c>
      <c r="F9" s="357" t="s">
        <v>2241</v>
      </c>
      <c r="G9" s="9" t="s">
        <v>22</v>
      </c>
      <c r="H9" s="409" t="s">
        <v>22</v>
      </c>
      <c r="I9" s="404"/>
      <c r="J9" s="9" t="s">
        <v>22</v>
      </c>
      <c r="K9" s="9" t="s">
        <v>22</v>
      </c>
      <c r="L9" s="9" t="s">
        <v>22</v>
      </c>
      <c r="M9" s="9" t="s">
        <v>22</v>
      </c>
      <c r="N9" s="101" t="s">
        <v>22</v>
      </c>
    </row>
    <row r="10" spans="1:14" ht="15.75" customHeight="1" x14ac:dyDescent="0.2">
      <c r="A10" s="355">
        <v>2023</v>
      </c>
      <c r="B10" s="15" t="s">
        <v>22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43"/>
    </row>
  </sheetData>
  <mergeCells count="8">
    <mergeCell ref="H7:I7"/>
    <mergeCell ref="H8:I8"/>
    <mergeCell ref="H9:I9"/>
    <mergeCell ref="H1:I1"/>
    <mergeCell ref="H2:I2"/>
    <mergeCell ref="H3:I3"/>
    <mergeCell ref="H4:I4"/>
    <mergeCell ref="H5:I5"/>
  </mergeCells>
  <hyperlinks>
    <hyperlink ref="E2" r:id="rId1" xr:uid="{00000000-0004-0000-1000-000000000000}"/>
    <hyperlink ref="G2" r:id="rId2" xr:uid="{00000000-0004-0000-1000-000001000000}"/>
    <hyperlink ref="K2" r:id="rId3" xr:uid="{00000000-0004-0000-1000-000002000000}"/>
    <hyperlink ref="M2" r:id="rId4" xr:uid="{00000000-0004-0000-1000-000003000000}"/>
    <hyperlink ref="B3" r:id="rId5" xr:uid="{00000000-0004-0000-1000-000004000000}"/>
    <hyperlink ref="C4" r:id="rId6" xr:uid="{00000000-0004-0000-1000-000005000000}"/>
    <hyperlink ref="E4" r:id="rId7" xr:uid="{00000000-0004-0000-1000-000006000000}"/>
    <hyperlink ref="L4" r:id="rId8" xr:uid="{00000000-0004-0000-1000-000007000000}"/>
    <hyperlink ref="E5" r:id="rId9" xr:uid="{00000000-0004-0000-1000-000008000000}"/>
    <hyperlink ref="L5" r:id="rId10" xr:uid="{00000000-0004-0000-1000-000009000000}"/>
    <hyperlink ref="C6" r:id="rId11" xr:uid="{00000000-0004-0000-1000-00000A000000}"/>
    <hyperlink ref="E6" r:id="rId12" xr:uid="{00000000-0004-0000-1000-00000B000000}"/>
    <hyperlink ref="H6" r:id="rId13" xr:uid="{00000000-0004-0000-1000-00000C000000}"/>
    <hyperlink ref="I6" r:id="rId14" xr:uid="{00000000-0004-0000-1000-00000D000000}"/>
    <hyperlink ref="L6" r:id="rId15" xr:uid="{00000000-0004-0000-1000-00000E000000}"/>
    <hyperlink ref="N6" r:id="rId16" xr:uid="{00000000-0004-0000-1000-00000F000000}"/>
    <hyperlink ref="B7" r:id="rId17" xr:uid="{00000000-0004-0000-1000-000010000000}"/>
    <hyperlink ref="E7" r:id="rId18" xr:uid="{00000000-0004-0000-1000-000011000000}"/>
    <hyperlink ref="G7" r:id="rId19" xr:uid="{00000000-0004-0000-1000-000012000000}"/>
    <hyperlink ref="J7" r:id="rId20" xr:uid="{00000000-0004-0000-1000-000013000000}"/>
    <hyperlink ref="L7" r:id="rId21" xr:uid="{00000000-0004-0000-1000-000014000000}"/>
    <hyperlink ref="N7" r:id="rId22" xr:uid="{00000000-0004-0000-1000-000015000000}"/>
    <hyperlink ref="C8" r:id="rId23" xr:uid="{00000000-0004-0000-1000-000016000000}"/>
    <hyperlink ref="E8" r:id="rId24" xr:uid="{00000000-0004-0000-1000-000017000000}"/>
    <hyperlink ref="H8" r:id="rId25" xr:uid="{00000000-0004-0000-1000-000018000000}"/>
    <hyperlink ref="J8" r:id="rId26" xr:uid="{00000000-0004-0000-1000-000019000000}"/>
    <hyperlink ref="B9" r:id="rId27" display="https://warthunder.com/en/news/7537-development-planned-economy-changes-in-february-en" xr:uid="{00000000-0004-0000-1000-00001A000000}"/>
    <hyperlink ref="F9" r:id="rId28" xr:uid="{00000000-0004-0000-1000-00001B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12"/>
  <sheetViews>
    <sheetView workbookViewId="0"/>
  </sheetViews>
  <sheetFormatPr defaultColWidth="12.5703125" defaultRowHeight="15.75" customHeight="1" x14ac:dyDescent="0.2"/>
  <sheetData>
    <row r="1" spans="1:13" ht="15.75" customHeight="1" x14ac:dyDescent="0.2">
      <c r="A1" s="367" t="s">
        <v>2242</v>
      </c>
      <c r="B1" s="368" t="s">
        <v>2173</v>
      </c>
      <c r="C1" s="368" t="s">
        <v>2174</v>
      </c>
      <c r="D1" s="368" t="s">
        <v>2175</v>
      </c>
      <c r="E1" s="369" t="s">
        <v>2176</v>
      </c>
      <c r="F1" s="369" t="s">
        <v>2177</v>
      </c>
      <c r="G1" s="369" t="s">
        <v>2178</v>
      </c>
      <c r="H1" s="369" t="s">
        <v>2179</v>
      </c>
      <c r="I1" s="369" t="s">
        <v>2180</v>
      </c>
      <c r="J1" s="369" t="s">
        <v>2181</v>
      </c>
      <c r="K1" s="369" t="s">
        <v>2182</v>
      </c>
      <c r="L1" s="368" t="s">
        <v>2183</v>
      </c>
      <c r="M1" s="356" t="s">
        <v>2184</v>
      </c>
    </row>
    <row r="2" spans="1:13" ht="15.75" customHeight="1" x14ac:dyDescent="0.2">
      <c r="A2" s="557">
        <v>2017</v>
      </c>
      <c r="B2" s="326" t="s">
        <v>2243</v>
      </c>
      <c r="C2" s="370">
        <v>42768</v>
      </c>
      <c r="D2" s="370">
        <v>42797</v>
      </c>
      <c r="E2" s="558">
        <v>42844</v>
      </c>
      <c r="F2" s="558">
        <v>42859</v>
      </c>
      <c r="G2" s="370">
        <v>42887</v>
      </c>
      <c r="H2" s="370">
        <v>42929</v>
      </c>
      <c r="I2" s="370">
        <v>42964</v>
      </c>
      <c r="J2" s="558">
        <v>43007</v>
      </c>
      <c r="K2" s="558">
        <v>43030</v>
      </c>
      <c r="L2" s="370">
        <v>43048</v>
      </c>
      <c r="M2" s="559">
        <v>43084</v>
      </c>
    </row>
    <row r="3" spans="1:13" ht="15.75" customHeight="1" x14ac:dyDescent="0.2">
      <c r="A3" s="412"/>
      <c r="B3" s="490">
        <v>42754</v>
      </c>
      <c r="C3" s="490">
        <v>42782</v>
      </c>
      <c r="D3" s="490">
        <v>42817</v>
      </c>
      <c r="E3" s="402"/>
      <c r="F3" s="402"/>
      <c r="G3" s="280">
        <v>42895</v>
      </c>
      <c r="H3" s="280">
        <v>42943</v>
      </c>
      <c r="I3" s="280">
        <v>42972</v>
      </c>
      <c r="J3" s="402"/>
      <c r="K3" s="402"/>
      <c r="L3" s="490">
        <v>43067</v>
      </c>
      <c r="M3" s="412"/>
    </row>
    <row r="4" spans="1:13" ht="15.75" customHeight="1" x14ac:dyDescent="0.2">
      <c r="A4" s="398"/>
      <c r="B4" s="397"/>
      <c r="C4" s="397"/>
      <c r="D4" s="397"/>
      <c r="E4" s="397"/>
      <c r="F4" s="397"/>
      <c r="G4" s="371">
        <v>42898</v>
      </c>
      <c r="H4" s="371"/>
      <c r="I4" s="371">
        <v>42977</v>
      </c>
      <c r="J4" s="397"/>
      <c r="K4" s="397"/>
      <c r="L4" s="397"/>
      <c r="M4" s="398"/>
    </row>
    <row r="5" spans="1:13" ht="15.75" customHeight="1" x14ac:dyDescent="0.2">
      <c r="A5" s="562">
        <v>2018</v>
      </c>
      <c r="B5" s="303">
        <v>43110</v>
      </c>
      <c r="C5" s="518">
        <v>43139</v>
      </c>
      <c r="D5" s="518">
        <v>43168</v>
      </c>
      <c r="E5" s="303">
        <v>43207</v>
      </c>
      <c r="F5" s="518">
        <v>43231</v>
      </c>
      <c r="G5" s="518">
        <v>43281</v>
      </c>
      <c r="H5" s="560" t="s">
        <v>22</v>
      </c>
      <c r="I5" s="518">
        <v>43328</v>
      </c>
      <c r="J5" s="518">
        <v>43353</v>
      </c>
      <c r="K5" s="560" t="s">
        <v>22</v>
      </c>
      <c r="L5" s="307">
        <v>43413</v>
      </c>
      <c r="M5" s="561">
        <v>43458</v>
      </c>
    </row>
    <row r="6" spans="1:13" ht="15.75" customHeight="1" x14ac:dyDescent="0.2">
      <c r="A6" s="398"/>
      <c r="B6" s="372">
        <v>43125</v>
      </c>
      <c r="C6" s="397"/>
      <c r="D6" s="397"/>
      <c r="E6" s="372">
        <v>43209</v>
      </c>
      <c r="F6" s="397"/>
      <c r="G6" s="397"/>
      <c r="H6" s="397"/>
      <c r="I6" s="397"/>
      <c r="J6" s="397"/>
      <c r="K6" s="397"/>
      <c r="L6" s="372">
        <v>43433</v>
      </c>
      <c r="M6" s="398"/>
    </row>
    <row r="7" spans="1:13" ht="15.75" customHeight="1" x14ac:dyDescent="0.2">
      <c r="A7" s="557">
        <v>2019</v>
      </c>
      <c r="B7" s="558">
        <v>43495</v>
      </c>
      <c r="C7" s="370">
        <v>43503</v>
      </c>
      <c r="D7" s="543" t="s">
        <v>22</v>
      </c>
      <c r="E7" s="558">
        <v>43585</v>
      </c>
      <c r="F7" s="558">
        <v>43602</v>
      </c>
      <c r="G7" s="558">
        <v>43636</v>
      </c>
      <c r="H7" s="558">
        <v>43657</v>
      </c>
      <c r="I7" s="558">
        <v>43699</v>
      </c>
      <c r="J7" s="543" t="s">
        <v>22</v>
      </c>
      <c r="K7" s="558">
        <v>43756</v>
      </c>
      <c r="L7" s="558">
        <v>43776</v>
      </c>
      <c r="M7" s="559">
        <v>43822</v>
      </c>
    </row>
    <row r="8" spans="1:13" ht="15.75" customHeight="1" x14ac:dyDescent="0.2">
      <c r="A8" s="398"/>
      <c r="B8" s="397"/>
      <c r="C8" s="371">
        <v>43517</v>
      </c>
      <c r="D8" s="397"/>
      <c r="E8" s="397"/>
      <c r="F8" s="397"/>
      <c r="G8" s="397"/>
      <c r="H8" s="397"/>
      <c r="I8" s="397"/>
      <c r="J8" s="397"/>
      <c r="K8" s="397"/>
      <c r="L8" s="397"/>
      <c r="M8" s="398"/>
    </row>
    <row r="9" spans="1:13" ht="15.75" customHeight="1" x14ac:dyDescent="0.2">
      <c r="A9" s="356">
        <v>2020</v>
      </c>
      <c r="B9" s="274" t="s">
        <v>22</v>
      </c>
      <c r="C9" s="373">
        <v>43867</v>
      </c>
      <c r="D9" s="274" t="s">
        <v>22</v>
      </c>
      <c r="E9" s="373">
        <v>43934</v>
      </c>
      <c r="F9" s="274" t="s">
        <v>22</v>
      </c>
      <c r="G9" s="373">
        <v>44001</v>
      </c>
      <c r="H9" s="274" t="s">
        <v>22</v>
      </c>
      <c r="I9" s="373">
        <v>44048</v>
      </c>
      <c r="J9" s="274" t="s">
        <v>22</v>
      </c>
      <c r="K9" s="373">
        <v>44112</v>
      </c>
      <c r="L9" s="274" t="s">
        <v>22</v>
      </c>
      <c r="M9" s="374" t="s">
        <v>22</v>
      </c>
    </row>
    <row r="10" spans="1:13" ht="15.75" customHeight="1" x14ac:dyDescent="0.2">
      <c r="A10" s="355">
        <v>2021</v>
      </c>
      <c r="B10" s="375" t="s">
        <v>22</v>
      </c>
      <c r="C10" s="376">
        <v>44232</v>
      </c>
      <c r="D10" s="375" t="s">
        <v>22</v>
      </c>
      <c r="E10" s="376">
        <v>44306</v>
      </c>
      <c r="F10" s="375" t="s">
        <v>22</v>
      </c>
      <c r="G10" s="375" t="s">
        <v>22</v>
      </c>
      <c r="H10" s="376">
        <v>44390</v>
      </c>
      <c r="I10" s="375" t="s">
        <v>22</v>
      </c>
      <c r="J10" s="375" t="s">
        <v>22</v>
      </c>
      <c r="K10" s="375" t="s">
        <v>22</v>
      </c>
      <c r="L10" s="375" t="s">
        <v>22</v>
      </c>
      <c r="M10" s="377">
        <v>44531</v>
      </c>
    </row>
    <row r="11" spans="1:13" ht="15.75" customHeight="1" x14ac:dyDescent="0.2">
      <c r="A11" s="354">
        <v>2022</v>
      </c>
      <c r="B11" s="378" t="s">
        <v>22</v>
      </c>
      <c r="C11" s="59" t="s">
        <v>22</v>
      </c>
      <c r="D11" s="378" t="s">
        <v>22</v>
      </c>
      <c r="E11" s="378" t="s">
        <v>22</v>
      </c>
      <c r="F11" s="373">
        <v>44707</v>
      </c>
      <c r="G11" s="378" t="s">
        <v>22</v>
      </c>
      <c r="H11" s="378" t="s">
        <v>22</v>
      </c>
      <c r="I11" s="378" t="s">
        <v>22</v>
      </c>
      <c r="J11" s="378" t="s">
        <v>22</v>
      </c>
      <c r="K11" s="378" t="s">
        <v>22</v>
      </c>
      <c r="L11" s="378" t="s">
        <v>22</v>
      </c>
      <c r="M11" s="374" t="s">
        <v>22</v>
      </c>
    </row>
    <row r="12" spans="1:13" ht="15.75" customHeight="1" x14ac:dyDescent="0.2">
      <c r="A12" s="355">
        <v>2023</v>
      </c>
      <c r="B12" s="379">
        <v>44964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380"/>
    </row>
  </sheetData>
  <mergeCells count="32">
    <mergeCell ref="G7:G8"/>
    <mergeCell ref="H7:H8"/>
    <mergeCell ref="A7:A8"/>
    <mergeCell ref="B7:B8"/>
    <mergeCell ref="D7:D8"/>
    <mergeCell ref="E7:E8"/>
    <mergeCell ref="F7:F8"/>
    <mergeCell ref="I7:I8"/>
    <mergeCell ref="J7:J8"/>
    <mergeCell ref="K7:K8"/>
    <mergeCell ref="L7:L8"/>
    <mergeCell ref="M7:M8"/>
    <mergeCell ref="A5:A6"/>
    <mergeCell ref="C5:C6"/>
    <mergeCell ref="D5:D6"/>
    <mergeCell ref="F5:F6"/>
    <mergeCell ref="G5:G6"/>
    <mergeCell ref="M2:M4"/>
    <mergeCell ref="B3:B4"/>
    <mergeCell ref="L3:L4"/>
    <mergeCell ref="H5:H6"/>
    <mergeCell ref="I5:I6"/>
    <mergeCell ref="J5:J6"/>
    <mergeCell ref="K5:K6"/>
    <mergeCell ref="M5:M6"/>
    <mergeCell ref="C3:C4"/>
    <mergeCell ref="D3:D4"/>
    <mergeCell ref="A2:A4"/>
    <mergeCell ref="E2:E4"/>
    <mergeCell ref="F2:F4"/>
    <mergeCell ref="J2:J4"/>
    <mergeCell ref="K2:K4"/>
  </mergeCells>
  <hyperlinks>
    <hyperlink ref="B2" r:id="rId1" xr:uid="{00000000-0004-0000-1100-000000000000}"/>
    <hyperlink ref="C2" r:id="rId2" display="https://warthunder.com/en/news/4483-development-we-answer-your-questions-en/" xr:uid="{00000000-0004-0000-1100-000001000000}"/>
    <hyperlink ref="D2" r:id="rId3" display="https://warthunder.com/en/news/4555-development-we-answer-your-questions-en" xr:uid="{00000000-0004-0000-1100-000002000000}"/>
    <hyperlink ref="E2" r:id="rId4" display="https://warthunder.com/en/news/4652-development-answers-from-developers-en" xr:uid="{00000000-0004-0000-1100-000003000000}"/>
    <hyperlink ref="F2" r:id="rId5" display="https://warthunder.com/en/news/4680-development-answers-from-developers-en" xr:uid="{00000000-0004-0000-1100-000004000000}"/>
    <hyperlink ref="G2" r:id="rId6" display="https://warthunder.com/en/news/4749-development-answers-from-developers-en" xr:uid="{00000000-0004-0000-1100-000005000000}"/>
    <hyperlink ref="H2" r:id="rId7" display="https://warthunder.com/en/news/4836-development-answers-from-developers-en" xr:uid="{00000000-0004-0000-1100-000006000000}"/>
    <hyperlink ref="I2" r:id="rId8" display="https://warthunder.com/en/news/4898-development-answers-from-developers-en" xr:uid="{00000000-0004-0000-1100-000007000000}"/>
    <hyperlink ref="J2" r:id="rId9" display="https://warthunder.com/en/news/4989-development-answers-from-developers-en" xr:uid="{00000000-0004-0000-1100-000008000000}"/>
    <hyperlink ref="K2" r:id="rId10" display="https://warthunder.com/en/news/5011-development-answers-from-developers-en" xr:uid="{00000000-0004-0000-1100-000009000000}"/>
    <hyperlink ref="L2" r:id="rId11" display="https://warthunder.com/en/news/5107-q-a-answers-from-the-developers-en" xr:uid="{00000000-0004-0000-1100-00000A000000}"/>
    <hyperlink ref="M2" r:id="rId12" display="https://warthunder.com/en/news/5198-q-a-answers-from-the-developers-en" xr:uid="{00000000-0004-0000-1100-00000B000000}"/>
    <hyperlink ref="B3" r:id="rId13" display="https://warthunder.com/en/news/4463-development-we-answer-your-questions-en" xr:uid="{00000000-0004-0000-1100-00000C000000}"/>
    <hyperlink ref="C3" r:id="rId14" display="https://warthunder.com/en/news/4516-development-we-answer-your-questions-en" xr:uid="{00000000-0004-0000-1100-00000D000000}"/>
    <hyperlink ref="D3" r:id="rId15" display="https://warthunder.com/en/news/4599-development-answers-from-developers-en" xr:uid="{00000000-0004-0000-1100-00000E000000}"/>
    <hyperlink ref="G3" r:id="rId16" display="https://warthunder.com/en/news/4769-development-q-a-for-world-war-game-mode-en" xr:uid="{00000000-0004-0000-1100-00000F000000}"/>
    <hyperlink ref="H3" r:id="rId17" display="https://warthunder.com/en/news/4865-development-answers-from-developers-en" xr:uid="{00000000-0004-0000-1100-000010000000}"/>
    <hyperlink ref="I3" r:id="rId18" display="https://warthunder.com/en/news/4927-development-a-new-era-in-war-thunder-early-details-en" xr:uid="{00000000-0004-0000-1100-000011000000}"/>
    <hyperlink ref="L3" r:id="rId19" display="https://warthunder.com/en/news/5142-q-a-answers-from-the-developers-en" xr:uid="{00000000-0004-0000-1100-000012000000}"/>
    <hyperlink ref="G4" r:id="rId20" display="https://warthunder.com/en/news/4771-development-latest-naval-q-a-en" xr:uid="{00000000-0004-0000-1100-000013000000}"/>
    <hyperlink ref="I4" r:id="rId21" display="https://warthunder.com/en/news/4933-development-answers-from-developers-en" xr:uid="{00000000-0004-0000-1100-000014000000}"/>
    <hyperlink ref="B5" r:id="rId22" display="https://warthunder.com/en/news/5250-q-a-answers-from-the-developers-en" xr:uid="{00000000-0004-0000-1100-000015000000}"/>
    <hyperlink ref="C5" r:id="rId23" display="https://warthunder.com/en/news/5308-q-a-answers-from-the-developers-en" xr:uid="{00000000-0004-0000-1100-000016000000}"/>
    <hyperlink ref="D5" r:id="rId24" display="https://warthunder.com/en/news/5376-q-a-answers-from-the-developers-en" xr:uid="{00000000-0004-0000-1100-000017000000}"/>
    <hyperlink ref="E5" r:id="rId25" display="https://warthunder.com/en/news/5464-q-a-answers-from-the-developers-en" xr:uid="{00000000-0004-0000-1100-000018000000}"/>
    <hyperlink ref="F5" r:id="rId26" display="https://warthunder.com/en/news/5497-development-answers-from-developers-en" xr:uid="{00000000-0004-0000-1100-000019000000}"/>
    <hyperlink ref="G5" r:id="rId27" display="https://warthunder.com/en/news/5615-development-answers-from-developers-en" xr:uid="{00000000-0004-0000-1100-00001A000000}"/>
    <hyperlink ref="I5" r:id="rId28" display="https://warthunder.com/en/news/5700-qa-answers-from-the-developers-en" xr:uid="{00000000-0004-0000-1100-00001B000000}"/>
    <hyperlink ref="J5" r:id="rId29" display="https://warthunder.com/en/news/5758-q-a-answers-from-the-developers-en" xr:uid="{00000000-0004-0000-1100-00001C000000}"/>
    <hyperlink ref="L5" r:id="rId30" display="https://warthunder.com/en/news/5873-qa-answers-from-the-developers-en" xr:uid="{00000000-0004-0000-1100-00001D000000}"/>
    <hyperlink ref="M5" r:id="rId31" display="https://warthunder.com/en/news/5971-qa-answers-from-the-developers-en" xr:uid="{00000000-0004-0000-1100-00001E000000}"/>
    <hyperlink ref="B6" r:id="rId32" display="https://warthunder.com/en/news/5275-q-a-answers-from-the-developers-en" xr:uid="{00000000-0004-0000-1100-00001F000000}"/>
    <hyperlink ref="E6" r:id="rId33" display="https://warthunder.com/en/news/5466-q-a-answers-from-the-developers-en" xr:uid="{00000000-0004-0000-1100-000020000000}"/>
    <hyperlink ref="L6" r:id="rId34" display="https://warthunder.com/en/news/5903-qa-answers-from-the-developers-en" xr:uid="{00000000-0004-0000-1100-000021000000}"/>
    <hyperlink ref="B7" r:id="rId35" display="https://warthunder.com/en/news/6009-qa-answers-from-the-developers-en" xr:uid="{00000000-0004-0000-1100-000022000000}"/>
    <hyperlink ref="C7" r:id="rId36" display="https://warthunder.com/en/news/6023-qa-ballistic-update-questions-and-answers-from-the-developers-en" xr:uid="{00000000-0004-0000-1100-000023000000}"/>
    <hyperlink ref="E7" r:id="rId37" display="https://warthunder.com/en/news/6160-qa-answers-from-the-developers-en" xr:uid="{00000000-0004-0000-1100-000024000000}"/>
    <hyperlink ref="F7" r:id="rId38" display="https://warthunder.com/en/news/6195-qa-world-war-mode-we-answer-your-questions-en" xr:uid="{00000000-0004-0000-1100-000025000000}"/>
    <hyperlink ref="G7" r:id="rId39" display="https://warthunder.com/en/news/6252-qa-answers-from-the-developers-en" xr:uid="{00000000-0004-0000-1100-000026000000}"/>
    <hyperlink ref="H7" r:id="rId40" display="https://warthunder.com/en/news/6276-qa-answers-from-the-developers-en" xr:uid="{00000000-0004-0000-1100-000027000000}"/>
    <hyperlink ref="I7" r:id="rId41" display="https://warthunder.com/en/news/6333-qa-answers-from-the-developers-en" xr:uid="{00000000-0004-0000-1100-000028000000}"/>
    <hyperlink ref="K7" r:id="rId42" display="https://warthunder.com/en/news/6434-qa-answers-from-the-developers-en" xr:uid="{00000000-0004-0000-1100-000029000000}"/>
    <hyperlink ref="L7" r:id="rId43" display="https://warthunder.com/en/news/6471-special-qa-gaijin-s-cco-kirill-yudintsev-answers-tough-questions-en" xr:uid="{00000000-0004-0000-1100-00002A000000}"/>
    <hyperlink ref="M7" r:id="rId44" display="https://warthunder.com/en/news/6540-qa-answers-from-the-developers-en" xr:uid="{00000000-0004-0000-1100-00002B000000}"/>
    <hyperlink ref="C8" r:id="rId45" display="https://warthunder.com/en/news/6044-qa-ballistic-update-questions-and-answers-from-the-developers-en" xr:uid="{00000000-0004-0000-1100-00002C000000}"/>
    <hyperlink ref="C9" r:id="rId46" display="https://warthunder.com/en/news/6575-qa-answers-from-the-developers-en" xr:uid="{00000000-0004-0000-1100-00002D000000}"/>
    <hyperlink ref="E9" r:id="rId47" display="https://warthunder.com/en/news/6679-qa-answers-from-the-developers-en" xr:uid="{00000000-0004-0000-1100-00002E000000}"/>
    <hyperlink ref="G9" r:id="rId48" display="https://warthunder.com/en/news/6771-qa-answers-from-the-developers-en" xr:uid="{00000000-0004-0000-1100-00002F000000}"/>
    <hyperlink ref="I9" r:id="rId49" display="https://warthunder.com/en/news/6818-qa-answers-from-the-developers-en" xr:uid="{00000000-0004-0000-1100-000030000000}"/>
    <hyperlink ref="K9" r:id="rId50" display="https://warthunder.com/en/news/6890-qa-answers-from-the-developers-en" xr:uid="{00000000-0004-0000-1100-000031000000}"/>
    <hyperlink ref="C10" r:id="rId51" display="https://warthunder.com/en/news/7038-qa-answers-from-the-developers-en" xr:uid="{00000000-0004-0000-1100-000032000000}"/>
    <hyperlink ref="E10" r:id="rId52" display="https://warthunder.com/en/news/7130-qa-answers-from-the-developers-en" xr:uid="{00000000-0004-0000-1100-000033000000}"/>
    <hyperlink ref="H10" r:id="rId53" display="https://warthunder.com/en/news/7240-qa-answers-from-the-developers-en" xr:uid="{00000000-0004-0000-1100-000034000000}"/>
    <hyperlink ref="M10" r:id="rId54" display="https://www.youtube.com/watch?v=2GPyb0U-29c&amp;t=2026s" xr:uid="{00000000-0004-0000-1100-000035000000}"/>
    <hyperlink ref="F11" r:id="rId55" display="https://warthunder.com/en/news/7703-qa-answers-from-the-developers-en" xr:uid="{00000000-0004-0000-1100-000036000000}"/>
    <hyperlink ref="B12" r:id="rId56" display="https://warthunder.com/en/news/8079-qa-answers-from-the-developers-en" xr:uid="{00000000-0004-0000-1100-000037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5"/>
  <sheetViews>
    <sheetView workbookViewId="0"/>
  </sheetViews>
  <sheetFormatPr defaultColWidth="12.5703125" defaultRowHeight="15.75" customHeight="1" x14ac:dyDescent="0.2"/>
  <cols>
    <col min="1" max="1" width="13.28515625" customWidth="1"/>
  </cols>
  <sheetData>
    <row r="1" spans="1:15" ht="15.75" customHeight="1" x14ac:dyDescent="0.2">
      <c r="A1" s="351" t="s">
        <v>2244</v>
      </c>
      <c r="B1" s="556" t="s">
        <v>2173</v>
      </c>
      <c r="C1" s="397"/>
      <c r="D1" s="352" t="s">
        <v>2174</v>
      </c>
      <c r="E1" s="556" t="s">
        <v>2175</v>
      </c>
      <c r="F1" s="397"/>
      <c r="G1" s="352" t="s">
        <v>2176</v>
      </c>
      <c r="H1" s="352" t="s">
        <v>2177</v>
      </c>
      <c r="I1" s="352" t="s">
        <v>2178</v>
      </c>
      <c r="J1" s="353" t="s">
        <v>2179</v>
      </c>
      <c r="K1" s="352" t="s">
        <v>2180</v>
      </c>
      <c r="L1" s="352" t="s">
        <v>2181</v>
      </c>
      <c r="M1" s="352" t="s">
        <v>2182</v>
      </c>
      <c r="N1" s="352" t="s">
        <v>2183</v>
      </c>
      <c r="O1" s="354" t="s">
        <v>2184</v>
      </c>
    </row>
    <row r="2" spans="1:15" ht="15.75" customHeight="1" x14ac:dyDescent="0.2">
      <c r="A2" s="355">
        <v>2020</v>
      </c>
      <c r="B2" s="563" t="s">
        <v>22</v>
      </c>
      <c r="C2" s="404"/>
      <c r="D2" s="15" t="s">
        <v>22</v>
      </c>
      <c r="E2" s="553" t="s">
        <v>22</v>
      </c>
      <c r="F2" s="404"/>
      <c r="G2" s="375" t="s">
        <v>22</v>
      </c>
      <c r="H2" s="376">
        <v>43980</v>
      </c>
      <c r="I2" s="375" t="s">
        <v>22</v>
      </c>
      <c r="J2" s="15" t="s">
        <v>22</v>
      </c>
      <c r="K2" s="375" t="s">
        <v>22</v>
      </c>
      <c r="L2" s="375" t="s">
        <v>22</v>
      </c>
      <c r="M2" s="375" t="s">
        <v>22</v>
      </c>
      <c r="N2" s="376">
        <v>44161</v>
      </c>
      <c r="O2" s="381" t="s">
        <v>22</v>
      </c>
    </row>
    <row r="3" spans="1:15" ht="15.75" customHeight="1" x14ac:dyDescent="0.2">
      <c r="A3" s="356">
        <v>2021</v>
      </c>
      <c r="B3" s="373">
        <v>44203</v>
      </c>
      <c r="C3" s="373">
        <v>44222</v>
      </c>
      <c r="D3" s="9" t="s">
        <v>22</v>
      </c>
      <c r="E3" s="373">
        <v>44260</v>
      </c>
      <c r="F3" s="373">
        <v>44266</v>
      </c>
      <c r="G3" s="373">
        <v>44295</v>
      </c>
      <c r="H3" s="274" t="s">
        <v>22</v>
      </c>
      <c r="I3" s="373">
        <v>44372</v>
      </c>
      <c r="J3" s="274" t="s">
        <v>22</v>
      </c>
      <c r="K3" s="373">
        <v>44432</v>
      </c>
      <c r="L3" s="274" t="s">
        <v>22</v>
      </c>
      <c r="M3" s="373">
        <v>44498</v>
      </c>
      <c r="N3" s="274" t="s">
        <v>22</v>
      </c>
      <c r="O3" s="382">
        <v>44552</v>
      </c>
    </row>
    <row r="4" spans="1:15" ht="15.75" customHeight="1" x14ac:dyDescent="0.2">
      <c r="A4" s="355">
        <v>2022</v>
      </c>
      <c r="B4" s="563" t="s">
        <v>22</v>
      </c>
      <c r="C4" s="404"/>
      <c r="D4" s="15" t="s">
        <v>22</v>
      </c>
      <c r="E4" s="553" t="s">
        <v>22</v>
      </c>
      <c r="F4" s="404"/>
      <c r="G4" s="360">
        <v>44669</v>
      </c>
      <c r="H4" s="15" t="s">
        <v>22</v>
      </c>
      <c r="I4" s="15" t="s">
        <v>22</v>
      </c>
      <c r="J4" s="15" t="s">
        <v>22</v>
      </c>
      <c r="K4" s="15" t="s">
        <v>22</v>
      </c>
      <c r="L4" s="379">
        <v>44820</v>
      </c>
      <c r="M4" s="379">
        <v>44862</v>
      </c>
      <c r="N4" s="379">
        <v>44875</v>
      </c>
      <c r="O4" s="143" t="s">
        <v>22</v>
      </c>
    </row>
    <row r="5" spans="1:15" ht="15.75" customHeight="1" x14ac:dyDescent="0.2">
      <c r="A5" s="356">
        <v>2023</v>
      </c>
      <c r="B5" s="9"/>
      <c r="C5" s="9"/>
      <c r="D5" s="9"/>
      <c r="E5" s="564">
        <v>44992</v>
      </c>
      <c r="F5" s="404"/>
      <c r="G5" s="383">
        <v>44313</v>
      </c>
      <c r="H5" s="9"/>
      <c r="I5" s="9"/>
      <c r="J5" s="9"/>
      <c r="K5" s="9"/>
      <c r="L5" s="9"/>
      <c r="M5" s="9"/>
      <c r="N5" s="9"/>
      <c r="O5" s="101"/>
    </row>
  </sheetData>
  <mergeCells count="7">
    <mergeCell ref="E5:F5"/>
    <mergeCell ref="B1:C1"/>
    <mergeCell ref="E1:F1"/>
    <mergeCell ref="B2:C2"/>
    <mergeCell ref="E2:F2"/>
    <mergeCell ref="B4:C4"/>
    <mergeCell ref="E4:F4"/>
  </mergeCells>
  <hyperlinks>
    <hyperlink ref="H2" r:id="rId1" display="https://warthunder.com/en/news/6751-watch-streams-on-twitch-get-rewards-en" xr:uid="{00000000-0004-0000-1200-000000000000}"/>
    <hyperlink ref="N2" r:id="rId2" display="https://warthunder.com/en/news/6961-twitch-drops-are-back-en" xr:uid="{00000000-0004-0000-1200-000001000000}"/>
    <hyperlink ref="B3" r:id="rId3" display="https://warthunder.com/en/news/7020/current/" xr:uid="{00000000-0004-0000-1200-000002000000}"/>
    <hyperlink ref="C3" r:id="rId4" display="https://warthunder.com/en/news/7031-esport-esport-ready-100k-cup-and-twitch-drops-en" xr:uid="{00000000-0004-0000-1200-000003000000}"/>
    <hyperlink ref="E3" r:id="rId5" display="https://warthunder.com/en/news/7077-twitch-drops-rewards-for-war-thunder-and-enlisted-this-weekend-en" xr:uid="{00000000-0004-0000-1200-000004000000}"/>
    <hyperlink ref="F3" r:id="rId6" display="https://warthunder.com/en/news/7088-esport-olyst-cup-and-twitch-drops-en" xr:uid="{00000000-0004-0000-1200-000005000000}"/>
    <hyperlink ref="G3" r:id="rId7" display="https://warthunder.com/en/news/7122-twitch-drops-rewards-for-war-thunder-and-enlisted-this-weekend-en" xr:uid="{00000000-0004-0000-1200-000006000000}"/>
    <hyperlink ref="I3" r:id="rId8" display="https://warthunder.com/en/news/7214-esport-victory-cup-tournament-rewards-in-twitch-drops-en" xr:uid="{00000000-0004-0000-1200-000007000000}"/>
    <hyperlink ref="K3" r:id="rId9" display="https://warthunder.com/en/news/7294-esport-battle-buddies-tournament-and-twitch-drops-en" xr:uid="{00000000-0004-0000-1200-000008000000}"/>
    <hyperlink ref="M3" r:id="rId10" display="https://warthunder.com/en/news/7397-event-halloween-in-war-thunder-en" xr:uid="{00000000-0004-0000-1200-000009000000}"/>
    <hyperlink ref="O3" r:id="rId11" display="https://warthunder.com/en/news/7498-esport-play4peace-tournaments-en" xr:uid="{00000000-0004-0000-1200-00000A000000}"/>
    <hyperlink ref="G4" r:id="rId12" display="https://warthunder.com/en/news/7651-esport-olyst-cup-ii-and-twitch-drops-en" xr:uid="{00000000-0004-0000-1200-00000B000000}"/>
    <hyperlink ref="L4" r:id="rId13" display="https://warthunder.com/en/news/7874-twitch-drops-to-celebrate-the-drone-age-en" xr:uid="{00000000-0004-0000-1200-00000C000000}"/>
    <hyperlink ref="M4" r:id="rId14" display="https://warthunder.com/en/news/7943-war-thunder-10-years-anniversary-twitch-drops-en" xr:uid="{00000000-0004-0000-1200-00000D000000}"/>
    <hyperlink ref="N4" r:id="rId15" display="https://warthunder.com/en/news/7965-war-thunder-10-years-anniversary-twitch-drops-en" xr:uid="{00000000-0004-0000-1200-00000E000000}"/>
    <hyperlink ref="E5" r:id="rId16" display="https://warthunder.com/en/news/8189-twitch-drops-for-exowarriors-en" xr:uid="{00000000-0004-0000-1200-00000F000000}"/>
    <hyperlink ref="G5" r:id="rId17" display="https://warthunder.com/en/news/8215-esport-air-superiority-tournament-and-twitch-drops-en" xr:uid="{00000000-0004-0000-1200-00001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D105"/>
  <sheetViews>
    <sheetView workbookViewId="0"/>
  </sheetViews>
  <sheetFormatPr defaultColWidth="12.5703125" defaultRowHeight="15.75" customHeight="1" x14ac:dyDescent="0.2"/>
  <cols>
    <col min="7" max="7" width="12.5703125" customWidth="1"/>
    <col min="13" max="13" width="30.42578125" customWidth="1"/>
    <col min="15" max="15" width="19.5703125" customWidth="1"/>
    <col min="21" max="21" width="14.42578125" customWidth="1"/>
    <col min="27" max="27" width="58.7109375" customWidth="1"/>
    <col min="29" max="29" width="40.28515625" customWidth="1"/>
    <col min="33" max="33" width="27.85546875" customWidth="1"/>
    <col min="37" max="37" width="18.5703125" customWidth="1"/>
    <col min="41" max="41" width="12.28515625" customWidth="1"/>
  </cols>
  <sheetData>
    <row r="1" spans="1:56" ht="15.75" customHeight="1" x14ac:dyDescent="0.2">
      <c r="A1" s="575" t="s">
        <v>2245</v>
      </c>
      <c r="B1" s="576"/>
      <c r="C1" s="579" t="s">
        <v>2246</v>
      </c>
      <c r="D1" s="568"/>
      <c r="E1" s="567" t="s">
        <v>2247</v>
      </c>
      <c r="F1" s="568"/>
      <c r="G1" s="567" t="s">
        <v>2248</v>
      </c>
      <c r="H1" s="568"/>
      <c r="I1" s="567" t="s">
        <v>2249</v>
      </c>
      <c r="J1" s="568"/>
      <c r="K1" s="567" t="s">
        <v>2250</v>
      </c>
      <c r="L1" s="568"/>
      <c r="M1" s="567" t="s">
        <v>2251</v>
      </c>
      <c r="N1" s="568"/>
      <c r="O1" s="567" t="s">
        <v>2252</v>
      </c>
      <c r="P1" s="568"/>
      <c r="Q1" s="567" t="s">
        <v>2253</v>
      </c>
      <c r="R1" s="568"/>
      <c r="S1" s="567" t="s">
        <v>2254</v>
      </c>
      <c r="T1" s="568"/>
      <c r="U1" s="567" t="s">
        <v>2255</v>
      </c>
      <c r="V1" s="568"/>
      <c r="W1" s="567" t="s">
        <v>2256</v>
      </c>
      <c r="X1" s="568"/>
      <c r="Y1" s="567" t="s">
        <v>2257</v>
      </c>
      <c r="Z1" s="568"/>
      <c r="AA1" s="567" t="s">
        <v>2258</v>
      </c>
      <c r="AB1" s="568"/>
      <c r="AC1" s="567" t="s">
        <v>2259</v>
      </c>
      <c r="AD1" s="568"/>
      <c r="AE1" s="567" t="s">
        <v>2260</v>
      </c>
      <c r="AF1" s="568"/>
      <c r="AG1" s="569" t="s">
        <v>2261</v>
      </c>
      <c r="AH1" s="568"/>
      <c r="AI1" s="567" t="s">
        <v>2262</v>
      </c>
      <c r="AJ1" s="568"/>
      <c r="AK1" s="567" t="s">
        <v>2263</v>
      </c>
      <c r="AL1" s="568"/>
      <c r="AM1" s="567" t="s">
        <v>2264</v>
      </c>
      <c r="AN1" s="568"/>
      <c r="AO1" s="567" t="s">
        <v>2265</v>
      </c>
      <c r="AP1" s="568"/>
      <c r="AQ1" s="567" t="s">
        <v>2266</v>
      </c>
      <c r="AR1" s="568"/>
      <c r="AS1" s="567" t="s">
        <v>2267</v>
      </c>
      <c r="AT1" s="568"/>
      <c r="AU1" s="567" t="s">
        <v>2268</v>
      </c>
      <c r="AV1" s="568"/>
      <c r="AW1" s="567" t="s">
        <v>2269</v>
      </c>
      <c r="AX1" s="568"/>
      <c r="AY1" s="567" t="s">
        <v>2270</v>
      </c>
      <c r="AZ1" s="568"/>
      <c r="BA1" s="567" t="s">
        <v>2271</v>
      </c>
      <c r="BB1" s="568"/>
      <c r="BC1" s="567" t="s">
        <v>2272</v>
      </c>
      <c r="BD1" s="568"/>
    </row>
    <row r="2" spans="1:56" ht="15.75" customHeight="1" x14ac:dyDescent="0.2">
      <c r="A2" s="577"/>
      <c r="B2" s="578"/>
      <c r="C2" s="83" t="s">
        <v>2273</v>
      </c>
      <c r="D2" s="384" t="s">
        <v>2274</v>
      </c>
      <c r="E2" s="570" t="s">
        <v>2275</v>
      </c>
      <c r="F2" s="398"/>
      <c r="G2" s="570" t="s">
        <v>2276</v>
      </c>
      <c r="H2" s="398"/>
      <c r="I2" s="570" t="s">
        <v>2277</v>
      </c>
      <c r="J2" s="398"/>
      <c r="K2" s="570" t="s">
        <v>2278</v>
      </c>
      <c r="L2" s="398"/>
      <c r="M2" s="570" t="s">
        <v>2279</v>
      </c>
      <c r="N2" s="398"/>
      <c r="O2" s="386" t="s">
        <v>2280</v>
      </c>
      <c r="P2" s="384" t="s">
        <v>2274</v>
      </c>
      <c r="Q2" s="570" t="s">
        <v>2281</v>
      </c>
      <c r="R2" s="398"/>
      <c r="S2" s="570" t="s">
        <v>2282</v>
      </c>
      <c r="T2" s="398"/>
      <c r="U2" s="570" t="s">
        <v>2283</v>
      </c>
      <c r="V2" s="398"/>
      <c r="W2" s="570" t="s">
        <v>2284</v>
      </c>
      <c r="X2" s="398"/>
      <c r="Y2" s="570" t="s">
        <v>2285</v>
      </c>
      <c r="Z2" s="398"/>
      <c r="AA2" s="570" t="s">
        <v>2286</v>
      </c>
      <c r="AB2" s="398"/>
      <c r="AC2" s="386" t="s">
        <v>2287</v>
      </c>
      <c r="AD2" s="384" t="s">
        <v>2274</v>
      </c>
      <c r="AE2" s="570" t="s">
        <v>2288</v>
      </c>
      <c r="AF2" s="398"/>
      <c r="AG2" s="570" t="s">
        <v>2289</v>
      </c>
      <c r="AH2" s="398"/>
      <c r="AI2" s="570" t="s">
        <v>2290</v>
      </c>
      <c r="AJ2" s="398"/>
      <c r="AK2" s="386" t="s">
        <v>2291</v>
      </c>
      <c r="AL2" s="384" t="s">
        <v>2274</v>
      </c>
      <c r="AM2" s="570" t="s">
        <v>2292</v>
      </c>
      <c r="AN2" s="398"/>
      <c r="AO2" s="570" t="s">
        <v>2293</v>
      </c>
      <c r="AP2" s="398"/>
      <c r="AQ2" s="570" t="s">
        <v>2294</v>
      </c>
      <c r="AR2" s="398"/>
      <c r="AS2" s="570" t="s">
        <v>2295</v>
      </c>
      <c r="AT2" s="398"/>
      <c r="AU2" s="570" t="s">
        <v>2296</v>
      </c>
      <c r="AV2" s="398"/>
      <c r="AW2" s="570" t="s">
        <v>2297</v>
      </c>
      <c r="AX2" s="398"/>
      <c r="AY2" s="570" t="s">
        <v>2298</v>
      </c>
      <c r="AZ2" s="398"/>
      <c r="BA2" s="570" t="s">
        <v>2299</v>
      </c>
      <c r="BB2" s="398"/>
      <c r="BC2" s="570" t="s">
        <v>2300</v>
      </c>
      <c r="BD2" s="398"/>
    </row>
    <row r="3" spans="1:56" ht="15.75" customHeight="1" x14ac:dyDescent="0.2">
      <c r="A3" s="83"/>
      <c r="B3" s="83"/>
      <c r="C3" s="386"/>
      <c r="D3" s="384" t="s">
        <v>2301</v>
      </c>
      <c r="E3" s="565" t="s">
        <v>2302</v>
      </c>
      <c r="F3" s="405"/>
      <c r="G3" s="565" t="s">
        <v>2303</v>
      </c>
      <c r="H3" s="405"/>
      <c r="I3" s="565" t="s">
        <v>2304</v>
      </c>
      <c r="J3" s="405"/>
      <c r="K3" s="565" t="s">
        <v>2305</v>
      </c>
      <c r="L3" s="405"/>
      <c r="M3" s="565" t="s">
        <v>2306</v>
      </c>
      <c r="N3" s="405"/>
      <c r="O3" s="386"/>
      <c r="P3" s="384" t="s">
        <v>2307</v>
      </c>
      <c r="Q3" s="565" t="s">
        <v>2308</v>
      </c>
      <c r="R3" s="405"/>
      <c r="S3" s="565" t="s">
        <v>2309</v>
      </c>
      <c r="T3" s="405"/>
      <c r="U3" s="565" t="s">
        <v>2310</v>
      </c>
      <c r="V3" s="405"/>
      <c r="W3" s="565" t="s">
        <v>2311</v>
      </c>
      <c r="X3" s="405"/>
      <c r="Y3" s="565" t="s">
        <v>2312</v>
      </c>
      <c r="Z3" s="405"/>
      <c r="AA3" s="565" t="s">
        <v>2313</v>
      </c>
      <c r="AB3" s="405"/>
      <c r="AC3" s="387"/>
      <c r="AD3" s="384" t="s">
        <v>2314</v>
      </c>
      <c r="AE3" s="565" t="s">
        <v>2315</v>
      </c>
      <c r="AF3" s="405"/>
      <c r="AG3" s="565" t="s">
        <v>2316</v>
      </c>
      <c r="AH3" s="405"/>
      <c r="AI3" s="565" t="s">
        <v>2317</v>
      </c>
      <c r="AJ3" s="405"/>
      <c r="AK3" s="386"/>
      <c r="AL3" s="384" t="s">
        <v>2318</v>
      </c>
      <c r="AM3" s="565" t="s">
        <v>2319</v>
      </c>
      <c r="AN3" s="405"/>
      <c r="AO3" s="565" t="s">
        <v>2320</v>
      </c>
      <c r="AP3" s="405"/>
      <c r="AQ3" s="565" t="s">
        <v>2321</v>
      </c>
      <c r="AR3" s="405"/>
      <c r="AS3" s="565" t="s">
        <v>2322</v>
      </c>
      <c r="AT3" s="405"/>
      <c r="AU3" s="565" t="s">
        <v>2323</v>
      </c>
      <c r="AV3" s="405"/>
      <c r="AW3" s="565" t="s">
        <v>2324</v>
      </c>
      <c r="AX3" s="405"/>
      <c r="AY3" s="565" t="s">
        <v>2325</v>
      </c>
      <c r="AZ3" s="405"/>
      <c r="BA3" s="565" t="s">
        <v>2326</v>
      </c>
      <c r="BB3" s="405"/>
      <c r="BC3" s="386"/>
      <c r="BD3" s="384"/>
    </row>
    <row r="4" spans="1:56" ht="15.75" customHeight="1" x14ac:dyDescent="0.25">
      <c r="A4" s="571" t="s">
        <v>2327</v>
      </c>
      <c r="B4" s="394"/>
      <c r="C4" s="386"/>
      <c r="D4" s="384" t="s">
        <v>2328</v>
      </c>
      <c r="E4" s="565" t="s">
        <v>2329</v>
      </c>
      <c r="F4" s="405"/>
      <c r="G4" s="565" t="s">
        <v>2330</v>
      </c>
      <c r="H4" s="405"/>
      <c r="I4" s="565" t="s">
        <v>2331</v>
      </c>
      <c r="J4" s="405"/>
      <c r="K4" s="565" t="s">
        <v>2332</v>
      </c>
      <c r="L4" s="405"/>
      <c r="M4" s="565" t="s">
        <v>2333</v>
      </c>
      <c r="N4" s="405"/>
      <c r="O4" s="386"/>
      <c r="P4" s="384" t="s">
        <v>2334</v>
      </c>
      <c r="Q4" s="565" t="s">
        <v>2335</v>
      </c>
      <c r="R4" s="405"/>
      <c r="S4" s="565" t="s">
        <v>2336</v>
      </c>
      <c r="T4" s="405"/>
      <c r="U4" s="565" t="s">
        <v>2337</v>
      </c>
      <c r="V4" s="405"/>
      <c r="W4" s="565" t="s">
        <v>2338</v>
      </c>
      <c r="X4" s="405"/>
      <c r="Y4" s="565" t="s">
        <v>2339</v>
      </c>
      <c r="Z4" s="405"/>
      <c r="AA4" s="565" t="s">
        <v>2340</v>
      </c>
      <c r="AB4" s="405"/>
      <c r="AC4" s="387"/>
      <c r="AD4" s="384" t="s">
        <v>2341</v>
      </c>
      <c r="AE4" s="565" t="s">
        <v>2342</v>
      </c>
      <c r="AF4" s="405"/>
      <c r="AG4" s="565" t="s">
        <v>2343</v>
      </c>
      <c r="AH4" s="405"/>
      <c r="AI4" s="565" t="s">
        <v>2344</v>
      </c>
      <c r="AJ4" s="405"/>
      <c r="AK4" s="386"/>
      <c r="AL4" s="384" t="s">
        <v>2345</v>
      </c>
      <c r="AM4" s="565" t="s">
        <v>2346</v>
      </c>
      <c r="AN4" s="405"/>
      <c r="AO4" s="565" t="s">
        <v>2347</v>
      </c>
      <c r="AP4" s="405"/>
      <c r="AQ4" s="386"/>
      <c r="AR4" s="384"/>
      <c r="AS4" s="566" t="s">
        <v>2348</v>
      </c>
      <c r="AT4" s="405"/>
      <c r="AU4" s="565" t="s">
        <v>2349</v>
      </c>
      <c r="AV4" s="405"/>
      <c r="AW4" s="565" t="s">
        <v>2350</v>
      </c>
      <c r="AX4" s="405"/>
      <c r="AY4" s="386"/>
      <c r="AZ4" s="384"/>
      <c r="BA4" s="386"/>
      <c r="BB4" s="384"/>
      <c r="BC4" s="386"/>
      <c r="BD4" s="384"/>
    </row>
    <row r="5" spans="1:56" ht="15.75" customHeight="1" x14ac:dyDescent="0.25">
      <c r="A5" s="397"/>
      <c r="B5" s="397"/>
      <c r="C5" s="386"/>
      <c r="D5" s="384" t="s">
        <v>2351</v>
      </c>
      <c r="E5" s="565" t="s">
        <v>2352</v>
      </c>
      <c r="F5" s="405"/>
      <c r="G5" s="565" t="s">
        <v>2353</v>
      </c>
      <c r="H5" s="405"/>
      <c r="I5" s="565" t="s">
        <v>2354</v>
      </c>
      <c r="J5" s="405"/>
      <c r="K5" s="565" t="s">
        <v>2355</v>
      </c>
      <c r="L5" s="405"/>
      <c r="M5" s="565" t="s">
        <v>2356</v>
      </c>
      <c r="N5" s="405"/>
      <c r="O5" s="386"/>
      <c r="P5" s="384" t="s">
        <v>2357</v>
      </c>
      <c r="Q5" s="565" t="s">
        <v>2358</v>
      </c>
      <c r="R5" s="405"/>
      <c r="S5" s="565" t="s">
        <v>2359</v>
      </c>
      <c r="T5" s="405"/>
      <c r="U5" s="565" t="s">
        <v>2360</v>
      </c>
      <c r="V5" s="405"/>
      <c r="W5" s="565" t="s">
        <v>2361</v>
      </c>
      <c r="X5" s="405"/>
      <c r="Y5" s="565" t="s">
        <v>2362</v>
      </c>
      <c r="Z5" s="405"/>
      <c r="AA5" s="565" t="s">
        <v>2363</v>
      </c>
      <c r="AB5" s="405"/>
      <c r="AC5" s="387"/>
      <c r="AD5" s="384" t="s">
        <v>2364</v>
      </c>
      <c r="AE5" s="565" t="s">
        <v>2365</v>
      </c>
      <c r="AF5" s="405"/>
      <c r="AG5" s="565" t="s">
        <v>2366</v>
      </c>
      <c r="AH5" s="405"/>
      <c r="AI5" s="565" t="s">
        <v>2367</v>
      </c>
      <c r="AJ5" s="405"/>
      <c r="AK5" s="386"/>
      <c r="AL5" s="384" t="s">
        <v>2368</v>
      </c>
      <c r="AM5" s="565" t="s">
        <v>2369</v>
      </c>
      <c r="AN5" s="405"/>
      <c r="AO5" s="565" t="s">
        <v>2347</v>
      </c>
      <c r="AP5" s="405"/>
      <c r="AQ5" s="386"/>
      <c r="AR5" s="384"/>
      <c r="AS5" s="566" t="s">
        <v>2370</v>
      </c>
      <c r="AT5" s="405"/>
      <c r="AU5" s="566" t="s">
        <v>2371</v>
      </c>
      <c r="AV5" s="405"/>
      <c r="AW5" s="565" t="s">
        <v>2372</v>
      </c>
      <c r="AX5" s="405"/>
      <c r="AY5" s="386"/>
      <c r="AZ5" s="384"/>
      <c r="BA5" s="386"/>
      <c r="BB5" s="384"/>
      <c r="BC5" s="386"/>
      <c r="BD5" s="384"/>
    </row>
    <row r="6" spans="1:56" ht="15.75" customHeight="1" x14ac:dyDescent="0.25">
      <c r="A6" s="99"/>
      <c r="B6" s="99"/>
      <c r="C6" s="385"/>
      <c r="D6" s="388" t="s">
        <v>2373</v>
      </c>
      <c r="E6" s="565" t="s">
        <v>2374</v>
      </c>
      <c r="F6" s="405"/>
      <c r="G6" s="565" t="s">
        <v>2375</v>
      </c>
      <c r="H6" s="405"/>
      <c r="I6" s="565" t="s">
        <v>2376</v>
      </c>
      <c r="J6" s="405"/>
      <c r="K6" s="565" t="s">
        <v>2377</v>
      </c>
      <c r="L6" s="405"/>
      <c r="M6" s="565" t="s">
        <v>2378</v>
      </c>
      <c r="N6" s="405"/>
      <c r="O6" s="386"/>
      <c r="P6" s="384" t="s">
        <v>2379</v>
      </c>
      <c r="Q6" s="386" t="s">
        <v>2380</v>
      </c>
      <c r="R6" s="384" t="s">
        <v>2274</v>
      </c>
      <c r="S6" s="565" t="s">
        <v>2381</v>
      </c>
      <c r="T6" s="405"/>
      <c r="U6" s="565" t="s">
        <v>2382</v>
      </c>
      <c r="V6" s="405"/>
      <c r="W6" s="565" t="s">
        <v>2383</v>
      </c>
      <c r="X6" s="405"/>
      <c r="Y6" s="565" t="s">
        <v>2384</v>
      </c>
      <c r="Z6" s="405"/>
      <c r="AA6" s="565" t="s">
        <v>2385</v>
      </c>
      <c r="AB6" s="405"/>
      <c r="AC6" s="387"/>
      <c r="AD6" s="384" t="s">
        <v>2386</v>
      </c>
      <c r="AE6" s="565" t="s">
        <v>2387</v>
      </c>
      <c r="AF6" s="405"/>
      <c r="AG6" s="565" t="s">
        <v>2388</v>
      </c>
      <c r="AH6" s="405"/>
      <c r="AI6" s="386"/>
      <c r="AJ6" s="384"/>
      <c r="AK6" s="385"/>
      <c r="AL6" s="388" t="s">
        <v>2389</v>
      </c>
      <c r="AM6" s="565" t="s">
        <v>2390</v>
      </c>
      <c r="AN6" s="405"/>
      <c r="AO6" s="565" t="s">
        <v>2391</v>
      </c>
      <c r="AP6" s="405"/>
      <c r="AQ6" s="386"/>
      <c r="AR6" s="384"/>
      <c r="AS6" s="566" t="s">
        <v>2392</v>
      </c>
      <c r="AT6" s="405"/>
      <c r="AU6" s="566" t="s">
        <v>2393</v>
      </c>
      <c r="AV6" s="405"/>
      <c r="AW6" s="565" t="s">
        <v>2394</v>
      </c>
      <c r="AX6" s="405"/>
      <c r="AY6" s="386"/>
      <c r="AZ6" s="384"/>
      <c r="BA6" s="386"/>
      <c r="BB6" s="384"/>
      <c r="BC6" s="386"/>
      <c r="BD6" s="384"/>
    </row>
    <row r="7" spans="1:56" ht="15.75" customHeight="1" x14ac:dyDescent="0.25">
      <c r="A7" s="571" t="s">
        <v>2395</v>
      </c>
      <c r="B7" s="394"/>
      <c r="C7" s="570" t="s">
        <v>2396</v>
      </c>
      <c r="D7" s="398"/>
      <c r="E7" s="565" t="s">
        <v>2397</v>
      </c>
      <c r="F7" s="405"/>
      <c r="G7" s="565" t="s">
        <v>2398</v>
      </c>
      <c r="H7" s="405"/>
      <c r="I7" s="565" t="s">
        <v>2399</v>
      </c>
      <c r="J7" s="405"/>
      <c r="K7" s="565" t="s">
        <v>2400</v>
      </c>
      <c r="L7" s="405"/>
      <c r="M7" s="565" t="s">
        <v>2401</v>
      </c>
      <c r="N7" s="405"/>
      <c r="O7" s="385"/>
      <c r="P7" s="388" t="s">
        <v>2402</v>
      </c>
      <c r="Q7" s="386"/>
      <c r="R7" s="384" t="s">
        <v>2403</v>
      </c>
      <c r="S7" s="565" t="s">
        <v>2404</v>
      </c>
      <c r="T7" s="405"/>
      <c r="U7" s="565" t="s">
        <v>2405</v>
      </c>
      <c r="V7" s="405"/>
      <c r="W7" s="565" t="s">
        <v>2406</v>
      </c>
      <c r="X7" s="405"/>
      <c r="Y7" s="565" t="s">
        <v>2407</v>
      </c>
      <c r="Z7" s="405"/>
      <c r="AA7" s="565" t="s">
        <v>2408</v>
      </c>
      <c r="AB7" s="405"/>
      <c r="AC7" s="387"/>
      <c r="AD7" s="384" t="s">
        <v>2409</v>
      </c>
      <c r="AE7" s="565" t="s">
        <v>2410</v>
      </c>
      <c r="AF7" s="405"/>
      <c r="AG7" s="565" t="s">
        <v>2411</v>
      </c>
      <c r="AH7" s="405"/>
      <c r="AI7" s="386"/>
      <c r="AJ7" s="384"/>
      <c r="AK7" s="570" t="s">
        <v>2412</v>
      </c>
      <c r="AL7" s="398"/>
      <c r="AM7" s="565" t="s">
        <v>2413</v>
      </c>
      <c r="AN7" s="405"/>
      <c r="AO7" s="565" t="s">
        <v>2414</v>
      </c>
      <c r="AP7" s="405"/>
      <c r="AQ7" s="386"/>
      <c r="AR7" s="384"/>
      <c r="AS7" s="566" t="s">
        <v>2415</v>
      </c>
      <c r="AT7" s="405"/>
      <c r="AU7" s="566" t="s">
        <v>2416</v>
      </c>
      <c r="AV7" s="405"/>
      <c r="AW7" s="565" t="s">
        <v>2417</v>
      </c>
      <c r="AX7" s="405"/>
      <c r="AY7" s="386"/>
      <c r="AZ7" s="384"/>
      <c r="BA7" s="386"/>
      <c r="BB7" s="384"/>
      <c r="BC7" s="386"/>
      <c r="BD7" s="384"/>
    </row>
    <row r="8" spans="1:56" ht="15.75" customHeight="1" x14ac:dyDescent="0.25">
      <c r="A8" s="397"/>
      <c r="B8" s="397"/>
      <c r="C8" s="565" t="s">
        <v>2418</v>
      </c>
      <c r="D8" s="405"/>
      <c r="E8" s="565" t="s">
        <v>2419</v>
      </c>
      <c r="F8" s="405"/>
      <c r="G8" s="565" t="s">
        <v>2420</v>
      </c>
      <c r="H8" s="405"/>
      <c r="I8" s="565" t="s">
        <v>2421</v>
      </c>
      <c r="J8" s="405"/>
      <c r="K8" s="565" t="s">
        <v>2422</v>
      </c>
      <c r="L8" s="405"/>
      <c r="M8" s="565" t="s">
        <v>2423</v>
      </c>
      <c r="N8" s="405"/>
      <c r="O8" s="570" t="s">
        <v>2424</v>
      </c>
      <c r="P8" s="398"/>
      <c r="Q8" s="386"/>
      <c r="R8" s="384" t="s">
        <v>2425</v>
      </c>
      <c r="S8" s="565" t="s">
        <v>2426</v>
      </c>
      <c r="T8" s="405"/>
      <c r="U8" s="565" t="s">
        <v>2427</v>
      </c>
      <c r="V8" s="405"/>
      <c r="W8" s="565" t="s">
        <v>2428</v>
      </c>
      <c r="X8" s="405"/>
      <c r="Y8" s="565" t="s">
        <v>2429</v>
      </c>
      <c r="Z8" s="405"/>
      <c r="AA8" s="386" t="s">
        <v>2430</v>
      </c>
      <c r="AB8" s="384" t="s">
        <v>2274</v>
      </c>
      <c r="AC8" s="387"/>
      <c r="AD8" s="384" t="s">
        <v>2431</v>
      </c>
      <c r="AE8" s="565" t="s">
        <v>2432</v>
      </c>
      <c r="AF8" s="405"/>
      <c r="AG8" s="565" t="s">
        <v>2433</v>
      </c>
      <c r="AH8" s="405"/>
      <c r="AI8" s="386"/>
      <c r="AJ8" s="384"/>
      <c r="AK8" s="565" t="s">
        <v>2434</v>
      </c>
      <c r="AL8" s="405"/>
      <c r="AM8" s="565" t="s">
        <v>2435</v>
      </c>
      <c r="AN8" s="405"/>
      <c r="AO8" s="565" t="s">
        <v>2436</v>
      </c>
      <c r="AP8" s="405"/>
      <c r="AQ8" s="386"/>
      <c r="AR8" s="384"/>
      <c r="AS8" s="566" t="s">
        <v>2437</v>
      </c>
      <c r="AT8" s="405"/>
      <c r="AU8" s="566" t="s">
        <v>2438</v>
      </c>
      <c r="AV8" s="405"/>
      <c r="AW8" s="565" t="s">
        <v>2439</v>
      </c>
      <c r="AX8" s="405"/>
      <c r="AY8" s="386"/>
      <c r="AZ8" s="384"/>
      <c r="BA8" s="386"/>
      <c r="BB8" s="384"/>
      <c r="BC8" s="386"/>
      <c r="BD8" s="384"/>
    </row>
    <row r="9" spans="1:56" ht="15.75" customHeight="1" x14ac:dyDescent="0.25">
      <c r="A9" s="98"/>
      <c r="B9" s="99"/>
      <c r="C9" s="389" t="s">
        <v>2440</v>
      </c>
      <c r="D9" s="390" t="s">
        <v>2274</v>
      </c>
      <c r="E9" s="565" t="s">
        <v>2441</v>
      </c>
      <c r="F9" s="405"/>
      <c r="G9" s="565" t="s">
        <v>2442</v>
      </c>
      <c r="H9" s="405"/>
      <c r="I9" s="565" t="s">
        <v>2443</v>
      </c>
      <c r="J9" s="405"/>
      <c r="K9" s="565" t="s">
        <v>2444</v>
      </c>
      <c r="L9" s="405"/>
      <c r="M9" s="565" t="s">
        <v>2445</v>
      </c>
      <c r="N9" s="405"/>
      <c r="O9" s="565" t="s">
        <v>2446</v>
      </c>
      <c r="P9" s="405"/>
      <c r="Q9" s="386"/>
      <c r="R9" s="384" t="s">
        <v>2447</v>
      </c>
      <c r="S9" s="386"/>
      <c r="T9" s="384"/>
      <c r="U9" s="386" t="s">
        <v>2448</v>
      </c>
      <c r="V9" s="384" t="s">
        <v>2274</v>
      </c>
      <c r="W9" s="565" t="s">
        <v>2449</v>
      </c>
      <c r="X9" s="405"/>
      <c r="Y9" s="565" t="s">
        <v>2450</v>
      </c>
      <c r="Z9" s="405"/>
      <c r="AA9" s="386"/>
      <c r="AB9" s="384" t="s">
        <v>2451</v>
      </c>
      <c r="AC9" s="565" t="s">
        <v>2452</v>
      </c>
      <c r="AD9" s="405"/>
      <c r="AE9" s="565" t="s">
        <v>2453</v>
      </c>
      <c r="AF9" s="405"/>
      <c r="AG9" s="565" t="s">
        <v>2454</v>
      </c>
      <c r="AH9" s="405"/>
      <c r="AI9" s="386"/>
      <c r="AJ9" s="384"/>
      <c r="AK9" s="565" t="s">
        <v>2455</v>
      </c>
      <c r="AL9" s="405"/>
      <c r="AM9" s="565" t="s">
        <v>2456</v>
      </c>
      <c r="AN9" s="405"/>
      <c r="AO9" s="565" t="s">
        <v>2457</v>
      </c>
      <c r="AP9" s="405"/>
      <c r="AQ9" s="386"/>
      <c r="AR9" s="384"/>
      <c r="AS9" s="566" t="s">
        <v>2458</v>
      </c>
      <c r="AT9" s="405"/>
      <c r="AU9" s="566" t="s">
        <v>2459</v>
      </c>
      <c r="AV9" s="405"/>
      <c r="AW9" s="386"/>
      <c r="AX9" s="384"/>
      <c r="AY9" s="386"/>
      <c r="AZ9" s="384"/>
      <c r="BA9" s="386"/>
      <c r="BB9" s="384"/>
      <c r="BC9" s="386"/>
      <c r="BD9" s="384"/>
    </row>
    <row r="10" spans="1:56" ht="15.75" customHeight="1" x14ac:dyDescent="0.25">
      <c r="A10" s="572" t="s">
        <v>2460</v>
      </c>
      <c r="B10" s="394"/>
      <c r="C10" s="386"/>
      <c r="D10" s="384" t="s">
        <v>2461</v>
      </c>
      <c r="E10" s="565" t="s">
        <v>2462</v>
      </c>
      <c r="F10" s="405"/>
      <c r="G10" s="565" t="s">
        <v>2463</v>
      </c>
      <c r="H10" s="405"/>
      <c r="I10" s="565" t="s">
        <v>2464</v>
      </c>
      <c r="J10" s="405"/>
      <c r="K10" s="386"/>
      <c r="L10" s="384"/>
      <c r="M10" s="565" t="s">
        <v>2465</v>
      </c>
      <c r="N10" s="405"/>
      <c r="O10" s="565" t="s">
        <v>2466</v>
      </c>
      <c r="P10" s="405"/>
      <c r="Q10" s="385"/>
      <c r="R10" s="388" t="s">
        <v>2467</v>
      </c>
      <c r="S10" s="386"/>
      <c r="T10" s="384"/>
      <c r="U10" s="387"/>
      <c r="V10" s="384" t="s">
        <v>2468</v>
      </c>
      <c r="W10" s="565" t="s">
        <v>2469</v>
      </c>
      <c r="X10" s="405"/>
      <c r="Y10" s="565" t="s">
        <v>2470</v>
      </c>
      <c r="Z10" s="405"/>
      <c r="AA10" s="386"/>
      <c r="AB10" s="384" t="s">
        <v>2471</v>
      </c>
      <c r="AC10" s="565" t="s">
        <v>2472</v>
      </c>
      <c r="AD10" s="405"/>
      <c r="AE10" s="565" t="s">
        <v>2473</v>
      </c>
      <c r="AF10" s="405"/>
      <c r="AG10" s="565" t="s">
        <v>2474</v>
      </c>
      <c r="AH10" s="405"/>
      <c r="AI10" s="386"/>
      <c r="AJ10" s="384"/>
      <c r="AK10" s="565" t="s">
        <v>2475</v>
      </c>
      <c r="AL10" s="405"/>
      <c r="AM10" s="565" t="s">
        <v>2476</v>
      </c>
      <c r="AN10" s="405"/>
      <c r="AO10" s="565" t="s">
        <v>2477</v>
      </c>
      <c r="AP10" s="405"/>
      <c r="AQ10" s="386"/>
      <c r="AR10" s="384"/>
      <c r="AS10" s="566" t="s">
        <v>2478</v>
      </c>
      <c r="AT10" s="405"/>
      <c r="AU10" s="566" t="s">
        <v>2479</v>
      </c>
      <c r="AV10" s="405"/>
      <c r="AW10" s="386"/>
      <c r="AX10" s="384"/>
      <c r="AY10" s="386"/>
      <c r="AZ10" s="384"/>
      <c r="BA10" s="386"/>
      <c r="BB10" s="384"/>
      <c r="BC10" s="386"/>
      <c r="BD10" s="384"/>
    </row>
    <row r="11" spans="1:56" ht="15.75" customHeight="1" x14ac:dyDescent="0.25">
      <c r="A11" s="402"/>
      <c r="B11" s="402"/>
      <c r="C11" s="386"/>
      <c r="D11" s="384" t="s">
        <v>2480</v>
      </c>
      <c r="E11" s="565" t="s">
        <v>2481</v>
      </c>
      <c r="F11" s="405"/>
      <c r="G11" s="565" t="s">
        <v>2482</v>
      </c>
      <c r="H11" s="405"/>
      <c r="I11" s="565" t="s">
        <v>2483</v>
      </c>
      <c r="J11" s="405"/>
      <c r="K11" s="386"/>
      <c r="L11" s="384"/>
      <c r="M11" s="565" t="s">
        <v>2484</v>
      </c>
      <c r="N11" s="405"/>
      <c r="O11" s="565" t="s">
        <v>2485</v>
      </c>
      <c r="P11" s="405"/>
      <c r="Q11" s="570" t="s">
        <v>2486</v>
      </c>
      <c r="R11" s="398"/>
      <c r="S11" s="386"/>
      <c r="T11" s="384"/>
      <c r="U11" s="387"/>
      <c r="V11" s="384" t="s">
        <v>2487</v>
      </c>
      <c r="W11" s="565" t="s">
        <v>2488</v>
      </c>
      <c r="X11" s="405"/>
      <c r="Y11" s="565" t="s">
        <v>2489</v>
      </c>
      <c r="Z11" s="405"/>
      <c r="AA11" s="386"/>
      <c r="AB11" s="384" t="s">
        <v>2490</v>
      </c>
      <c r="AC11" s="565" t="s">
        <v>2491</v>
      </c>
      <c r="AD11" s="405"/>
      <c r="AE11" s="565" t="s">
        <v>2492</v>
      </c>
      <c r="AF11" s="405"/>
      <c r="AG11" s="565" t="s">
        <v>2493</v>
      </c>
      <c r="AH11" s="405"/>
      <c r="AI11" s="386"/>
      <c r="AJ11" s="384"/>
      <c r="AK11" s="565" t="s">
        <v>2494</v>
      </c>
      <c r="AL11" s="405"/>
      <c r="AM11" s="565" t="s">
        <v>2495</v>
      </c>
      <c r="AN11" s="405"/>
      <c r="AO11" s="565" t="s">
        <v>2496</v>
      </c>
      <c r="AP11" s="405"/>
      <c r="AQ11" s="386"/>
      <c r="AR11" s="384"/>
      <c r="AS11" s="566" t="s">
        <v>2497</v>
      </c>
      <c r="AT11" s="405"/>
      <c r="AU11" s="566" t="s">
        <v>2498</v>
      </c>
      <c r="AV11" s="405"/>
      <c r="AW11" s="386"/>
      <c r="AX11" s="384"/>
      <c r="AY11" s="386"/>
      <c r="AZ11" s="384"/>
      <c r="BA11" s="386"/>
      <c r="BB11" s="384"/>
      <c r="BC11" s="386"/>
      <c r="BD11" s="384"/>
    </row>
    <row r="12" spans="1:56" ht="15.75" customHeight="1" x14ac:dyDescent="0.25">
      <c r="A12" s="397"/>
      <c r="B12" s="397"/>
      <c r="C12" s="386"/>
      <c r="D12" s="384" t="s">
        <v>2499</v>
      </c>
      <c r="E12" s="565" t="s">
        <v>2500</v>
      </c>
      <c r="F12" s="405"/>
      <c r="G12" s="565" t="s">
        <v>2501</v>
      </c>
      <c r="H12" s="405"/>
      <c r="I12" s="565" t="s">
        <v>2502</v>
      </c>
      <c r="J12" s="405"/>
      <c r="K12" s="386"/>
      <c r="L12" s="384"/>
      <c r="M12" s="565" t="s">
        <v>2503</v>
      </c>
      <c r="N12" s="405"/>
      <c r="O12" s="565" t="s">
        <v>2504</v>
      </c>
      <c r="P12" s="405"/>
      <c r="Q12" s="565" t="s">
        <v>2505</v>
      </c>
      <c r="R12" s="405"/>
      <c r="S12" s="386"/>
      <c r="T12" s="384"/>
      <c r="U12" s="387"/>
      <c r="V12" s="384" t="s">
        <v>2506</v>
      </c>
      <c r="W12" s="565" t="s">
        <v>2507</v>
      </c>
      <c r="X12" s="405"/>
      <c r="Y12" s="565" t="s">
        <v>2508</v>
      </c>
      <c r="Z12" s="405"/>
      <c r="AA12" s="386"/>
      <c r="AB12" s="384" t="s">
        <v>2509</v>
      </c>
      <c r="AC12" s="565" t="s">
        <v>2510</v>
      </c>
      <c r="AD12" s="405"/>
      <c r="AE12" s="386"/>
      <c r="AF12" s="384"/>
      <c r="AG12" s="565" t="s">
        <v>2511</v>
      </c>
      <c r="AH12" s="405"/>
      <c r="AI12" s="386"/>
      <c r="AJ12" s="384"/>
      <c r="AK12" s="565" t="s">
        <v>2512</v>
      </c>
      <c r="AL12" s="405"/>
      <c r="AM12" s="565" t="s">
        <v>2513</v>
      </c>
      <c r="AN12" s="405"/>
      <c r="AO12" s="566" t="s">
        <v>2514</v>
      </c>
      <c r="AP12" s="405"/>
      <c r="AQ12" s="386"/>
      <c r="AR12" s="384"/>
      <c r="AS12" s="566" t="s">
        <v>2515</v>
      </c>
      <c r="AT12" s="405"/>
      <c r="AU12" s="566" t="s">
        <v>2516</v>
      </c>
      <c r="AV12" s="405"/>
      <c r="AW12" s="386"/>
      <c r="AX12" s="384"/>
      <c r="AY12" s="386"/>
      <c r="AZ12" s="384"/>
      <c r="BA12" s="386"/>
      <c r="BB12" s="384"/>
      <c r="BC12" s="386"/>
      <c r="BD12" s="384"/>
    </row>
    <row r="13" spans="1:56" ht="15.75" customHeight="1" x14ac:dyDescent="0.25">
      <c r="B13" s="99"/>
      <c r="C13" s="386"/>
      <c r="D13" s="384" t="s">
        <v>2517</v>
      </c>
      <c r="E13" s="565" t="s">
        <v>2518</v>
      </c>
      <c r="F13" s="405"/>
      <c r="G13" s="565" t="s">
        <v>2519</v>
      </c>
      <c r="H13" s="405"/>
      <c r="I13" s="565" t="s">
        <v>2520</v>
      </c>
      <c r="J13" s="405"/>
      <c r="K13" s="386"/>
      <c r="L13" s="384"/>
      <c r="M13" s="565" t="s">
        <v>2521</v>
      </c>
      <c r="N13" s="405"/>
      <c r="O13" s="565" t="s">
        <v>2522</v>
      </c>
      <c r="P13" s="405"/>
      <c r="Q13" s="565" t="s">
        <v>2523</v>
      </c>
      <c r="R13" s="405"/>
      <c r="S13" s="386"/>
      <c r="T13" s="384"/>
      <c r="U13" s="391"/>
      <c r="V13" s="388" t="s">
        <v>2524</v>
      </c>
      <c r="W13" s="565" t="s">
        <v>2525</v>
      </c>
      <c r="X13" s="405"/>
      <c r="Y13" s="565" t="s">
        <v>2526</v>
      </c>
      <c r="Z13" s="405"/>
      <c r="AA13" s="385"/>
      <c r="AB13" s="388" t="s">
        <v>2527</v>
      </c>
      <c r="AC13" s="565" t="s">
        <v>2528</v>
      </c>
      <c r="AD13" s="405"/>
      <c r="AE13" s="386"/>
      <c r="AF13" s="384"/>
      <c r="AG13" s="565" t="s">
        <v>2529</v>
      </c>
      <c r="AH13" s="405"/>
      <c r="AI13" s="386"/>
      <c r="AJ13" s="384"/>
      <c r="AK13" s="565" t="s">
        <v>2530</v>
      </c>
      <c r="AL13" s="405"/>
      <c r="AM13" s="565" t="s">
        <v>2531</v>
      </c>
      <c r="AN13" s="405"/>
      <c r="AO13" s="566" t="s">
        <v>2532</v>
      </c>
      <c r="AP13" s="405"/>
      <c r="AQ13" s="386"/>
      <c r="AR13" s="384"/>
      <c r="AS13" s="566" t="s">
        <v>2533</v>
      </c>
      <c r="AT13" s="405"/>
      <c r="AU13" s="566" t="s">
        <v>2534</v>
      </c>
      <c r="AV13" s="405"/>
      <c r="AW13" s="386"/>
      <c r="AX13" s="384"/>
      <c r="AY13" s="386"/>
      <c r="AZ13" s="384"/>
      <c r="BA13" s="386"/>
      <c r="BB13" s="384"/>
      <c r="BC13" s="386"/>
      <c r="BD13" s="384"/>
    </row>
    <row r="14" spans="1:56" ht="15.75" customHeight="1" x14ac:dyDescent="0.25">
      <c r="A14" s="571" t="s">
        <v>2535</v>
      </c>
      <c r="B14" s="394"/>
      <c r="C14" s="386"/>
      <c r="D14" s="384" t="s">
        <v>2536</v>
      </c>
      <c r="E14" s="565" t="s">
        <v>2537</v>
      </c>
      <c r="F14" s="405"/>
      <c r="G14" s="565" t="s">
        <v>2538</v>
      </c>
      <c r="H14" s="405"/>
      <c r="I14" s="565" t="s">
        <v>2539</v>
      </c>
      <c r="J14" s="405"/>
      <c r="K14" s="386"/>
      <c r="L14" s="384"/>
      <c r="M14" s="565" t="s">
        <v>2540</v>
      </c>
      <c r="N14" s="405"/>
      <c r="O14" s="565" t="s">
        <v>2541</v>
      </c>
      <c r="P14" s="405"/>
      <c r="Q14" s="565" t="s">
        <v>2542</v>
      </c>
      <c r="R14" s="405"/>
      <c r="S14" s="386"/>
      <c r="T14" s="384"/>
      <c r="U14" s="570" t="s">
        <v>2543</v>
      </c>
      <c r="V14" s="398"/>
      <c r="W14" s="565" t="s">
        <v>2544</v>
      </c>
      <c r="X14" s="405"/>
      <c r="Y14" s="565" t="s">
        <v>2545</v>
      </c>
      <c r="Z14" s="405"/>
      <c r="AA14" s="570" t="s">
        <v>2546</v>
      </c>
      <c r="AB14" s="398"/>
      <c r="AC14" s="565" t="s">
        <v>2547</v>
      </c>
      <c r="AD14" s="405"/>
      <c r="AE14" s="386"/>
      <c r="AF14" s="384"/>
      <c r="AG14" s="565" t="s">
        <v>2548</v>
      </c>
      <c r="AH14" s="405"/>
      <c r="AI14" s="386"/>
      <c r="AJ14" s="384"/>
      <c r="AK14" s="565" t="s">
        <v>2549</v>
      </c>
      <c r="AL14" s="405"/>
      <c r="AM14" s="565" t="s">
        <v>2550</v>
      </c>
      <c r="AN14" s="405"/>
      <c r="AO14" s="566" t="s">
        <v>2551</v>
      </c>
      <c r="AP14" s="405"/>
      <c r="AQ14" s="386"/>
      <c r="AR14" s="384"/>
      <c r="AS14" s="565" t="s">
        <v>2552</v>
      </c>
      <c r="AT14" s="405"/>
      <c r="AU14" s="566" t="s">
        <v>2553</v>
      </c>
      <c r="AV14" s="405"/>
      <c r="AW14" s="386"/>
      <c r="AX14" s="384"/>
      <c r="AY14" s="386"/>
      <c r="AZ14" s="384"/>
      <c r="BA14" s="386"/>
      <c r="BB14" s="384"/>
      <c r="BC14" s="386"/>
      <c r="BD14" s="384"/>
    </row>
    <row r="15" spans="1:56" ht="15.75" customHeight="1" x14ac:dyDescent="0.25">
      <c r="A15" s="402"/>
      <c r="B15" s="402"/>
      <c r="C15" s="385"/>
      <c r="D15" s="388" t="s">
        <v>2301</v>
      </c>
      <c r="E15" s="565" t="s">
        <v>2554</v>
      </c>
      <c r="F15" s="405"/>
      <c r="G15" s="565" t="s">
        <v>2555</v>
      </c>
      <c r="H15" s="405"/>
      <c r="I15" s="565" t="s">
        <v>2556</v>
      </c>
      <c r="J15" s="405"/>
      <c r="K15" s="386"/>
      <c r="L15" s="384"/>
      <c r="M15" s="565" t="s">
        <v>2557</v>
      </c>
      <c r="N15" s="405"/>
      <c r="O15" s="565" t="s">
        <v>2558</v>
      </c>
      <c r="P15" s="405"/>
      <c r="Q15" s="565" t="s">
        <v>2559</v>
      </c>
      <c r="R15" s="405"/>
      <c r="S15" s="386"/>
      <c r="T15" s="384"/>
      <c r="U15" s="565" t="s">
        <v>2560</v>
      </c>
      <c r="V15" s="405"/>
      <c r="W15" s="565" t="s">
        <v>2561</v>
      </c>
      <c r="X15" s="405"/>
      <c r="Y15" s="386"/>
      <c r="Z15" s="384"/>
      <c r="AA15" s="565" t="s">
        <v>2562</v>
      </c>
      <c r="AB15" s="405"/>
      <c r="AC15" s="565" t="s">
        <v>2563</v>
      </c>
      <c r="AD15" s="405"/>
      <c r="AE15" s="386"/>
      <c r="AF15" s="384"/>
      <c r="AG15" s="565" t="s">
        <v>2564</v>
      </c>
      <c r="AH15" s="405"/>
      <c r="AI15" s="386"/>
      <c r="AJ15" s="384"/>
      <c r="AK15" s="565" t="s">
        <v>2565</v>
      </c>
      <c r="AL15" s="405"/>
      <c r="AM15" s="565" t="s">
        <v>2566</v>
      </c>
      <c r="AN15" s="405"/>
      <c r="AO15" s="566" t="s">
        <v>2567</v>
      </c>
      <c r="AP15" s="405"/>
      <c r="AQ15" s="386"/>
      <c r="AR15" s="384"/>
      <c r="AS15" s="565" t="s">
        <v>2568</v>
      </c>
      <c r="AT15" s="405"/>
      <c r="AU15" s="566" t="s">
        <v>2569</v>
      </c>
      <c r="AV15" s="405"/>
      <c r="AW15" s="386"/>
      <c r="AX15" s="384"/>
      <c r="AY15" s="386"/>
      <c r="AZ15" s="384"/>
      <c r="BA15" s="386"/>
      <c r="BB15" s="384"/>
      <c r="BC15" s="386"/>
      <c r="BD15" s="384"/>
    </row>
    <row r="16" spans="1:56" ht="15.75" customHeight="1" x14ac:dyDescent="0.25">
      <c r="A16" s="402"/>
      <c r="B16" s="402"/>
      <c r="C16" s="570" t="s">
        <v>2570</v>
      </c>
      <c r="D16" s="398"/>
      <c r="E16" s="565" t="s">
        <v>2571</v>
      </c>
      <c r="F16" s="405"/>
      <c r="G16" s="565" t="s">
        <v>2572</v>
      </c>
      <c r="H16" s="405"/>
      <c r="I16" s="565" t="s">
        <v>2573</v>
      </c>
      <c r="J16" s="405"/>
      <c r="K16" s="386"/>
      <c r="L16" s="384"/>
      <c r="M16" s="565" t="s">
        <v>2574</v>
      </c>
      <c r="N16" s="405"/>
      <c r="O16" s="565" t="s">
        <v>2575</v>
      </c>
      <c r="P16" s="405"/>
      <c r="Q16" s="565" t="s">
        <v>2576</v>
      </c>
      <c r="R16" s="405"/>
      <c r="S16" s="386"/>
      <c r="T16" s="384"/>
      <c r="U16" s="565" t="s">
        <v>2577</v>
      </c>
      <c r="V16" s="405"/>
      <c r="W16" s="565" t="s">
        <v>2578</v>
      </c>
      <c r="X16" s="405"/>
      <c r="Y16" s="386"/>
      <c r="Z16" s="384"/>
      <c r="AA16" s="565" t="s">
        <v>2579</v>
      </c>
      <c r="AB16" s="405"/>
      <c r="AC16" s="565" t="s">
        <v>2580</v>
      </c>
      <c r="AD16" s="405"/>
      <c r="AE16" s="386"/>
      <c r="AF16" s="384"/>
      <c r="AG16" s="565" t="s">
        <v>2581</v>
      </c>
      <c r="AH16" s="405"/>
      <c r="AI16" s="386"/>
      <c r="AJ16" s="384"/>
      <c r="AK16" s="565" t="s">
        <v>2582</v>
      </c>
      <c r="AL16" s="405"/>
      <c r="AM16" s="565" t="s">
        <v>2583</v>
      </c>
      <c r="AN16" s="405"/>
      <c r="AO16" s="566" t="s">
        <v>2584</v>
      </c>
      <c r="AP16" s="405"/>
      <c r="AQ16" s="386"/>
      <c r="AR16" s="384"/>
      <c r="AS16" s="566" t="s">
        <v>2585</v>
      </c>
      <c r="AT16" s="405"/>
      <c r="AU16" s="386"/>
      <c r="AV16" s="384"/>
      <c r="AW16" s="386"/>
      <c r="AX16" s="384"/>
      <c r="AY16" s="386"/>
      <c r="AZ16" s="384"/>
      <c r="BA16" s="386"/>
      <c r="BB16" s="384"/>
      <c r="BC16" s="386"/>
      <c r="BD16" s="384"/>
    </row>
    <row r="17" spans="1:56" ht="15.75" customHeight="1" x14ac:dyDescent="0.25">
      <c r="A17" s="397"/>
      <c r="B17" s="397"/>
      <c r="C17" s="565" t="s">
        <v>2586</v>
      </c>
      <c r="D17" s="405"/>
      <c r="E17" s="565" t="s">
        <v>2587</v>
      </c>
      <c r="F17" s="405"/>
      <c r="G17" s="565" t="s">
        <v>2588</v>
      </c>
      <c r="H17" s="405"/>
      <c r="I17" s="565" t="s">
        <v>2589</v>
      </c>
      <c r="J17" s="405"/>
      <c r="K17" s="386"/>
      <c r="L17" s="384"/>
      <c r="M17" s="565" t="s">
        <v>2590</v>
      </c>
      <c r="N17" s="405"/>
      <c r="O17" s="386"/>
      <c r="P17" s="384"/>
      <c r="Q17" s="565" t="s">
        <v>2591</v>
      </c>
      <c r="R17" s="405"/>
      <c r="S17" s="386"/>
      <c r="T17" s="384"/>
      <c r="U17" s="565" t="s">
        <v>2592</v>
      </c>
      <c r="V17" s="405"/>
      <c r="W17" s="565" t="s">
        <v>2593</v>
      </c>
      <c r="X17" s="405"/>
      <c r="Y17" s="386"/>
      <c r="Z17" s="384"/>
      <c r="AA17" s="565" t="s">
        <v>2594</v>
      </c>
      <c r="AB17" s="405"/>
      <c r="AC17" s="565" t="s">
        <v>2595</v>
      </c>
      <c r="AD17" s="405"/>
      <c r="AE17" s="386"/>
      <c r="AF17" s="384"/>
      <c r="AG17" s="565" t="s">
        <v>2596</v>
      </c>
      <c r="AH17" s="405"/>
      <c r="AI17" s="386"/>
      <c r="AJ17" s="384"/>
      <c r="AK17" s="565" t="s">
        <v>2597</v>
      </c>
      <c r="AL17" s="405"/>
      <c r="AM17" s="565" t="s">
        <v>2598</v>
      </c>
      <c r="AN17" s="405"/>
      <c r="AO17" s="566" t="s">
        <v>2599</v>
      </c>
      <c r="AP17" s="405"/>
      <c r="AQ17" s="386"/>
      <c r="AR17" s="384"/>
      <c r="AS17" s="566" t="s">
        <v>2600</v>
      </c>
      <c r="AT17" s="405"/>
      <c r="AU17" s="386"/>
      <c r="AV17" s="384"/>
      <c r="AW17" s="386"/>
      <c r="AX17" s="384"/>
      <c r="AY17" s="386"/>
      <c r="AZ17" s="384"/>
      <c r="BA17" s="386"/>
      <c r="BB17" s="384"/>
      <c r="BC17" s="386"/>
      <c r="BD17" s="384"/>
    </row>
    <row r="18" spans="1:56" ht="15.75" customHeight="1" x14ac:dyDescent="0.25">
      <c r="A18" s="83"/>
      <c r="B18" s="83"/>
      <c r="C18" s="565" t="s">
        <v>2601</v>
      </c>
      <c r="D18" s="405"/>
      <c r="E18" s="565" t="s">
        <v>2602</v>
      </c>
      <c r="F18" s="405"/>
      <c r="G18" s="565" t="s">
        <v>2603</v>
      </c>
      <c r="H18" s="405"/>
      <c r="I18" s="565" t="s">
        <v>2604</v>
      </c>
      <c r="J18" s="405"/>
      <c r="K18" s="386"/>
      <c r="L18" s="384"/>
      <c r="M18" s="565" t="s">
        <v>2605</v>
      </c>
      <c r="N18" s="405"/>
      <c r="O18" s="386"/>
      <c r="P18" s="384"/>
      <c r="Q18" s="565" t="s">
        <v>2606</v>
      </c>
      <c r="R18" s="405"/>
      <c r="S18" s="386"/>
      <c r="T18" s="384"/>
      <c r="U18" s="565" t="s">
        <v>2607</v>
      </c>
      <c r="V18" s="405"/>
      <c r="W18" s="565" t="s">
        <v>2608</v>
      </c>
      <c r="X18" s="405"/>
      <c r="Y18" s="386"/>
      <c r="Z18" s="384"/>
      <c r="AA18" s="565" t="s">
        <v>2609</v>
      </c>
      <c r="AB18" s="405"/>
      <c r="AC18" s="565" t="s">
        <v>2610</v>
      </c>
      <c r="AD18" s="405"/>
      <c r="AE18" s="386"/>
      <c r="AF18" s="384"/>
      <c r="AG18" s="565" t="s">
        <v>2611</v>
      </c>
      <c r="AH18" s="405"/>
      <c r="AI18" s="386"/>
      <c r="AJ18" s="384"/>
      <c r="AK18" s="565" t="s">
        <v>2612</v>
      </c>
      <c r="AL18" s="405"/>
      <c r="AM18" s="565" t="s">
        <v>2613</v>
      </c>
      <c r="AN18" s="405"/>
      <c r="AO18" s="566" t="s">
        <v>2614</v>
      </c>
      <c r="AP18" s="405"/>
      <c r="AQ18" s="386"/>
      <c r="AR18" s="384"/>
      <c r="AS18" s="566" t="s">
        <v>2615</v>
      </c>
      <c r="AT18" s="405"/>
      <c r="AU18" s="386"/>
      <c r="AV18" s="384"/>
      <c r="AW18" s="386"/>
      <c r="AX18" s="384"/>
      <c r="AY18" s="386"/>
      <c r="AZ18" s="384"/>
      <c r="BA18" s="386"/>
      <c r="BB18" s="384"/>
      <c r="BC18" s="386"/>
      <c r="BD18" s="384"/>
    </row>
    <row r="19" spans="1:56" ht="15.75" customHeight="1" x14ac:dyDescent="0.25">
      <c r="A19" s="83"/>
      <c r="B19" s="83"/>
      <c r="C19" s="565" t="s">
        <v>2616</v>
      </c>
      <c r="D19" s="405"/>
      <c r="E19" s="565" t="s">
        <v>2617</v>
      </c>
      <c r="F19" s="405"/>
      <c r="G19" s="565" t="s">
        <v>2618</v>
      </c>
      <c r="H19" s="405"/>
      <c r="I19" s="565" t="s">
        <v>2619</v>
      </c>
      <c r="J19" s="405"/>
      <c r="K19" s="386"/>
      <c r="L19" s="384"/>
      <c r="M19" s="565" t="s">
        <v>2620</v>
      </c>
      <c r="N19" s="405"/>
      <c r="O19" s="386"/>
      <c r="P19" s="384"/>
      <c r="Q19" s="565" t="s">
        <v>2621</v>
      </c>
      <c r="R19" s="405"/>
      <c r="S19" s="386"/>
      <c r="T19" s="384"/>
      <c r="U19" s="565" t="s">
        <v>2622</v>
      </c>
      <c r="V19" s="405"/>
      <c r="W19" s="565" t="s">
        <v>2623</v>
      </c>
      <c r="X19" s="405"/>
      <c r="Y19" s="386"/>
      <c r="Z19" s="384"/>
      <c r="AA19" s="565" t="s">
        <v>2624</v>
      </c>
      <c r="AB19" s="405"/>
      <c r="AC19" s="565" t="s">
        <v>2625</v>
      </c>
      <c r="AD19" s="405"/>
      <c r="AE19" s="386"/>
      <c r="AF19" s="384"/>
      <c r="AG19" s="565" t="s">
        <v>2626</v>
      </c>
      <c r="AH19" s="405"/>
      <c r="AI19" s="386"/>
      <c r="AJ19" s="384"/>
      <c r="AK19" s="565" t="s">
        <v>2627</v>
      </c>
      <c r="AL19" s="405"/>
      <c r="AM19" s="565" t="s">
        <v>2628</v>
      </c>
      <c r="AN19" s="405"/>
      <c r="AO19" s="566" t="s">
        <v>2629</v>
      </c>
      <c r="AP19" s="405"/>
      <c r="AQ19" s="386"/>
      <c r="AR19" s="384"/>
      <c r="AS19" s="566" t="s">
        <v>2630</v>
      </c>
      <c r="AT19" s="405"/>
      <c r="AU19" s="386"/>
      <c r="AV19" s="384"/>
      <c r="AW19" s="386"/>
      <c r="AX19" s="384"/>
      <c r="AY19" s="386"/>
      <c r="AZ19" s="384"/>
      <c r="BA19" s="386"/>
      <c r="BB19" s="384"/>
      <c r="BC19" s="386"/>
      <c r="BD19" s="384"/>
    </row>
    <row r="20" spans="1:56" ht="15.75" customHeight="1" x14ac:dyDescent="0.25">
      <c r="A20" s="83"/>
      <c r="B20" s="83"/>
      <c r="C20" s="565" t="s">
        <v>2631</v>
      </c>
      <c r="D20" s="405"/>
      <c r="E20" s="565" t="s">
        <v>2632</v>
      </c>
      <c r="F20" s="405"/>
      <c r="G20" s="565" t="s">
        <v>2633</v>
      </c>
      <c r="H20" s="405"/>
      <c r="I20" s="565" t="s">
        <v>2634</v>
      </c>
      <c r="J20" s="405"/>
      <c r="K20" s="386"/>
      <c r="L20" s="384"/>
      <c r="M20" s="565" t="s">
        <v>2635</v>
      </c>
      <c r="N20" s="405"/>
      <c r="O20" s="386"/>
      <c r="P20" s="384"/>
      <c r="Q20" s="565" t="s">
        <v>2636</v>
      </c>
      <c r="R20" s="405"/>
      <c r="S20" s="386"/>
      <c r="T20" s="384"/>
      <c r="U20" s="565" t="s">
        <v>2637</v>
      </c>
      <c r="V20" s="405"/>
      <c r="W20" s="565" t="s">
        <v>2638</v>
      </c>
      <c r="X20" s="405"/>
      <c r="Y20" s="386"/>
      <c r="Z20" s="384"/>
      <c r="AA20" s="565" t="s">
        <v>2639</v>
      </c>
      <c r="AB20" s="405"/>
      <c r="AC20" s="565" t="s">
        <v>2640</v>
      </c>
      <c r="AD20" s="405"/>
      <c r="AE20" s="386"/>
      <c r="AF20" s="384"/>
      <c r="AG20" s="565" t="s">
        <v>2641</v>
      </c>
      <c r="AH20" s="405"/>
      <c r="AI20" s="386"/>
      <c r="AJ20" s="384"/>
      <c r="AK20" s="565" t="s">
        <v>2642</v>
      </c>
      <c r="AL20" s="405"/>
      <c r="AM20" s="565" t="s">
        <v>2643</v>
      </c>
      <c r="AN20" s="405"/>
      <c r="AO20" s="566" t="s">
        <v>2644</v>
      </c>
      <c r="AP20" s="405"/>
      <c r="AQ20" s="386"/>
      <c r="AR20" s="384"/>
      <c r="AS20" s="566" t="s">
        <v>2645</v>
      </c>
      <c r="AT20" s="405"/>
      <c r="AU20" s="386"/>
      <c r="AV20" s="384"/>
      <c r="AW20" s="386"/>
      <c r="AX20" s="384"/>
      <c r="AY20" s="386"/>
      <c r="AZ20" s="384"/>
      <c r="BA20" s="386"/>
      <c r="BB20" s="384"/>
      <c r="BC20" s="386"/>
      <c r="BD20" s="384"/>
    </row>
    <row r="21" spans="1:56" ht="15.75" customHeight="1" x14ac:dyDescent="0.25">
      <c r="A21" s="83"/>
      <c r="B21" s="83"/>
      <c r="C21" s="565" t="s">
        <v>2646</v>
      </c>
      <c r="D21" s="405"/>
      <c r="E21" s="565" t="s">
        <v>2647</v>
      </c>
      <c r="F21" s="405"/>
      <c r="G21" s="565" t="s">
        <v>2648</v>
      </c>
      <c r="H21" s="405"/>
      <c r="I21" s="565" t="s">
        <v>2649</v>
      </c>
      <c r="J21" s="405"/>
      <c r="K21" s="386"/>
      <c r="L21" s="384"/>
      <c r="M21" s="565" t="s">
        <v>2650</v>
      </c>
      <c r="N21" s="405"/>
      <c r="O21" s="386"/>
      <c r="P21" s="384"/>
      <c r="Q21" s="565" t="s">
        <v>2651</v>
      </c>
      <c r="R21" s="405"/>
      <c r="S21" s="386"/>
      <c r="T21" s="384"/>
      <c r="U21" s="565" t="s">
        <v>2652</v>
      </c>
      <c r="V21" s="405"/>
      <c r="W21" s="565" t="s">
        <v>2653</v>
      </c>
      <c r="X21" s="405"/>
      <c r="Y21" s="386"/>
      <c r="Z21" s="384"/>
      <c r="AA21" s="565" t="s">
        <v>2654</v>
      </c>
      <c r="AB21" s="405"/>
      <c r="AC21" s="565" t="s">
        <v>2655</v>
      </c>
      <c r="AD21" s="405"/>
      <c r="AE21" s="386"/>
      <c r="AF21" s="384"/>
      <c r="AG21" s="565" t="s">
        <v>2656</v>
      </c>
      <c r="AH21" s="405"/>
      <c r="AI21" s="386"/>
      <c r="AJ21" s="384"/>
      <c r="AK21" s="565" t="s">
        <v>2657</v>
      </c>
      <c r="AL21" s="405"/>
      <c r="AM21" s="565" t="s">
        <v>2658</v>
      </c>
      <c r="AN21" s="405"/>
      <c r="AO21" s="566" t="s">
        <v>2659</v>
      </c>
      <c r="AP21" s="405"/>
      <c r="AQ21" s="386"/>
      <c r="AR21" s="384"/>
      <c r="AS21" s="566" t="s">
        <v>2660</v>
      </c>
      <c r="AT21" s="405"/>
      <c r="AU21" s="386"/>
      <c r="AV21" s="384"/>
      <c r="AW21" s="386"/>
      <c r="AX21" s="384"/>
      <c r="AY21" s="386"/>
      <c r="AZ21" s="384"/>
      <c r="BA21" s="386"/>
      <c r="BB21" s="384"/>
      <c r="BC21" s="386"/>
      <c r="BD21" s="384"/>
    </row>
    <row r="22" spans="1:56" ht="15.75" customHeight="1" x14ac:dyDescent="0.25">
      <c r="A22" s="83"/>
      <c r="B22" s="83"/>
      <c r="C22" s="565" t="s">
        <v>2661</v>
      </c>
      <c r="D22" s="405"/>
      <c r="E22" s="565" t="s">
        <v>2662</v>
      </c>
      <c r="F22" s="405"/>
      <c r="G22" s="565" t="s">
        <v>2663</v>
      </c>
      <c r="H22" s="405"/>
      <c r="I22" s="565" t="s">
        <v>2664</v>
      </c>
      <c r="J22" s="405"/>
      <c r="K22" s="386"/>
      <c r="L22" s="384"/>
      <c r="M22" s="565" t="s">
        <v>2665</v>
      </c>
      <c r="N22" s="405"/>
      <c r="O22" s="386"/>
      <c r="P22" s="384"/>
      <c r="Q22" s="565" t="s">
        <v>2666</v>
      </c>
      <c r="R22" s="405"/>
      <c r="S22" s="386"/>
      <c r="T22" s="384"/>
      <c r="U22" s="386"/>
      <c r="V22" s="384"/>
      <c r="W22" s="565" t="s">
        <v>2667</v>
      </c>
      <c r="X22" s="405"/>
      <c r="Y22" s="386"/>
      <c r="Z22" s="384"/>
      <c r="AA22" s="565" t="s">
        <v>2668</v>
      </c>
      <c r="AB22" s="405"/>
      <c r="AC22" s="565" t="s">
        <v>2669</v>
      </c>
      <c r="AD22" s="405"/>
      <c r="AE22" s="386"/>
      <c r="AF22" s="384"/>
      <c r="AG22" s="565" t="s">
        <v>2670</v>
      </c>
      <c r="AH22" s="405"/>
      <c r="AI22" s="386"/>
      <c r="AJ22" s="384"/>
      <c r="AK22" s="565" t="s">
        <v>2475</v>
      </c>
      <c r="AL22" s="405"/>
      <c r="AM22" s="565" t="s">
        <v>2671</v>
      </c>
      <c r="AN22" s="405"/>
      <c r="AO22" s="566" t="s">
        <v>2672</v>
      </c>
      <c r="AP22" s="405"/>
      <c r="AQ22" s="386"/>
      <c r="AR22" s="384"/>
      <c r="AS22" s="566" t="s">
        <v>2673</v>
      </c>
      <c r="AT22" s="405"/>
      <c r="AU22" s="386"/>
      <c r="AV22" s="384"/>
      <c r="AW22" s="386"/>
      <c r="AX22" s="384"/>
      <c r="AY22" s="386"/>
      <c r="AZ22" s="384"/>
      <c r="BA22" s="386"/>
      <c r="BB22" s="384"/>
      <c r="BC22" s="386"/>
      <c r="BD22" s="384"/>
    </row>
    <row r="23" spans="1:56" ht="15.75" customHeight="1" x14ac:dyDescent="0.25">
      <c r="A23" s="83"/>
      <c r="B23" s="83"/>
      <c r="C23" s="565" t="s">
        <v>2674</v>
      </c>
      <c r="D23" s="405"/>
      <c r="E23" s="565" t="s">
        <v>2675</v>
      </c>
      <c r="F23" s="405"/>
      <c r="G23" s="565" t="s">
        <v>2676</v>
      </c>
      <c r="H23" s="405"/>
      <c r="I23" s="565" t="s">
        <v>2677</v>
      </c>
      <c r="J23" s="405"/>
      <c r="K23" s="386"/>
      <c r="L23" s="384"/>
      <c r="M23" s="386" t="s">
        <v>2678</v>
      </c>
      <c r="N23" s="384" t="s">
        <v>2274</v>
      </c>
      <c r="O23" s="386"/>
      <c r="P23" s="384"/>
      <c r="Q23" s="565" t="s">
        <v>2679</v>
      </c>
      <c r="R23" s="405"/>
      <c r="S23" s="386"/>
      <c r="T23" s="384"/>
      <c r="U23" s="573" t="s">
        <v>2680</v>
      </c>
      <c r="V23" s="405"/>
      <c r="W23" s="565" t="s">
        <v>2681</v>
      </c>
      <c r="X23" s="405"/>
      <c r="Y23" s="386"/>
      <c r="Z23" s="384"/>
      <c r="AA23" s="565" t="s">
        <v>2682</v>
      </c>
      <c r="AB23" s="405"/>
      <c r="AC23" s="565" t="s">
        <v>2683</v>
      </c>
      <c r="AD23" s="405"/>
      <c r="AE23" s="386"/>
      <c r="AF23" s="384"/>
      <c r="AG23" s="565" t="s">
        <v>2684</v>
      </c>
      <c r="AH23" s="405"/>
      <c r="AI23" s="386"/>
      <c r="AJ23" s="384"/>
      <c r="AK23" s="565" t="s">
        <v>2685</v>
      </c>
      <c r="AL23" s="405"/>
      <c r="AM23" s="565" t="s">
        <v>2686</v>
      </c>
      <c r="AN23" s="405"/>
      <c r="AO23" s="566" t="s">
        <v>2672</v>
      </c>
      <c r="AP23" s="405"/>
      <c r="AQ23" s="386"/>
      <c r="AR23" s="384"/>
      <c r="AS23" s="566" t="s">
        <v>2687</v>
      </c>
      <c r="AT23" s="405"/>
      <c r="AU23" s="386"/>
      <c r="AV23" s="384"/>
      <c r="AW23" s="386"/>
      <c r="AX23" s="384"/>
      <c r="AY23" s="386"/>
      <c r="AZ23" s="384"/>
      <c r="BA23" s="386"/>
      <c r="BB23" s="384"/>
      <c r="BC23" s="386"/>
      <c r="BD23" s="384"/>
    </row>
    <row r="24" spans="1:56" ht="15" x14ac:dyDescent="0.25">
      <c r="A24" s="83"/>
      <c r="B24" s="83"/>
      <c r="C24" s="565" t="s">
        <v>2688</v>
      </c>
      <c r="D24" s="405"/>
      <c r="E24" s="565" t="s">
        <v>2689</v>
      </c>
      <c r="F24" s="405"/>
      <c r="G24" s="565" t="s">
        <v>2690</v>
      </c>
      <c r="H24" s="405"/>
      <c r="I24" s="565" t="s">
        <v>2691</v>
      </c>
      <c r="J24" s="405"/>
      <c r="K24" s="386"/>
      <c r="L24" s="384"/>
      <c r="M24" s="386"/>
      <c r="N24" s="384" t="s">
        <v>2692</v>
      </c>
      <c r="O24" s="386"/>
      <c r="P24" s="384"/>
      <c r="Q24" s="565" t="s">
        <v>2693</v>
      </c>
      <c r="R24" s="405"/>
      <c r="S24" s="386"/>
      <c r="T24" s="384"/>
      <c r="U24" s="565" t="s">
        <v>2694</v>
      </c>
      <c r="V24" s="405"/>
      <c r="W24" s="565" t="s">
        <v>2695</v>
      </c>
      <c r="X24" s="405"/>
      <c r="Y24" s="386"/>
      <c r="Z24" s="384"/>
      <c r="AA24" s="565" t="s">
        <v>2696</v>
      </c>
      <c r="AB24" s="405"/>
      <c r="AC24" s="565" t="s">
        <v>2697</v>
      </c>
      <c r="AD24" s="405"/>
      <c r="AE24" s="386"/>
      <c r="AF24" s="384"/>
      <c r="AG24" s="565" t="s">
        <v>2698</v>
      </c>
      <c r="AH24" s="405"/>
      <c r="AI24" s="386"/>
      <c r="AJ24" s="384"/>
      <c r="AK24" s="565" t="s">
        <v>2699</v>
      </c>
      <c r="AL24" s="405"/>
      <c r="AM24" s="565" t="s">
        <v>2700</v>
      </c>
      <c r="AN24" s="405"/>
      <c r="AO24" s="566" t="s">
        <v>2701</v>
      </c>
      <c r="AP24" s="405"/>
      <c r="AQ24" s="386"/>
      <c r="AR24" s="384"/>
      <c r="AS24" s="566" t="s">
        <v>2702</v>
      </c>
      <c r="AT24" s="405"/>
      <c r="AU24" s="386"/>
      <c r="AV24" s="384"/>
      <c r="AW24" s="386"/>
      <c r="AX24" s="384"/>
      <c r="AY24" s="386"/>
      <c r="AZ24" s="384"/>
      <c r="BA24" s="386"/>
      <c r="BB24" s="384"/>
      <c r="BC24" s="386"/>
      <c r="BD24" s="384"/>
    </row>
    <row r="25" spans="1:56" ht="15" x14ac:dyDescent="0.25">
      <c r="A25" s="83"/>
      <c r="B25" s="83"/>
      <c r="C25" s="565" t="s">
        <v>2703</v>
      </c>
      <c r="D25" s="405"/>
      <c r="E25" s="565" t="s">
        <v>2704</v>
      </c>
      <c r="F25" s="405"/>
      <c r="G25" s="565" t="s">
        <v>2705</v>
      </c>
      <c r="H25" s="405"/>
      <c r="I25" s="386"/>
      <c r="J25" s="384"/>
      <c r="K25" s="386"/>
      <c r="L25" s="384"/>
      <c r="M25" s="386"/>
      <c r="N25" s="384" t="s">
        <v>2706</v>
      </c>
      <c r="O25" s="386"/>
      <c r="P25" s="384"/>
      <c r="Q25" s="565" t="s">
        <v>2707</v>
      </c>
      <c r="R25" s="405"/>
      <c r="S25" s="386"/>
      <c r="T25" s="384"/>
      <c r="U25" s="386"/>
      <c r="V25" s="384"/>
      <c r="W25" s="565" t="s">
        <v>2708</v>
      </c>
      <c r="X25" s="405"/>
      <c r="Y25" s="386"/>
      <c r="Z25" s="384"/>
      <c r="AA25" s="565" t="s">
        <v>2709</v>
      </c>
      <c r="AB25" s="405"/>
      <c r="AC25" s="565" t="s">
        <v>2710</v>
      </c>
      <c r="AD25" s="405"/>
      <c r="AE25" s="386"/>
      <c r="AF25" s="384"/>
      <c r="AG25" s="565" t="s">
        <v>2711</v>
      </c>
      <c r="AH25" s="405"/>
      <c r="AI25" s="386"/>
      <c r="AJ25" s="384"/>
      <c r="AK25" s="565" t="s">
        <v>2712</v>
      </c>
      <c r="AL25" s="405"/>
      <c r="AM25" s="565" t="s">
        <v>2713</v>
      </c>
      <c r="AN25" s="405"/>
      <c r="AO25" s="566" t="s">
        <v>2714</v>
      </c>
      <c r="AP25" s="405"/>
      <c r="AQ25" s="386"/>
      <c r="AR25" s="384"/>
      <c r="AS25" s="566" t="s">
        <v>2715</v>
      </c>
      <c r="AT25" s="405"/>
      <c r="AU25" s="386"/>
      <c r="AV25" s="384"/>
      <c r="AW25" s="386"/>
      <c r="AX25" s="384"/>
      <c r="AY25" s="386"/>
      <c r="AZ25" s="384"/>
      <c r="BA25" s="386"/>
      <c r="BB25" s="384"/>
      <c r="BC25" s="386"/>
      <c r="BD25" s="384"/>
    </row>
    <row r="26" spans="1:56" ht="18.75" x14ac:dyDescent="0.25">
      <c r="A26" s="83"/>
      <c r="B26" s="83"/>
      <c r="C26" s="565" t="s">
        <v>2716</v>
      </c>
      <c r="D26" s="405"/>
      <c r="E26" s="565" t="s">
        <v>2717</v>
      </c>
      <c r="F26" s="405"/>
      <c r="G26" s="565" t="s">
        <v>2718</v>
      </c>
      <c r="H26" s="405"/>
      <c r="I26" s="573" t="s">
        <v>2719</v>
      </c>
      <c r="J26" s="405"/>
      <c r="K26" s="386"/>
      <c r="L26" s="384"/>
      <c r="M26" s="386"/>
      <c r="N26" s="384" t="s">
        <v>2720</v>
      </c>
      <c r="O26" s="386"/>
      <c r="P26" s="384"/>
      <c r="Q26" s="565" t="s">
        <v>2721</v>
      </c>
      <c r="R26" s="405"/>
      <c r="S26" s="386"/>
      <c r="T26" s="384"/>
      <c r="U26" s="386"/>
      <c r="V26" s="384"/>
      <c r="W26" s="565" t="s">
        <v>2722</v>
      </c>
      <c r="X26" s="405"/>
      <c r="Y26" s="386"/>
      <c r="Z26" s="384"/>
      <c r="AA26" s="386" t="s">
        <v>2723</v>
      </c>
      <c r="AB26" s="384" t="s">
        <v>2274</v>
      </c>
      <c r="AC26" s="565" t="s">
        <v>2724</v>
      </c>
      <c r="AD26" s="405"/>
      <c r="AE26" s="386"/>
      <c r="AF26" s="384"/>
      <c r="AG26" s="565" t="s">
        <v>2725</v>
      </c>
      <c r="AH26" s="405"/>
      <c r="AI26" s="386"/>
      <c r="AJ26" s="384"/>
      <c r="AK26" s="565" t="s">
        <v>2726</v>
      </c>
      <c r="AL26" s="405"/>
      <c r="AM26" s="565" t="s">
        <v>2727</v>
      </c>
      <c r="AN26" s="405"/>
      <c r="AO26" s="566" t="s">
        <v>2728</v>
      </c>
      <c r="AP26" s="405"/>
      <c r="AQ26" s="386"/>
      <c r="AR26" s="384"/>
      <c r="AS26" s="565" t="s">
        <v>2729</v>
      </c>
      <c r="AT26" s="405"/>
      <c r="AU26" s="386"/>
      <c r="AV26" s="384"/>
      <c r="AW26" s="386"/>
      <c r="AX26" s="384"/>
      <c r="AY26" s="386"/>
      <c r="AZ26" s="384"/>
      <c r="BA26" s="386"/>
      <c r="BB26" s="384"/>
      <c r="BC26" s="386"/>
      <c r="BD26" s="384"/>
    </row>
    <row r="27" spans="1:56" ht="15" x14ac:dyDescent="0.25">
      <c r="A27" s="83"/>
      <c r="B27" s="83"/>
      <c r="C27" s="565" t="s">
        <v>2730</v>
      </c>
      <c r="D27" s="405"/>
      <c r="E27" s="565" t="s">
        <v>2731</v>
      </c>
      <c r="F27" s="405"/>
      <c r="G27" s="565" t="s">
        <v>2732</v>
      </c>
      <c r="H27" s="405"/>
      <c r="I27" s="389" t="s">
        <v>2733</v>
      </c>
      <c r="J27" s="390"/>
      <c r="K27" s="386"/>
      <c r="L27" s="384"/>
      <c r="M27" s="386"/>
      <c r="N27" s="384" t="s">
        <v>2734</v>
      </c>
      <c r="O27" s="386"/>
      <c r="P27" s="384"/>
      <c r="Q27" s="565" t="s">
        <v>2735</v>
      </c>
      <c r="R27" s="405"/>
      <c r="S27" s="386"/>
      <c r="T27" s="384"/>
      <c r="U27" s="386"/>
      <c r="V27" s="384"/>
      <c r="W27" s="565" t="s">
        <v>2736</v>
      </c>
      <c r="X27" s="405"/>
      <c r="Y27" s="386"/>
      <c r="Z27" s="384"/>
      <c r="AA27" s="387"/>
      <c r="AB27" s="384" t="s">
        <v>2737</v>
      </c>
      <c r="AC27" s="565" t="s">
        <v>2738</v>
      </c>
      <c r="AD27" s="405"/>
      <c r="AE27" s="386"/>
      <c r="AF27" s="384"/>
      <c r="AG27" s="565" t="s">
        <v>2739</v>
      </c>
      <c r="AH27" s="405"/>
      <c r="AI27" s="386"/>
      <c r="AJ27" s="384"/>
      <c r="AK27" s="565" t="s">
        <v>2740</v>
      </c>
      <c r="AL27" s="405"/>
      <c r="AM27" s="565" t="s">
        <v>2741</v>
      </c>
      <c r="AN27" s="405"/>
      <c r="AO27" s="566" t="s">
        <v>2742</v>
      </c>
      <c r="AP27" s="405"/>
      <c r="AQ27" s="386"/>
      <c r="AR27" s="384"/>
      <c r="AS27" s="565" t="s">
        <v>2743</v>
      </c>
      <c r="AT27" s="405"/>
      <c r="AU27" s="386"/>
      <c r="AV27" s="384"/>
      <c r="AW27" s="386"/>
      <c r="AX27" s="384"/>
      <c r="AY27" s="386"/>
      <c r="AZ27" s="384"/>
      <c r="BA27" s="386"/>
      <c r="BB27" s="384"/>
      <c r="BC27" s="386"/>
      <c r="BD27" s="384"/>
    </row>
    <row r="28" spans="1:56" ht="15" x14ac:dyDescent="0.25">
      <c r="A28" s="83"/>
      <c r="B28" s="83"/>
      <c r="C28" s="565" t="s">
        <v>2744</v>
      </c>
      <c r="D28" s="405"/>
      <c r="E28" s="565" t="s">
        <v>2745</v>
      </c>
      <c r="F28" s="405"/>
      <c r="G28" s="565" t="s">
        <v>2746</v>
      </c>
      <c r="H28" s="405"/>
      <c r="I28" s="83" t="s">
        <v>2747</v>
      </c>
      <c r="J28" s="384"/>
      <c r="K28" s="83"/>
      <c r="L28" s="384"/>
      <c r="M28" s="386"/>
      <c r="N28" s="384" t="s">
        <v>2748</v>
      </c>
      <c r="O28" s="386"/>
      <c r="P28" s="384"/>
      <c r="Q28" s="565" t="s">
        <v>2749</v>
      </c>
      <c r="R28" s="405"/>
      <c r="S28" s="386"/>
      <c r="T28" s="384"/>
      <c r="U28" s="386"/>
      <c r="V28" s="384"/>
      <c r="W28" s="565" t="s">
        <v>2750</v>
      </c>
      <c r="X28" s="405"/>
      <c r="Y28" s="386"/>
      <c r="Z28" s="384"/>
      <c r="AA28" s="387"/>
      <c r="AB28" s="384" t="s">
        <v>2751</v>
      </c>
      <c r="AC28" s="565" t="s">
        <v>2752</v>
      </c>
      <c r="AD28" s="405"/>
      <c r="AE28" s="386"/>
      <c r="AF28" s="384"/>
      <c r="AG28" s="565" t="s">
        <v>2753</v>
      </c>
      <c r="AH28" s="405"/>
      <c r="AI28" s="386"/>
      <c r="AJ28" s="384"/>
      <c r="AK28" s="565" t="s">
        <v>2754</v>
      </c>
      <c r="AL28" s="405"/>
      <c r="AM28" s="565" t="s">
        <v>2755</v>
      </c>
      <c r="AN28" s="405"/>
      <c r="AO28" s="566" t="s">
        <v>2756</v>
      </c>
      <c r="AP28" s="405"/>
      <c r="AQ28" s="386"/>
      <c r="AR28" s="384"/>
      <c r="AS28" s="566" t="s">
        <v>2757</v>
      </c>
      <c r="AT28" s="405"/>
      <c r="AU28" s="386"/>
      <c r="AV28" s="384"/>
      <c r="AW28" s="386"/>
      <c r="AX28" s="384"/>
      <c r="AY28" s="386"/>
      <c r="AZ28" s="384"/>
      <c r="BA28" s="386"/>
      <c r="BB28" s="384"/>
      <c r="BC28" s="386"/>
      <c r="BD28" s="384"/>
    </row>
    <row r="29" spans="1:56" ht="15" x14ac:dyDescent="0.25">
      <c r="A29" s="83"/>
      <c r="B29" s="83"/>
      <c r="C29" s="565" t="s">
        <v>2758</v>
      </c>
      <c r="D29" s="405"/>
      <c r="E29" s="565" t="s">
        <v>2759</v>
      </c>
      <c r="F29" s="405"/>
      <c r="G29" s="565" t="s">
        <v>2760</v>
      </c>
      <c r="H29" s="405"/>
      <c r="I29" s="386"/>
      <c r="J29" s="384"/>
      <c r="K29" s="386"/>
      <c r="L29" s="384"/>
      <c r="M29" s="385"/>
      <c r="N29" s="388" t="s">
        <v>2761</v>
      </c>
      <c r="O29" s="386"/>
      <c r="P29" s="384"/>
      <c r="Q29" s="565" t="s">
        <v>2762</v>
      </c>
      <c r="R29" s="405"/>
      <c r="S29" s="386"/>
      <c r="T29" s="384"/>
      <c r="U29" s="386"/>
      <c r="V29" s="384"/>
      <c r="W29" s="565" t="s">
        <v>2763</v>
      </c>
      <c r="X29" s="405"/>
      <c r="Y29" s="386"/>
      <c r="Z29" s="384"/>
      <c r="AA29" s="387"/>
      <c r="AB29" s="384" t="s">
        <v>2764</v>
      </c>
      <c r="AC29" s="565" t="s">
        <v>2765</v>
      </c>
      <c r="AD29" s="405"/>
      <c r="AE29" s="386"/>
      <c r="AF29" s="384"/>
      <c r="AG29" s="565" t="s">
        <v>2766</v>
      </c>
      <c r="AH29" s="405"/>
      <c r="AI29" s="386"/>
      <c r="AJ29" s="384"/>
      <c r="AK29" s="565" t="s">
        <v>2767</v>
      </c>
      <c r="AL29" s="405"/>
      <c r="AM29" s="565" t="s">
        <v>2768</v>
      </c>
      <c r="AN29" s="405"/>
      <c r="AO29" s="566" t="s">
        <v>2769</v>
      </c>
      <c r="AP29" s="405"/>
      <c r="AQ29" s="386"/>
      <c r="AR29" s="384"/>
      <c r="AS29" s="566" t="s">
        <v>2770</v>
      </c>
      <c r="AT29" s="405"/>
      <c r="AU29" s="386"/>
      <c r="AV29" s="384"/>
      <c r="AW29" s="386"/>
      <c r="AX29" s="384"/>
      <c r="AY29" s="386"/>
      <c r="AZ29" s="384"/>
      <c r="BA29" s="386"/>
      <c r="BB29" s="384"/>
      <c r="BC29" s="386"/>
      <c r="BD29" s="384"/>
    </row>
    <row r="30" spans="1:56" ht="15" x14ac:dyDescent="0.25">
      <c r="A30" s="83"/>
      <c r="B30" s="83"/>
      <c r="C30" s="565" t="s">
        <v>2771</v>
      </c>
      <c r="D30" s="405"/>
      <c r="E30" s="565" t="s">
        <v>2772</v>
      </c>
      <c r="F30" s="405"/>
      <c r="G30" s="565" t="s">
        <v>2773</v>
      </c>
      <c r="H30" s="405"/>
      <c r="I30" s="386"/>
      <c r="J30" s="384"/>
      <c r="K30" s="386"/>
      <c r="L30" s="384"/>
      <c r="M30" s="570" t="s">
        <v>2774</v>
      </c>
      <c r="N30" s="398"/>
      <c r="O30" s="386"/>
      <c r="P30" s="384"/>
      <c r="Q30" s="565" t="s">
        <v>2775</v>
      </c>
      <c r="R30" s="405"/>
      <c r="S30" s="386"/>
      <c r="T30" s="384"/>
      <c r="U30" s="386"/>
      <c r="V30" s="384"/>
      <c r="W30" s="565" t="s">
        <v>2776</v>
      </c>
      <c r="X30" s="405"/>
      <c r="Y30" s="386"/>
      <c r="Z30" s="384"/>
      <c r="AA30" s="387"/>
      <c r="AB30" s="384" t="s">
        <v>2777</v>
      </c>
      <c r="AC30" s="565" t="s">
        <v>2778</v>
      </c>
      <c r="AD30" s="405"/>
      <c r="AE30" s="386"/>
      <c r="AF30" s="384"/>
      <c r="AG30" s="565" t="s">
        <v>2779</v>
      </c>
      <c r="AH30" s="405"/>
      <c r="AI30" s="386"/>
      <c r="AJ30" s="384"/>
      <c r="AK30" s="565" t="s">
        <v>2780</v>
      </c>
      <c r="AL30" s="405"/>
      <c r="AM30" s="565" t="s">
        <v>2781</v>
      </c>
      <c r="AN30" s="405"/>
      <c r="AO30" s="566" t="s">
        <v>2782</v>
      </c>
      <c r="AP30" s="405"/>
      <c r="AQ30" s="386"/>
      <c r="AR30" s="384"/>
      <c r="AS30" s="566" t="s">
        <v>2783</v>
      </c>
      <c r="AT30" s="405"/>
      <c r="AU30" s="386"/>
      <c r="AV30" s="384"/>
      <c r="AW30" s="386"/>
      <c r="AX30" s="384"/>
      <c r="AY30" s="386"/>
      <c r="AZ30" s="384"/>
      <c r="BA30" s="386"/>
      <c r="BB30" s="384"/>
      <c r="BC30" s="386"/>
      <c r="BD30" s="384"/>
    </row>
    <row r="31" spans="1:56" ht="15" x14ac:dyDescent="0.25">
      <c r="A31" s="83"/>
      <c r="B31" s="83"/>
      <c r="C31" s="565" t="s">
        <v>2784</v>
      </c>
      <c r="D31" s="405"/>
      <c r="E31" s="565" t="s">
        <v>2785</v>
      </c>
      <c r="F31" s="405"/>
      <c r="G31" s="565" t="s">
        <v>2786</v>
      </c>
      <c r="H31" s="405"/>
      <c r="I31" s="386"/>
      <c r="J31" s="384"/>
      <c r="K31" s="386"/>
      <c r="L31" s="384"/>
      <c r="M31" s="565" t="s">
        <v>2787</v>
      </c>
      <c r="N31" s="405"/>
      <c r="O31" s="386"/>
      <c r="P31" s="384"/>
      <c r="Q31" s="565" t="s">
        <v>2788</v>
      </c>
      <c r="R31" s="405"/>
      <c r="S31" s="386"/>
      <c r="T31" s="384"/>
      <c r="U31" s="386"/>
      <c r="V31" s="384"/>
      <c r="W31" s="565" t="s">
        <v>2789</v>
      </c>
      <c r="X31" s="405"/>
      <c r="Y31" s="386"/>
      <c r="Z31" s="384"/>
      <c r="AA31" s="387"/>
      <c r="AB31" s="384" t="s">
        <v>2790</v>
      </c>
      <c r="AC31" s="565" t="s">
        <v>2791</v>
      </c>
      <c r="AD31" s="405"/>
      <c r="AE31" s="386"/>
      <c r="AF31" s="384"/>
      <c r="AG31" s="565" t="s">
        <v>2792</v>
      </c>
      <c r="AH31" s="405"/>
      <c r="AI31" s="386"/>
      <c r="AJ31" s="384"/>
      <c r="AK31" s="565" t="s">
        <v>2793</v>
      </c>
      <c r="AL31" s="405"/>
      <c r="AM31" s="565" t="s">
        <v>2794</v>
      </c>
      <c r="AN31" s="405"/>
      <c r="AO31" s="566" t="s">
        <v>2795</v>
      </c>
      <c r="AP31" s="405"/>
      <c r="AQ31" s="386"/>
      <c r="AR31" s="384"/>
      <c r="AS31" s="566" t="s">
        <v>2796</v>
      </c>
      <c r="AT31" s="405"/>
      <c r="AU31" s="386"/>
      <c r="AV31" s="384"/>
      <c r="AW31" s="386"/>
      <c r="AX31" s="384"/>
      <c r="AY31" s="386"/>
      <c r="AZ31" s="384"/>
      <c r="BA31" s="386"/>
      <c r="BB31" s="384"/>
      <c r="BC31" s="386"/>
      <c r="BD31" s="384"/>
    </row>
    <row r="32" spans="1:56" ht="15" x14ac:dyDescent="0.25">
      <c r="A32" s="83"/>
      <c r="B32" s="83"/>
      <c r="C32" s="565" t="s">
        <v>2797</v>
      </c>
      <c r="D32" s="405"/>
      <c r="E32" s="565" t="s">
        <v>2798</v>
      </c>
      <c r="F32" s="405"/>
      <c r="G32" s="565" t="s">
        <v>2799</v>
      </c>
      <c r="H32" s="405"/>
      <c r="I32" s="386"/>
      <c r="J32" s="384"/>
      <c r="K32" s="386"/>
      <c r="L32" s="384"/>
      <c r="M32" s="565" t="s">
        <v>2800</v>
      </c>
      <c r="N32" s="405"/>
      <c r="O32" s="386"/>
      <c r="P32" s="384"/>
      <c r="Q32" s="565" t="s">
        <v>2801</v>
      </c>
      <c r="R32" s="405"/>
      <c r="S32" s="386"/>
      <c r="T32" s="384"/>
      <c r="U32" s="386"/>
      <c r="V32" s="384"/>
      <c r="W32" s="565" t="s">
        <v>2802</v>
      </c>
      <c r="X32" s="405"/>
      <c r="Y32" s="386"/>
      <c r="Z32" s="384"/>
      <c r="AA32" s="391"/>
      <c r="AB32" s="388" t="s">
        <v>2803</v>
      </c>
      <c r="AC32" s="565" t="s">
        <v>2804</v>
      </c>
      <c r="AD32" s="405"/>
      <c r="AE32" s="386"/>
      <c r="AF32" s="384"/>
      <c r="AG32" s="565" t="s">
        <v>2805</v>
      </c>
      <c r="AH32" s="405"/>
      <c r="AI32" s="386"/>
      <c r="AJ32" s="384"/>
      <c r="AK32" s="565" t="s">
        <v>2806</v>
      </c>
      <c r="AL32" s="405"/>
      <c r="AM32" s="565" t="s">
        <v>2807</v>
      </c>
      <c r="AN32" s="405"/>
      <c r="AO32" s="566" t="s">
        <v>2808</v>
      </c>
      <c r="AP32" s="405"/>
      <c r="AQ32" s="386"/>
      <c r="AR32" s="384"/>
      <c r="AS32" s="566" t="s">
        <v>2809</v>
      </c>
      <c r="AT32" s="405"/>
      <c r="AU32" s="386"/>
      <c r="AV32" s="384"/>
      <c r="AW32" s="386"/>
      <c r="AX32" s="384"/>
      <c r="AY32" s="386"/>
      <c r="AZ32" s="384"/>
      <c r="BA32" s="386"/>
      <c r="BB32" s="384"/>
      <c r="BC32" s="386"/>
      <c r="BD32" s="384"/>
    </row>
    <row r="33" spans="1:56" ht="15" x14ac:dyDescent="0.25">
      <c r="A33" s="83"/>
      <c r="B33" s="83"/>
      <c r="C33" s="565" t="s">
        <v>2810</v>
      </c>
      <c r="D33" s="405"/>
      <c r="E33" s="565" t="s">
        <v>2811</v>
      </c>
      <c r="F33" s="405"/>
      <c r="G33" s="565" t="s">
        <v>2812</v>
      </c>
      <c r="H33" s="405"/>
      <c r="I33" s="386"/>
      <c r="J33" s="384"/>
      <c r="K33" s="386"/>
      <c r="L33" s="384"/>
      <c r="M33" s="565" t="s">
        <v>2813</v>
      </c>
      <c r="N33" s="405"/>
      <c r="O33" s="386"/>
      <c r="P33" s="384"/>
      <c r="Q33" s="565" t="s">
        <v>2814</v>
      </c>
      <c r="R33" s="405"/>
      <c r="S33" s="386"/>
      <c r="T33" s="384"/>
      <c r="U33" s="386"/>
      <c r="V33" s="384"/>
      <c r="W33" s="565" t="s">
        <v>2815</v>
      </c>
      <c r="X33" s="405"/>
      <c r="Y33" s="386"/>
      <c r="Z33" s="384"/>
      <c r="AA33" s="570" t="s">
        <v>2816</v>
      </c>
      <c r="AB33" s="398"/>
      <c r="AC33" s="565" t="s">
        <v>2817</v>
      </c>
      <c r="AD33" s="405"/>
      <c r="AE33" s="386"/>
      <c r="AF33" s="384"/>
      <c r="AG33" s="565" t="s">
        <v>2818</v>
      </c>
      <c r="AH33" s="405"/>
      <c r="AI33" s="386"/>
      <c r="AJ33" s="384"/>
      <c r="AK33" s="386"/>
      <c r="AL33" s="384"/>
      <c r="AM33" s="565" t="s">
        <v>2819</v>
      </c>
      <c r="AN33" s="405"/>
      <c r="AO33" s="566" t="s">
        <v>2820</v>
      </c>
      <c r="AP33" s="405"/>
      <c r="AQ33" s="386"/>
      <c r="AR33" s="384"/>
      <c r="AS33" s="566" t="s">
        <v>2821</v>
      </c>
      <c r="AT33" s="405"/>
      <c r="AU33" s="386"/>
      <c r="AV33" s="384"/>
      <c r="AW33" s="386"/>
      <c r="AX33" s="384"/>
      <c r="AY33" s="386"/>
      <c r="AZ33" s="384"/>
      <c r="BA33" s="386"/>
      <c r="BB33" s="384"/>
      <c r="BC33" s="386"/>
      <c r="BD33" s="384"/>
    </row>
    <row r="34" spans="1:56" ht="15" x14ac:dyDescent="0.25">
      <c r="A34" s="83"/>
      <c r="B34" s="83"/>
      <c r="C34" s="386"/>
      <c r="D34" s="384"/>
      <c r="E34" s="386" t="s">
        <v>2822</v>
      </c>
      <c r="F34" s="384" t="s">
        <v>2274</v>
      </c>
      <c r="G34" s="565" t="s">
        <v>2823</v>
      </c>
      <c r="H34" s="405"/>
      <c r="I34" s="386"/>
      <c r="J34" s="384"/>
      <c r="K34" s="386"/>
      <c r="L34" s="384"/>
      <c r="M34" s="386" t="s">
        <v>2824</v>
      </c>
      <c r="N34" s="384" t="s">
        <v>2274</v>
      </c>
      <c r="O34" s="386"/>
      <c r="P34" s="384"/>
      <c r="Q34" s="565" t="s">
        <v>2825</v>
      </c>
      <c r="R34" s="405"/>
      <c r="S34" s="386"/>
      <c r="T34" s="384"/>
      <c r="U34" s="386"/>
      <c r="V34" s="384"/>
      <c r="W34" s="565" t="s">
        <v>2826</v>
      </c>
      <c r="X34" s="405"/>
      <c r="Y34" s="386"/>
      <c r="Z34" s="384"/>
      <c r="AA34" s="565" t="s">
        <v>2827</v>
      </c>
      <c r="AB34" s="405"/>
      <c r="AC34" s="565" t="s">
        <v>2828</v>
      </c>
      <c r="AD34" s="405"/>
      <c r="AE34" s="386"/>
      <c r="AF34" s="384"/>
      <c r="AG34" s="565" t="s">
        <v>2829</v>
      </c>
      <c r="AH34" s="405"/>
      <c r="AI34" s="386"/>
      <c r="AJ34" s="384"/>
      <c r="AK34" s="386"/>
      <c r="AL34" s="384"/>
      <c r="AM34" s="565" t="s">
        <v>2830</v>
      </c>
      <c r="AN34" s="405"/>
      <c r="AO34" s="566" t="s">
        <v>2831</v>
      </c>
      <c r="AP34" s="405"/>
      <c r="AQ34" s="386"/>
      <c r="AR34" s="384"/>
      <c r="AS34" s="566" t="s">
        <v>2832</v>
      </c>
      <c r="AT34" s="405"/>
      <c r="AU34" s="386"/>
      <c r="AV34" s="384"/>
      <c r="AW34" s="386"/>
      <c r="AX34" s="384"/>
      <c r="AY34" s="386"/>
      <c r="AZ34" s="384"/>
      <c r="BA34" s="386"/>
      <c r="BB34" s="384"/>
      <c r="BC34" s="386"/>
      <c r="BD34" s="384"/>
    </row>
    <row r="35" spans="1:56" ht="18.75" x14ac:dyDescent="0.25">
      <c r="A35" s="83"/>
      <c r="B35" s="83"/>
      <c r="C35" s="573" t="s">
        <v>2833</v>
      </c>
      <c r="D35" s="405"/>
      <c r="E35" s="386"/>
      <c r="F35" s="384" t="s">
        <v>2834</v>
      </c>
      <c r="G35" s="565" t="s">
        <v>2835</v>
      </c>
      <c r="H35" s="405"/>
      <c r="I35" s="386"/>
      <c r="J35" s="384"/>
      <c r="K35" s="386"/>
      <c r="L35" s="384"/>
      <c r="M35" s="386"/>
      <c r="N35" s="384" t="s">
        <v>2836</v>
      </c>
      <c r="O35" s="386"/>
      <c r="P35" s="384"/>
      <c r="Q35" s="565" t="s">
        <v>2837</v>
      </c>
      <c r="R35" s="405"/>
      <c r="S35" s="386"/>
      <c r="T35" s="384"/>
      <c r="U35" s="386"/>
      <c r="V35" s="384"/>
      <c r="W35" s="565" t="s">
        <v>2838</v>
      </c>
      <c r="X35" s="405"/>
      <c r="Y35" s="386"/>
      <c r="Z35" s="384"/>
      <c r="AA35" s="565" t="s">
        <v>2839</v>
      </c>
      <c r="AB35" s="405"/>
      <c r="AC35" s="565" t="s">
        <v>2840</v>
      </c>
      <c r="AD35" s="405"/>
      <c r="AE35" s="386"/>
      <c r="AF35" s="384"/>
      <c r="AG35" s="565" t="s">
        <v>2841</v>
      </c>
      <c r="AH35" s="405"/>
      <c r="AI35" s="386"/>
      <c r="AJ35" s="384"/>
      <c r="AK35" s="386"/>
      <c r="AL35" s="384"/>
      <c r="AM35" s="565" t="s">
        <v>2842</v>
      </c>
      <c r="AN35" s="405"/>
      <c r="AO35" s="566" t="s">
        <v>2843</v>
      </c>
      <c r="AP35" s="405"/>
      <c r="AQ35" s="386"/>
      <c r="AR35" s="384"/>
      <c r="AS35" s="566" t="s">
        <v>2844</v>
      </c>
      <c r="AT35" s="405"/>
      <c r="AU35" s="386"/>
      <c r="AV35" s="384"/>
      <c r="AW35" s="386"/>
      <c r="AX35" s="384"/>
      <c r="AY35" s="386"/>
      <c r="AZ35" s="384"/>
      <c r="BA35" s="386"/>
      <c r="BB35" s="384"/>
      <c r="BC35" s="386"/>
      <c r="BD35" s="384"/>
    </row>
    <row r="36" spans="1:56" ht="15" x14ac:dyDescent="0.25">
      <c r="A36" s="83"/>
      <c r="B36" s="83"/>
      <c r="C36" s="386" t="s">
        <v>2845</v>
      </c>
      <c r="D36" s="384" t="s">
        <v>2274</v>
      </c>
      <c r="E36" s="386"/>
      <c r="F36" s="384" t="s">
        <v>2846</v>
      </c>
      <c r="G36" s="565" t="s">
        <v>2847</v>
      </c>
      <c r="H36" s="405"/>
      <c r="I36" s="386"/>
      <c r="J36" s="384"/>
      <c r="K36" s="386"/>
      <c r="L36" s="384"/>
      <c r="M36" s="386"/>
      <c r="N36" s="384" t="s">
        <v>2848</v>
      </c>
      <c r="O36" s="386"/>
      <c r="P36" s="384"/>
      <c r="Q36" s="565" t="s">
        <v>2849</v>
      </c>
      <c r="R36" s="405"/>
      <c r="S36" s="386"/>
      <c r="T36" s="384"/>
      <c r="U36" s="386"/>
      <c r="V36" s="384"/>
      <c r="W36" s="565" t="s">
        <v>2850</v>
      </c>
      <c r="X36" s="405"/>
      <c r="Y36" s="386"/>
      <c r="Z36" s="384"/>
      <c r="AA36" s="565" t="s">
        <v>2851</v>
      </c>
      <c r="AB36" s="405"/>
      <c r="AC36" s="565" t="s">
        <v>2852</v>
      </c>
      <c r="AD36" s="405"/>
      <c r="AE36" s="386"/>
      <c r="AF36" s="384"/>
      <c r="AG36" s="565" t="s">
        <v>2853</v>
      </c>
      <c r="AH36" s="405"/>
      <c r="AI36" s="386"/>
      <c r="AJ36" s="384"/>
      <c r="AK36" s="386"/>
      <c r="AL36" s="384"/>
      <c r="AM36" s="565" t="s">
        <v>2854</v>
      </c>
      <c r="AN36" s="405"/>
      <c r="AO36" s="566" t="s">
        <v>2855</v>
      </c>
      <c r="AP36" s="405"/>
      <c r="AQ36" s="386"/>
      <c r="AR36" s="384"/>
      <c r="AS36" s="566" t="s">
        <v>2856</v>
      </c>
      <c r="AT36" s="405"/>
      <c r="AU36" s="386"/>
      <c r="AV36" s="384"/>
      <c r="AW36" s="386"/>
      <c r="AX36" s="384"/>
      <c r="AY36" s="386"/>
      <c r="AZ36" s="384"/>
      <c r="BA36" s="386"/>
      <c r="BB36" s="384"/>
      <c r="BC36" s="386"/>
      <c r="BD36" s="384"/>
    </row>
    <row r="37" spans="1:56" ht="15" x14ac:dyDescent="0.25">
      <c r="A37" s="83"/>
      <c r="B37" s="83"/>
      <c r="C37" s="386"/>
      <c r="D37" s="384" t="s">
        <v>2857</v>
      </c>
      <c r="E37" s="386"/>
      <c r="F37" s="384" t="s">
        <v>2858</v>
      </c>
      <c r="G37" s="565" t="s">
        <v>2859</v>
      </c>
      <c r="H37" s="405"/>
      <c r="I37" s="386"/>
      <c r="J37" s="384"/>
      <c r="K37" s="386"/>
      <c r="L37" s="384"/>
      <c r="M37" s="386"/>
      <c r="N37" s="384" t="s">
        <v>2860</v>
      </c>
      <c r="O37" s="386"/>
      <c r="P37" s="384"/>
      <c r="Q37" s="565" t="s">
        <v>2849</v>
      </c>
      <c r="R37" s="405"/>
      <c r="S37" s="386"/>
      <c r="T37" s="384"/>
      <c r="U37" s="386"/>
      <c r="V37" s="384"/>
      <c r="W37" s="565" t="s">
        <v>2861</v>
      </c>
      <c r="X37" s="405"/>
      <c r="Y37" s="386"/>
      <c r="Z37" s="384"/>
      <c r="AA37" s="565" t="s">
        <v>2862</v>
      </c>
      <c r="AB37" s="405"/>
      <c r="AC37" s="386"/>
      <c r="AD37" s="384"/>
      <c r="AE37" s="386"/>
      <c r="AF37" s="384"/>
      <c r="AG37" s="565" t="s">
        <v>2863</v>
      </c>
      <c r="AH37" s="405"/>
      <c r="AI37" s="386"/>
      <c r="AJ37" s="384"/>
      <c r="AK37" s="386"/>
      <c r="AL37" s="384"/>
      <c r="AM37" s="565" t="s">
        <v>2864</v>
      </c>
      <c r="AN37" s="405"/>
      <c r="AO37" s="566" t="s">
        <v>2865</v>
      </c>
      <c r="AP37" s="405"/>
      <c r="AQ37" s="386"/>
      <c r="AR37" s="384"/>
      <c r="AS37" s="566" t="s">
        <v>2866</v>
      </c>
      <c r="AT37" s="405"/>
      <c r="AU37" s="386"/>
      <c r="AV37" s="384"/>
      <c r="AW37" s="386"/>
      <c r="AX37" s="384"/>
      <c r="AY37" s="386"/>
      <c r="AZ37" s="384"/>
      <c r="BA37" s="386"/>
      <c r="BB37" s="384"/>
      <c r="BC37" s="386"/>
      <c r="BD37" s="384"/>
    </row>
    <row r="38" spans="1:56" ht="15" x14ac:dyDescent="0.25">
      <c r="A38" s="83"/>
      <c r="B38" s="83"/>
      <c r="C38" s="386"/>
      <c r="D38" s="384" t="s">
        <v>2867</v>
      </c>
      <c r="E38" s="386"/>
      <c r="F38" s="384" t="s">
        <v>2868</v>
      </c>
      <c r="G38" s="565" t="s">
        <v>2869</v>
      </c>
      <c r="H38" s="405"/>
      <c r="I38" s="386"/>
      <c r="J38" s="384"/>
      <c r="K38" s="386"/>
      <c r="L38" s="384"/>
      <c r="M38" s="385"/>
      <c r="N38" s="388" t="s">
        <v>2870</v>
      </c>
      <c r="O38" s="386"/>
      <c r="P38" s="384"/>
      <c r="Q38" s="565" t="s">
        <v>2871</v>
      </c>
      <c r="R38" s="405"/>
      <c r="S38" s="386"/>
      <c r="T38" s="384"/>
      <c r="U38" s="386"/>
      <c r="V38" s="384"/>
      <c r="W38" s="565" t="s">
        <v>2872</v>
      </c>
      <c r="X38" s="405"/>
      <c r="Y38" s="386"/>
      <c r="Z38" s="384"/>
      <c r="AA38" s="565" t="s">
        <v>2873</v>
      </c>
      <c r="AB38" s="405"/>
      <c r="AC38" s="386"/>
      <c r="AD38" s="384"/>
      <c r="AE38" s="386"/>
      <c r="AF38" s="384"/>
      <c r="AG38" s="565" t="s">
        <v>2874</v>
      </c>
      <c r="AH38" s="405"/>
      <c r="AI38" s="386"/>
      <c r="AJ38" s="384"/>
      <c r="AK38" s="386"/>
      <c r="AL38" s="384"/>
      <c r="AM38" s="565" t="s">
        <v>2875</v>
      </c>
      <c r="AN38" s="405"/>
      <c r="AO38" s="566" t="s">
        <v>2876</v>
      </c>
      <c r="AP38" s="405"/>
      <c r="AQ38" s="386"/>
      <c r="AR38" s="384"/>
      <c r="AS38" s="565" t="s">
        <v>2877</v>
      </c>
      <c r="AT38" s="405"/>
      <c r="AU38" s="386"/>
      <c r="AV38" s="384"/>
      <c r="AW38" s="386"/>
      <c r="AX38" s="384"/>
      <c r="AY38" s="386"/>
      <c r="AZ38" s="384"/>
      <c r="BA38" s="386"/>
      <c r="BB38" s="384"/>
      <c r="BC38" s="386"/>
      <c r="BD38" s="384"/>
    </row>
    <row r="39" spans="1:56" ht="15" x14ac:dyDescent="0.25">
      <c r="A39" s="83"/>
      <c r="B39" s="83"/>
      <c r="C39" s="386"/>
      <c r="D39" s="384" t="s">
        <v>2878</v>
      </c>
      <c r="E39" s="386"/>
      <c r="F39" s="384" t="s">
        <v>2879</v>
      </c>
      <c r="G39" s="565" t="s">
        <v>2880</v>
      </c>
      <c r="H39" s="405"/>
      <c r="I39" s="386"/>
      <c r="J39" s="384"/>
      <c r="K39" s="386"/>
      <c r="L39" s="384"/>
      <c r="M39" s="570" t="s">
        <v>2881</v>
      </c>
      <c r="N39" s="398"/>
      <c r="O39" s="386"/>
      <c r="P39" s="384"/>
      <c r="Q39" s="565" t="s">
        <v>2882</v>
      </c>
      <c r="R39" s="405"/>
      <c r="S39" s="386"/>
      <c r="T39" s="384"/>
      <c r="U39" s="386"/>
      <c r="V39" s="384"/>
      <c r="W39" s="565" t="s">
        <v>2883</v>
      </c>
      <c r="X39" s="405"/>
      <c r="Y39" s="386"/>
      <c r="Z39" s="384"/>
      <c r="AA39" s="565" t="s">
        <v>2884</v>
      </c>
      <c r="AB39" s="405"/>
      <c r="AC39" s="386"/>
      <c r="AD39" s="384"/>
      <c r="AE39" s="386"/>
      <c r="AF39" s="384"/>
      <c r="AG39" s="565" t="s">
        <v>2885</v>
      </c>
      <c r="AH39" s="405"/>
      <c r="AI39" s="386"/>
      <c r="AJ39" s="384"/>
      <c r="AK39" s="386"/>
      <c r="AL39" s="384"/>
      <c r="AM39" s="565" t="s">
        <v>2886</v>
      </c>
      <c r="AN39" s="405"/>
      <c r="AO39" s="566" t="s">
        <v>2887</v>
      </c>
      <c r="AP39" s="405"/>
      <c r="AQ39" s="386"/>
      <c r="AR39" s="384"/>
      <c r="AS39" s="565" t="s">
        <v>2888</v>
      </c>
      <c r="AT39" s="405"/>
      <c r="AU39" s="386"/>
      <c r="AV39" s="384"/>
      <c r="AW39" s="386"/>
      <c r="AX39" s="384"/>
      <c r="AY39" s="386"/>
      <c r="AZ39" s="384"/>
      <c r="BA39" s="386"/>
      <c r="BB39" s="384"/>
      <c r="BC39" s="386"/>
      <c r="BD39" s="384"/>
    </row>
    <row r="40" spans="1:56" ht="15" x14ac:dyDescent="0.25">
      <c r="A40" s="83"/>
      <c r="B40" s="83"/>
      <c r="C40" s="386"/>
      <c r="D40" s="384" t="s">
        <v>2889</v>
      </c>
      <c r="E40" s="385"/>
      <c r="F40" s="388" t="s">
        <v>2890</v>
      </c>
      <c r="G40" s="565" t="s">
        <v>2891</v>
      </c>
      <c r="H40" s="405"/>
      <c r="I40" s="386"/>
      <c r="J40" s="384"/>
      <c r="K40" s="386"/>
      <c r="L40" s="384"/>
      <c r="M40" s="565" t="s">
        <v>2892</v>
      </c>
      <c r="N40" s="405"/>
      <c r="O40" s="386"/>
      <c r="P40" s="384"/>
      <c r="Q40" s="565" t="s">
        <v>2893</v>
      </c>
      <c r="R40" s="405"/>
      <c r="S40" s="386"/>
      <c r="T40" s="384"/>
      <c r="U40" s="386"/>
      <c r="V40" s="384"/>
      <c r="W40" s="386"/>
      <c r="X40" s="384"/>
      <c r="Y40" s="386"/>
      <c r="Z40" s="384"/>
      <c r="AA40" s="565" t="s">
        <v>2894</v>
      </c>
      <c r="AB40" s="405"/>
      <c r="AC40" s="386"/>
      <c r="AD40" s="384"/>
      <c r="AE40" s="386"/>
      <c r="AF40" s="384"/>
      <c r="AG40" s="565" t="s">
        <v>2895</v>
      </c>
      <c r="AH40" s="405"/>
      <c r="AI40" s="386"/>
      <c r="AJ40" s="384"/>
      <c r="AK40" s="386"/>
      <c r="AL40" s="384"/>
      <c r="AM40" s="565" t="s">
        <v>2896</v>
      </c>
      <c r="AN40" s="405"/>
      <c r="AO40" s="566" t="s">
        <v>2897</v>
      </c>
      <c r="AP40" s="405"/>
      <c r="AQ40" s="386"/>
      <c r="AR40" s="384"/>
      <c r="AS40" s="566" t="s">
        <v>2898</v>
      </c>
      <c r="AT40" s="405"/>
      <c r="AU40" s="386"/>
      <c r="AV40" s="384"/>
      <c r="AW40" s="386"/>
      <c r="AX40" s="384"/>
      <c r="AY40" s="386"/>
      <c r="AZ40" s="384"/>
      <c r="BA40" s="386"/>
      <c r="BB40" s="384"/>
      <c r="BC40" s="386"/>
      <c r="BD40" s="384"/>
    </row>
    <row r="41" spans="1:56" ht="15" x14ac:dyDescent="0.25">
      <c r="A41" s="83"/>
      <c r="B41" s="83"/>
      <c r="C41" s="385"/>
      <c r="D41" s="388" t="s">
        <v>2899</v>
      </c>
      <c r="E41" s="570" t="s">
        <v>2900</v>
      </c>
      <c r="F41" s="398"/>
      <c r="G41" s="565" t="s">
        <v>2901</v>
      </c>
      <c r="H41" s="405"/>
      <c r="I41" s="386"/>
      <c r="J41" s="384"/>
      <c r="K41" s="386"/>
      <c r="L41" s="384"/>
      <c r="M41" s="565" t="s">
        <v>2902</v>
      </c>
      <c r="N41" s="405"/>
      <c r="O41" s="386"/>
      <c r="P41" s="384"/>
      <c r="Q41" s="565" t="s">
        <v>2903</v>
      </c>
      <c r="R41" s="405"/>
      <c r="S41" s="386"/>
      <c r="T41" s="384"/>
      <c r="U41" s="386"/>
      <c r="V41" s="384"/>
      <c r="W41" s="386"/>
      <c r="X41" s="384"/>
      <c r="Y41" s="386"/>
      <c r="Z41" s="384"/>
      <c r="AA41" s="565" t="s">
        <v>2904</v>
      </c>
      <c r="AB41" s="405"/>
      <c r="AC41" s="386"/>
      <c r="AD41" s="384"/>
      <c r="AE41" s="386"/>
      <c r="AF41" s="384"/>
      <c r="AG41" s="565" t="s">
        <v>2905</v>
      </c>
      <c r="AH41" s="405"/>
      <c r="AI41" s="386"/>
      <c r="AJ41" s="384"/>
      <c r="AK41" s="386"/>
      <c r="AL41" s="384"/>
      <c r="AM41" s="565" t="s">
        <v>2906</v>
      </c>
      <c r="AN41" s="405"/>
      <c r="AO41" s="566" t="s">
        <v>2907</v>
      </c>
      <c r="AP41" s="405"/>
      <c r="AQ41" s="386"/>
      <c r="AR41" s="384"/>
      <c r="AS41" s="566" t="s">
        <v>2908</v>
      </c>
      <c r="AT41" s="405"/>
      <c r="AU41" s="386"/>
      <c r="AV41" s="384"/>
      <c r="AW41" s="386"/>
      <c r="AX41" s="384"/>
      <c r="AY41" s="386"/>
      <c r="AZ41" s="384"/>
      <c r="BA41" s="386"/>
      <c r="BB41" s="384"/>
      <c r="BC41" s="386"/>
      <c r="BD41" s="384"/>
    </row>
    <row r="42" spans="1:56" ht="15" x14ac:dyDescent="0.25">
      <c r="A42" s="83"/>
      <c r="B42" s="83"/>
      <c r="C42" s="387"/>
      <c r="D42" s="392"/>
      <c r="E42" s="565" t="s">
        <v>2909</v>
      </c>
      <c r="F42" s="405"/>
      <c r="G42" s="565" t="s">
        <v>2910</v>
      </c>
      <c r="H42" s="405"/>
      <c r="I42" s="386"/>
      <c r="J42" s="384"/>
      <c r="K42" s="386"/>
      <c r="L42" s="384"/>
      <c r="M42" s="565" t="s">
        <v>2911</v>
      </c>
      <c r="N42" s="405"/>
      <c r="O42" s="386"/>
      <c r="P42" s="384"/>
      <c r="Q42" s="565" t="s">
        <v>2912</v>
      </c>
      <c r="R42" s="405"/>
      <c r="S42" s="386"/>
      <c r="T42" s="384"/>
      <c r="U42" s="386"/>
      <c r="V42" s="384"/>
      <c r="W42" s="386"/>
      <c r="X42" s="384"/>
      <c r="Y42" s="386"/>
      <c r="Z42" s="384"/>
      <c r="AA42" s="386"/>
      <c r="AB42" s="384"/>
      <c r="AC42" s="386"/>
      <c r="AD42" s="384"/>
      <c r="AE42" s="386"/>
      <c r="AF42" s="384"/>
      <c r="AG42" s="565" t="s">
        <v>2913</v>
      </c>
      <c r="AH42" s="405"/>
      <c r="AI42" s="386"/>
      <c r="AJ42" s="384"/>
      <c r="AK42" s="386"/>
      <c r="AL42" s="384"/>
      <c r="AM42" s="565" t="s">
        <v>2914</v>
      </c>
      <c r="AN42" s="405"/>
      <c r="AO42" s="566" t="s">
        <v>2915</v>
      </c>
      <c r="AP42" s="405"/>
      <c r="AQ42" s="386"/>
      <c r="AR42" s="384"/>
      <c r="AS42" s="566" t="s">
        <v>2916</v>
      </c>
      <c r="AT42" s="405"/>
      <c r="AU42" s="386"/>
      <c r="AV42" s="384"/>
      <c r="AW42" s="386"/>
      <c r="AX42" s="384"/>
      <c r="AY42" s="386"/>
      <c r="AZ42" s="384"/>
      <c r="BA42" s="386"/>
      <c r="BB42" s="384"/>
      <c r="BC42" s="386"/>
      <c r="BD42" s="384"/>
    </row>
    <row r="43" spans="1:56" ht="18.75" x14ac:dyDescent="0.25">
      <c r="A43" s="83"/>
      <c r="B43" s="83"/>
      <c r="C43" s="387"/>
      <c r="D43" s="392"/>
      <c r="E43" s="386" t="s">
        <v>2822</v>
      </c>
      <c r="F43" s="384" t="s">
        <v>2274</v>
      </c>
      <c r="G43" s="565" t="s">
        <v>2917</v>
      </c>
      <c r="H43" s="405"/>
      <c r="I43" s="386"/>
      <c r="J43" s="384"/>
      <c r="K43" s="386"/>
      <c r="L43" s="384"/>
      <c r="M43" s="565" t="s">
        <v>2918</v>
      </c>
      <c r="N43" s="405"/>
      <c r="O43" s="386"/>
      <c r="P43" s="384"/>
      <c r="Q43" s="565" t="s">
        <v>2919</v>
      </c>
      <c r="R43" s="405"/>
      <c r="S43" s="386"/>
      <c r="T43" s="384"/>
      <c r="U43" s="386"/>
      <c r="V43" s="384"/>
      <c r="W43" s="386"/>
      <c r="X43" s="384"/>
      <c r="Y43" s="386"/>
      <c r="Z43" s="384"/>
      <c r="AA43" s="573" t="s">
        <v>2920</v>
      </c>
      <c r="AB43" s="405"/>
      <c r="AC43" s="386"/>
      <c r="AD43" s="384"/>
      <c r="AE43" s="386"/>
      <c r="AF43" s="384"/>
      <c r="AG43" s="565" t="s">
        <v>2921</v>
      </c>
      <c r="AH43" s="405"/>
      <c r="AI43" s="386"/>
      <c r="AJ43" s="384"/>
      <c r="AK43" s="386"/>
      <c r="AL43" s="384"/>
      <c r="AM43" s="565" t="s">
        <v>2922</v>
      </c>
      <c r="AN43" s="405"/>
      <c r="AO43" s="566" t="s">
        <v>2923</v>
      </c>
      <c r="AP43" s="405"/>
      <c r="AQ43" s="386"/>
      <c r="AR43" s="384"/>
      <c r="AS43" s="566" t="s">
        <v>2924</v>
      </c>
      <c r="AT43" s="405"/>
      <c r="AU43" s="386"/>
      <c r="AV43" s="384"/>
      <c r="AW43" s="386"/>
      <c r="AX43" s="384"/>
      <c r="AY43" s="386"/>
      <c r="AZ43" s="384"/>
      <c r="BA43" s="386"/>
      <c r="BB43" s="384"/>
      <c r="BC43" s="386"/>
      <c r="BD43" s="384"/>
    </row>
    <row r="44" spans="1:56" ht="15" x14ac:dyDescent="0.25">
      <c r="A44" s="83"/>
      <c r="B44" s="83"/>
      <c r="C44" s="386"/>
      <c r="D44" s="384"/>
      <c r="E44" s="386"/>
      <c r="F44" s="384" t="s">
        <v>2834</v>
      </c>
      <c r="G44" s="565" t="s">
        <v>2925</v>
      </c>
      <c r="H44" s="405"/>
      <c r="I44" s="386"/>
      <c r="J44" s="384"/>
      <c r="K44" s="386"/>
      <c r="L44" s="384"/>
      <c r="M44" s="565" t="s">
        <v>2926</v>
      </c>
      <c r="N44" s="405"/>
      <c r="O44" s="386"/>
      <c r="P44" s="384"/>
      <c r="Q44" s="565" t="s">
        <v>2927</v>
      </c>
      <c r="R44" s="405"/>
      <c r="S44" s="386"/>
      <c r="T44" s="384"/>
      <c r="U44" s="386"/>
      <c r="V44" s="384"/>
      <c r="W44" s="386"/>
      <c r="X44" s="384"/>
      <c r="Y44" s="386"/>
      <c r="Z44" s="384"/>
      <c r="AA44" s="565" t="s">
        <v>2928</v>
      </c>
      <c r="AB44" s="405"/>
      <c r="AC44" s="386"/>
      <c r="AD44" s="384"/>
      <c r="AE44" s="386"/>
      <c r="AF44" s="384"/>
      <c r="AG44" s="565" t="s">
        <v>2929</v>
      </c>
      <c r="AH44" s="405"/>
      <c r="AI44" s="386"/>
      <c r="AJ44" s="384"/>
      <c r="AK44" s="386"/>
      <c r="AL44" s="384"/>
      <c r="AM44" s="565" t="s">
        <v>2930</v>
      </c>
      <c r="AN44" s="405"/>
      <c r="AO44" s="566" t="s">
        <v>2931</v>
      </c>
      <c r="AP44" s="405"/>
      <c r="AQ44" s="386"/>
      <c r="AR44" s="384"/>
      <c r="AS44" s="566" t="s">
        <v>2932</v>
      </c>
      <c r="AT44" s="405"/>
      <c r="AU44" s="386"/>
      <c r="AV44" s="384"/>
      <c r="AW44" s="386"/>
      <c r="AX44" s="384"/>
      <c r="AY44" s="386"/>
      <c r="AZ44" s="384"/>
      <c r="BA44" s="386"/>
      <c r="BB44" s="384"/>
      <c r="BC44" s="386"/>
      <c r="BD44" s="384"/>
    </row>
    <row r="45" spans="1:56" ht="15" x14ac:dyDescent="0.25">
      <c r="A45" s="83"/>
      <c r="B45" s="83"/>
      <c r="C45" s="386"/>
      <c r="D45" s="384"/>
      <c r="E45" s="386"/>
      <c r="F45" s="384" t="s">
        <v>2846</v>
      </c>
      <c r="G45" s="565" t="s">
        <v>2933</v>
      </c>
      <c r="H45" s="405"/>
      <c r="I45" s="386"/>
      <c r="J45" s="384"/>
      <c r="K45" s="386"/>
      <c r="L45" s="384"/>
      <c r="M45" s="565" t="s">
        <v>2934</v>
      </c>
      <c r="N45" s="405"/>
      <c r="O45" s="386"/>
      <c r="P45" s="384"/>
      <c r="Q45" s="565" t="s">
        <v>2935</v>
      </c>
      <c r="R45" s="405"/>
      <c r="S45" s="386"/>
      <c r="T45" s="384"/>
      <c r="U45" s="386"/>
      <c r="V45" s="384"/>
      <c r="W45" s="386"/>
      <c r="X45" s="384"/>
      <c r="Y45" s="386"/>
      <c r="Z45" s="384"/>
      <c r="AA45" s="386"/>
      <c r="AB45" s="384"/>
      <c r="AC45" s="386"/>
      <c r="AD45" s="384"/>
      <c r="AE45" s="386"/>
      <c r="AF45" s="384"/>
      <c r="AG45" s="565" t="s">
        <v>2936</v>
      </c>
      <c r="AH45" s="405"/>
      <c r="AI45" s="386"/>
      <c r="AJ45" s="384"/>
      <c r="AK45" s="386"/>
      <c r="AL45" s="384"/>
      <c r="AM45" s="565" t="s">
        <v>2937</v>
      </c>
      <c r="AN45" s="405"/>
      <c r="AO45" s="566" t="s">
        <v>2938</v>
      </c>
      <c r="AP45" s="405"/>
      <c r="AQ45" s="386"/>
      <c r="AR45" s="384"/>
      <c r="AS45" s="566" t="s">
        <v>2939</v>
      </c>
      <c r="AT45" s="405"/>
      <c r="AU45" s="386"/>
      <c r="AV45" s="384"/>
      <c r="AW45" s="386"/>
      <c r="AX45" s="384"/>
      <c r="AY45" s="386"/>
      <c r="AZ45" s="384"/>
      <c r="BA45" s="386"/>
      <c r="BB45" s="384"/>
      <c r="BC45" s="386"/>
      <c r="BD45" s="384"/>
    </row>
    <row r="46" spans="1:56" ht="15" x14ac:dyDescent="0.25">
      <c r="A46" s="83"/>
      <c r="B46" s="83"/>
      <c r="C46" s="386"/>
      <c r="D46" s="384"/>
      <c r="E46" s="386"/>
      <c r="F46" s="384" t="s">
        <v>2858</v>
      </c>
      <c r="G46" s="565" t="s">
        <v>2940</v>
      </c>
      <c r="H46" s="405"/>
      <c r="I46" s="386"/>
      <c r="J46" s="384"/>
      <c r="K46" s="386"/>
      <c r="L46" s="384"/>
      <c r="M46" s="565" t="s">
        <v>2941</v>
      </c>
      <c r="N46" s="405"/>
      <c r="O46" s="386"/>
      <c r="P46" s="384"/>
      <c r="Q46" s="565" t="s">
        <v>2942</v>
      </c>
      <c r="R46" s="405"/>
      <c r="S46" s="386"/>
      <c r="T46" s="384"/>
      <c r="U46" s="386"/>
      <c r="V46" s="384"/>
      <c r="W46" s="386"/>
      <c r="X46" s="384"/>
      <c r="Y46" s="386"/>
      <c r="Z46" s="384"/>
      <c r="AA46" s="386"/>
      <c r="AB46" s="384"/>
      <c r="AC46" s="386"/>
      <c r="AD46" s="384"/>
      <c r="AE46" s="386"/>
      <c r="AF46" s="384"/>
      <c r="AG46" s="565" t="s">
        <v>2943</v>
      </c>
      <c r="AH46" s="405"/>
      <c r="AI46" s="386"/>
      <c r="AJ46" s="384"/>
      <c r="AK46" s="386"/>
      <c r="AL46" s="384"/>
      <c r="AM46" s="565" t="s">
        <v>2944</v>
      </c>
      <c r="AN46" s="405"/>
      <c r="AO46" s="566" t="s">
        <v>2945</v>
      </c>
      <c r="AP46" s="405"/>
      <c r="AQ46" s="386"/>
      <c r="AR46" s="384"/>
      <c r="AS46" s="566" t="s">
        <v>2946</v>
      </c>
      <c r="AT46" s="405"/>
      <c r="AU46" s="386"/>
      <c r="AV46" s="384"/>
      <c r="AW46" s="386"/>
      <c r="AX46" s="384"/>
      <c r="AY46" s="386"/>
      <c r="AZ46" s="384"/>
      <c r="BA46" s="386"/>
      <c r="BB46" s="384"/>
      <c r="BC46" s="386"/>
      <c r="BD46" s="384"/>
    </row>
    <row r="47" spans="1:56" ht="15" x14ac:dyDescent="0.25">
      <c r="A47" s="83"/>
      <c r="B47" s="83"/>
      <c r="C47" s="386"/>
      <c r="D47" s="384"/>
      <c r="E47" s="386"/>
      <c r="F47" s="384" t="s">
        <v>2868</v>
      </c>
      <c r="G47" s="565" t="s">
        <v>2947</v>
      </c>
      <c r="H47" s="405"/>
      <c r="I47" s="386"/>
      <c r="J47" s="384"/>
      <c r="K47" s="386"/>
      <c r="L47" s="384"/>
      <c r="M47" s="386"/>
      <c r="N47" s="384"/>
      <c r="O47" s="386"/>
      <c r="P47" s="384"/>
      <c r="Q47" s="565" t="s">
        <v>2948</v>
      </c>
      <c r="R47" s="405"/>
      <c r="S47" s="386"/>
      <c r="T47" s="384"/>
      <c r="U47" s="386"/>
      <c r="V47" s="384"/>
      <c r="W47" s="386"/>
      <c r="X47" s="384"/>
      <c r="Y47" s="386"/>
      <c r="Z47" s="384"/>
      <c r="AA47" s="386"/>
      <c r="AB47" s="384"/>
      <c r="AC47" s="386"/>
      <c r="AD47" s="384"/>
      <c r="AE47" s="386"/>
      <c r="AF47" s="384"/>
      <c r="AG47" s="565" t="s">
        <v>2949</v>
      </c>
      <c r="AH47" s="405"/>
      <c r="AI47" s="386"/>
      <c r="AJ47" s="384"/>
      <c r="AK47" s="386"/>
      <c r="AL47" s="384"/>
      <c r="AM47" s="565" t="s">
        <v>2950</v>
      </c>
      <c r="AN47" s="405"/>
      <c r="AO47" s="387"/>
      <c r="AP47" s="392"/>
      <c r="AQ47" s="386"/>
      <c r="AR47" s="384"/>
      <c r="AS47" s="566" t="s">
        <v>2951</v>
      </c>
      <c r="AT47" s="405"/>
      <c r="AU47" s="386"/>
      <c r="AV47" s="384"/>
      <c r="AW47" s="386"/>
      <c r="AX47" s="384"/>
      <c r="AY47" s="386"/>
      <c r="AZ47" s="384"/>
      <c r="BA47" s="386"/>
      <c r="BB47" s="384"/>
      <c r="BC47" s="386"/>
      <c r="BD47" s="384"/>
    </row>
    <row r="48" spans="1:56" ht="18.75" x14ac:dyDescent="0.25">
      <c r="A48" s="83"/>
      <c r="B48" s="83"/>
      <c r="C48" s="386"/>
      <c r="D48" s="384"/>
      <c r="E48" s="386"/>
      <c r="F48" s="384" t="s">
        <v>2879</v>
      </c>
      <c r="G48" s="565" t="s">
        <v>2952</v>
      </c>
      <c r="H48" s="405"/>
      <c r="I48" s="386"/>
      <c r="J48" s="384"/>
      <c r="K48" s="386"/>
      <c r="L48" s="384"/>
      <c r="M48" s="386"/>
      <c r="N48" s="384"/>
      <c r="O48" s="386"/>
      <c r="P48" s="384"/>
      <c r="Q48" s="565" t="s">
        <v>2953</v>
      </c>
      <c r="R48" s="405"/>
      <c r="S48" s="386"/>
      <c r="T48" s="384"/>
      <c r="U48" s="386"/>
      <c r="V48" s="384"/>
      <c r="W48" s="386"/>
      <c r="X48" s="384"/>
      <c r="Y48" s="386"/>
      <c r="Z48" s="384"/>
      <c r="AA48" s="386"/>
      <c r="AB48" s="384"/>
      <c r="AC48" s="386"/>
      <c r="AD48" s="384"/>
      <c r="AE48" s="386"/>
      <c r="AF48" s="384"/>
      <c r="AG48" s="565" t="s">
        <v>2954</v>
      </c>
      <c r="AH48" s="405"/>
      <c r="AI48" s="386"/>
      <c r="AJ48" s="384"/>
      <c r="AK48" s="386"/>
      <c r="AL48" s="384"/>
      <c r="AM48" s="565" t="s">
        <v>2955</v>
      </c>
      <c r="AN48" s="405"/>
      <c r="AO48" s="573" t="s">
        <v>2956</v>
      </c>
      <c r="AP48" s="405"/>
      <c r="AQ48" s="386"/>
      <c r="AR48" s="384"/>
      <c r="AS48" s="566" t="s">
        <v>2957</v>
      </c>
      <c r="AT48" s="405"/>
      <c r="AU48" s="386"/>
      <c r="AV48" s="384"/>
      <c r="AW48" s="386"/>
      <c r="AX48" s="384"/>
      <c r="AY48" s="386"/>
      <c r="AZ48" s="384"/>
      <c r="BA48" s="386"/>
      <c r="BB48" s="384"/>
      <c r="BC48" s="386"/>
      <c r="BD48" s="384"/>
    </row>
    <row r="49" spans="1:56" ht="15" x14ac:dyDescent="0.25">
      <c r="A49" s="83"/>
      <c r="B49" s="83"/>
      <c r="C49" s="386"/>
      <c r="D49" s="384"/>
      <c r="E49" s="385"/>
      <c r="F49" s="388" t="s">
        <v>2890</v>
      </c>
      <c r="G49" s="565" t="s">
        <v>2958</v>
      </c>
      <c r="H49" s="405"/>
      <c r="I49" s="386"/>
      <c r="J49" s="384"/>
      <c r="K49" s="386"/>
      <c r="L49" s="384"/>
      <c r="M49" s="386"/>
      <c r="N49" s="384"/>
      <c r="O49" s="386"/>
      <c r="P49" s="384"/>
      <c r="Q49" s="565" t="s">
        <v>2959</v>
      </c>
      <c r="R49" s="405"/>
      <c r="S49" s="386"/>
      <c r="T49" s="384"/>
      <c r="U49" s="386"/>
      <c r="V49" s="384"/>
      <c r="W49" s="386"/>
      <c r="X49" s="384"/>
      <c r="Y49" s="386"/>
      <c r="Z49" s="384"/>
      <c r="AA49" s="386"/>
      <c r="AB49" s="384"/>
      <c r="AC49" s="386"/>
      <c r="AD49" s="384"/>
      <c r="AE49" s="386"/>
      <c r="AF49" s="384"/>
      <c r="AG49" s="565" t="s">
        <v>2960</v>
      </c>
      <c r="AH49" s="405"/>
      <c r="AI49" s="386"/>
      <c r="AJ49" s="384"/>
      <c r="AK49" s="386"/>
      <c r="AL49" s="384"/>
      <c r="AM49" s="565" t="s">
        <v>2961</v>
      </c>
      <c r="AN49" s="405"/>
      <c r="AO49" s="565" t="s">
        <v>2962</v>
      </c>
      <c r="AP49" s="405"/>
      <c r="AQ49" s="386"/>
      <c r="AR49" s="384"/>
      <c r="AS49" s="566" t="s">
        <v>2963</v>
      </c>
      <c r="AT49" s="405"/>
      <c r="AU49" s="386"/>
      <c r="AV49" s="384"/>
      <c r="AW49" s="386"/>
      <c r="AX49" s="384"/>
      <c r="AY49" s="386"/>
      <c r="AZ49" s="384"/>
      <c r="BA49" s="386"/>
      <c r="BB49" s="384"/>
      <c r="BC49" s="386"/>
      <c r="BD49" s="384"/>
    </row>
    <row r="50" spans="1:56" ht="15" x14ac:dyDescent="0.25">
      <c r="A50" s="83"/>
      <c r="B50" s="83"/>
      <c r="C50" s="386"/>
      <c r="D50" s="384"/>
      <c r="E50" s="570" t="s">
        <v>2964</v>
      </c>
      <c r="F50" s="398"/>
      <c r="G50" s="565" t="s">
        <v>2965</v>
      </c>
      <c r="H50" s="405"/>
      <c r="I50" s="386"/>
      <c r="J50" s="384"/>
      <c r="K50" s="386"/>
      <c r="L50" s="384"/>
      <c r="M50" s="386"/>
      <c r="N50" s="384"/>
      <c r="O50" s="386"/>
      <c r="P50" s="384"/>
      <c r="Q50" s="565" t="s">
        <v>2966</v>
      </c>
      <c r="R50" s="405"/>
      <c r="S50" s="386"/>
      <c r="T50" s="384"/>
      <c r="U50" s="386"/>
      <c r="V50" s="384"/>
      <c r="W50" s="386"/>
      <c r="X50" s="384"/>
      <c r="Y50" s="386"/>
      <c r="Z50" s="384"/>
      <c r="AA50" s="386"/>
      <c r="AB50" s="384"/>
      <c r="AC50" s="386"/>
      <c r="AD50" s="384"/>
      <c r="AE50" s="386"/>
      <c r="AF50" s="384"/>
      <c r="AG50" s="565" t="s">
        <v>2967</v>
      </c>
      <c r="AH50" s="405"/>
      <c r="AI50" s="386"/>
      <c r="AJ50" s="384"/>
      <c r="AK50" s="386"/>
      <c r="AL50" s="384"/>
      <c r="AM50" s="565" t="s">
        <v>2968</v>
      </c>
      <c r="AN50" s="405"/>
      <c r="AO50" s="386"/>
      <c r="AP50" s="384"/>
      <c r="AQ50" s="386"/>
      <c r="AR50" s="384"/>
      <c r="AS50" s="566" t="s">
        <v>2969</v>
      </c>
      <c r="AT50" s="405"/>
      <c r="AU50" s="386"/>
      <c r="AV50" s="384"/>
      <c r="AW50" s="386"/>
      <c r="AX50" s="384"/>
      <c r="AY50" s="386"/>
      <c r="AZ50" s="384"/>
      <c r="BA50" s="386"/>
      <c r="BB50" s="384"/>
      <c r="BC50" s="386"/>
      <c r="BD50" s="384"/>
    </row>
    <row r="51" spans="1:56" ht="15" x14ac:dyDescent="0.25">
      <c r="A51" s="83"/>
      <c r="B51" s="83"/>
      <c r="C51" s="386"/>
      <c r="D51" s="384"/>
      <c r="E51" s="565" t="s">
        <v>2970</v>
      </c>
      <c r="F51" s="405"/>
      <c r="G51" s="565" t="s">
        <v>2971</v>
      </c>
      <c r="H51" s="405"/>
      <c r="I51" s="386"/>
      <c r="J51" s="384"/>
      <c r="K51" s="386"/>
      <c r="L51" s="384"/>
      <c r="M51" s="386"/>
      <c r="N51" s="384"/>
      <c r="O51" s="386"/>
      <c r="P51" s="384"/>
      <c r="Q51" s="565" t="s">
        <v>2972</v>
      </c>
      <c r="R51" s="405"/>
      <c r="S51" s="386"/>
      <c r="T51" s="384"/>
      <c r="U51" s="386"/>
      <c r="V51" s="384"/>
      <c r="W51" s="386"/>
      <c r="X51" s="384"/>
      <c r="Y51" s="386"/>
      <c r="Z51" s="384"/>
      <c r="AA51" s="386"/>
      <c r="AB51" s="384"/>
      <c r="AC51" s="386"/>
      <c r="AD51" s="384"/>
      <c r="AE51" s="386"/>
      <c r="AF51" s="384"/>
      <c r="AG51" s="565" t="s">
        <v>2973</v>
      </c>
      <c r="AH51" s="405"/>
      <c r="AI51" s="386"/>
      <c r="AJ51" s="384"/>
      <c r="AK51" s="386"/>
      <c r="AL51" s="384"/>
      <c r="AM51" s="565" t="s">
        <v>2974</v>
      </c>
      <c r="AN51" s="405"/>
      <c r="AO51" s="386"/>
      <c r="AP51" s="384"/>
      <c r="AQ51" s="386"/>
      <c r="AR51" s="384"/>
      <c r="AS51" s="566" t="s">
        <v>2975</v>
      </c>
      <c r="AT51" s="405"/>
      <c r="AU51" s="386"/>
      <c r="AV51" s="384"/>
      <c r="AW51" s="386"/>
      <c r="AX51" s="384"/>
      <c r="AY51" s="386"/>
      <c r="AZ51" s="384"/>
      <c r="BA51" s="386"/>
      <c r="BB51" s="384"/>
      <c r="BC51" s="386"/>
      <c r="BD51" s="384"/>
    </row>
    <row r="52" spans="1:56" ht="15" x14ac:dyDescent="0.25">
      <c r="A52" s="83"/>
      <c r="B52" s="83"/>
      <c r="C52" s="386"/>
      <c r="D52" s="384"/>
      <c r="E52" s="565" t="s">
        <v>2976</v>
      </c>
      <c r="F52" s="405"/>
      <c r="G52" s="565" t="s">
        <v>2977</v>
      </c>
      <c r="H52" s="405"/>
      <c r="I52" s="386"/>
      <c r="J52" s="384"/>
      <c r="K52" s="386"/>
      <c r="L52" s="384"/>
      <c r="M52" s="386"/>
      <c r="N52" s="384"/>
      <c r="O52" s="386"/>
      <c r="P52" s="384"/>
      <c r="Q52" s="574" t="s">
        <v>2972</v>
      </c>
      <c r="R52" s="395"/>
      <c r="S52" s="386"/>
      <c r="T52" s="384"/>
      <c r="U52" s="386"/>
      <c r="V52" s="384"/>
      <c r="W52" s="386"/>
      <c r="X52" s="384"/>
      <c r="Y52" s="386"/>
      <c r="Z52" s="384"/>
      <c r="AA52" s="386"/>
      <c r="AB52" s="384"/>
      <c r="AC52" s="386"/>
      <c r="AD52" s="384"/>
      <c r="AE52" s="386"/>
      <c r="AF52" s="384"/>
      <c r="AG52" s="565" t="s">
        <v>2978</v>
      </c>
      <c r="AH52" s="405"/>
      <c r="AI52" s="386"/>
      <c r="AJ52" s="384"/>
      <c r="AK52" s="386"/>
      <c r="AL52" s="384"/>
      <c r="AM52" s="565" t="s">
        <v>2979</v>
      </c>
      <c r="AN52" s="405"/>
      <c r="AO52" s="386"/>
      <c r="AP52" s="384"/>
      <c r="AQ52" s="386"/>
      <c r="AR52" s="384"/>
      <c r="AS52" s="566" t="s">
        <v>2980</v>
      </c>
      <c r="AT52" s="405"/>
      <c r="AU52" s="386"/>
      <c r="AV52" s="384"/>
      <c r="AW52" s="386"/>
      <c r="AX52" s="384"/>
      <c r="AY52" s="386"/>
      <c r="AZ52" s="384"/>
      <c r="BA52" s="386"/>
      <c r="BB52" s="384"/>
      <c r="BC52" s="386"/>
      <c r="BD52" s="384"/>
    </row>
    <row r="53" spans="1:56" ht="15" x14ac:dyDescent="0.25">
      <c r="A53" s="83"/>
      <c r="B53" s="83"/>
      <c r="C53" s="386"/>
      <c r="D53" s="384"/>
      <c r="E53" s="565" t="s">
        <v>2981</v>
      </c>
      <c r="F53" s="405"/>
      <c r="G53" s="565" t="s">
        <v>2982</v>
      </c>
      <c r="H53" s="405"/>
      <c r="I53" s="386"/>
      <c r="J53" s="384"/>
      <c r="K53" s="386"/>
      <c r="L53" s="384"/>
      <c r="M53" s="386"/>
      <c r="N53" s="384"/>
      <c r="O53" s="386"/>
      <c r="P53" s="384"/>
      <c r="Q53" s="386"/>
      <c r="R53" s="384"/>
      <c r="S53" s="386"/>
      <c r="T53" s="384"/>
      <c r="U53" s="386"/>
      <c r="V53" s="384"/>
      <c r="W53" s="386"/>
      <c r="X53" s="384"/>
      <c r="Y53" s="386"/>
      <c r="Z53" s="384"/>
      <c r="AA53" s="386"/>
      <c r="AB53" s="384"/>
      <c r="AC53" s="386"/>
      <c r="AD53" s="384"/>
      <c r="AE53" s="386"/>
      <c r="AF53" s="384"/>
      <c r="AG53" s="565" t="s">
        <v>2983</v>
      </c>
      <c r="AH53" s="405"/>
      <c r="AI53" s="386"/>
      <c r="AJ53" s="384"/>
      <c r="AK53" s="386"/>
      <c r="AL53" s="384"/>
      <c r="AM53" s="565" t="s">
        <v>2984</v>
      </c>
      <c r="AN53" s="405"/>
      <c r="AO53" s="386"/>
      <c r="AP53" s="384"/>
      <c r="AQ53" s="386"/>
      <c r="AR53" s="384"/>
      <c r="AS53" s="566" t="s">
        <v>2985</v>
      </c>
      <c r="AT53" s="405"/>
      <c r="AU53" s="386"/>
      <c r="AV53" s="384"/>
      <c r="AW53" s="386"/>
      <c r="AX53" s="384"/>
      <c r="AY53" s="386"/>
      <c r="AZ53" s="384"/>
      <c r="BA53" s="386"/>
      <c r="BB53" s="384"/>
      <c r="BC53" s="386"/>
      <c r="BD53" s="384"/>
    </row>
    <row r="54" spans="1:56" ht="18.75" x14ac:dyDescent="0.25">
      <c r="A54" s="83"/>
      <c r="B54" s="83"/>
      <c r="C54" s="386"/>
      <c r="D54" s="384"/>
      <c r="E54" s="565" t="s">
        <v>2986</v>
      </c>
      <c r="F54" s="405"/>
      <c r="G54" s="565" t="s">
        <v>2987</v>
      </c>
      <c r="H54" s="405"/>
      <c r="I54" s="386"/>
      <c r="J54" s="384"/>
      <c r="K54" s="386"/>
      <c r="L54" s="384"/>
      <c r="M54" s="386"/>
      <c r="N54" s="384"/>
      <c r="O54" s="386"/>
      <c r="P54" s="384"/>
      <c r="Q54" s="573" t="s">
        <v>2988</v>
      </c>
      <c r="R54" s="405"/>
      <c r="S54" s="386"/>
      <c r="T54" s="384"/>
      <c r="U54" s="386"/>
      <c r="V54" s="384"/>
      <c r="W54" s="386"/>
      <c r="X54" s="384"/>
      <c r="Y54" s="386"/>
      <c r="Z54" s="384"/>
      <c r="AA54" s="386"/>
      <c r="AB54" s="384"/>
      <c r="AC54" s="386"/>
      <c r="AD54" s="384"/>
      <c r="AE54" s="386"/>
      <c r="AF54" s="384"/>
      <c r="AG54" s="565" t="s">
        <v>2989</v>
      </c>
      <c r="AH54" s="405"/>
      <c r="AI54" s="386"/>
      <c r="AJ54" s="384"/>
      <c r="AK54" s="386"/>
      <c r="AL54" s="384"/>
      <c r="AM54" s="565" t="s">
        <v>2990</v>
      </c>
      <c r="AN54" s="405"/>
      <c r="AO54" s="386"/>
      <c r="AP54" s="384"/>
      <c r="AQ54" s="386"/>
      <c r="AR54" s="384"/>
      <c r="AS54" s="566" t="s">
        <v>2991</v>
      </c>
      <c r="AT54" s="405"/>
      <c r="AU54" s="386"/>
      <c r="AV54" s="384"/>
      <c r="AW54" s="386"/>
      <c r="AX54" s="384"/>
      <c r="AY54" s="386"/>
      <c r="AZ54" s="384"/>
      <c r="BA54" s="386"/>
      <c r="BB54" s="384"/>
      <c r="BC54" s="386"/>
      <c r="BD54" s="384"/>
    </row>
    <row r="55" spans="1:56" ht="15" x14ac:dyDescent="0.25">
      <c r="A55" s="83"/>
      <c r="B55" s="83"/>
      <c r="C55" s="386"/>
      <c r="D55" s="384"/>
      <c r="E55" s="565" t="s">
        <v>2992</v>
      </c>
      <c r="F55" s="405"/>
      <c r="G55" s="565" t="s">
        <v>2993</v>
      </c>
      <c r="H55" s="405"/>
      <c r="I55" s="386"/>
      <c r="J55" s="384"/>
      <c r="K55" s="386"/>
      <c r="L55" s="384"/>
      <c r="M55" s="386"/>
      <c r="N55" s="384"/>
      <c r="O55" s="386"/>
      <c r="P55" s="384"/>
      <c r="Q55" s="386" t="s">
        <v>2994</v>
      </c>
      <c r="R55" s="384" t="s">
        <v>2274</v>
      </c>
      <c r="S55" s="386"/>
      <c r="T55" s="384"/>
      <c r="U55" s="386"/>
      <c r="V55" s="384"/>
      <c r="W55" s="386"/>
      <c r="X55" s="384"/>
      <c r="Y55" s="386"/>
      <c r="Z55" s="384"/>
      <c r="AA55" s="386"/>
      <c r="AB55" s="384"/>
      <c r="AC55" s="386"/>
      <c r="AD55" s="384"/>
      <c r="AE55" s="386"/>
      <c r="AF55" s="384"/>
      <c r="AG55" s="565" t="s">
        <v>2995</v>
      </c>
      <c r="AH55" s="405"/>
      <c r="AI55" s="386"/>
      <c r="AJ55" s="384"/>
      <c r="AK55" s="386"/>
      <c r="AL55" s="384"/>
      <c r="AM55" s="565" t="s">
        <v>2996</v>
      </c>
      <c r="AN55" s="405"/>
      <c r="AO55" s="386"/>
      <c r="AP55" s="384"/>
      <c r="AQ55" s="386"/>
      <c r="AR55" s="384"/>
      <c r="AS55" s="566" t="s">
        <v>2997</v>
      </c>
      <c r="AT55" s="405"/>
      <c r="AU55" s="386"/>
      <c r="AV55" s="384"/>
      <c r="AW55" s="386"/>
      <c r="AX55" s="384"/>
      <c r="AY55" s="386"/>
      <c r="AZ55" s="384"/>
      <c r="BA55" s="386"/>
      <c r="BB55" s="384"/>
      <c r="BC55" s="386"/>
      <c r="BD55" s="384"/>
    </row>
    <row r="56" spans="1:56" ht="15" x14ac:dyDescent="0.25">
      <c r="A56" s="83"/>
      <c r="B56" s="83"/>
      <c r="C56" s="386"/>
      <c r="D56" s="384"/>
      <c r="E56" s="565" t="s">
        <v>2998</v>
      </c>
      <c r="F56" s="405"/>
      <c r="G56" s="565" t="s">
        <v>2999</v>
      </c>
      <c r="H56" s="405"/>
      <c r="I56" s="386"/>
      <c r="J56" s="384"/>
      <c r="K56" s="386"/>
      <c r="L56" s="384"/>
      <c r="M56" s="386"/>
      <c r="N56" s="384"/>
      <c r="O56" s="386"/>
      <c r="P56" s="384"/>
      <c r="Q56" s="386"/>
      <c r="R56" s="384" t="s">
        <v>3000</v>
      </c>
      <c r="S56" s="386"/>
      <c r="T56" s="384"/>
      <c r="U56" s="386"/>
      <c r="V56" s="384"/>
      <c r="W56" s="386"/>
      <c r="X56" s="384"/>
      <c r="Y56" s="386"/>
      <c r="Z56" s="384"/>
      <c r="AA56" s="386"/>
      <c r="AB56" s="384"/>
      <c r="AC56" s="386"/>
      <c r="AD56" s="384"/>
      <c r="AE56" s="386"/>
      <c r="AF56" s="384"/>
      <c r="AG56" s="565" t="s">
        <v>3001</v>
      </c>
      <c r="AH56" s="405"/>
      <c r="AI56" s="386"/>
      <c r="AJ56" s="384"/>
      <c r="AK56" s="386"/>
      <c r="AL56" s="384"/>
      <c r="AM56" s="565" t="s">
        <v>3002</v>
      </c>
      <c r="AN56" s="405"/>
      <c r="AO56" s="386"/>
      <c r="AP56" s="384"/>
      <c r="AQ56" s="386"/>
      <c r="AR56" s="384"/>
      <c r="AS56" s="566" t="s">
        <v>3003</v>
      </c>
      <c r="AT56" s="405"/>
      <c r="AU56" s="386"/>
      <c r="AV56" s="384"/>
      <c r="AW56" s="386"/>
      <c r="AX56" s="384"/>
      <c r="AY56" s="386"/>
      <c r="AZ56" s="384"/>
      <c r="BA56" s="386"/>
      <c r="BB56" s="384"/>
      <c r="BC56" s="386"/>
      <c r="BD56" s="384"/>
    </row>
    <row r="57" spans="1:56" ht="15" x14ac:dyDescent="0.2">
      <c r="A57" s="83"/>
      <c r="B57" s="83"/>
      <c r="C57" s="386"/>
      <c r="D57" s="384"/>
      <c r="E57" s="565" t="s">
        <v>3004</v>
      </c>
      <c r="F57" s="405"/>
      <c r="G57" s="565" t="s">
        <v>3005</v>
      </c>
      <c r="H57" s="405"/>
      <c r="I57" s="386"/>
      <c r="J57" s="384"/>
      <c r="K57" s="386"/>
      <c r="L57" s="384"/>
      <c r="M57" s="386"/>
      <c r="N57" s="384"/>
      <c r="O57" s="386"/>
      <c r="P57" s="384"/>
      <c r="Q57" s="386"/>
      <c r="R57" s="384" t="s">
        <v>3006</v>
      </c>
      <c r="S57" s="386"/>
      <c r="T57" s="384"/>
      <c r="U57" s="386"/>
      <c r="V57" s="384"/>
      <c r="W57" s="386"/>
      <c r="X57" s="384"/>
      <c r="Y57" s="386"/>
      <c r="Z57" s="384"/>
      <c r="AA57" s="386"/>
      <c r="AB57" s="384"/>
      <c r="AC57" s="386"/>
      <c r="AD57" s="384"/>
      <c r="AE57" s="386"/>
      <c r="AF57" s="384"/>
      <c r="AG57" s="565" t="s">
        <v>3007</v>
      </c>
      <c r="AH57" s="405"/>
      <c r="AI57" s="386"/>
      <c r="AJ57" s="384"/>
      <c r="AK57" s="386"/>
      <c r="AL57" s="384"/>
      <c r="AM57" s="565" t="s">
        <v>3008</v>
      </c>
      <c r="AN57" s="405"/>
      <c r="AO57" s="386"/>
      <c r="AP57" s="384"/>
      <c r="AQ57" s="386"/>
      <c r="AR57" s="384"/>
      <c r="AS57" s="387"/>
      <c r="AT57" s="392"/>
      <c r="AU57" s="386"/>
      <c r="AV57" s="384"/>
      <c r="AW57" s="386"/>
      <c r="AX57" s="384"/>
      <c r="AY57" s="386"/>
      <c r="AZ57" s="384"/>
      <c r="BA57" s="386"/>
      <c r="BB57" s="384"/>
      <c r="BC57" s="386"/>
      <c r="BD57" s="384"/>
    </row>
    <row r="58" spans="1:56" ht="15" x14ac:dyDescent="0.2">
      <c r="A58" s="83"/>
      <c r="B58" s="83"/>
      <c r="C58" s="386"/>
      <c r="D58" s="384"/>
      <c r="E58" s="565" t="s">
        <v>3009</v>
      </c>
      <c r="F58" s="405"/>
      <c r="G58" s="565" t="s">
        <v>3010</v>
      </c>
      <c r="H58" s="405"/>
      <c r="I58" s="386"/>
      <c r="J58" s="384"/>
      <c r="K58" s="386"/>
      <c r="L58" s="384"/>
      <c r="M58" s="386"/>
      <c r="N58" s="384"/>
      <c r="O58" s="386"/>
      <c r="P58" s="384"/>
      <c r="Q58" s="386"/>
      <c r="R58" s="384" t="s">
        <v>3011</v>
      </c>
      <c r="S58" s="386"/>
      <c r="T58" s="384"/>
      <c r="U58" s="386"/>
      <c r="V58" s="384"/>
      <c r="W58" s="386"/>
      <c r="X58" s="384"/>
      <c r="Y58" s="386"/>
      <c r="Z58" s="384"/>
      <c r="AA58" s="386"/>
      <c r="AB58" s="384"/>
      <c r="AC58" s="386"/>
      <c r="AD58" s="384"/>
      <c r="AE58" s="386"/>
      <c r="AF58" s="384"/>
      <c r="AG58" s="565" t="s">
        <v>3012</v>
      </c>
      <c r="AH58" s="405"/>
      <c r="AI58" s="386"/>
      <c r="AJ58" s="384"/>
      <c r="AK58" s="386"/>
      <c r="AL58" s="384"/>
      <c r="AM58" s="565" t="s">
        <v>3013</v>
      </c>
      <c r="AN58" s="405"/>
      <c r="AO58" s="386"/>
      <c r="AP58" s="384"/>
      <c r="AQ58" s="386"/>
      <c r="AR58" s="384"/>
      <c r="AS58" s="387"/>
      <c r="AT58" s="392"/>
      <c r="AU58" s="386"/>
      <c r="AV58" s="384"/>
      <c r="AW58" s="386"/>
      <c r="AX58" s="384"/>
      <c r="AY58" s="386"/>
      <c r="AZ58" s="384"/>
      <c r="BA58" s="386"/>
      <c r="BB58" s="384"/>
      <c r="BC58" s="386"/>
      <c r="BD58" s="384"/>
    </row>
    <row r="59" spans="1:56" ht="15" x14ac:dyDescent="0.2">
      <c r="A59" s="83"/>
      <c r="B59" s="83"/>
      <c r="C59" s="386"/>
      <c r="D59" s="384"/>
      <c r="E59" s="565" t="s">
        <v>3014</v>
      </c>
      <c r="F59" s="405"/>
      <c r="G59" s="565" t="s">
        <v>3015</v>
      </c>
      <c r="H59" s="405"/>
      <c r="I59" s="386"/>
      <c r="J59" s="384"/>
      <c r="K59" s="386"/>
      <c r="L59" s="384"/>
      <c r="M59" s="386"/>
      <c r="N59" s="384"/>
      <c r="O59" s="386"/>
      <c r="P59" s="384"/>
      <c r="Q59" s="386"/>
      <c r="R59" s="384" t="s">
        <v>3016</v>
      </c>
      <c r="S59" s="386"/>
      <c r="T59" s="384"/>
      <c r="U59" s="386"/>
      <c r="V59" s="384"/>
      <c r="W59" s="386"/>
      <c r="X59" s="384"/>
      <c r="Y59" s="386"/>
      <c r="Z59" s="384"/>
      <c r="AA59" s="386"/>
      <c r="AB59" s="384"/>
      <c r="AC59" s="386"/>
      <c r="AD59" s="384"/>
      <c r="AE59" s="386"/>
      <c r="AF59" s="384"/>
      <c r="AG59" s="565" t="s">
        <v>3017</v>
      </c>
      <c r="AH59" s="405"/>
      <c r="AI59" s="386"/>
      <c r="AJ59" s="384"/>
      <c r="AK59" s="386"/>
      <c r="AL59" s="384"/>
      <c r="AM59" s="565" t="s">
        <v>3018</v>
      </c>
      <c r="AN59" s="405"/>
      <c r="AO59" s="386"/>
      <c r="AP59" s="384"/>
      <c r="AQ59" s="386"/>
      <c r="AR59" s="384"/>
      <c r="AS59" s="387"/>
      <c r="AT59" s="392"/>
      <c r="AU59" s="386"/>
      <c r="AV59" s="384"/>
      <c r="AW59" s="386"/>
      <c r="AX59" s="384"/>
      <c r="AY59" s="386"/>
      <c r="AZ59" s="384"/>
      <c r="BA59" s="386"/>
      <c r="BB59" s="384"/>
      <c r="BC59" s="386"/>
      <c r="BD59" s="384"/>
    </row>
    <row r="60" spans="1:56" ht="15" x14ac:dyDescent="0.2">
      <c r="A60" s="83"/>
      <c r="B60" s="83"/>
      <c r="C60" s="386"/>
      <c r="D60" s="384"/>
      <c r="E60" s="565" t="s">
        <v>3019</v>
      </c>
      <c r="F60" s="405"/>
      <c r="G60" s="565" t="s">
        <v>3020</v>
      </c>
      <c r="H60" s="405"/>
      <c r="I60" s="386"/>
      <c r="J60" s="384"/>
      <c r="K60" s="386"/>
      <c r="L60" s="384"/>
      <c r="M60" s="386"/>
      <c r="N60" s="384"/>
      <c r="O60" s="386"/>
      <c r="P60" s="384"/>
      <c r="Q60" s="386"/>
      <c r="R60" s="384" t="s">
        <v>3021</v>
      </c>
      <c r="S60" s="386"/>
      <c r="T60" s="384"/>
      <c r="U60" s="386"/>
      <c r="V60" s="384"/>
      <c r="W60" s="386"/>
      <c r="X60" s="384"/>
      <c r="Y60" s="386"/>
      <c r="Z60" s="384"/>
      <c r="AA60" s="386"/>
      <c r="AB60" s="384"/>
      <c r="AC60" s="386"/>
      <c r="AD60" s="384"/>
      <c r="AE60" s="386"/>
      <c r="AF60" s="384"/>
      <c r="AG60" s="565" t="s">
        <v>3022</v>
      </c>
      <c r="AH60" s="405"/>
      <c r="AI60" s="386"/>
      <c r="AJ60" s="384"/>
      <c r="AK60" s="386"/>
      <c r="AL60" s="384"/>
      <c r="AM60" s="565" t="s">
        <v>3023</v>
      </c>
      <c r="AN60" s="405"/>
      <c r="AO60" s="386"/>
      <c r="AP60" s="384"/>
      <c r="AQ60" s="386"/>
      <c r="AR60" s="384"/>
      <c r="AS60" s="387"/>
      <c r="AT60" s="392"/>
      <c r="AU60" s="386"/>
      <c r="AV60" s="384"/>
      <c r="AW60" s="386"/>
      <c r="AX60" s="384"/>
      <c r="AY60" s="386"/>
      <c r="AZ60" s="384"/>
      <c r="BA60" s="386"/>
      <c r="BB60" s="384"/>
      <c r="BC60" s="386"/>
      <c r="BD60" s="384"/>
    </row>
    <row r="61" spans="1:56" ht="15" x14ac:dyDescent="0.25">
      <c r="A61" s="83"/>
      <c r="B61" s="83"/>
      <c r="C61" s="386"/>
      <c r="D61" s="384"/>
      <c r="E61" s="565" t="s">
        <v>3024</v>
      </c>
      <c r="F61" s="405"/>
      <c r="G61" s="565" t="s">
        <v>3025</v>
      </c>
      <c r="H61" s="405"/>
      <c r="I61" s="386"/>
      <c r="J61" s="384"/>
      <c r="K61" s="386"/>
      <c r="L61" s="384"/>
      <c r="M61" s="386"/>
      <c r="N61" s="384"/>
      <c r="O61" s="386"/>
      <c r="P61" s="384"/>
      <c r="Q61" s="385"/>
      <c r="R61" s="388" t="s">
        <v>3026</v>
      </c>
      <c r="S61" s="386"/>
      <c r="T61" s="384"/>
      <c r="U61" s="386"/>
      <c r="V61" s="384"/>
      <c r="W61" s="386"/>
      <c r="X61" s="384"/>
      <c r="Y61" s="386"/>
      <c r="Z61" s="384"/>
      <c r="AA61" s="386"/>
      <c r="AB61" s="384"/>
      <c r="AC61" s="386"/>
      <c r="AD61" s="384"/>
      <c r="AE61" s="386"/>
      <c r="AF61" s="384"/>
      <c r="AG61" s="565" t="s">
        <v>3027</v>
      </c>
      <c r="AH61" s="405"/>
      <c r="AI61" s="386"/>
      <c r="AJ61" s="384"/>
      <c r="AK61" s="386"/>
      <c r="AL61" s="384"/>
      <c r="AM61" s="566" t="s">
        <v>3028</v>
      </c>
      <c r="AN61" s="405"/>
      <c r="AO61" s="386"/>
      <c r="AP61" s="384"/>
      <c r="AQ61" s="386"/>
      <c r="AR61" s="384"/>
      <c r="AS61" s="387"/>
      <c r="AT61" s="392"/>
      <c r="AU61" s="386"/>
      <c r="AV61" s="384"/>
      <c r="AW61" s="386"/>
      <c r="AX61" s="384"/>
      <c r="AY61" s="386"/>
      <c r="AZ61" s="384"/>
      <c r="BA61" s="386"/>
      <c r="BB61" s="384"/>
      <c r="BC61" s="386"/>
      <c r="BD61" s="384"/>
    </row>
    <row r="62" spans="1:56" ht="15" x14ac:dyDescent="0.25">
      <c r="A62" s="83"/>
      <c r="B62" s="83"/>
      <c r="C62" s="386"/>
      <c r="D62" s="384"/>
      <c r="E62" s="565" t="s">
        <v>3029</v>
      </c>
      <c r="F62" s="405"/>
      <c r="G62" s="565" t="s">
        <v>3030</v>
      </c>
      <c r="H62" s="405"/>
      <c r="I62" s="386"/>
      <c r="J62" s="384"/>
      <c r="K62" s="386"/>
      <c r="L62" s="384"/>
      <c r="M62" s="386"/>
      <c r="N62" s="384"/>
      <c r="O62" s="386"/>
      <c r="P62" s="384"/>
      <c r="Q62" s="386"/>
      <c r="R62" s="384"/>
      <c r="S62" s="386"/>
      <c r="T62" s="384"/>
      <c r="U62" s="386"/>
      <c r="V62" s="384"/>
      <c r="W62" s="386"/>
      <c r="X62" s="384"/>
      <c r="Y62" s="386"/>
      <c r="Z62" s="384"/>
      <c r="AA62" s="386"/>
      <c r="AB62" s="384"/>
      <c r="AC62" s="386"/>
      <c r="AD62" s="384"/>
      <c r="AE62" s="386"/>
      <c r="AF62" s="384"/>
      <c r="AG62" s="565" t="s">
        <v>3031</v>
      </c>
      <c r="AH62" s="405"/>
      <c r="AI62" s="386"/>
      <c r="AJ62" s="384"/>
      <c r="AK62" s="386"/>
      <c r="AL62" s="384"/>
      <c r="AM62" s="566" t="s">
        <v>3032</v>
      </c>
      <c r="AN62" s="405"/>
      <c r="AO62" s="386"/>
      <c r="AP62" s="384"/>
      <c r="AQ62" s="386"/>
      <c r="AR62" s="384"/>
      <c r="AS62" s="387"/>
      <c r="AT62" s="392"/>
      <c r="AU62" s="386"/>
      <c r="AV62" s="384"/>
      <c r="AW62" s="386"/>
      <c r="AX62" s="384"/>
      <c r="AY62" s="386"/>
      <c r="AZ62" s="384"/>
      <c r="BA62" s="386"/>
      <c r="BB62" s="384"/>
      <c r="BC62" s="386"/>
      <c r="BD62" s="384"/>
    </row>
    <row r="63" spans="1:56" ht="15" x14ac:dyDescent="0.25">
      <c r="A63" s="83"/>
      <c r="B63" s="83"/>
      <c r="C63" s="386"/>
      <c r="D63" s="384"/>
      <c r="E63" s="565" t="s">
        <v>3033</v>
      </c>
      <c r="F63" s="405"/>
      <c r="G63" s="565" t="s">
        <v>3034</v>
      </c>
      <c r="H63" s="405"/>
      <c r="I63" s="386"/>
      <c r="J63" s="384"/>
      <c r="K63" s="386"/>
      <c r="L63" s="384"/>
      <c r="M63" s="386"/>
      <c r="N63" s="384"/>
      <c r="O63" s="386"/>
      <c r="P63" s="384"/>
      <c r="Q63" s="386"/>
      <c r="R63" s="384"/>
      <c r="S63" s="386"/>
      <c r="T63" s="384"/>
      <c r="U63" s="386"/>
      <c r="V63" s="384"/>
      <c r="W63" s="386"/>
      <c r="X63" s="384"/>
      <c r="Y63" s="386"/>
      <c r="Z63" s="384"/>
      <c r="AA63" s="386"/>
      <c r="AB63" s="384"/>
      <c r="AC63" s="386"/>
      <c r="AD63" s="384"/>
      <c r="AE63" s="386"/>
      <c r="AF63" s="384"/>
      <c r="AG63" s="565" t="s">
        <v>3035</v>
      </c>
      <c r="AH63" s="405"/>
      <c r="AI63" s="386"/>
      <c r="AJ63" s="384"/>
      <c r="AK63" s="386"/>
      <c r="AL63" s="384"/>
      <c r="AM63" s="566" t="s">
        <v>3036</v>
      </c>
      <c r="AN63" s="405"/>
      <c r="AO63" s="386"/>
      <c r="AP63" s="384"/>
      <c r="AQ63" s="386"/>
      <c r="AR63" s="384"/>
      <c r="AS63" s="386"/>
      <c r="AT63" s="384"/>
      <c r="AU63" s="386"/>
      <c r="AV63" s="384"/>
      <c r="AW63" s="386"/>
      <c r="AX63" s="384"/>
      <c r="AY63" s="386"/>
      <c r="AZ63" s="384"/>
      <c r="BA63" s="386"/>
      <c r="BB63" s="384"/>
      <c r="BC63" s="386"/>
      <c r="BD63" s="384"/>
    </row>
    <row r="64" spans="1:56" ht="15" x14ac:dyDescent="0.25">
      <c r="A64" s="83"/>
      <c r="B64" s="83"/>
      <c r="C64" s="386"/>
      <c r="D64" s="384"/>
      <c r="E64" s="565" t="s">
        <v>3037</v>
      </c>
      <c r="F64" s="405"/>
      <c r="G64" s="565" t="s">
        <v>3038</v>
      </c>
      <c r="H64" s="405"/>
      <c r="I64" s="386"/>
      <c r="J64" s="384"/>
      <c r="K64" s="386"/>
      <c r="L64" s="384"/>
      <c r="M64" s="386"/>
      <c r="N64" s="384"/>
      <c r="O64" s="386"/>
      <c r="P64" s="384"/>
      <c r="Q64" s="386"/>
      <c r="R64" s="384"/>
      <c r="S64" s="386"/>
      <c r="T64" s="384"/>
      <c r="U64" s="386"/>
      <c r="V64" s="384"/>
      <c r="W64" s="386"/>
      <c r="X64" s="384"/>
      <c r="Y64" s="386"/>
      <c r="Z64" s="384"/>
      <c r="AA64" s="386"/>
      <c r="AB64" s="384"/>
      <c r="AC64" s="386"/>
      <c r="AD64" s="384"/>
      <c r="AE64" s="386"/>
      <c r="AF64" s="384"/>
      <c r="AG64" s="565" t="s">
        <v>3039</v>
      </c>
      <c r="AH64" s="405"/>
      <c r="AI64" s="386"/>
      <c r="AJ64" s="384"/>
      <c r="AK64" s="386"/>
      <c r="AL64" s="384"/>
      <c r="AM64" s="566" t="s">
        <v>3040</v>
      </c>
      <c r="AN64" s="405"/>
      <c r="AO64" s="386"/>
      <c r="AP64" s="384"/>
      <c r="AQ64" s="386"/>
      <c r="AR64" s="384"/>
      <c r="AS64" s="386"/>
      <c r="AT64" s="384"/>
      <c r="AU64" s="386"/>
      <c r="AV64" s="384"/>
      <c r="AW64" s="386"/>
      <c r="AX64" s="384"/>
      <c r="AY64" s="386"/>
      <c r="AZ64" s="384"/>
      <c r="BA64" s="386"/>
      <c r="BB64" s="384"/>
      <c r="BC64" s="386"/>
      <c r="BD64" s="384"/>
    </row>
    <row r="65" spans="1:56" ht="15" x14ac:dyDescent="0.25">
      <c r="A65" s="83"/>
      <c r="B65" s="83"/>
      <c r="C65" s="386"/>
      <c r="D65" s="384"/>
      <c r="E65" s="565" t="s">
        <v>3041</v>
      </c>
      <c r="F65" s="405"/>
      <c r="G65" s="565" t="s">
        <v>3042</v>
      </c>
      <c r="H65" s="405"/>
      <c r="I65" s="386"/>
      <c r="J65" s="384"/>
      <c r="K65" s="386"/>
      <c r="L65" s="384"/>
      <c r="M65" s="386"/>
      <c r="N65" s="384"/>
      <c r="O65" s="386"/>
      <c r="P65" s="384"/>
      <c r="Q65" s="386"/>
      <c r="R65" s="384"/>
      <c r="S65" s="386"/>
      <c r="T65" s="384"/>
      <c r="U65" s="386"/>
      <c r="V65" s="384"/>
      <c r="W65" s="386"/>
      <c r="X65" s="384"/>
      <c r="Y65" s="386"/>
      <c r="Z65" s="384"/>
      <c r="AA65" s="386"/>
      <c r="AB65" s="384"/>
      <c r="AC65" s="386"/>
      <c r="AD65" s="384"/>
      <c r="AE65" s="386"/>
      <c r="AF65" s="384"/>
      <c r="AG65" s="565" t="s">
        <v>3043</v>
      </c>
      <c r="AH65" s="405"/>
      <c r="AI65" s="386"/>
      <c r="AJ65" s="384"/>
      <c r="AK65" s="386"/>
      <c r="AL65" s="384"/>
      <c r="AM65" s="566" t="s">
        <v>3044</v>
      </c>
      <c r="AN65" s="405"/>
      <c r="AO65" s="386"/>
      <c r="AP65" s="384"/>
      <c r="AQ65" s="386"/>
      <c r="AR65" s="384"/>
      <c r="AS65" s="386"/>
      <c r="AT65" s="384"/>
      <c r="AU65" s="386"/>
      <c r="AV65" s="384"/>
      <c r="AW65" s="386"/>
      <c r="AX65" s="384"/>
      <c r="AY65" s="386"/>
      <c r="AZ65" s="384"/>
      <c r="BA65" s="386"/>
      <c r="BB65" s="384"/>
      <c r="BC65" s="386"/>
      <c r="BD65" s="384"/>
    </row>
    <row r="66" spans="1:56" ht="15" x14ac:dyDescent="0.25">
      <c r="A66" s="83"/>
      <c r="B66" s="83"/>
      <c r="C66" s="386"/>
      <c r="D66" s="384"/>
      <c r="E66" s="565" t="s">
        <v>3045</v>
      </c>
      <c r="F66" s="405"/>
      <c r="G66" s="386" t="s">
        <v>3046</v>
      </c>
      <c r="H66" s="384" t="s">
        <v>2274</v>
      </c>
      <c r="I66" s="386"/>
      <c r="J66" s="384"/>
      <c r="K66" s="386"/>
      <c r="L66" s="384"/>
      <c r="M66" s="386"/>
      <c r="N66" s="384"/>
      <c r="O66" s="386"/>
      <c r="P66" s="384"/>
      <c r="Q66" s="386"/>
      <c r="R66" s="384"/>
      <c r="S66" s="386"/>
      <c r="T66" s="384"/>
      <c r="U66" s="386"/>
      <c r="V66" s="384"/>
      <c r="W66" s="386"/>
      <c r="X66" s="384"/>
      <c r="Y66" s="386"/>
      <c r="Z66" s="384"/>
      <c r="AA66" s="386"/>
      <c r="AB66" s="384"/>
      <c r="AC66" s="386"/>
      <c r="AD66" s="384"/>
      <c r="AE66" s="386"/>
      <c r="AF66" s="384"/>
      <c r="AG66" s="565" t="s">
        <v>3047</v>
      </c>
      <c r="AH66" s="405"/>
      <c r="AI66" s="386"/>
      <c r="AJ66" s="384"/>
      <c r="AK66" s="386"/>
      <c r="AL66" s="384"/>
      <c r="AM66" s="566" t="s">
        <v>3048</v>
      </c>
      <c r="AN66" s="405"/>
      <c r="AO66" s="386"/>
      <c r="AP66" s="384"/>
      <c r="AQ66" s="386"/>
      <c r="AR66" s="384"/>
      <c r="AS66" s="386"/>
      <c r="AT66" s="384"/>
      <c r="AU66" s="386"/>
      <c r="AV66" s="384"/>
      <c r="AW66" s="386"/>
      <c r="AX66" s="384"/>
      <c r="AY66" s="386"/>
      <c r="AZ66" s="384"/>
      <c r="BA66" s="386"/>
      <c r="BB66" s="384"/>
      <c r="BC66" s="386"/>
      <c r="BD66" s="384"/>
    </row>
    <row r="67" spans="1:56" ht="15" x14ac:dyDescent="0.25">
      <c r="A67" s="83"/>
      <c r="B67" s="83"/>
      <c r="C67" s="386"/>
      <c r="D67" s="384"/>
      <c r="E67" s="565" t="s">
        <v>3049</v>
      </c>
      <c r="F67" s="405"/>
      <c r="G67" s="386"/>
      <c r="H67" s="384" t="s">
        <v>3050</v>
      </c>
      <c r="I67" s="386"/>
      <c r="J67" s="384"/>
      <c r="K67" s="386"/>
      <c r="L67" s="384"/>
      <c r="M67" s="386"/>
      <c r="N67" s="384"/>
      <c r="O67" s="386"/>
      <c r="P67" s="384"/>
      <c r="Q67" s="386"/>
      <c r="R67" s="384"/>
      <c r="S67" s="386"/>
      <c r="T67" s="384"/>
      <c r="U67" s="386"/>
      <c r="V67" s="384"/>
      <c r="W67" s="386"/>
      <c r="X67" s="384"/>
      <c r="Y67" s="386"/>
      <c r="Z67" s="384"/>
      <c r="AA67" s="386"/>
      <c r="AB67" s="384"/>
      <c r="AC67" s="386"/>
      <c r="AD67" s="384"/>
      <c r="AE67" s="386"/>
      <c r="AF67" s="384"/>
      <c r="AG67" s="565" t="s">
        <v>3051</v>
      </c>
      <c r="AH67" s="405"/>
      <c r="AI67" s="386"/>
      <c r="AJ67" s="384"/>
      <c r="AK67" s="386"/>
      <c r="AL67" s="384"/>
      <c r="AM67" s="566" t="s">
        <v>3052</v>
      </c>
      <c r="AN67" s="405"/>
      <c r="AO67" s="386"/>
      <c r="AP67" s="384"/>
      <c r="AQ67" s="386"/>
      <c r="AR67" s="384"/>
      <c r="AS67" s="386"/>
      <c r="AT67" s="384"/>
      <c r="AU67" s="386"/>
      <c r="AV67" s="384"/>
      <c r="AW67" s="386"/>
      <c r="AX67" s="384"/>
      <c r="AY67" s="386"/>
      <c r="AZ67" s="384"/>
      <c r="BA67" s="386"/>
      <c r="BB67" s="384"/>
      <c r="BC67" s="386"/>
      <c r="BD67" s="384"/>
    </row>
    <row r="68" spans="1:56" ht="15" x14ac:dyDescent="0.25">
      <c r="A68" s="83"/>
      <c r="B68" s="83"/>
      <c r="C68" s="386"/>
      <c r="D68" s="384"/>
      <c r="E68" s="565" t="s">
        <v>3053</v>
      </c>
      <c r="F68" s="405"/>
      <c r="G68" s="386"/>
      <c r="H68" s="384" t="s">
        <v>3054</v>
      </c>
      <c r="I68" s="386"/>
      <c r="J68" s="384"/>
      <c r="K68" s="386"/>
      <c r="L68" s="384"/>
      <c r="M68" s="386"/>
      <c r="N68" s="384"/>
      <c r="O68" s="386"/>
      <c r="P68" s="384"/>
      <c r="Q68" s="386"/>
      <c r="R68" s="384"/>
      <c r="S68" s="386"/>
      <c r="T68" s="384"/>
      <c r="U68" s="386"/>
      <c r="V68" s="384"/>
      <c r="W68" s="386"/>
      <c r="X68" s="384"/>
      <c r="Y68" s="386"/>
      <c r="Z68" s="384"/>
      <c r="AA68" s="386"/>
      <c r="AB68" s="384"/>
      <c r="AC68" s="386"/>
      <c r="AD68" s="384"/>
      <c r="AE68" s="386"/>
      <c r="AF68" s="384"/>
      <c r="AG68" s="565" t="s">
        <v>3055</v>
      </c>
      <c r="AH68" s="405"/>
      <c r="AI68" s="386"/>
      <c r="AJ68" s="384"/>
      <c r="AK68" s="386"/>
      <c r="AL68" s="384"/>
      <c r="AM68" s="566" t="s">
        <v>3056</v>
      </c>
      <c r="AN68" s="405"/>
      <c r="AO68" s="386"/>
      <c r="AP68" s="384"/>
      <c r="AQ68" s="386"/>
      <c r="AR68" s="384"/>
      <c r="AS68" s="386"/>
      <c r="AT68" s="384"/>
      <c r="AU68" s="386"/>
      <c r="AV68" s="384"/>
      <c r="AW68" s="386"/>
      <c r="AX68" s="384"/>
      <c r="AY68" s="386"/>
      <c r="AZ68" s="384"/>
      <c r="BA68" s="386"/>
      <c r="BB68" s="384"/>
      <c r="BC68" s="386"/>
      <c r="BD68" s="384"/>
    </row>
    <row r="69" spans="1:56" ht="15" x14ac:dyDescent="0.25">
      <c r="A69" s="83"/>
      <c r="B69" s="83"/>
      <c r="C69" s="386"/>
      <c r="D69" s="384"/>
      <c r="E69" s="565" t="s">
        <v>3057</v>
      </c>
      <c r="F69" s="405"/>
      <c r="G69" s="386"/>
      <c r="H69" s="384" t="s">
        <v>3058</v>
      </c>
      <c r="I69" s="386"/>
      <c r="J69" s="384"/>
      <c r="K69" s="386"/>
      <c r="L69" s="384"/>
      <c r="M69" s="386"/>
      <c r="N69" s="384"/>
      <c r="O69" s="386"/>
      <c r="P69" s="384"/>
      <c r="Q69" s="386"/>
      <c r="R69" s="384"/>
      <c r="S69" s="386"/>
      <c r="T69" s="384"/>
      <c r="U69" s="386"/>
      <c r="V69" s="384"/>
      <c r="W69" s="386"/>
      <c r="X69" s="384"/>
      <c r="Y69" s="386"/>
      <c r="Z69" s="384"/>
      <c r="AA69" s="386"/>
      <c r="AB69" s="384"/>
      <c r="AC69" s="386"/>
      <c r="AD69" s="384"/>
      <c r="AE69" s="386"/>
      <c r="AF69" s="384"/>
      <c r="AG69" s="565" t="s">
        <v>3059</v>
      </c>
      <c r="AH69" s="405"/>
      <c r="AI69" s="386"/>
      <c r="AJ69" s="384"/>
      <c r="AK69" s="386"/>
      <c r="AL69" s="384"/>
      <c r="AM69" s="566" t="s">
        <v>3060</v>
      </c>
      <c r="AN69" s="405"/>
      <c r="AO69" s="386"/>
      <c r="AP69" s="384"/>
      <c r="AQ69" s="386"/>
      <c r="AR69" s="384"/>
      <c r="AS69" s="386"/>
      <c r="AT69" s="384"/>
      <c r="AU69" s="386"/>
      <c r="AV69" s="384"/>
      <c r="AW69" s="386"/>
      <c r="AX69" s="384"/>
      <c r="AY69" s="386"/>
      <c r="AZ69" s="384"/>
      <c r="BA69" s="386"/>
      <c r="BB69" s="384"/>
      <c r="BC69" s="386"/>
      <c r="BD69" s="384"/>
    </row>
    <row r="70" spans="1:56" ht="15" x14ac:dyDescent="0.25">
      <c r="A70" s="83"/>
      <c r="B70" s="83"/>
      <c r="C70" s="386"/>
      <c r="D70" s="384"/>
      <c r="E70" s="565" t="s">
        <v>3061</v>
      </c>
      <c r="F70" s="405"/>
      <c r="G70" s="386"/>
      <c r="H70" s="384" t="s">
        <v>3062</v>
      </c>
      <c r="I70" s="386"/>
      <c r="J70" s="384"/>
      <c r="K70" s="386"/>
      <c r="L70" s="384"/>
      <c r="M70" s="386"/>
      <c r="N70" s="384"/>
      <c r="O70" s="386"/>
      <c r="P70" s="384"/>
      <c r="Q70" s="386"/>
      <c r="R70" s="384"/>
      <c r="S70" s="386"/>
      <c r="T70" s="384"/>
      <c r="U70" s="386"/>
      <c r="V70" s="384"/>
      <c r="W70" s="386"/>
      <c r="X70" s="384"/>
      <c r="Y70" s="386"/>
      <c r="Z70" s="384"/>
      <c r="AA70" s="386"/>
      <c r="AB70" s="384"/>
      <c r="AC70" s="386"/>
      <c r="AD70" s="384"/>
      <c r="AE70" s="386"/>
      <c r="AF70" s="384"/>
      <c r="AG70" s="565" t="s">
        <v>3063</v>
      </c>
      <c r="AH70" s="405"/>
      <c r="AI70" s="386"/>
      <c r="AJ70" s="384"/>
      <c r="AK70" s="386"/>
      <c r="AL70" s="384"/>
      <c r="AM70" s="566" t="s">
        <v>3064</v>
      </c>
      <c r="AN70" s="405"/>
      <c r="AO70" s="386"/>
      <c r="AP70" s="384"/>
      <c r="AQ70" s="386"/>
      <c r="AR70" s="384"/>
      <c r="AS70" s="386"/>
      <c r="AT70" s="384"/>
      <c r="AU70" s="386"/>
      <c r="AV70" s="384"/>
      <c r="AW70" s="386"/>
      <c r="AX70" s="384"/>
      <c r="AY70" s="386"/>
      <c r="AZ70" s="384"/>
      <c r="BA70" s="386"/>
      <c r="BB70" s="384"/>
      <c r="BC70" s="386"/>
      <c r="BD70" s="384"/>
    </row>
    <row r="71" spans="1:56" ht="15" x14ac:dyDescent="0.2">
      <c r="A71" s="83"/>
      <c r="B71" s="83"/>
      <c r="C71" s="386"/>
      <c r="D71" s="384"/>
      <c r="E71" s="386"/>
      <c r="F71" s="384"/>
      <c r="G71" s="386"/>
      <c r="H71" s="384" t="s">
        <v>3065</v>
      </c>
      <c r="I71" s="386"/>
      <c r="J71" s="384"/>
      <c r="K71" s="386"/>
      <c r="L71" s="384"/>
      <c r="M71" s="386"/>
      <c r="N71" s="384"/>
      <c r="O71" s="386"/>
      <c r="P71" s="384"/>
      <c r="Q71" s="386"/>
      <c r="R71" s="384"/>
      <c r="S71" s="386"/>
      <c r="T71" s="384"/>
      <c r="U71" s="386"/>
      <c r="V71" s="384"/>
      <c r="W71" s="386"/>
      <c r="X71" s="384"/>
      <c r="Y71" s="386"/>
      <c r="Z71" s="384"/>
      <c r="AA71" s="386"/>
      <c r="AB71" s="384"/>
      <c r="AC71" s="386"/>
      <c r="AD71" s="384"/>
      <c r="AE71" s="386"/>
      <c r="AF71" s="384"/>
      <c r="AG71" s="565" t="s">
        <v>3066</v>
      </c>
      <c r="AH71" s="405"/>
      <c r="AI71" s="386"/>
      <c r="AJ71" s="384"/>
      <c r="AK71" s="386"/>
      <c r="AL71" s="384"/>
      <c r="AM71" s="386"/>
      <c r="AN71" s="384"/>
      <c r="AO71" s="386"/>
      <c r="AP71" s="384"/>
      <c r="AQ71" s="386"/>
      <c r="AR71" s="384"/>
      <c r="AS71" s="386"/>
      <c r="AT71" s="384"/>
      <c r="AU71" s="386"/>
      <c r="AV71" s="384"/>
      <c r="AW71" s="386"/>
      <c r="AX71" s="384"/>
      <c r="AY71" s="386"/>
      <c r="AZ71" s="384"/>
      <c r="BA71" s="386"/>
      <c r="BB71" s="384"/>
      <c r="BC71" s="386"/>
      <c r="BD71" s="384"/>
    </row>
    <row r="72" spans="1:56" ht="15" x14ac:dyDescent="0.2">
      <c r="A72" s="83"/>
      <c r="B72" s="83"/>
      <c r="C72" s="386"/>
      <c r="D72" s="384"/>
      <c r="E72" s="386"/>
      <c r="F72" s="384"/>
      <c r="G72" s="385"/>
      <c r="H72" s="388" t="s">
        <v>3067</v>
      </c>
      <c r="I72" s="386"/>
      <c r="J72" s="384"/>
      <c r="K72" s="386"/>
      <c r="L72" s="384"/>
      <c r="M72" s="386"/>
      <c r="N72" s="384"/>
      <c r="O72" s="386"/>
      <c r="P72" s="384"/>
      <c r="Q72" s="386"/>
      <c r="R72" s="384"/>
      <c r="S72" s="386"/>
      <c r="T72" s="384"/>
      <c r="U72" s="386"/>
      <c r="V72" s="384"/>
      <c r="W72" s="386"/>
      <c r="X72" s="384"/>
      <c r="Y72" s="386"/>
      <c r="Z72" s="384"/>
      <c r="AA72" s="386"/>
      <c r="AB72" s="384"/>
      <c r="AC72" s="386"/>
      <c r="AD72" s="384"/>
      <c r="AE72" s="386"/>
      <c r="AF72" s="384"/>
      <c r="AG72" s="565" t="s">
        <v>3068</v>
      </c>
      <c r="AH72" s="405"/>
      <c r="AI72" s="386"/>
      <c r="AJ72" s="384"/>
      <c r="AK72" s="386"/>
      <c r="AL72" s="384"/>
      <c r="AM72" s="386"/>
      <c r="AN72" s="384"/>
      <c r="AO72" s="386"/>
      <c r="AP72" s="384"/>
      <c r="AQ72" s="386"/>
      <c r="AR72" s="384"/>
      <c r="AS72" s="386"/>
      <c r="AT72" s="384"/>
      <c r="AU72" s="386"/>
      <c r="AV72" s="384"/>
      <c r="AW72" s="386"/>
      <c r="AX72" s="384"/>
      <c r="AY72" s="386"/>
      <c r="AZ72" s="384"/>
      <c r="BA72" s="386"/>
      <c r="BB72" s="384"/>
      <c r="BC72" s="386"/>
      <c r="BD72" s="384"/>
    </row>
    <row r="73" spans="1:56" ht="15" x14ac:dyDescent="0.2">
      <c r="A73" s="83"/>
      <c r="B73" s="83"/>
      <c r="C73" s="386"/>
      <c r="D73" s="384"/>
      <c r="E73" s="386"/>
      <c r="F73" s="384"/>
      <c r="G73" s="570" t="s">
        <v>3069</v>
      </c>
      <c r="H73" s="398"/>
      <c r="I73" s="386"/>
      <c r="J73" s="384"/>
      <c r="K73" s="386"/>
      <c r="L73" s="384"/>
      <c r="M73" s="386"/>
      <c r="N73" s="384"/>
      <c r="O73" s="386"/>
      <c r="P73" s="384"/>
      <c r="Q73" s="386"/>
      <c r="R73" s="384"/>
      <c r="S73" s="386"/>
      <c r="T73" s="384"/>
      <c r="U73" s="386"/>
      <c r="V73" s="384"/>
      <c r="W73" s="386"/>
      <c r="X73" s="384"/>
      <c r="Y73" s="386"/>
      <c r="Z73" s="384"/>
      <c r="AA73" s="386"/>
      <c r="AB73" s="384"/>
      <c r="AC73" s="386"/>
      <c r="AD73" s="384"/>
      <c r="AE73" s="386"/>
      <c r="AF73" s="384"/>
      <c r="AG73" s="565" t="s">
        <v>3070</v>
      </c>
      <c r="AH73" s="405"/>
      <c r="AI73" s="386"/>
      <c r="AJ73" s="384"/>
      <c r="AK73" s="386"/>
      <c r="AL73" s="384"/>
      <c r="AM73" s="386"/>
      <c r="AN73" s="384"/>
      <c r="AO73" s="386"/>
      <c r="AP73" s="384"/>
      <c r="AQ73" s="386"/>
      <c r="AR73" s="384"/>
      <c r="AS73" s="386"/>
      <c r="AT73" s="384"/>
      <c r="AU73" s="386"/>
      <c r="AV73" s="384"/>
      <c r="AW73" s="386"/>
      <c r="AX73" s="384"/>
      <c r="AY73" s="386"/>
      <c r="AZ73" s="384"/>
      <c r="BA73" s="386"/>
      <c r="BB73" s="384"/>
      <c r="BC73" s="386"/>
      <c r="BD73" s="384"/>
    </row>
    <row r="74" spans="1:56" ht="15" x14ac:dyDescent="0.2">
      <c r="A74" s="83"/>
      <c r="B74" s="83"/>
      <c r="C74" s="386"/>
      <c r="D74" s="384"/>
      <c r="E74" s="386"/>
      <c r="F74" s="384"/>
      <c r="G74" s="565" t="s">
        <v>3071</v>
      </c>
      <c r="H74" s="405"/>
      <c r="I74" s="386"/>
      <c r="J74" s="384"/>
      <c r="K74" s="386"/>
      <c r="L74" s="384"/>
      <c r="M74" s="386"/>
      <c r="N74" s="384"/>
      <c r="O74" s="386"/>
      <c r="P74" s="384"/>
      <c r="Q74" s="386"/>
      <c r="R74" s="384"/>
      <c r="S74" s="386"/>
      <c r="T74" s="384"/>
      <c r="U74" s="386"/>
      <c r="V74" s="384"/>
      <c r="W74" s="386"/>
      <c r="X74" s="384"/>
      <c r="Y74" s="386"/>
      <c r="Z74" s="384"/>
      <c r="AA74" s="386"/>
      <c r="AB74" s="384"/>
      <c r="AC74" s="386"/>
      <c r="AD74" s="384"/>
      <c r="AE74" s="386"/>
      <c r="AF74" s="384"/>
      <c r="AG74" s="565" t="s">
        <v>3072</v>
      </c>
      <c r="AH74" s="405"/>
      <c r="AI74" s="386"/>
      <c r="AJ74" s="384"/>
      <c r="AK74" s="386"/>
      <c r="AL74" s="384"/>
      <c r="AM74" s="386"/>
      <c r="AN74" s="384"/>
      <c r="AO74" s="386"/>
      <c r="AP74" s="384"/>
      <c r="AQ74" s="386"/>
      <c r="AR74" s="384"/>
      <c r="AS74" s="386"/>
      <c r="AT74" s="384"/>
      <c r="AU74" s="386"/>
      <c r="AV74" s="384"/>
      <c r="AW74" s="386"/>
      <c r="AX74" s="384"/>
      <c r="AY74" s="386"/>
      <c r="AZ74" s="384"/>
      <c r="BA74" s="386"/>
      <c r="BB74" s="384"/>
      <c r="BC74" s="386"/>
      <c r="BD74" s="384"/>
    </row>
    <row r="75" spans="1:56" ht="15" x14ac:dyDescent="0.2">
      <c r="A75" s="83"/>
      <c r="B75" s="83"/>
      <c r="C75" s="386"/>
      <c r="D75" s="384"/>
      <c r="E75" s="386"/>
      <c r="F75" s="384"/>
      <c r="G75" s="565" t="s">
        <v>3073</v>
      </c>
      <c r="H75" s="405"/>
      <c r="I75" s="386"/>
      <c r="J75" s="384"/>
      <c r="K75" s="386"/>
      <c r="L75" s="384"/>
      <c r="M75" s="386"/>
      <c r="N75" s="384"/>
      <c r="O75" s="386"/>
      <c r="P75" s="384"/>
      <c r="Q75" s="386"/>
      <c r="R75" s="384"/>
      <c r="S75" s="386"/>
      <c r="T75" s="384"/>
      <c r="U75" s="386"/>
      <c r="V75" s="384"/>
      <c r="W75" s="386"/>
      <c r="X75" s="384"/>
      <c r="Y75" s="386"/>
      <c r="Z75" s="384"/>
      <c r="AA75" s="386"/>
      <c r="AB75" s="384"/>
      <c r="AC75" s="386"/>
      <c r="AD75" s="384"/>
      <c r="AE75" s="386"/>
      <c r="AF75" s="384"/>
      <c r="AG75" s="565" t="s">
        <v>3074</v>
      </c>
      <c r="AH75" s="405"/>
      <c r="AI75" s="386"/>
      <c r="AJ75" s="384"/>
      <c r="AK75" s="386"/>
      <c r="AL75" s="384"/>
      <c r="AM75" s="386"/>
      <c r="AN75" s="384"/>
      <c r="AO75" s="386"/>
      <c r="AP75" s="384"/>
      <c r="AQ75" s="386"/>
      <c r="AR75" s="384"/>
      <c r="AS75" s="386"/>
      <c r="AT75" s="384"/>
      <c r="AU75" s="386"/>
      <c r="AV75" s="384"/>
      <c r="AW75" s="386"/>
      <c r="AX75" s="384"/>
      <c r="AY75" s="386"/>
      <c r="AZ75" s="384"/>
      <c r="BA75" s="386"/>
      <c r="BB75" s="384"/>
      <c r="BC75" s="386"/>
      <c r="BD75" s="384"/>
    </row>
    <row r="76" spans="1:56" ht="15" x14ac:dyDescent="0.2">
      <c r="A76" s="83"/>
      <c r="B76" s="83"/>
      <c r="C76" s="386"/>
      <c r="D76" s="384"/>
      <c r="E76" s="386"/>
      <c r="F76" s="384"/>
      <c r="G76" s="565" t="s">
        <v>3075</v>
      </c>
      <c r="H76" s="405"/>
      <c r="I76" s="386"/>
      <c r="J76" s="384"/>
      <c r="K76" s="386"/>
      <c r="L76" s="384"/>
      <c r="M76" s="386"/>
      <c r="N76" s="384"/>
      <c r="O76" s="386"/>
      <c r="P76" s="384"/>
      <c r="Q76" s="386"/>
      <c r="R76" s="384"/>
      <c r="S76" s="386"/>
      <c r="T76" s="384"/>
      <c r="U76" s="386"/>
      <c r="V76" s="384"/>
      <c r="W76" s="386"/>
      <c r="X76" s="384"/>
      <c r="Y76" s="386"/>
      <c r="Z76" s="384"/>
      <c r="AA76" s="386"/>
      <c r="AB76" s="384"/>
      <c r="AC76" s="386"/>
      <c r="AD76" s="384"/>
      <c r="AE76" s="386"/>
      <c r="AF76" s="384"/>
      <c r="AG76" s="565" t="s">
        <v>3076</v>
      </c>
      <c r="AH76" s="405"/>
      <c r="AI76" s="386"/>
      <c r="AJ76" s="384"/>
      <c r="AK76" s="386"/>
      <c r="AL76" s="384"/>
      <c r="AM76" s="386"/>
      <c r="AN76" s="384"/>
      <c r="AO76" s="386"/>
      <c r="AP76" s="384"/>
      <c r="AQ76" s="386"/>
      <c r="AR76" s="384"/>
      <c r="AS76" s="386"/>
      <c r="AT76" s="384"/>
      <c r="AU76" s="386"/>
      <c r="AV76" s="384"/>
      <c r="AW76" s="386"/>
      <c r="AX76" s="384"/>
      <c r="AY76" s="386"/>
      <c r="AZ76" s="384"/>
      <c r="BA76" s="386"/>
      <c r="BB76" s="384"/>
      <c r="BC76" s="386"/>
      <c r="BD76" s="384"/>
    </row>
    <row r="77" spans="1:56" ht="15" x14ac:dyDescent="0.2">
      <c r="A77" s="83"/>
      <c r="B77" s="83"/>
      <c r="C77" s="386"/>
      <c r="D77" s="384"/>
      <c r="E77" s="386"/>
      <c r="F77" s="384"/>
      <c r="G77" s="565" t="s">
        <v>3077</v>
      </c>
      <c r="H77" s="405"/>
      <c r="I77" s="386"/>
      <c r="J77" s="384"/>
      <c r="K77" s="386"/>
      <c r="L77" s="384"/>
      <c r="M77" s="386"/>
      <c r="N77" s="384"/>
      <c r="O77" s="386"/>
      <c r="P77" s="384"/>
      <c r="Q77" s="386"/>
      <c r="R77" s="384"/>
      <c r="S77" s="386"/>
      <c r="T77" s="384"/>
      <c r="U77" s="386"/>
      <c r="V77" s="384"/>
      <c r="W77" s="386"/>
      <c r="X77" s="384"/>
      <c r="Y77" s="386"/>
      <c r="Z77" s="384"/>
      <c r="AA77" s="386"/>
      <c r="AB77" s="384"/>
      <c r="AC77" s="386"/>
      <c r="AD77" s="384"/>
      <c r="AE77" s="386"/>
      <c r="AF77" s="384"/>
      <c r="AG77" s="565" t="s">
        <v>3078</v>
      </c>
      <c r="AH77" s="405"/>
      <c r="AI77" s="386"/>
      <c r="AJ77" s="384"/>
      <c r="AK77" s="386"/>
      <c r="AL77" s="384"/>
      <c r="AM77" s="386"/>
      <c r="AN77" s="384"/>
      <c r="AO77" s="386"/>
      <c r="AP77" s="384"/>
      <c r="AQ77" s="386"/>
      <c r="AR77" s="384"/>
      <c r="AS77" s="386"/>
      <c r="AT77" s="384"/>
      <c r="AU77" s="386"/>
      <c r="AV77" s="384"/>
      <c r="AW77" s="386"/>
      <c r="AX77" s="384"/>
      <c r="AY77" s="386"/>
      <c r="AZ77" s="384"/>
      <c r="BA77" s="386"/>
      <c r="BB77" s="384"/>
      <c r="BC77" s="386"/>
      <c r="BD77" s="384"/>
    </row>
    <row r="78" spans="1:56" ht="15" x14ac:dyDescent="0.2">
      <c r="A78" s="83"/>
      <c r="B78" s="83"/>
      <c r="C78" s="386"/>
      <c r="D78" s="384"/>
      <c r="E78" s="386"/>
      <c r="F78" s="384"/>
      <c r="G78" s="565" t="s">
        <v>3079</v>
      </c>
      <c r="H78" s="405"/>
      <c r="I78" s="386"/>
      <c r="J78" s="384"/>
      <c r="K78" s="386"/>
      <c r="L78" s="384"/>
      <c r="M78" s="386"/>
      <c r="N78" s="384"/>
      <c r="O78" s="386"/>
      <c r="P78" s="384"/>
      <c r="Q78" s="386"/>
      <c r="R78" s="384"/>
      <c r="S78" s="386"/>
      <c r="T78" s="384"/>
      <c r="U78" s="386"/>
      <c r="V78" s="384"/>
      <c r="W78" s="386"/>
      <c r="X78" s="384"/>
      <c r="Y78" s="386"/>
      <c r="Z78" s="384"/>
      <c r="AA78" s="386"/>
      <c r="AB78" s="384"/>
      <c r="AC78" s="386"/>
      <c r="AD78" s="384"/>
      <c r="AE78" s="386"/>
      <c r="AF78" s="384"/>
      <c r="AG78" s="565" t="s">
        <v>3080</v>
      </c>
      <c r="AH78" s="405"/>
      <c r="AI78" s="386"/>
      <c r="AJ78" s="384"/>
      <c r="AK78" s="386"/>
      <c r="AL78" s="384"/>
      <c r="AM78" s="386"/>
      <c r="AN78" s="384"/>
      <c r="AO78" s="386"/>
      <c r="AP78" s="384"/>
      <c r="AQ78" s="386"/>
      <c r="AR78" s="384"/>
      <c r="AS78" s="386"/>
      <c r="AT78" s="384"/>
      <c r="AU78" s="386"/>
      <c r="AV78" s="384"/>
      <c r="AW78" s="386"/>
      <c r="AX78" s="384"/>
      <c r="AY78" s="386"/>
      <c r="AZ78" s="384"/>
      <c r="BA78" s="386"/>
      <c r="BB78" s="384"/>
      <c r="BC78" s="386"/>
      <c r="BD78" s="384"/>
    </row>
    <row r="79" spans="1:56" ht="15" x14ac:dyDescent="0.2">
      <c r="A79" s="83"/>
      <c r="B79" s="83"/>
      <c r="C79" s="386"/>
      <c r="D79" s="384"/>
      <c r="E79" s="386"/>
      <c r="F79" s="384"/>
      <c r="G79" s="565" t="s">
        <v>3081</v>
      </c>
      <c r="H79" s="405"/>
      <c r="I79" s="386"/>
      <c r="J79" s="384"/>
      <c r="K79" s="386"/>
      <c r="L79" s="384"/>
      <c r="M79" s="386"/>
      <c r="N79" s="384"/>
      <c r="O79" s="386"/>
      <c r="P79" s="384"/>
      <c r="Q79" s="386"/>
      <c r="R79" s="384"/>
      <c r="S79" s="386"/>
      <c r="T79" s="384"/>
      <c r="U79" s="386"/>
      <c r="V79" s="384"/>
      <c r="W79" s="386"/>
      <c r="X79" s="384"/>
      <c r="Y79" s="386"/>
      <c r="Z79" s="384"/>
      <c r="AA79" s="386"/>
      <c r="AB79" s="384"/>
      <c r="AC79" s="386"/>
      <c r="AD79" s="384"/>
      <c r="AE79" s="386"/>
      <c r="AF79" s="384"/>
      <c r="AG79" s="386" t="s">
        <v>3082</v>
      </c>
      <c r="AH79" s="384" t="s">
        <v>2274</v>
      </c>
      <c r="AI79" s="386"/>
      <c r="AJ79" s="384"/>
      <c r="AK79" s="386"/>
      <c r="AL79" s="384"/>
      <c r="AM79" s="386"/>
      <c r="AN79" s="384"/>
      <c r="AO79" s="386"/>
      <c r="AP79" s="384"/>
      <c r="AQ79" s="386"/>
      <c r="AR79" s="384"/>
      <c r="AS79" s="386"/>
      <c r="AT79" s="384"/>
      <c r="AU79" s="386"/>
      <c r="AV79" s="384"/>
      <c r="AW79" s="386"/>
      <c r="AX79" s="384"/>
      <c r="AY79" s="386"/>
      <c r="AZ79" s="384"/>
      <c r="BA79" s="386"/>
      <c r="BB79" s="384"/>
      <c r="BC79" s="386"/>
      <c r="BD79" s="384"/>
    </row>
    <row r="80" spans="1:56" ht="15" x14ac:dyDescent="0.2">
      <c r="A80" s="83"/>
      <c r="B80" s="83"/>
      <c r="C80" s="386"/>
      <c r="D80" s="384"/>
      <c r="E80" s="386"/>
      <c r="F80" s="384"/>
      <c r="G80" s="565" t="s">
        <v>3083</v>
      </c>
      <c r="H80" s="405"/>
      <c r="I80" s="386"/>
      <c r="J80" s="384"/>
      <c r="K80" s="386"/>
      <c r="L80" s="384"/>
      <c r="M80" s="386"/>
      <c r="N80" s="384"/>
      <c r="O80" s="386"/>
      <c r="P80" s="384"/>
      <c r="Q80" s="386"/>
      <c r="R80" s="384"/>
      <c r="S80" s="386"/>
      <c r="T80" s="384"/>
      <c r="U80" s="386"/>
      <c r="V80" s="384"/>
      <c r="W80" s="386"/>
      <c r="X80" s="384"/>
      <c r="Y80" s="386"/>
      <c r="Z80" s="384"/>
      <c r="AA80" s="386"/>
      <c r="AB80" s="384"/>
      <c r="AC80" s="386"/>
      <c r="AD80" s="384"/>
      <c r="AE80" s="386"/>
      <c r="AF80" s="384"/>
      <c r="AG80" s="386"/>
      <c r="AH80" s="384" t="s">
        <v>3084</v>
      </c>
      <c r="AI80" s="386"/>
      <c r="AJ80" s="384"/>
      <c r="AK80" s="386"/>
      <c r="AL80" s="384"/>
      <c r="AM80" s="386"/>
      <c r="AN80" s="384"/>
      <c r="AO80" s="386"/>
      <c r="AP80" s="384"/>
      <c r="AQ80" s="386"/>
      <c r="AR80" s="384"/>
      <c r="AS80" s="386"/>
      <c r="AT80" s="384"/>
      <c r="AU80" s="386"/>
      <c r="AV80" s="384"/>
      <c r="AW80" s="386"/>
      <c r="AX80" s="384"/>
      <c r="AY80" s="386"/>
      <c r="AZ80" s="384"/>
      <c r="BA80" s="386"/>
      <c r="BB80" s="384"/>
      <c r="BC80" s="386"/>
      <c r="BD80" s="384"/>
    </row>
    <row r="81" spans="1:56" ht="15" x14ac:dyDescent="0.2">
      <c r="A81" s="83"/>
      <c r="B81" s="83"/>
      <c r="C81" s="386"/>
      <c r="D81" s="384"/>
      <c r="E81" s="386"/>
      <c r="F81" s="384"/>
      <c r="G81" s="565" t="s">
        <v>3085</v>
      </c>
      <c r="H81" s="405"/>
      <c r="I81" s="386"/>
      <c r="J81" s="384"/>
      <c r="K81" s="386"/>
      <c r="L81" s="384"/>
      <c r="M81" s="386"/>
      <c r="N81" s="384"/>
      <c r="O81" s="386"/>
      <c r="P81" s="384"/>
      <c r="Q81" s="386"/>
      <c r="R81" s="384"/>
      <c r="S81" s="386"/>
      <c r="T81" s="384"/>
      <c r="U81" s="386"/>
      <c r="V81" s="384"/>
      <c r="W81" s="386"/>
      <c r="X81" s="384"/>
      <c r="Y81" s="386"/>
      <c r="Z81" s="384"/>
      <c r="AA81" s="386"/>
      <c r="AB81" s="384"/>
      <c r="AC81" s="386"/>
      <c r="AD81" s="384"/>
      <c r="AE81" s="386"/>
      <c r="AF81" s="384"/>
      <c r="AG81" s="386"/>
      <c r="AH81" s="384" t="s">
        <v>3086</v>
      </c>
      <c r="AI81" s="386"/>
      <c r="AJ81" s="384"/>
      <c r="AK81" s="386"/>
      <c r="AL81" s="384"/>
      <c r="AM81" s="386"/>
      <c r="AN81" s="384"/>
      <c r="AO81" s="386"/>
      <c r="AP81" s="384"/>
      <c r="AQ81" s="386"/>
      <c r="AR81" s="384"/>
      <c r="AS81" s="386"/>
      <c r="AT81" s="384"/>
      <c r="AU81" s="386"/>
      <c r="AV81" s="384"/>
      <c r="AW81" s="386"/>
      <c r="AX81" s="384"/>
      <c r="AY81" s="386"/>
      <c r="AZ81" s="384"/>
      <c r="BA81" s="386"/>
      <c r="BB81" s="384"/>
      <c r="BC81" s="386"/>
      <c r="BD81" s="384"/>
    </row>
    <row r="82" spans="1:56" ht="15" x14ac:dyDescent="0.2">
      <c r="A82" s="83"/>
      <c r="B82" s="83"/>
      <c r="C82" s="386"/>
      <c r="D82" s="384"/>
      <c r="E82" s="386"/>
      <c r="F82" s="384"/>
      <c r="G82" s="565" t="s">
        <v>3087</v>
      </c>
      <c r="H82" s="405"/>
      <c r="I82" s="386"/>
      <c r="J82" s="384"/>
      <c r="K82" s="386"/>
      <c r="L82" s="384"/>
      <c r="M82" s="386"/>
      <c r="N82" s="384"/>
      <c r="O82" s="386"/>
      <c r="P82" s="384"/>
      <c r="Q82" s="386"/>
      <c r="R82" s="384"/>
      <c r="S82" s="386"/>
      <c r="T82" s="384"/>
      <c r="U82" s="386"/>
      <c r="V82" s="384"/>
      <c r="W82" s="386"/>
      <c r="X82" s="384"/>
      <c r="Y82" s="386"/>
      <c r="Z82" s="384"/>
      <c r="AA82" s="386"/>
      <c r="AB82" s="384"/>
      <c r="AC82" s="386"/>
      <c r="AD82" s="384"/>
      <c r="AE82" s="386"/>
      <c r="AF82" s="384"/>
      <c r="AG82" s="386"/>
      <c r="AH82" s="384" t="s">
        <v>3088</v>
      </c>
      <c r="AI82" s="386"/>
      <c r="AJ82" s="384"/>
      <c r="AK82" s="386"/>
      <c r="AL82" s="384"/>
      <c r="AM82" s="386"/>
      <c r="AN82" s="384"/>
      <c r="AO82" s="386"/>
      <c r="AP82" s="384"/>
      <c r="AQ82" s="386"/>
      <c r="AR82" s="384"/>
      <c r="AS82" s="386"/>
      <c r="AT82" s="384"/>
      <c r="AU82" s="386"/>
      <c r="AV82" s="384"/>
      <c r="AW82" s="386"/>
      <c r="AX82" s="384"/>
      <c r="AY82" s="386"/>
      <c r="AZ82" s="384"/>
      <c r="BA82" s="386"/>
      <c r="BB82" s="384"/>
      <c r="BC82" s="386"/>
      <c r="BD82" s="384"/>
    </row>
    <row r="83" spans="1:56" ht="15" x14ac:dyDescent="0.2">
      <c r="A83" s="83"/>
      <c r="B83" s="83"/>
      <c r="C83" s="386"/>
      <c r="D83" s="384"/>
      <c r="E83" s="386"/>
      <c r="F83" s="384"/>
      <c r="G83" s="565" t="s">
        <v>3089</v>
      </c>
      <c r="H83" s="405"/>
      <c r="I83" s="386"/>
      <c r="J83" s="384"/>
      <c r="K83" s="386"/>
      <c r="L83" s="384"/>
      <c r="M83" s="386"/>
      <c r="N83" s="384"/>
      <c r="O83" s="386"/>
      <c r="P83" s="384"/>
      <c r="Q83" s="386"/>
      <c r="R83" s="384"/>
      <c r="S83" s="386"/>
      <c r="T83" s="384"/>
      <c r="U83" s="386"/>
      <c r="V83" s="384"/>
      <c r="W83" s="386"/>
      <c r="X83" s="384"/>
      <c r="Y83" s="386"/>
      <c r="Z83" s="384"/>
      <c r="AA83" s="386"/>
      <c r="AB83" s="384"/>
      <c r="AC83" s="386"/>
      <c r="AD83" s="384"/>
      <c r="AE83" s="386"/>
      <c r="AF83" s="384"/>
      <c r="AG83" s="386"/>
      <c r="AH83" s="384" t="s">
        <v>3090</v>
      </c>
      <c r="AI83" s="386"/>
      <c r="AJ83" s="384"/>
      <c r="AK83" s="386"/>
      <c r="AL83" s="384"/>
      <c r="AM83" s="386"/>
      <c r="AN83" s="384"/>
      <c r="AO83" s="386"/>
      <c r="AP83" s="384"/>
      <c r="AQ83" s="386"/>
      <c r="AR83" s="384"/>
      <c r="AS83" s="386"/>
      <c r="AT83" s="384"/>
      <c r="AU83" s="386"/>
      <c r="AV83" s="384"/>
      <c r="AW83" s="386"/>
      <c r="AX83" s="384"/>
      <c r="AY83" s="386"/>
      <c r="AZ83" s="384"/>
      <c r="BA83" s="386"/>
      <c r="BB83" s="384"/>
      <c r="BC83" s="386"/>
      <c r="BD83" s="384"/>
    </row>
    <row r="84" spans="1:56" ht="15" x14ac:dyDescent="0.2">
      <c r="A84" s="83"/>
      <c r="B84" s="83"/>
      <c r="C84" s="386"/>
      <c r="D84" s="384"/>
      <c r="E84" s="386"/>
      <c r="F84" s="384"/>
      <c r="G84" s="565" t="s">
        <v>3091</v>
      </c>
      <c r="H84" s="405"/>
      <c r="I84" s="386"/>
      <c r="J84" s="384"/>
      <c r="K84" s="386"/>
      <c r="L84" s="384"/>
      <c r="M84" s="386"/>
      <c r="N84" s="384"/>
      <c r="O84" s="386"/>
      <c r="P84" s="384"/>
      <c r="Q84" s="386"/>
      <c r="R84" s="384"/>
      <c r="S84" s="386"/>
      <c r="T84" s="384"/>
      <c r="U84" s="386"/>
      <c r="V84" s="384"/>
      <c r="W84" s="386"/>
      <c r="X84" s="384"/>
      <c r="Y84" s="386"/>
      <c r="Z84" s="384"/>
      <c r="AA84" s="386"/>
      <c r="AB84" s="384"/>
      <c r="AC84" s="386"/>
      <c r="AD84" s="384"/>
      <c r="AE84" s="386"/>
      <c r="AF84" s="384"/>
      <c r="AG84" s="386"/>
      <c r="AH84" s="384" t="s">
        <v>3092</v>
      </c>
      <c r="AI84" s="386"/>
      <c r="AJ84" s="384"/>
      <c r="AK84" s="386"/>
      <c r="AL84" s="384"/>
      <c r="AM84" s="386"/>
      <c r="AN84" s="384"/>
      <c r="AO84" s="386"/>
      <c r="AP84" s="384"/>
      <c r="AQ84" s="386"/>
      <c r="AR84" s="384"/>
      <c r="AS84" s="386"/>
      <c r="AT84" s="384"/>
      <c r="AU84" s="386"/>
      <c r="AV84" s="384"/>
      <c r="AW84" s="386"/>
      <c r="AX84" s="384"/>
      <c r="AY84" s="386"/>
      <c r="AZ84" s="384"/>
      <c r="BA84" s="386"/>
      <c r="BB84" s="384"/>
      <c r="BC84" s="386"/>
      <c r="BD84" s="384"/>
    </row>
    <row r="85" spans="1:56" ht="15" x14ac:dyDescent="0.2">
      <c r="A85" s="83"/>
      <c r="B85" s="83"/>
      <c r="C85" s="386"/>
      <c r="D85" s="384"/>
      <c r="E85" s="386"/>
      <c r="F85" s="384"/>
      <c r="G85" s="565" t="s">
        <v>3093</v>
      </c>
      <c r="H85" s="405"/>
      <c r="I85" s="386"/>
      <c r="J85" s="384"/>
      <c r="K85" s="386"/>
      <c r="L85" s="384"/>
      <c r="M85" s="386"/>
      <c r="N85" s="384"/>
      <c r="O85" s="386"/>
      <c r="P85" s="384"/>
      <c r="Q85" s="386"/>
      <c r="R85" s="384"/>
      <c r="S85" s="386"/>
      <c r="T85" s="384"/>
      <c r="U85" s="386"/>
      <c r="V85" s="384"/>
      <c r="W85" s="386"/>
      <c r="X85" s="384"/>
      <c r="Y85" s="386"/>
      <c r="Z85" s="384"/>
      <c r="AA85" s="386"/>
      <c r="AB85" s="384"/>
      <c r="AC85" s="386"/>
      <c r="AD85" s="384"/>
      <c r="AE85" s="386"/>
      <c r="AF85" s="384"/>
      <c r="AG85" s="385"/>
      <c r="AH85" s="388" t="s">
        <v>3094</v>
      </c>
      <c r="AI85" s="386"/>
      <c r="AJ85" s="384"/>
      <c r="AK85" s="386"/>
      <c r="AL85" s="384"/>
      <c r="AM85" s="386"/>
      <c r="AN85" s="384"/>
      <c r="AO85" s="386"/>
      <c r="AP85" s="384"/>
      <c r="AQ85" s="386"/>
      <c r="AR85" s="384"/>
      <c r="AS85" s="386"/>
      <c r="AT85" s="384"/>
      <c r="AU85" s="386"/>
      <c r="AV85" s="384"/>
      <c r="AW85" s="386"/>
      <c r="AX85" s="384"/>
      <c r="AY85" s="386"/>
      <c r="AZ85" s="384"/>
      <c r="BA85" s="386"/>
      <c r="BB85" s="384"/>
      <c r="BC85" s="386"/>
      <c r="BD85" s="384"/>
    </row>
    <row r="86" spans="1:56" ht="15" x14ac:dyDescent="0.2">
      <c r="A86" s="83"/>
      <c r="B86" s="83"/>
      <c r="C86" s="386"/>
      <c r="D86" s="384"/>
      <c r="E86" s="386"/>
      <c r="F86" s="384"/>
      <c r="G86" s="565" t="s">
        <v>3095</v>
      </c>
      <c r="H86" s="405"/>
      <c r="I86" s="386"/>
      <c r="J86" s="384"/>
      <c r="K86" s="386"/>
      <c r="L86" s="384"/>
      <c r="M86" s="386"/>
      <c r="N86" s="384"/>
      <c r="O86" s="386"/>
      <c r="P86" s="384"/>
      <c r="Q86" s="386"/>
      <c r="R86" s="384"/>
      <c r="S86" s="386"/>
      <c r="T86" s="384"/>
      <c r="U86" s="386"/>
      <c r="V86" s="384"/>
      <c r="W86" s="386"/>
      <c r="X86" s="384"/>
      <c r="Y86" s="386"/>
      <c r="Z86" s="384"/>
      <c r="AA86" s="386"/>
      <c r="AB86" s="384"/>
      <c r="AC86" s="386"/>
      <c r="AD86" s="384"/>
      <c r="AE86" s="386"/>
      <c r="AF86" s="384"/>
      <c r="AG86" s="570" t="s">
        <v>3096</v>
      </c>
      <c r="AH86" s="398"/>
      <c r="AI86" s="386"/>
      <c r="AJ86" s="384"/>
      <c r="AK86" s="386"/>
      <c r="AL86" s="384"/>
      <c r="AM86" s="386"/>
      <c r="AN86" s="384"/>
      <c r="AO86" s="386"/>
      <c r="AP86" s="384"/>
      <c r="AQ86" s="386"/>
      <c r="AR86" s="384"/>
      <c r="AS86" s="386"/>
      <c r="AT86" s="384"/>
      <c r="AU86" s="386"/>
      <c r="AV86" s="384"/>
      <c r="AW86" s="386"/>
      <c r="AX86" s="384"/>
      <c r="AY86" s="386"/>
      <c r="AZ86" s="384"/>
      <c r="BA86" s="386"/>
      <c r="BB86" s="384"/>
      <c r="BC86" s="386"/>
      <c r="BD86" s="384"/>
    </row>
    <row r="87" spans="1:56" ht="15" x14ac:dyDescent="0.2">
      <c r="A87" s="83"/>
      <c r="B87" s="83"/>
      <c r="C87" s="386"/>
      <c r="D87" s="384"/>
      <c r="E87" s="386"/>
      <c r="F87" s="384"/>
      <c r="G87" s="565" t="s">
        <v>3097</v>
      </c>
      <c r="H87" s="405"/>
      <c r="I87" s="386"/>
      <c r="J87" s="384"/>
      <c r="K87" s="386"/>
      <c r="L87" s="384"/>
      <c r="M87" s="386"/>
      <c r="N87" s="384"/>
      <c r="O87" s="386"/>
      <c r="P87" s="384"/>
      <c r="Q87" s="386"/>
      <c r="R87" s="384"/>
      <c r="S87" s="386"/>
      <c r="T87" s="384"/>
      <c r="U87" s="386"/>
      <c r="V87" s="384"/>
      <c r="W87" s="386"/>
      <c r="X87" s="384"/>
      <c r="Y87" s="386"/>
      <c r="Z87" s="384"/>
      <c r="AA87" s="386"/>
      <c r="AB87" s="384"/>
      <c r="AC87" s="386"/>
      <c r="AD87" s="384"/>
      <c r="AE87" s="386"/>
      <c r="AF87" s="384"/>
      <c r="AG87" s="565" t="s">
        <v>3098</v>
      </c>
      <c r="AH87" s="405"/>
      <c r="AI87" s="386"/>
      <c r="AJ87" s="384"/>
      <c r="AK87" s="386"/>
      <c r="AL87" s="384"/>
      <c r="AM87" s="386"/>
      <c r="AN87" s="384"/>
      <c r="AO87" s="386"/>
      <c r="AP87" s="384"/>
      <c r="AQ87" s="386"/>
      <c r="AR87" s="384"/>
      <c r="AS87" s="386"/>
      <c r="AT87" s="384"/>
      <c r="AU87" s="386"/>
      <c r="AV87" s="384"/>
      <c r="AW87" s="386"/>
      <c r="AX87" s="384"/>
      <c r="AY87" s="386"/>
      <c r="AZ87" s="384"/>
      <c r="BA87" s="386"/>
      <c r="BB87" s="384"/>
      <c r="BC87" s="386"/>
      <c r="BD87" s="384"/>
    </row>
    <row r="88" spans="1:56" ht="15" x14ac:dyDescent="0.2">
      <c r="A88" s="83"/>
      <c r="B88" s="83"/>
      <c r="C88" s="386"/>
      <c r="D88" s="384"/>
      <c r="E88" s="386"/>
      <c r="F88" s="384"/>
      <c r="G88" s="565" t="s">
        <v>3099</v>
      </c>
      <c r="H88" s="405"/>
      <c r="I88" s="386"/>
      <c r="J88" s="384"/>
      <c r="K88" s="386"/>
      <c r="L88" s="384"/>
      <c r="M88" s="386"/>
      <c r="N88" s="384"/>
      <c r="O88" s="386"/>
      <c r="P88" s="384"/>
      <c r="Q88" s="386"/>
      <c r="R88" s="384"/>
      <c r="S88" s="386"/>
      <c r="T88" s="384"/>
      <c r="U88" s="386"/>
      <c r="V88" s="384"/>
      <c r="W88" s="386"/>
      <c r="X88" s="384"/>
      <c r="Y88" s="386"/>
      <c r="Z88" s="384"/>
      <c r="AA88" s="386"/>
      <c r="AB88" s="384"/>
      <c r="AC88" s="386"/>
      <c r="AD88" s="384"/>
      <c r="AE88" s="386"/>
      <c r="AF88" s="384"/>
      <c r="AG88" s="565" t="s">
        <v>3100</v>
      </c>
      <c r="AH88" s="405"/>
      <c r="AI88" s="386"/>
      <c r="AJ88" s="384"/>
      <c r="AK88" s="386"/>
      <c r="AL88" s="384"/>
      <c r="AM88" s="386"/>
      <c r="AN88" s="384"/>
      <c r="AO88" s="386"/>
      <c r="AP88" s="384"/>
      <c r="AQ88" s="386"/>
      <c r="AR88" s="384"/>
      <c r="AS88" s="386"/>
      <c r="AT88" s="384"/>
      <c r="AU88" s="386"/>
      <c r="AV88" s="384"/>
      <c r="AW88" s="386"/>
      <c r="AX88" s="384"/>
      <c r="AY88" s="386"/>
      <c r="AZ88" s="384"/>
      <c r="BA88" s="386"/>
      <c r="BB88" s="384"/>
      <c r="BC88" s="386"/>
      <c r="BD88" s="384"/>
    </row>
    <row r="89" spans="1:56" ht="15" x14ac:dyDescent="0.2">
      <c r="A89" s="83"/>
      <c r="B89" s="83"/>
      <c r="C89" s="386"/>
      <c r="D89" s="384"/>
      <c r="E89" s="386"/>
      <c r="F89" s="384"/>
      <c r="G89" s="565" t="s">
        <v>3101</v>
      </c>
      <c r="H89" s="405"/>
      <c r="I89" s="386"/>
      <c r="J89" s="384"/>
      <c r="K89" s="386"/>
      <c r="L89" s="384"/>
      <c r="M89" s="386"/>
      <c r="N89" s="384"/>
      <c r="O89" s="386"/>
      <c r="P89" s="384"/>
      <c r="Q89" s="386"/>
      <c r="R89" s="384"/>
      <c r="S89" s="386"/>
      <c r="T89" s="384"/>
      <c r="U89" s="386"/>
      <c r="V89" s="384"/>
      <c r="W89" s="386"/>
      <c r="X89" s="384"/>
      <c r="Y89" s="386"/>
      <c r="Z89" s="384"/>
      <c r="AA89" s="386"/>
      <c r="AB89" s="384"/>
      <c r="AC89" s="386"/>
      <c r="AD89" s="384"/>
      <c r="AE89" s="386"/>
      <c r="AF89" s="384"/>
      <c r="AG89" s="565" t="s">
        <v>3102</v>
      </c>
      <c r="AH89" s="405"/>
      <c r="AI89" s="386"/>
      <c r="AJ89" s="384"/>
      <c r="AK89" s="386"/>
      <c r="AL89" s="384"/>
      <c r="AM89" s="386"/>
      <c r="AN89" s="384"/>
      <c r="AO89" s="386"/>
      <c r="AP89" s="384"/>
      <c r="AQ89" s="386"/>
      <c r="AR89" s="384"/>
      <c r="AS89" s="386"/>
      <c r="AT89" s="384"/>
      <c r="AU89" s="386"/>
      <c r="AV89" s="384"/>
      <c r="AW89" s="386"/>
      <c r="AX89" s="384"/>
      <c r="AY89" s="386"/>
      <c r="AZ89" s="384"/>
      <c r="BA89" s="386"/>
      <c r="BB89" s="384"/>
      <c r="BC89" s="386"/>
      <c r="BD89" s="384"/>
    </row>
    <row r="90" spans="1:56" ht="15" x14ac:dyDescent="0.2">
      <c r="A90" s="83"/>
      <c r="B90" s="83"/>
      <c r="C90" s="386"/>
      <c r="D90" s="384"/>
      <c r="E90" s="386"/>
      <c r="F90" s="384"/>
      <c r="G90" s="565" t="s">
        <v>3103</v>
      </c>
      <c r="H90" s="405"/>
      <c r="I90" s="386"/>
      <c r="J90" s="384"/>
      <c r="K90" s="386"/>
      <c r="L90" s="384"/>
      <c r="M90" s="386"/>
      <c r="N90" s="384"/>
      <c r="O90" s="386"/>
      <c r="P90" s="384"/>
      <c r="Q90" s="386"/>
      <c r="R90" s="384"/>
      <c r="S90" s="386"/>
      <c r="T90" s="384"/>
      <c r="U90" s="386"/>
      <c r="V90" s="384"/>
      <c r="W90" s="386"/>
      <c r="X90" s="384"/>
      <c r="Y90" s="386"/>
      <c r="Z90" s="384"/>
      <c r="AA90" s="386"/>
      <c r="AB90" s="384"/>
      <c r="AC90" s="386"/>
      <c r="AD90" s="384"/>
      <c r="AE90" s="386"/>
      <c r="AF90" s="384"/>
      <c r="AG90" s="565" t="s">
        <v>3104</v>
      </c>
      <c r="AH90" s="405"/>
      <c r="AI90" s="386"/>
      <c r="AJ90" s="384"/>
      <c r="AK90" s="386"/>
      <c r="AL90" s="384"/>
      <c r="AM90" s="386"/>
      <c r="AN90" s="384"/>
      <c r="AO90" s="386"/>
      <c r="AP90" s="384"/>
      <c r="AQ90" s="386"/>
      <c r="AR90" s="384"/>
      <c r="AS90" s="386"/>
      <c r="AT90" s="384"/>
      <c r="AU90" s="386"/>
      <c r="AV90" s="384"/>
      <c r="AW90" s="386"/>
      <c r="AX90" s="384"/>
      <c r="AY90" s="386"/>
      <c r="AZ90" s="384"/>
      <c r="BA90" s="386"/>
      <c r="BB90" s="384"/>
      <c r="BC90" s="386"/>
      <c r="BD90" s="384"/>
    </row>
    <row r="91" spans="1:56" ht="15" x14ac:dyDescent="0.2">
      <c r="A91" s="83"/>
      <c r="B91" s="83"/>
      <c r="C91" s="386"/>
      <c r="D91" s="384"/>
      <c r="E91" s="386"/>
      <c r="F91" s="384"/>
      <c r="G91" s="565" t="s">
        <v>3105</v>
      </c>
      <c r="H91" s="405"/>
      <c r="I91" s="386"/>
      <c r="J91" s="384"/>
      <c r="K91" s="386"/>
      <c r="L91" s="384"/>
      <c r="M91" s="386"/>
      <c r="N91" s="384"/>
      <c r="O91" s="386"/>
      <c r="P91" s="384"/>
      <c r="Q91" s="386"/>
      <c r="R91" s="384"/>
      <c r="S91" s="386"/>
      <c r="T91" s="384"/>
      <c r="U91" s="386"/>
      <c r="V91" s="384"/>
      <c r="W91" s="386"/>
      <c r="X91" s="384"/>
      <c r="Y91" s="386"/>
      <c r="Z91" s="384"/>
      <c r="AA91" s="386"/>
      <c r="AB91" s="384"/>
      <c r="AC91" s="386"/>
      <c r="AD91" s="384"/>
      <c r="AE91" s="386"/>
      <c r="AF91" s="384"/>
      <c r="AG91" s="565" t="s">
        <v>3106</v>
      </c>
      <c r="AH91" s="405"/>
      <c r="AI91" s="386"/>
      <c r="AJ91" s="384"/>
      <c r="AK91" s="386"/>
      <c r="AL91" s="384"/>
      <c r="AM91" s="386"/>
      <c r="AN91" s="384"/>
      <c r="AO91" s="386"/>
      <c r="AP91" s="384"/>
      <c r="AQ91" s="386"/>
      <c r="AR91" s="384"/>
      <c r="AS91" s="386"/>
      <c r="AT91" s="384"/>
      <c r="AU91" s="386"/>
      <c r="AV91" s="384"/>
      <c r="AW91" s="386"/>
      <c r="AX91" s="384"/>
      <c r="AY91" s="386"/>
      <c r="AZ91" s="384"/>
      <c r="BA91" s="386"/>
      <c r="BB91" s="384"/>
      <c r="BC91" s="386"/>
      <c r="BD91" s="384"/>
    </row>
    <row r="92" spans="1:56" ht="15" x14ac:dyDescent="0.2">
      <c r="A92" s="83"/>
      <c r="B92" s="83"/>
      <c r="C92" s="386"/>
      <c r="D92" s="384"/>
      <c r="E92" s="386"/>
      <c r="F92" s="384"/>
      <c r="G92" s="565" t="s">
        <v>3107</v>
      </c>
      <c r="H92" s="405"/>
      <c r="I92" s="386"/>
      <c r="J92" s="384"/>
      <c r="K92" s="386"/>
      <c r="L92" s="384"/>
      <c r="M92" s="386"/>
      <c r="N92" s="384"/>
      <c r="O92" s="386"/>
      <c r="P92" s="384"/>
      <c r="Q92" s="386"/>
      <c r="R92" s="384"/>
      <c r="S92" s="386"/>
      <c r="T92" s="384"/>
      <c r="U92" s="386"/>
      <c r="V92" s="384"/>
      <c r="W92" s="386"/>
      <c r="X92" s="384"/>
      <c r="Y92" s="386"/>
      <c r="Z92" s="384"/>
      <c r="AA92" s="386"/>
      <c r="AB92" s="384"/>
      <c r="AC92" s="386"/>
      <c r="AD92" s="384"/>
      <c r="AE92" s="386"/>
      <c r="AF92" s="384"/>
      <c r="AG92" s="565" t="s">
        <v>3108</v>
      </c>
      <c r="AH92" s="405"/>
      <c r="AI92" s="386"/>
      <c r="AJ92" s="384"/>
      <c r="AK92" s="386"/>
      <c r="AL92" s="384"/>
      <c r="AM92" s="386"/>
      <c r="AN92" s="384"/>
      <c r="AO92" s="386"/>
      <c r="AP92" s="384"/>
      <c r="AQ92" s="386"/>
      <c r="AR92" s="384"/>
      <c r="AS92" s="386"/>
      <c r="AT92" s="384"/>
      <c r="AU92" s="386"/>
      <c r="AV92" s="384"/>
      <c r="AW92" s="386"/>
      <c r="AX92" s="384"/>
      <c r="AY92" s="386"/>
      <c r="AZ92" s="384"/>
      <c r="BA92" s="386"/>
      <c r="BB92" s="384"/>
      <c r="BC92" s="386"/>
      <c r="BD92" s="384"/>
    </row>
    <row r="93" spans="1:56" ht="15" x14ac:dyDescent="0.2">
      <c r="A93" s="83"/>
      <c r="B93" s="83"/>
      <c r="C93" s="386"/>
      <c r="D93" s="384"/>
      <c r="E93" s="386"/>
      <c r="F93" s="384"/>
      <c r="G93" s="565" t="s">
        <v>3109</v>
      </c>
      <c r="H93" s="405"/>
      <c r="I93" s="386"/>
      <c r="J93" s="384"/>
      <c r="K93" s="386"/>
      <c r="L93" s="384"/>
      <c r="M93" s="386"/>
      <c r="N93" s="384"/>
      <c r="O93" s="386"/>
      <c r="P93" s="384"/>
      <c r="Q93" s="386"/>
      <c r="R93" s="384"/>
      <c r="S93" s="386"/>
      <c r="T93" s="384"/>
      <c r="U93" s="386"/>
      <c r="V93" s="384"/>
      <c r="W93" s="386"/>
      <c r="X93" s="384"/>
      <c r="Y93" s="386"/>
      <c r="Z93" s="384"/>
      <c r="AA93" s="386"/>
      <c r="AB93" s="384"/>
      <c r="AC93" s="386"/>
      <c r="AD93" s="384"/>
      <c r="AE93" s="386"/>
      <c r="AF93" s="384"/>
      <c r="AG93" s="565" t="s">
        <v>3110</v>
      </c>
      <c r="AH93" s="405"/>
      <c r="AI93" s="386"/>
      <c r="AJ93" s="384"/>
      <c r="AK93" s="386"/>
      <c r="AL93" s="384"/>
      <c r="AM93" s="386"/>
      <c r="AN93" s="384"/>
      <c r="AO93" s="386"/>
      <c r="AP93" s="384"/>
      <c r="AQ93" s="386"/>
      <c r="AR93" s="384"/>
      <c r="AS93" s="386"/>
      <c r="AT93" s="384"/>
      <c r="AU93" s="386"/>
      <c r="AV93" s="384"/>
      <c r="AW93" s="386"/>
      <c r="AX93" s="384"/>
      <c r="AY93" s="386"/>
      <c r="AZ93" s="384"/>
      <c r="BA93" s="386"/>
      <c r="BB93" s="384"/>
      <c r="BC93" s="386"/>
      <c r="BD93" s="384"/>
    </row>
    <row r="94" spans="1:56" ht="15" x14ac:dyDescent="0.2">
      <c r="A94" s="83"/>
      <c r="B94" s="83"/>
      <c r="C94" s="386"/>
      <c r="D94" s="384"/>
      <c r="E94" s="386"/>
      <c r="F94" s="384"/>
      <c r="G94" s="565" t="s">
        <v>3109</v>
      </c>
      <c r="H94" s="405"/>
      <c r="I94" s="386"/>
      <c r="J94" s="384"/>
      <c r="K94" s="386"/>
      <c r="L94" s="384"/>
      <c r="M94" s="386"/>
      <c r="N94" s="384"/>
      <c r="O94" s="386"/>
      <c r="P94" s="384"/>
      <c r="Q94" s="386"/>
      <c r="R94" s="384"/>
      <c r="S94" s="386"/>
      <c r="T94" s="384"/>
      <c r="U94" s="386"/>
      <c r="V94" s="384"/>
      <c r="W94" s="386"/>
      <c r="X94" s="384"/>
      <c r="Y94" s="386"/>
      <c r="Z94" s="384"/>
      <c r="AA94" s="386"/>
      <c r="AB94" s="384"/>
      <c r="AC94" s="386"/>
      <c r="AD94" s="384"/>
      <c r="AE94" s="386"/>
      <c r="AF94" s="384"/>
      <c r="AG94" s="565" t="s">
        <v>3111</v>
      </c>
      <c r="AH94" s="405"/>
      <c r="AI94" s="386"/>
      <c r="AJ94" s="384"/>
      <c r="AK94" s="386"/>
      <c r="AL94" s="384"/>
      <c r="AM94" s="386"/>
      <c r="AN94" s="384"/>
      <c r="AO94" s="386"/>
      <c r="AP94" s="384"/>
      <c r="AQ94" s="386"/>
      <c r="AR94" s="384"/>
      <c r="AS94" s="386"/>
      <c r="AT94" s="384"/>
      <c r="AU94" s="386"/>
      <c r="AV94" s="384"/>
      <c r="AW94" s="386"/>
      <c r="AX94" s="384"/>
      <c r="AY94" s="386"/>
      <c r="AZ94" s="384"/>
      <c r="BA94" s="386"/>
      <c r="BB94" s="384"/>
      <c r="BC94" s="386"/>
      <c r="BD94" s="384"/>
    </row>
    <row r="95" spans="1:56" ht="15" x14ac:dyDescent="0.2">
      <c r="A95" s="83"/>
      <c r="B95" s="83"/>
      <c r="C95" s="386"/>
      <c r="D95" s="384"/>
      <c r="E95" s="386"/>
      <c r="F95" s="384"/>
      <c r="G95" s="565" t="s">
        <v>3112</v>
      </c>
      <c r="H95" s="405"/>
      <c r="I95" s="386"/>
      <c r="J95" s="384"/>
      <c r="K95" s="386"/>
      <c r="L95" s="384"/>
      <c r="M95" s="386"/>
      <c r="N95" s="384"/>
      <c r="O95" s="386"/>
      <c r="P95" s="384"/>
      <c r="Q95" s="386"/>
      <c r="R95" s="384"/>
      <c r="S95" s="386"/>
      <c r="T95" s="384"/>
      <c r="U95" s="386"/>
      <c r="V95" s="384"/>
      <c r="W95" s="386"/>
      <c r="X95" s="384"/>
      <c r="Y95" s="386"/>
      <c r="Z95" s="384"/>
      <c r="AA95" s="386"/>
      <c r="AB95" s="384"/>
      <c r="AC95" s="386"/>
      <c r="AD95" s="384"/>
      <c r="AE95" s="386"/>
      <c r="AF95" s="384"/>
      <c r="AG95" s="565" t="s">
        <v>3113</v>
      </c>
      <c r="AH95" s="405"/>
      <c r="AI95" s="386"/>
      <c r="AJ95" s="384"/>
      <c r="AK95" s="386"/>
      <c r="AL95" s="384"/>
      <c r="AM95" s="386"/>
      <c r="AN95" s="384"/>
      <c r="AO95" s="386"/>
      <c r="AP95" s="384"/>
      <c r="AQ95" s="386"/>
      <c r="AR95" s="384"/>
      <c r="AS95" s="386"/>
      <c r="AT95" s="384"/>
      <c r="AU95" s="386"/>
      <c r="AV95" s="384"/>
      <c r="AW95" s="386"/>
      <c r="AX95" s="384"/>
      <c r="AY95" s="386"/>
      <c r="AZ95" s="384"/>
      <c r="BA95" s="386"/>
      <c r="BB95" s="384"/>
      <c r="BC95" s="386"/>
      <c r="BD95" s="384"/>
    </row>
    <row r="96" spans="1:56" ht="15" x14ac:dyDescent="0.2">
      <c r="A96" s="83"/>
      <c r="B96" s="83"/>
      <c r="C96" s="386"/>
      <c r="D96" s="384"/>
      <c r="E96" s="386"/>
      <c r="F96" s="384"/>
      <c r="G96" s="565" t="s">
        <v>3114</v>
      </c>
      <c r="H96" s="405"/>
      <c r="I96" s="386"/>
      <c r="J96" s="384"/>
      <c r="K96" s="386"/>
      <c r="L96" s="384"/>
      <c r="M96" s="386"/>
      <c r="N96" s="384"/>
      <c r="O96" s="386"/>
      <c r="P96" s="384"/>
      <c r="Q96" s="386"/>
      <c r="R96" s="384"/>
      <c r="S96" s="386"/>
      <c r="T96" s="384"/>
      <c r="U96" s="386"/>
      <c r="V96" s="384"/>
      <c r="W96" s="386"/>
      <c r="X96" s="384"/>
      <c r="Y96" s="386"/>
      <c r="Z96" s="384"/>
      <c r="AA96" s="386"/>
      <c r="AB96" s="384"/>
      <c r="AC96" s="386"/>
      <c r="AD96" s="384"/>
      <c r="AE96" s="386"/>
      <c r="AF96" s="384"/>
      <c r="AG96" s="565" t="s">
        <v>3115</v>
      </c>
      <c r="AH96" s="405"/>
      <c r="AI96" s="386"/>
      <c r="AJ96" s="384"/>
      <c r="AK96" s="386"/>
      <c r="AL96" s="384"/>
      <c r="AM96" s="386"/>
      <c r="AN96" s="384"/>
      <c r="AO96" s="386"/>
      <c r="AP96" s="384"/>
      <c r="AQ96" s="386"/>
      <c r="AR96" s="384"/>
      <c r="AS96" s="386"/>
      <c r="AT96" s="384"/>
      <c r="AU96" s="386"/>
      <c r="AV96" s="384"/>
      <c r="AW96" s="386"/>
      <c r="AX96" s="384"/>
      <c r="AY96" s="386"/>
      <c r="AZ96" s="384"/>
      <c r="BA96" s="386"/>
      <c r="BB96" s="384"/>
      <c r="BC96" s="386"/>
      <c r="BD96" s="384"/>
    </row>
    <row r="97" spans="1:56" ht="15" x14ac:dyDescent="0.2">
      <c r="A97" s="83"/>
      <c r="B97" s="83"/>
      <c r="C97" s="386"/>
      <c r="D97" s="384"/>
      <c r="E97" s="386"/>
      <c r="F97" s="384"/>
      <c r="G97" s="386" t="s">
        <v>3116</v>
      </c>
      <c r="H97" s="384" t="s">
        <v>2274</v>
      </c>
      <c r="I97" s="386"/>
      <c r="J97" s="384"/>
      <c r="K97" s="386"/>
      <c r="L97" s="384"/>
      <c r="M97" s="386"/>
      <c r="N97" s="384"/>
      <c r="O97" s="386"/>
      <c r="P97" s="384"/>
      <c r="Q97" s="386"/>
      <c r="R97" s="384"/>
      <c r="S97" s="386"/>
      <c r="T97" s="384"/>
      <c r="U97" s="386"/>
      <c r="V97" s="384"/>
      <c r="W97" s="386"/>
      <c r="X97" s="384"/>
      <c r="Y97" s="386"/>
      <c r="Z97" s="384"/>
      <c r="AA97" s="386"/>
      <c r="AB97" s="384"/>
      <c r="AC97" s="386"/>
      <c r="AD97" s="384"/>
      <c r="AE97" s="386"/>
      <c r="AF97" s="384"/>
      <c r="AG97" s="565" t="s">
        <v>3117</v>
      </c>
      <c r="AH97" s="405"/>
      <c r="AI97" s="386"/>
      <c r="AJ97" s="384"/>
      <c r="AK97" s="386"/>
      <c r="AL97" s="384"/>
      <c r="AM97" s="386"/>
      <c r="AN97" s="384"/>
      <c r="AO97" s="386"/>
      <c r="AP97" s="384"/>
      <c r="AQ97" s="386"/>
      <c r="AR97" s="384"/>
      <c r="AS97" s="386"/>
      <c r="AT97" s="384"/>
      <c r="AU97" s="386"/>
      <c r="AV97" s="384"/>
      <c r="AW97" s="386"/>
      <c r="AX97" s="384"/>
      <c r="AY97" s="386"/>
      <c r="AZ97" s="384"/>
      <c r="BA97" s="386"/>
      <c r="BB97" s="384"/>
      <c r="BC97" s="386"/>
      <c r="BD97" s="384"/>
    </row>
    <row r="98" spans="1:56" ht="15" x14ac:dyDescent="0.2">
      <c r="A98" s="83"/>
      <c r="B98" s="83"/>
      <c r="C98" s="386"/>
      <c r="D98" s="384"/>
      <c r="E98" s="386"/>
      <c r="F98" s="384"/>
      <c r="G98" s="386"/>
      <c r="H98" s="384" t="s">
        <v>3118</v>
      </c>
      <c r="I98" s="386"/>
      <c r="J98" s="384"/>
      <c r="K98" s="386"/>
      <c r="L98" s="384"/>
      <c r="M98" s="386"/>
      <c r="N98" s="384"/>
      <c r="O98" s="386"/>
      <c r="P98" s="384"/>
      <c r="Q98" s="386"/>
      <c r="R98" s="384"/>
      <c r="S98" s="386"/>
      <c r="T98" s="384"/>
      <c r="U98" s="386"/>
      <c r="V98" s="384"/>
      <c r="W98" s="386"/>
      <c r="X98" s="384"/>
      <c r="Y98" s="386"/>
      <c r="Z98" s="384"/>
      <c r="AA98" s="386"/>
      <c r="AB98" s="384"/>
      <c r="AC98" s="386"/>
      <c r="AD98" s="384"/>
      <c r="AE98" s="386"/>
      <c r="AF98" s="384"/>
      <c r="AG98" s="565" t="s">
        <v>3119</v>
      </c>
      <c r="AH98" s="405"/>
      <c r="AI98" s="386"/>
      <c r="AJ98" s="384"/>
      <c r="AK98" s="386"/>
      <c r="AL98" s="384"/>
      <c r="AM98" s="386"/>
      <c r="AN98" s="384"/>
      <c r="AO98" s="386"/>
      <c r="AP98" s="384"/>
      <c r="AQ98" s="386"/>
      <c r="AR98" s="384"/>
      <c r="AS98" s="386"/>
      <c r="AT98" s="384"/>
      <c r="AU98" s="386"/>
      <c r="AV98" s="384"/>
      <c r="AW98" s="386"/>
      <c r="AX98" s="384"/>
      <c r="AY98" s="386"/>
      <c r="AZ98" s="384"/>
      <c r="BA98" s="386"/>
      <c r="BB98" s="384"/>
      <c r="BC98" s="386"/>
      <c r="BD98" s="384"/>
    </row>
    <row r="99" spans="1:56" ht="15" x14ac:dyDescent="0.2">
      <c r="A99" s="83"/>
      <c r="B99" s="83"/>
      <c r="C99" s="386"/>
      <c r="D99" s="384"/>
      <c r="E99" s="386"/>
      <c r="F99" s="384"/>
      <c r="G99" s="386"/>
      <c r="H99" s="384" t="s">
        <v>3120</v>
      </c>
      <c r="I99" s="386"/>
      <c r="J99" s="384"/>
      <c r="K99" s="386"/>
      <c r="L99" s="384"/>
      <c r="M99" s="386"/>
      <c r="N99" s="384"/>
      <c r="O99" s="386"/>
      <c r="P99" s="384"/>
      <c r="Q99" s="386"/>
      <c r="R99" s="384"/>
      <c r="S99" s="386"/>
      <c r="T99" s="384"/>
      <c r="U99" s="386"/>
      <c r="V99" s="384"/>
      <c r="W99" s="386"/>
      <c r="X99" s="384"/>
      <c r="Y99" s="386"/>
      <c r="Z99" s="384"/>
      <c r="AA99" s="386"/>
      <c r="AB99" s="384"/>
      <c r="AC99" s="386"/>
      <c r="AD99" s="384"/>
      <c r="AE99" s="386"/>
      <c r="AF99" s="384"/>
      <c r="AG99" s="565" t="s">
        <v>3121</v>
      </c>
      <c r="AH99" s="405"/>
      <c r="AI99" s="386"/>
      <c r="AJ99" s="384"/>
      <c r="AK99" s="386"/>
      <c r="AL99" s="384"/>
      <c r="AM99" s="386"/>
      <c r="AN99" s="384"/>
      <c r="AO99" s="386"/>
      <c r="AP99" s="384"/>
      <c r="AQ99" s="386"/>
      <c r="AR99" s="384"/>
      <c r="AS99" s="386"/>
      <c r="AT99" s="384"/>
      <c r="AU99" s="386"/>
      <c r="AV99" s="384"/>
      <c r="AW99" s="386"/>
      <c r="AX99" s="384"/>
      <c r="AY99" s="386"/>
      <c r="AZ99" s="384"/>
      <c r="BA99" s="386"/>
      <c r="BB99" s="384"/>
      <c r="BC99" s="386"/>
      <c r="BD99" s="384"/>
    </row>
    <row r="100" spans="1:56" ht="15" x14ac:dyDescent="0.2">
      <c r="A100" s="83"/>
      <c r="B100" s="83"/>
      <c r="C100" s="386"/>
      <c r="D100" s="384"/>
      <c r="E100" s="386"/>
      <c r="F100" s="384"/>
      <c r="G100" s="386"/>
      <c r="H100" s="384" t="s">
        <v>3122</v>
      </c>
      <c r="I100" s="386"/>
      <c r="J100" s="384"/>
      <c r="K100" s="386"/>
      <c r="L100" s="384"/>
      <c r="M100" s="386"/>
      <c r="N100" s="384"/>
      <c r="O100" s="386"/>
      <c r="P100" s="384"/>
      <c r="Q100" s="386"/>
      <c r="R100" s="384"/>
      <c r="S100" s="386"/>
      <c r="T100" s="384"/>
      <c r="U100" s="386"/>
      <c r="V100" s="384"/>
      <c r="W100" s="386"/>
      <c r="X100" s="384"/>
      <c r="Y100" s="386"/>
      <c r="Z100" s="384"/>
      <c r="AA100" s="386"/>
      <c r="AB100" s="384"/>
      <c r="AC100" s="386"/>
      <c r="AD100" s="384"/>
      <c r="AE100" s="386"/>
      <c r="AF100" s="384"/>
      <c r="AG100" s="565" t="s">
        <v>3123</v>
      </c>
      <c r="AH100" s="405"/>
      <c r="AI100" s="386"/>
      <c r="AJ100" s="384"/>
      <c r="AK100" s="386"/>
      <c r="AL100" s="384"/>
      <c r="AM100" s="386"/>
      <c r="AN100" s="384"/>
      <c r="AO100" s="386"/>
      <c r="AP100" s="384"/>
      <c r="AQ100" s="386"/>
      <c r="AR100" s="384"/>
      <c r="AS100" s="386"/>
      <c r="AT100" s="384"/>
      <c r="AU100" s="386"/>
      <c r="AV100" s="384"/>
      <c r="AW100" s="386"/>
      <c r="AX100" s="384"/>
      <c r="AY100" s="386"/>
      <c r="AZ100" s="384"/>
      <c r="BA100" s="386"/>
      <c r="BB100" s="384"/>
      <c r="BC100" s="386"/>
      <c r="BD100" s="384"/>
    </row>
    <row r="101" spans="1:56" ht="15" x14ac:dyDescent="0.2">
      <c r="A101" s="83"/>
      <c r="B101" s="83"/>
      <c r="C101" s="386"/>
      <c r="D101" s="384"/>
      <c r="E101" s="386"/>
      <c r="F101" s="384"/>
      <c r="G101" s="386"/>
      <c r="H101" s="384" t="s">
        <v>3124</v>
      </c>
      <c r="I101" s="386"/>
      <c r="J101" s="384"/>
      <c r="K101" s="386"/>
      <c r="L101" s="384"/>
      <c r="M101" s="386"/>
      <c r="N101" s="384"/>
      <c r="O101" s="386"/>
      <c r="P101" s="384"/>
      <c r="Q101" s="386"/>
      <c r="R101" s="384"/>
      <c r="S101" s="386"/>
      <c r="T101" s="384"/>
      <c r="U101" s="386"/>
      <c r="V101" s="384"/>
      <c r="W101" s="386"/>
      <c r="X101" s="384"/>
      <c r="Y101" s="386"/>
      <c r="Z101" s="384"/>
      <c r="AA101" s="386"/>
      <c r="AB101" s="384"/>
      <c r="AC101" s="386"/>
      <c r="AD101" s="384"/>
      <c r="AE101" s="386"/>
      <c r="AF101" s="384"/>
      <c r="AG101" s="565" t="s">
        <v>3125</v>
      </c>
      <c r="AH101" s="405"/>
      <c r="AI101" s="386"/>
      <c r="AJ101" s="384"/>
      <c r="AK101" s="386"/>
      <c r="AL101" s="384"/>
      <c r="AM101" s="386"/>
      <c r="AN101" s="384"/>
      <c r="AO101" s="386"/>
      <c r="AP101" s="384"/>
      <c r="AQ101" s="386"/>
      <c r="AR101" s="384"/>
      <c r="AS101" s="386"/>
      <c r="AT101" s="384"/>
      <c r="AU101" s="386"/>
      <c r="AV101" s="384"/>
      <c r="AW101" s="386"/>
      <c r="AX101" s="384"/>
      <c r="AY101" s="386"/>
      <c r="AZ101" s="384"/>
      <c r="BA101" s="386"/>
      <c r="BB101" s="384"/>
      <c r="BC101" s="386"/>
      <c r="BD101" s="384"/>
    </row>
    <row r="102" spans="1:56" ht="15" x14ac:dyDescent="0.2">
      <c r="A102" s="83"/>
      <c r="B102" s="83"/>
      <c r="C102" s="386"/>
      <c r="D102" s="384"/>
      <c r="E102" s="386"/>
      <c r="F102" s="384"/>
      <c r="G102" s="386"/>
      <c r="H102" s="384" t="s">
        <v>3126</v>
      </c>
      <c r="I102" s="386"/>
      <c r="J102" s="384"/>
      <c r="K102" s="386"/>
      <c r="L102" s="384"/>
      <c r="M102" s="386"/>
      <c r="N102" s="384"/>
      <c r="O102" s="386"/>
      <c r="P102" s="384"/>
      <c r="Q102" s="386"/>
      <c r="R102" s="384"/>
      <c r="S102" s="386"/>
      <c r="T102" s="384"/>
      <c r="U102" s="386"/>
      <c r="V102" s="384"/>
      <c r="W102" s="386"/>
      <c r="X102" s="384"/>
      <c r="Y102" s="386"/>
      <c r="Z102" s="384"/>
      <c r="AA102" s="386"/>
      <c r="AB102" s="384"/>
      <c r="AC102" s="386"/>
      <c r="AD102" s="384"/>
      <c r="AE102" s="386"/>
      <c r="AF102" s="384"/>
      <c r="AG102" s="565" t="s">
        <v>3127</v>
      </c>
      <c r="AH102" s="405"/>
      <c r="AI102" s="386"/>
      <c r="AJ102" s="384"/>
      <c r="AK102" s="386"/>
      <c r="AL102" s="384"/>
      <c r="AM102" s="386"/>
      <c r="AN102" s="384"/>
      <c r="AO102" s="386"/>
      <c r="AP102" s="384"/>
      <c r="AQ102" s="386"/>
      <c r="AR102" s="384"/>
      <c r="AS102" s="386"/>
      <c r="AT102" s="384"/>
      <c r="AU102" s="386"/>
      <c r="AV102" s="384"/>
      <c r="AW102" s="386"/>
      <c r="AX102" s="384"/>
      <c r="AY102" s="386"/>
      <c r="AZ102" s="384"/>
      <c r="BA102" s="386"/>
      <c r="BB102" s="384"/>
      <c r="BC102" s="386"/>
      <c r="BD102" s="384"/>
    </row>
    <row r="103" spans="1:56" ht="15" x14ac:dyDescent="0.2">
      <c r="A103" s="83"/>
      <c r="B103" s="83"/>
      <c r="C103" s="386"/>
      <c r="D103" s="384"/>
      <c r="E103" s="386"/>
      <c r="F103" s="384"/>
      <c r="G103" s="385"/>
      <c r="H103" s="388" t="s">
        <v>3128</v>
      </c>
      <c r="I103" s="386"/>
      <c r="J103" s="384"/>
      <c r="K103" s="386"/>
      <c r="L103" s="384"/>
      <c r="M103" s="386"/>
      <c r="N103" s="384"/>
      <c r="O103" s="386"/>
      <c r="P103" s="384"/>
      <c r="Q103" s="386"/>
      <c r="R103" s="384"/>
      <c r="S103" s="386"/>
      <c r="T103" s="384"/>
      <c r="U103" s="386"/>
      <c r="V103" s="384"/>
      <c r="W103" s="386"/>
      <c r="X103" s="384"/>
      <c r="Y103" s="386"/>
      <c r="Z103" s="384"/>
      <c r="AA103" s="386"/>
      <c r="AB103" s="384"/>
      <c r="AC103" s="386"/>
      <c r="AD103" s="384"/>
      <c r="AE103" s="386"/>
      <c r="AF103" s="384"/>
      <c r="AG103" s="565" t="s">
        <v>3129</v>
      </c>
      <c r="AH103" s="405"/>
      <c r="AI103" s="386"/>
      <c r="AJ103" s="384"/>
      <c r="AK103" s="386"/>
      <c r="AL103" s="384"/>
      <c r="AM103" s="386"/>
      <c r="AN103" s="384"/>
      <c r="AO103" s="386"/>
      <c r="AP103" s="384"/>
      <c r="AQ103" s="386"/>
      <c r="AR103" s="384"/>
      <c r="AS103" s="386"/>
      <c r="AT103" s="384"/>
      <c r="AU103" s="386"/>
      <c r="AV103" s="384"/>
      <c r="AW103" s="386"/>
      <c r="AX103" s="384"/>
      <c r="AY103" s="386"/>
      <c r="AZ103" s="384"/>
      <c r="BA103" s="386"/>
      <c r="BB103" s="384"/>
      <c r="BC103" s="386"/>
      <c r="BD103" s="384"/>
    </row>
    <row r="104" spans="1:56" ht="15" x14ac:dyDescent="0.2">
      <c r="A104" s="83"/>
      <c r="B104" s="83"/>
      <c r="C104" s="386"/>
      <c r="D104" s="384"/>
      <c r="E104" s="386"/>
      <c r="F104" s="384"/>
      <c r="G104" s="570" t="s">
        <v>3130</v>
      </c>
      <c r="H104" s="398"/>
      <c r="I104" s="386"/>
      <c r="J104" s="384"/>
      <c r="K104" s="386"/>
      <c r="L104" s="384"/>
      <c r="M104" s="386"/>
      <c r="N104" s="384"/>
      <c r="O104" s="386"/>
      <c r="P104" s="384"/>
      <c r="Q104" s="386"/>
      <c r="R104" s="384"/>
      <c r="S104" s="386"/>
      <c r="T104" s="384"/>
      <c r="U104" s="386"/>
      <c r="V104" s="384"/>
      <c r="W104" s="386"/>
      <c r="X104" s="384"/>
      <c r="Y104" s="386"/>
      <c r="Z104" s="384"/>
      <c r="AA104" s="386"/>
      <c r="AB104" s="384"/>
      <c r="AC104" s="386"/>
      <c r="AD104" s="384"/>
      <c r="AE104" s="386"/>
      <c r="AF104" s="384"/>
      <c r="AG104" s="386"/>
      <c r="AH104" s="384"/>
      <c r="AI104" s="386"/>
      <c r="AJ104" s="384"/>
      <c r="AK104" s="386"/>
      <c r="AL104" s="384"/>
      <c r="AM104" s="386"/>
      <c r="AN104" s="384"/>
      <c r="AO104" s="386"/>
      <c r="AP104" s="384"/>
      <c r="AQ104" s="386"/>
      <c r="AR104" s="384"/>
      <c r="AS104" s="386"/>
      <c r="AT104" s="384"/>
      <c r="AU104" s="386"/>
      <c r="AV104" s="384"/>
      <c r="AW104" s="386"/>
      <c r="AX104" s="384"/>
      <c r="AY104" s="386"/>
      <c r="AZ104" s="384"/>
      <c r="BA104" s="386"/>
      <c r="BB104" s="384"/>
      <c r="BC104" s="386"/>
      <c r="BD104" s="384"/>
    </row>
    <row r="105" spans="1:56" ht="15" x14ac:dyDescent="0.2">
      <c r="A105" s="83"/>
      <c r="B105" s="83"/>
      <c r="C105" s="386"/>
      <c r="D105" s="384"/>
      <c r="E105" s="386"/>
      <c r="F105" s="384"/>
      <c r="G105" s="565" t="s">
        <v>3131</v>
      </c>
      <c r="H105" s="405"/>
      <c r="I105" s="386"/>
      <c r="J105" s="384"/>
      <c r="K105" s="386"/>
      <c r="L105" s="384"/>
      <c r="M105" s="386"/>
      <c r="N105" s="384"/>
      <c r="O105" s="386"/>
      <c r="P105" s="384"/>
      <c r="Q105" s="386"/>
      <c r="R105" s="384"/>
      <c r="S105" s="386"/>
      <c r="T105" s="384"/>
      <c r="U105" s="386"/>
      <c r="V105" s="384"/>
      <c r="W105" s="386"/>
      <c r="X105" s="384"/>
      <c r="Y105" s="386"/>
      <c r="Z105" s="384"/>
      <c r="AA105" s="386"/>
      <c r="AB105" s="384"/>
      <c r="AC105" s="386"/>
      <c r="AD105" s="384"/>
      <c r="AE105" s="386"/>
      <c r="AF105" s="384"/>
      <c r="AG105" s="386"/>
      <c r="AH105" s="384"/>
      <c r="AI105" s="386"/>
      <c r="AJ105" s="384"/>
      <c r="AK105" s="386"/>
      <c r="AL105" s="384"/>
      <c r="AM105" s="386"/>
      <c r="AN105" s="384"/>
      <c r="AO105" s="386"/>
      <c r="AP105" s="384"/>
      <c r="AQ105" s="386"/>
      <c r="AR105" s="384"/>
      <c r="AS105" s="386"/>
      <c r="AT105" s="384"/>
      <c r="AU105" s="386"/>
      <c r="AV105" s="384"/>
      <c r="AW105" s="386"/>
      <c r="AX105" s="384"/>
      <c r="AY105" s="386"/>
      <c r="AZ105" s="384"/>
      <c r="BA105" s="386"/>
      <c r="BB105" s="384"/>
      <c r="BC105" s="386"/>
      <c r="BD105" s="384"/>
    </row>
  </sheetData>
  <mergeCells count="785">
    <mergeCell ref="AS39:AT39"/>
    <mergeCell ref="AS40:AT40"/>
    <mergeCell ref="AS41:AT41"/>
    <mergeCell ref="AS42:AT42"/>
    <mergeCell ref="AS43:AT43"/>
    <mergeCell ref="AS44:AT44"/>
    <mergeCell ref="AS45:AT45"/>
    <mergeCell ref="AS46:AT46"/>
    <mergeCell ref="AG32:AH32"/>
    <mergeCell ref="AK32:AL32"/>
    <mergeCell ref="AM32:AN32"/>
    <mergeCell ref="AO32:AP32"/>
    <mergeCell ref="AS32:AT32"/>
    <mergeCell ref="AS33:AT33"/>
    <mergeCell ref="AS36:AT36"/>
    <mergeCell ref="AS37:AT37"/>
    <mergeCell ref="AM38:AN38"/>
    <mergeCell ref="AO38:AP38"/>
    <mergeCell ref="AS38:AT38"/>
    <mergeCell ref="AG27:AH27"/>
    <mergeCell ref="AG28:AH28"/>
    <mergeCell ref="AK28:AL28"/>
    <mergeCell ref="AM28:AN28"/>
    <mergeCell ref="AO28:AP28"/>
    <mergeCell ref="AG29:AH29"/>
    <mergeCell ref="AO29:AP29"/>
    <mergeCell ref="AM31:AN31"/>
    <mergeCell ref="AO31:AP31"/>
    <mergeCell ref="AG30:AH30"/>
    <mergeCell ref="AK30:AL30"/>
    <mergeCell ref="AM30:AN30"/>
    <mergeCell ref="AO30:AP30"/>
    <mergeCell ref="AK31:AL31"/>
    <mergeCell ref="AG31:AH31"/>
    <mergeCell ref="AS54:AT54"/>
    <mergeCell ref="AS55:AT55"/>
    <mergeCell ref="AS56:AT56"/>
    <mergeCell ref="AS47:AT47"/>
    <mergeCell ref="AS48:AT48"/>
    <mergeCell ref="AS49:AT49"/>
    <mergeCell ref="AS50:AT50"/>
    <mergeCell ref="AS51:AT51"/>
    <mergeCell ref="AS52:AT52"/>
    <mergeCell ref="AS53:AT53"/>
    <mergeCell ref="AM57:AN57"/>
    <mergeCell ref="AM65:AN65"/>
    <mergeCell ref="AM66:AN66"/>
    <mergeCell ref="AM67:AN67"/>
    <mergeCell ref="AM68:AN68"/>
    <mergeCell ref="AM69:AN69"/>
    <mergeCell ref="AM70:AN70"/>
    <mergeCell ref="AM58:AN58"/>
    <mergeCell ref="AM59:AN59"/>
    <mergeCell ref="AM60:AN60"/>
    <mergeCell ref="AM61:AN61"/>
    <mergeCell ref="AM62:AN62"/>
    <mergeCell ref="AM63:AN63"/>
    <mergeCell ref="AM64:AN64"/>
    <mergeCell ref="AM49:AN49"/>
    <mergeCell ref="AO49:AP49"/>
    <mergeCell ref="AM50:AN50"/>
    <mergeCell ref="AM51:AN51"/>
    <mergeCell ref="AM52:AN52"/>
    <mergeCell ref="AM53:AN53"/>
    <mergeCell ref="AM54:AN54"/>
    <mergeCell ref="AM55:AN55"/>
    <mergeCell ref="AM56:AN56"/>
    <mergeCell ref="AM44:AN44"/>
    <mergeCell ref="AO44:AP44"/>
    <mergeCell ref="AM45:AN45"/>
    <mergeCell ref="AO45:AP45"/>
    <mergeCell ref="AO46:AP46"/>
    <mergeCell ref="AM46:AN46"/>
    <mergeCell ref="AM47:AN47"/>
    <mergeCell ref="AM48:AN48"/>
    <mergeCell ref="AO48:AP48"/>
    <mergeCell ref="AM39:AN39"/>
    <mergeCell ref="AM40:AN40"/>
    <mergeCell ref="AO40:AP40"/>
    <mergeCell ref="AM41:AN41"/>
    <mergeCell ref="AO41:AP41"/>
    <mergeCell ref="AM42:AN42"/>
    <mergeCell ref="AO42:AP42"/>
    <mergeCell ref="AM43:AN43"/>
    <mergeCell ref="AO43:AP43"/>
    <mergeCell ref="AO39:AP39"/>
    <mergeCell ref="AK27:AL27"/>
    <mergeCell ref="AM27:AN27"/>
    <mergeCell ref="AS27:AT27"/>
    <mergeCell ref="AS28:AT28"/>
    <mergeCell ref="AS29:AT29"/>
    <mergeCell ref="AM35:AN35"/>
    <mergeCell ref="AM36:AN36"/>
    <mergeCell ref="AO36:AP36"/>
    <mergeCell ref="AM37:AN37"/>
    <mergeCell ref="AO37:AP37"/>
    <mergeCell ref="AM33:AN33"/>
    <mergeCell ref="AO33:AP33"/>
    <mergeCell ref="AM34:AN34"/>
    <mergeCell ref="AO34:AP34"/>
    <mergeCell ref="AS34:AT34"/>
    <mergeCell ref="AO35:AP35"/>
    <mergeCell ref="AS35:AT35"/>
    <mergeCell ref="AK29:AL29"/>
    <mergeCell ref="AM29:AN29"/>
    <mergeCell ref="AS30:AT30"/>
    <mergeCell ref="AS31:AT31"/>
    <mergeCell ref="AO23:AP23"/>
    <mergeCell ref="AS23:AT23"/>
    <mergeCell ref="AG21:AH21"/>
    <mergeCell ref="AG22:AH22"/>
    <mergeCell ref="AG23:AH23"/>
    <mergeCell ref="AG24:AH24"/>
    <mergeCell ref="AG25:AH25"/>
    <mergeCell ref="AK25:AL25"/>
    <mergeCell ref="AM25:AN25"/>
    <mergeCell ref="AO27:AP27"/>
    <mergeCell ref="AK22:AL22"/>
    <mergeCell ref="AM22:AN22"/>
    <mergeCell ref="AO22:AP22"/>
    <mergeCell ref="AS22:AT22"/>
    <mergeCell ref="U21:V21"/>
    <mergeCell ref="W21:X21"/>
    <mergeCell ref="AC21:AD21"/>
    <mergeCell ref="AK21:AL21"/>
    <mergeCell ref="AM21:AN21"/>
    <mergeCell ref="W22:X22"/>
    <mergeCell ref="AC22:AD22"/>
    <mergeCell ref="U24:V24"/>
    <mergeCell ref="W24:X24"/>
    <mergeCell ref="AC24:AD24"/>
    <mergeCell ref="AK24:AL24"/>
    <mergeCell ref="AM24:AN24"/>
    <mergeCell ref="AO24:AP24"/>
    <mergeCell ref="AS24:AT24"/>
    <mergeCell ref="U23:V23"/>
    <mergeCell ref="W23:X23"/>
    <mergeCell ref="AC23:AD23"/>
    <mergeCell ref="AK23:AL23"/>
    <mergeCell ref="AM23:AN23"/>
    <mergeCell ref="AO25:AP25"/>
    <mergeCell ref="AS25:AT25"/>
    <mergeCell ref="AS26:AT26"/>
    <mergeCell ref="AC25:AD25"/>
    <mergeCell ref="AC26:AD26"/>
    <mergeCell ref="AG26:AH26"/>
    <mergeCell ref="AK26:AL26"/>
    <mergeCell ref="AM26:AN26"/>
    <mergeCell ref="AO26:AP26"/>
    <mergeCell ref="AA43:AB43"/>
    <mergeCell ref="AA44:AB44"/>
    <mergeCell ref="AA35:AB35"/>
    <mergeCell ref="AA36:AB36"/>
    <mergeCell ref="AA37:AB37"/>
    <mergeCell ref="AA38:AB38"/>
    <mergeCell ref="AA39:AB39"/>
    <mergeCell ref="AA40:AB40"/>
    <mergeCell ref="AA41:AB41"/>
    <mergeCell ref="AA34:AB34"/>
    <mergeCell ref="AC34:AD34"/>
    <mergeCell ref="AC35:AD35"/>
    <mergeCell ref="AC36:AD36"/>
    <mergeCell ref="W37:X37"/>
    <mergeCell ref="W38:X38"/>
    <mergeCell ref="W39:X39"/>
    <mergeCell ref="W30:X30"/>
    <mergeCell ref="W31:X31"/>
    <mergeCell ref="W32:X32"/>
    <mergeCell ref="W33:X33"/>
    <mergeCell ref="W34:X34"/>
    <mergeCell ref="W35:X35"/>
    <mergeCell ref="W36:X36"/>
    <mergeCell ref="W28:X28"/>
    <mergeCell ref="AC28:AD28"/>
    <mergeCell ref="W29:X29"/>
    <mergeCell ref="AC29:AD29"/>
    <mergeCell ref="AC30:AD30"/>
    <mergeCell ref="AC31:AD31"/>
    <mergeCell ref="AC32:AD32"/>
    <mergeCell ref="AA33:AB33"/>
    <mergeCell ref="AC33:AD33"/>
    <mergeCell ref="AA21:AB21"/>
    <mergeCell ref="AA22:AB22"/>
    <mergeCell ref="AA23:AB23"/>
    <mergeCell ref="AA24:AB24"/>
    <mergeCell ref="W25:X25"/>
    <mergeCell ref="AA25:AB25"/>
    <mergeCell ref="W26:X26"/>
    <mergeCell ref="W27:X27"/>
    <mergeCell ref="AC27:AD27"/>
    <mergeCell ref="AG73:AH73"/>
    <mergeCell ref="AG74:AH74"/>
    <mergeCell ref="AG75:AH75"/>
    <mergeCell ref="AG76:AH76"/>
    <mergeCell ref="AG77:AH77"/>
    <mergeCell ref="AG78:AH78"/>
    <mergeCell ref="AG86:AH86"/>
    <mergeCell ref="AG87:AH87"/>
    <mergeCell ref="AG88:AH88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103:AH103"/>
    <mergeCell ref="AG89:AH89"/>
    <mergeCell ref="AG90:AH90"/>
    <mergeCell ref="AG91:AH91"/>
    <mergeCell ref="AG92:AH92"/>
    <mergeCell ref="AG93:AH93"/>
    <mergeCell ref="AG94:AH94"/>
    <mergeCell ref="AG95:AH95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O21:AP21"/>
    <mergeCell ref="AS21:AT21"/>
    <mergeCell ref="AG96:AH96"/>
    <mergeCell ref="AG97:AH97"/>
    <mergeCell ref="AG98:AH98"/>
    <mergeCell ref="AG99:AH99"/>
    <mergeCell ref="AG100:AH100"/>
    <mergeCell ref="AG101:AH101"/>
    <mergeCell ref="AG102:AH102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O20:AP20"/>
    <mergeCell ref="AS20:AT20"/>
    <mergeCell ref="U20:V20"/>
    <mergeCell ref="W20:X20"/>
    <mergeCell ref="AA20:AB20"/>
    <mergeCell ref="AC20:AD20"/>
    <mergeCell ref="AG20:AH20"/>
    <mergeCell ref="AK20:AL20"/>
    <mergeCell ref="AM20:AN20"/>
    <mergeCell ref="AS18:AT18"/>
    <mergeCell ref="U18:V18"/>
    <mergeCell ref="W18:X18"/>
    <mergeCell ref="AA18:AB18"/>
    <mergeCell ref="AC18:AD18"/>
    <mergeCell ref="AG18:AH18"/>
    <mergeCell ref="AK18:AL18"/>
    <mergeCell ref="AM18:AN18"/>
    <mergeCell ref="AO19:AP19"/>
    <mergeCell ref="AS19:AT19"/>
    <mergeCell ref="U19:V19"/>
    <mergeCell ref="W19:X19"/>
    <mergeCell ref="AA19:AB19"/>
    <mergeCell ref="AC19:AD19"/>
    <mergeCell ref="AG19:AH19"/>
    <mergeCell ref="AK19:AL19"/>
    <mergeCell ref="AM19:AN19"/>
    <mergeCell ref="AS16:AT16"/>
    <mergeCell ref="U16:V16"/>
    <mergeCell ref="W16:X16"/>
    <mergeCell ref="AA16:AB16"/>
    <mergeCell ref="AC16:AD16"/>
    <mergeCell ref="AG16:AH16"/>
    <mergeCell ref="AK16:AL16"/>
    <mergeCell ref="AM16:AN16"/>
    <mergeCell ref="AO17:AP17"/>
    <mergeCell ref="AS17:AT17"/>
    <mergeCell ref="U17:V17"/>
    <mergeCell ref="W17:X17"/>
    <mergeCell ref="AA17:AB17"/>
    <mergeCell ref="AC17:AD17"/>
    <mergeCell ref="AG17:AH17"/>
    <mergeCell ref="AK17:AL17"/>
    <mergeCell ref="AM17:AN17"/>
    <mergeCell ref="AS15:AT15"/>
    <mergeCell ref="AU15:AV15"/>
    <mergeCell ref="O14:P14"/>
    <mergeCell ref="O15:P15"/>
    <mergeCell ref="U15:V15"/>
    <mergeCell ref="W15:X15"/>
    <mergeCell ref="AA15:AB15"/>
    <mergeCell ref="AC15:AD15"/>
    <mergeCell ref="AG15:AH15"/>
    <mergeCell ref="W13:X13"/>
    <mergeCell ref="Y13:Z13"/>
    <mergeCell ref="AC13:AD13"/>
    <mergeCell ref="AG13:AH13"/>
    <mergeCell ref="AK13:AL13"/>
    <mergeCell ref="AM13:AN13"/>
    <mergeCell ref="AO13:AP13"/>
    <mergeCell ref="M17:N17"/>
    <mergeCell ref="M18:N18"/>
    <mergeCell ref="M13:N13"/>
    <mergeCell ref="M14:N14"/>
    <mergeCell ref="M15:N15"/>
    <mergeCell ref="M16:N16"/>
    <mergeCell ref="O13:P13"/>
    <mergeCell ref="Q13:R13"/>
    <mergeCell ref="Q14:R14"/>
    <mergeCell ref="Q15:R15"/>
    <mergeCell ref="AK15:AL15"/>
    <mergeCell ref="AM15:AN15"/>
    <mergeCell ref="AO15:AP15"/>
    <mergeCell ref="AO16:AP16"/>
    <mergeCell ref="AO18:AP18"/>
    <mergeCell ref="U14:V14"/>
    <mergeCell ref="W14:X14"/>
    <mergeCell ref="Y14:Z14"/>
    <mergeCell ref="AA14:AB14"/>
    <mergeCell ref="AC14:AD14"/>
    <mergeCell ref="AG14:AH14"/>
    <mergeCell ref="AK14:AL14"/>
    <mergeCell ref="AE7:AF7"/>
    <mergeCell ref="AE8:AF8"/>
    <mergeCell ref="AG8:AH8"/>
    <mergeCell ref="W10:X10"/>
    <mergeCell ref="Y10:Z10"/>
    <mergeCell ref="AC10:AD10"/>
    <mergeCell ref="AE10:AF10"/>
    <mergeCell ref="W11:X11"/>
    <mergeCell ref="Y11:Z11"/>
    <mergeCell ref="AC11:AD11"/>
    <mergeCell ref="AE11:AF11"/>
    <mergeCell ref="AG11:AH11"/>
    <mergeCell ref="AK11:AL11"/>
    <mergeCell ref="W12:X12"/>
    <mergeCell ref="Y12:Z12"/>
    <mergeCell ref="AC12:AD12"/>
    <mergeCell ref="AG12:AH12"/>
    <mergeCell ref="AS9:AT9"/>
    <mergeCell ref="AU9:AV9"/>
    <mergeCell ref="AG10:AH10"/>
    <mergeCell ref="AK10:AL10"/>
    <mergeCell ref="AM10:AN10"/>
    <mergeCell ref="AO10:AP10"/>
    <mergeCell ref="AS10:AT10"/>
    <mergeCell ref="AU10:AV10"/>
    <mergeCell ref="AM14:AN14"/>
    <mergeCell ref="AO14:AP14"/>
    <mergeCell ref="AS14:AT14"/>
    <mergeCell ref="AU14:AV14"/>
    <mergeCell ref="AO11:AP11"/>
    <mergeCell ref="AS11:AT11"/>
    <mergeCell ref="AU11:AV11"/>
    <mergeCell ref="AM11:AN11"/>
    <mergeCell ref="AS12:AT12"/>
    <mergeCell ref="AU12:AV12"/>
    <mergeCell ref="AK12:AL12"/>
    <mergeCell ref="AM12:AN12"/>
    <mergeCell ref="AO12:AP12"/>
    <mergeCell ref="AS13:AT13"/>
    <mergeCell ref="AU13:AV13"/>
    <mergeCell ref="K6:L6"/>
    <mergeCell ref="M6:N6"/>
    <mergeCell ref="AA4:AB4"/>
    <mergeCell ref="AE4:AF4"/>
    <mergeCell ref="AG4:AH4"/>
    <mergeCell ref="AI4:AJ4"/>
    <mergeCell ref="AG5:AH5"/>
    <mergeCell ref="AI5:AJ5"/>
    <mergeCell ref="AG7:AH7"/>
    <mergeCell ref="E60:F60"/>
    <mergeCell ref="G60:H60"/>
    <mergeCell ref="G61:H61"/>
    <mergeCell ref="E68:F68"/>
    <mergeCell ref="E69:F69"/>
    <mergeCell ref="E70:F70"/>
    <mergeCell ref="E61:F61"/>
    <mergeCell ref="E62:F62"/>
    <mergeCell ref="E63:F63"/>
    <mergeCell ref="E64:F64"/>
    <mergeCell ref="E65:F65"/>
    <mergeCell ref="E66:F66"/>
    <mergeCell ref="E67:F67"/>
    <mergeCell ref="G62:H62"/>
    <mergeCell ref="G63:H63"/>
    <mergeCell ref="G64:H64"/>
    <mergeCell ref="G65:H65"/>
    <mergeCell ref="E55:F55"/>
    <mergeCell ref="E56:F56"/>
    <mergeCell ref="G56:H56"/>
    <mergeCell ref="E57:F57"/>
    <mergeCell ref="G57:H57"/>
    <mergeCell ref="E58:F58"/>
    <mergeCell ref="G58:H58"/>
    <mergeCell ref="E59:F59"/>
    <mergeCell ref="G59:H59"/>
    <mergeCell ref="E50:F50"/>
    <mergeCell ref="G50:H50"/>
    <mergeCell ref="E51:F51"/>
    <mergeCell ref="G51:H51"/>
    <mergeCell ref="E52:F52"/>
    <mergeCell ref="G52:H52"/>
    <mergeCell ref="G53:H53"/>
    <mergeCell ref="E53:F53"/>
    <mergeCell ref="E54:F54"/>
    <mergeCell ref="G86:H86"/>
    <mergeCell ref="G87:H87"/>
    <mergeCell ref="G88:H88"/>
    <mergeCell ref="G89:H89"/>
    <mergeCell ref="G104:H104"/>
    <mergeCell ref="G105:H105"/>
    <mergeCell ref="G90:H90"/>
    <mergeCell ref="G91:H91"/>
    <mergeCell ref="G92:H92"/>
    <mergeCell ref="G93:H93"/>
    <mergeCell ref="G94:H94"/>
    <mergeCell ref="G95:H95"/>
    <mergeCell ref="G96:H96"/>
    <mergeCell ref="G46:H46"/>
    <mergeCell ref="G47:H47"/>
    <mergeCell ref="G48:H48"/>
    <mergeCell ref="G49:H49"/>
    <mergeCell ref="G54:H54"/>
    <mergeCell ref="G55:H55"/>
    <mergeCell ref="G83:H83"/>
    <mergeCell ref="G84:H84"/>
    <mergeCell ref="G85:H85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39:H39"/>
    <mergeCell ref="G40:H40"/>
    <mergeCell ref="E41:F41"/>
    <mergeCell ref="G41:H41"/>
    <mergeCell ref="E42:F42"/>
    <mergeCell ref="G42:H42"/>
    <mergeCell ref="G43:H43"/>
    <mergeCell ref="G44:H44"/>
    <mergeCell ref="G45:H45"/>
    <mergeCell ref="C33:D33"/>
    <mergeCell ref="E33:F33"/>
    <mergeCell ref="G33:H33"/>
    <mergeCell ref="G34:H34"/>
    <mergeCell ref="C35:D35"/>
    <mergeCell ref="G35:H35"/>
    <mergeCell ref="G36:H36"/>
    <mergeCell ref="G37:H37"/>
    <mergeCell ref="G38:H38"/>
    <mergeCell ref="Q46:R46"/>
    <mergeCell ref="Q47:R47"/>
    <mergeCell ref="Q48:R48"/>
    <mergeCell ref="Q49:R49"/>
    <mergeCell ref="Q50:R50"/>
    <mergeCell ref="Q51:R51"/>
    <mergeCell ref="Q52:R52"/>
    <mergeCell ref="Q54:R54"/>
    <mergeCell ref="Q39:R39"/>
    <mergeCell ref="Q40:R40"/>
    <mergeCell ref="Q41:R41"/>
    <mergeCell ref="Q42:R42"/>
    <mergeCell ref="Q43:R43"/>
    <mergeCell ref="Q44:R44"/>
    <mergeCell ref="Q45:R45"/>
    <mergeCell ref="C27:D27"/>
    <mergeCell ref="E27:F27"/>
    <mergeCell ref="G27:H27"/>
    <mergeCell ref="Q32:R32"/>
    <mergeCell ref="Q33:R33"/>
    <mergeCell ref="Q34:R34"/>
    <mergeCell ref="Q35:R35"/>
    <mergeCell ref="Q36:R36"/>
    <mergeCell ref="Q37:R37"/>
    <mergeCell ref="E30:F30"/>
    <mergeCell ref="G30:H30"/>
    <mergeCell ref="C28:D28"/>
    <mergeCell ref="E28:F28"/>
    <mergeCell ref="G28:H28"/>
    <mergeCell ref="C29:D29"/>
    <mergeCell ref="E29:F29"/>
    <mergeCell ref="G29:H29"/>
    <mergeCell ref="C30:D30"/>
    <mergeCell ref="C31:D31"/>
    <mergeCell ref="E31:F31"/>
    <mergeCell ref="G31:H31"/>
    <mergeCell ref="C32:D32"/>
    <mergeCell ref="E32:F32"/>
    <mergeCell ref="G32:H32"/>
    <mergeCell ref="C24:D24"/>
    <mergeCell ref="E24:F24"/>
    <mergeCell ref="G24:H24"/>
    <mergeCell ref="I24:J24"/>
    <mergeCell ref="C25:D25"/>
    <mergeCell ref="E25:F25"/>
    <mergeCell ref="G25:H25"/>
    <mergeCell ref="C26:D26"/>
    <mergeCell ref="E26:F26"/>
    <mergeCell ref="G26:H26"/>
    <mergeCell ref="I26:J26"/>
    <mergeCell ref="C20:D20"/>
    <mergeCell ref="E20:F20"/>
    <mergeCell ref="G20:H20"/>
    <mergeCell ref="I20:J20"/>
    <mergeCell ref="Q20:R20"/>
    <mergeCell ref="I21:J21"/>
    <mergeCell ref="Q21:R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M45:N45"/>
    <mergeCell ref="M46:N46"/>
    <mergeCell ref="M31:N31"/>
    <mergeCell ref="M32:N32"/>
    <mergeCell ref="M33:N33"/>
    <mergeCell ref="M39:N39"/>
    <mergeCell ref="M40:N40"/>
    <mergeCell ref="M41:N41"/>
    <mergeCell ref="M42:N42"/>
    <mergeCell ref="Q26:R26"/>
    <mergeCell ref="Q27:R27"/>
    <mergeCell ref="Q28:R28"/>
    <mergeCell ref="Q29:R29"/>
    <mergeCell ref="M30:N30"/>
    <mergeCell ref="Q30:R30"/>
    <mergeCell ref="Q31:R31"/>
    <mergeCell ref="M43:N43"/>
    <mergeCell ref="M44:N44"/>
    <mergeCell ref="Q38:R38"/>
    <mergeCell ref="E21:F21"/>
    <mergeCell ref="G21:H21"/>
    <mergeCell ref="M20:N20"/>
    <mergeCell ref="M21:N21"/>
    <mergeCell ref="M22:N22"/>
    <mergeCell ref="Q22:R22"/>
    <mergeCell ref="Q23:R23"/>
    <mergeCell ref="Q24:R24"/>
    <mergeCell ref="Q25:R25"/>
    <mergeCell ref="O16:P16"/>
    <mergeCell ref="Q16:R16"/>
    <mergeCell ref="Q17:R17"/>
    <mergeCell ref="Q18:R18"/>
    <mergeCell ref="C19:D19"/>
    <mergeCell ref="E19:F19"/>
    <mergeCell ref="G19:H19"/>
    <mergeCell ref="I19:J19"/>
    <mergeCell ref="M19:N19"/>
    <mergeCell ref="Q19:R19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0:B12"/>
    <mergeCell ref="A14:B17"/>
    <mergeCell ref="E3:F3"/>
    <mergeCell ref="E4:F4"/>
    <mergeCell ref="A7:B8"/>
    <mergeCell ref="C7:D7"/>
    <mergeCell ref="E7:F7"/>
    <mergeCell ref="C8:D8"/>
    <mergeCell ref="E13:F13"/>
    <mergeCell ref="E5:F5"/>
    <mergeCell ref="E6:F6"/>
    <mergeCell ref="E2:F2"/>
    <mergeCell ref="G2:H2"/>
    <mergeCell ref="G3:H3"/>
    <mergeCell ref="I3:J3"/>
    <mergeCell ref="K3:L3"/>
    <mergeCell ref="M3:N3"/>
    <mergeCell ref="A4:B5"/>
    <mergeCell ref="M5:N5"/>
    <mergeCell ref="E8:F8"/>
    <mergeCell ref="A1:B2"/>
    <mergeCell ref="C1:D1"/>
    <mergeCell ref="E1:F1"/>
    <mergeCell ref="G1:H1"/>
    <mergeCell ref="I1:J1"/>
    <mergeCell ref="K1:L1"/>
    <mergeCell ref="M1:N1"/>
    <mergeCell ref="M2:N2"/>
    <mergeCell ref="G4:H4"/>
    <mergeCell ref="I4:J4"/>
    <mergeCell ref="K4:L4"/>
    <mergeCell ref="M4:N4"/>
    <mergeCell ref="G5:H5"/>
    <mergeCell ref="G6:H6"/>
    <mergeCell ref="I6:J6"/>
    <mergeCell ref="G13:H13"/>
    <mergeCell ref="I13:J13"/>
    <mergeCell ref="G14:H14"/>
    <mergeCell ref="I14:J14"/>
    <mergeCell ref="E14:F14"/>
    <mergeCell ref="E15:F15"/>
    <mergeCell ref="G15:H15"/>
    <mergeCell ref="I15:J15"/>
    <mergeCell ref="E16:F16"/>
    <mergeCell ref="G16:H16"/>
    <mergeCell ref="I16:J16"/>
    <mergeCell ref="AE9:AF9"/>
    <mergeCell ref="AG9:AH9"/>
    <mergeCell ref="AK9:AL9"/>
    <mergeCell ref="AM9:AN9"/>
    <mergeCell ref="AO9:AP9"/>
    <mergeCell ref="E11:F11"/>
    <mergeCell ref="E12:F12"/>
    <mergeCell ref="G12:H12"/>
    <mergeCell ref="I12:J12"/>
    <mergeCell ref="E10:F10"/>
    <mergeCell ref="G10:H10"/>
    <mergeCell ref="I10:J10"/>
    <mergeCell ref="O10:P10"/>
    <mergeCell ref="G11:H11"/>
    <mergeCell ref="I11:J11"/>
    <mergeCell ref="M10:N10"/>
    <mergeCell ref="M11:N11"/>
    <mergeCell ref="M12:N12"/>
    <mergeCell ref="O11:P11"/>
    <mergeCell ref="Q11:R11"/>
    <mergeCell ref="O12:P12"/>
    <mergeCell ref="Q12:R12"/>
    <mergeCell ref="E9:F9"/>
    <mergeCell ref="G9:H9"/>
    <mergeCell ref="I9:J9"/>
    <mergeCell ref="K9:L9"/>
    <mergeCell ref="M9:N9"/>
    <mergeCell ref="O9:P9"/>
    <mergeCell ref="W9:X9"/>
    <mergeCell ref="Y9:Z9"/>
    <mergeCell ref="AC9:AD9"/>
    <mergeCell ref="W8:X8"/>
    <mergeCell ref="Y8:Z8"/>
    <mergeCell ref="AK8:AL8"/>
    <mergeCell ref="AM8:AN8"/>
    <mergeCell ref="AO8:AP8"/>
    <mergeCell ref="AS8:AT8"/>
    <mergeCell ref="AU8:AV8"/>
    <mergeCell ref="AW8:AX8"/>
    <mergeCell ref="G8:H8"/>
    <mergeCell ref="I8:J8"/>
    <mergeCell ref="K8:L8"/>
    <mergeCell ref="M8:N8"/>
    <mergeCell ref="O8:P8"/>
    <mergeCell ref="S8:T8"/>
    <mergeCell ref="U8:V8"/>
    <mergeCell ref="Y7:Z7"/>
    <mergeCell ref="AA7:AB7"/>
    <mergeCell ref="AK7:AL7"/>
    <mergeCell ref="AM7:AN7"/>
    <mergeCell ref="AO7:AP7"/>
    <mergeCell ref="AS7:AT7"/>
    <mergeCell ref="AU7:AV7"/>
    <mergeCell ref="AW7:AX7"/>
    <mergeCell ref="G7:H7"/>
    <mergeCell ref="I7:J7"/>
    <mergeCell ref="K7:L7"/>
    <mergeCell ref="M7:N7"/>
    <mergeCell ref="S7:T7"/>
    <mergeCell ref="U7:V7"/>
    <mergeCell ref="W7:X7"/>
    <mergeCell ref="AM6:AN6"/>
    <mergeCell ref="AO6:AP6"/>
    <mergeCell ref="AS6:AT6"/>
    <mergeCell ref="AU6:AV6"/>
    <mergeCell ref="AW6:AX6"/>
    <mergeCell ref="S6:T6"/>
    <mergeCell ref="U6:V6"/>
    <mergeCell ref="W6:X6"/>
    <mergeCell ref="Y6:Z6"/>
    <mergeCell ref="AA6:AB6"/>
    <mergeCell ref="AE6:AF6"/>
    <mergeCell ref="AG6:AH6"/>
    <mergeCell ref="AM5:AN5"/>
    <mergeCell ref="AO5:AP5"/>
    <mergeCell ref="AS5:AT5"/>
    <mergeCell ref="AU5:AV5"/>
    <mergeCell ref="AW5:AX5"/>
    <mergeCell ref="I5:J5"/>
    <mergeCell ref="K5:L5"/>
    <mergeCell ref="Q5:R5"/>
    <mergeCell ref="S5:T5"/>
    <mergeCell ref="U5:V5"/>
    <mergeCell ref="W5:X5"/>
    <mergeCell ref="Y5:Z5"/>
    <mergeCell ref="Q3:R3"/>
    <mergeCell ref="S3:T3"/>
    <mergeCell ref="U3:V3"/>
    <mergeCell ref="W3:X3"/>
    <mergeCell ref="Y3:Z3"/>
    <mergeCell ref="AA3:AB3"/>
    <mergeCell ref="AE3:AF3"/>
    <mergeCell ref="AA5:AB5"/>
    <mergeCell ref="AE5:AF5"/>
    <mergeCell ref="Q4:R4"/>
    <mergeCell ref="S4:T4"/>
    <mergeCell ref="U4:V4"/>
    <mergeCell ref="W4:X4"/>
    <mergeCell ref="Y4:Z4"/>
    <mergeCell ref="AW2:AX2"/>
    <mergeCell ref="AY2:AZ2"/>
    <mergeCell ref="BA2:BB2"/>
    <mergeCell ref="BC2:BD2"/>
    <mergeCell ref="BA3:BB3"/>
    <mergeCell ref="AA2:AB2"/>
    <mergeCell ref="AE2:AF2"/>
    <mergeCell ref="AG2:AH2"/>
    <mergeCell ref="AI2:AJ2"/>
    <mergeCell ref="AM2:AN2"/>
    <mergeCell ref="AO2:AP2"/>
    <mergeCell ref="AQ2:AR2"/>
    <mergeCell ref="I2:J2"/>
    <mergeCell ref="K2:L2"/>
    <mergeCell ref="Q2:R2"/>
    <mergeCell ref="S2:T2"/>
    <mergeCell ref="U2:V2"/>
    <mergeCell ref="W2:X2"/>
    <mergeCell ref="Y2:Z2"/>
    <mergeCell ref="AS2:AT2"/>
    <mergeCell ref="AU2:AV2"/>
    <mergeCell ref="AU1:AV1"/>
    <mergeCell ref="AW1:AX1"/>
    <mergeCell ref="AY1:AZ1"/>
    <mergeCell ref="BA1:BB1"/>
    <mergeCell ref="BC1:BD1"/>
    <mergeCell ref="AC1:AD1"/>
    <mergeCell ref="AE1:AF1"/>
    <mergeCell ref="AG1:AH1"/>
    <mergeCell ref="AI1:AJ1"/>
    <mergeCell ref="AK1:AL1"/>
    <mergeCell ref="AM1:AN1"/>
    <mergeCell ref="AO1:AP1"/>
    <mergeCell ref="O1:P1"/>
    <mergeCell ref="Q1:R1"/>
    <mergeCell ref="S1:T1"/>
    <mergeCell ref="U1:V1"/>
    <mergeCell ref="W1:X1"/>
    <mergeCell ref="Y1:Z1"/>
    <mergeCell ref="AA1:AB1"/>
    <mergeCell ref="AQ1:AR1"/>
    <mergeCell ref="AS1:AT1"/>
    <mergeCell ref="AW3:AX3"/>
    <mergeCell ref="AY3:AZ3"/>
    <mergeCell ref="AM4:AN4"/>
    <mergeCell ref="AO4:AP4"/>
    <mergeCell ref="AS4:AT4"/>
    <mergeCell ref="AU4:AV4"/>
    <mergeCell ref="AW4:AX4"/>
    <mergeCell ref="AG3:AH3"/>
    <mergeCell ref="AI3:AJ3"/>
    <mergeCell ref="AM3:AN3"/>
    <mergeCell ref="AO3:AP3"/>
    <mergeCell ref="AQ3:AR3"/>
    <mergeCell ref="AS3:AT3"/>
    <mergeCell ref="AU3:A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Welcome</vt:lpstr>
      <vt:lpstr>Updates</vt:lpstr>
      <vt:lpstr>Custom Loadouts</vt:lpstr>
      <vt:lpstr>Leaks</vt:lpstr>
      <vt:lpstr>Teasers</vt:lpstr>
      <vt:lpstr>Dev streams</vt:lpstr>
      <vt:lpstr>Dev servers</vt:lpstr>
      <vt:lpstr>Summary</vt:lpstr>
      <vt:lpstr>Devblogs</vt:lpstr>
      <vt:lpstr>Battle Pass devblogs</vt:lpstr>
      <vt:lpstr>Events (grouped by events)</vt:lpstr>
      <vt:lpstr>Events (grouped by days)</vt:lpstr>
      <vt:lpstr>Single vehicle event devblogs</vt:lpstr>
      <vt:lpstr>Summer  winter event devblogs</vt:lpstr>
      <vt:lpstr>Crafting event devblogs</vt:lpstr>
      <vt:lpstr>BR changes</vt:lpstr>
      <vt:lpstr>Economy changes</vt:lpstr>
      <vt:lpstr>Q&amp;As</vt:lpstr>
      <vt:lpstr>Twitch Drops</vt:lpstr>
      <vt:lpstr>Language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Fly</dc:creator>
  <cp:lastModifiedBy>Dragon Fly</cp:lastModifiedBy>
  <dcterms:created xsi:type="dcterms:W3CDTF">2025-02-20T21:22:29Z</dcterms:created>
  <dcterms:modified xsi:type="dcterms:W3CDTF">2025-02-20T21:22:29Z</dcterms:modified>
</cp:coreProperties>
</file>